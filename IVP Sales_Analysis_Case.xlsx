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Toshiba Pc\Downloads\Data Analyst Projects\IVP Sales funnel\"/>
    </mc:Choice>
  </mc:AlternateContent>
  <xr:revisionPtr revIDLastSave="0" documentId="13_ncr:1_{7FAEC50D-424B-487C-811F-A58FC7B2AF63}" xr6:coauthVersionLast="47" xr6:coauthVersionMax="47" xr10:uidLastSave="{00000000-0000-0000-0000-000000000000}"/>
  <bookViews>
    <workbookView xWindow="-120" yWindow="-120" windowWidth="20730" windowHeight="11160" tabRatio="690" activeTab="6" xr2:uid="{00000000-000D-0000-FFFF-FFFF00000000}"/>
  </bookViews>
  <sheets>
    <sheet name="Clean_Leads" sheetId="7" r:id="rId1"/>
    <sheet name="Clean_Customers" sheetId="8" r:id="rId2"/>
    <sheet name="Clean_Transactions" sheetId="9" r:id="rId3"/>
    <sheet name="Pivot" sheetId="20" r:id="rId4"/>
    <sheet name="KPI_Summary" sheetId="10" r:id="rId5"/>
    <sheet name="Dashboard" sheetId="21" r:id="rId6"/>
    <sheet name="Raw_Leads" sheetId="11" r:id="rId7"/>
    <sheet name="Raw_Customers" sheetId="12" r:id="rId8"/>
    <sheet name="Raw_Transactions" sheetId="13" r:id="rId9"/>
    <sheet name="Sales_Reps" sheetId="14" r:id="rId10"/>
    <sheet name="Targets" sheetId="15" r:id="rId11"/>
  </sheets>
  <definedNames>
    <definedName name="_xlnm.Print_Area" localSheetId="5">Dashboard!$A$1:$AD$34</definedName>
    <definedName name="Slicer_Channel">#N/A</definedName>
    <definedName name="Slicer_Channel_via_Customer">#N/A</definedName>
    <definedName name="Slicer_Created_Month">#N/A</definedName>
    <definedName name="Slicer_Market">#N/A</definedName>
    <definedName name="Slicer_Market1">#N/A</definedName>
    <definedName name="Slicer_Market2">#N/A</definedName>
    <definedName name="Slicer_Transaction_Month">#N/A</definedName>
  </definedNames>
  <calcPr calcId="191029"/>
  <pivotCaches>
    <pivotCache cacheId="0" r:id="rId12"/>
    <pivotCache cacheId="1" r:id="rId13"/>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F11" i="21" l="1"/>
  <c r="M81" i="20"/>
  <c r="O81" i="20" s="1"/>
  <c r="F79" i="10"/>
  <c r="E79" i="10"/>
  <c r="I78" i="10"/>
  <c r="F78" i="10"/>
  <c r="G78" i="10" s="1"/>
  <c r="E78" i="10"/>
  <c r="D78" i="10"/>
  <c r="C78" i="10"/>
  <c r="B78" i="10"/>
  <c r="I77" i="10"/>
  <c r="F77" i="10"/>
  <c r="G77" i="10" s="1"/>
  <c r="E77" i="10"/>
  <c r="D77" i="10"/>
  <c r="C77" i="10"/>
  <c r="B77" i="10"/>
  <c r="I76" i="10"/>
  <c r="F76" i="10"/>
  <c r="E76" i="10"/>
  <c r="D76" i="10"/>
  <c r="C76" i="10"/>
  <c r="B76" i="10"/>
  <c r="I75" i="10"/>
  <c r="F75" i="10"/>
  <c r="G75" i="10" s="1"/>
  <c r="E75" i="10"/>
  <c r="D75" i="10"/>
  <c r="C75" i="10"/>
  <c r="B75" i="10"/>
  <c r="I74" i="10"/>
  <c r="F74" i="10"/>
  <c r="G74" i="10" s="1"/>
  <c r="E74" i="10"/>
  <c r="D74" i="10"/>
  <c r="C74" i="10"/>
  <c r="B74" i="10"/>
  <c r="I73" i="10"/>
  <c r="F73" i="10"/>
  <c r="E73" i="10"/>
  <c r="D73" i="10"/>
  <c r="C73" i="10"/>
  <c r="B73" i="10"/>
  <c r="I72" i="10"/>
  <c r="F72" i="10"/>
  <c r="G72" i="10" s="1"/>
  <c r="E72" i="10"/>
  <c r="D72" i="10"/>
  <c r="C72" i="10"/>
  <c r="B72" i="10"/>
  <c r="I71" i="10"/>
  <c r="F71" i="10"/>
  <c r="G71" i="10" s="1"/>
  <c r="E71" i="10"/>
  <c r="D71" i="10"/>
  <c r="C71" i="10"/>
  <c r="B71" i="10"/>
  <c r="I70" i="10"/>
  <c r="F70" i="10"/>
  <c r="E70" i="10"/>
  <c r="D70" i="10"/>
  <c r="C70" i="10"/>
  <c r="B70" i="10"/>
  <c r="I69" i="10"/>
  <c r="F69" i="10"/>
  <c r="E69" i="10"/>
  <c r="D69" i="10"/>
  <c r="C69" i="10"/>
  <c r="B69" i="10"/>
  <c r="I68" i="10"/>
  <c r="F68" i="10"/>
  <c r="G68" i="10" s="1"/>
  <c r="E68" i="10"/>
  <c r="D68" i="10"/>
  <c r="C68" i="10"/>
  <c r="B68" i="10"/>
  <c r="I67" i="10"/>
  <c r="F67" i="10"/>
  <c r="G67" i="10" s="1"/>
  <c r="E67" i="10"/>
  <c r="D67" i="10"/>
  <c r="C67" i="10"/>
  <c r="B67" i="10"/>
  <c r="I66" i="10"/>
  <c r="F66" i="10"/>
  <c r="E66" i="10"/>
  <c r="D66" i="10"/>
  <c r="C66" i="10"/>
  <c r="B66" i="10"/>
  <c r="I65" i="10"/>
  <c r="F65" i="10"/>
  <c r="E65" i="10"/>
  <c r="D65" i="10"/>
  <c r="C65" i="10"/>
  <c r="B65" i="10"/>
  <c r="I64" i="10"/>
  <c r="F64" i="10"/>
  <c r="E64" i="10"/>
  <c r="D64" i="10"/>
  <c r="C64" i="10"/>
  <c r="B64" i="10"/>
  <c r="B58" i="10"/>
  <c r="B57" i="10"/>
  <c r="B56" i="10"/>
  <c r="B55" i="10"/>
  <c r="C49" i="10"/>
  <c r="B49" i="10"/>
  <c r="D49" i="10" s="1"/>
  <c r="C48" i="10"/>
  <c r="B48" i="10"/>
  <c r="C47" i="10"/>
  <c r="B47" i="10"/>
  <c r="D47" i="10" s="1"/>
  <c r="C46" i="10"/>
  <c r="D46" i="10" s="1"/>
  <c r="B46" i="10"/>
  <c r="F40" i="10"/>
  <c r="E40" i="10"/>
  <c r="C40" i="10"/>
  <c r="D40" i="10" s="1"/>
  <c r="B40" i="10"/>
  <c r="F39" i="10"/>
  <c r="E39" i="10"/>
  <c r="C39" i="10"/>
  <c r="B39" i="10"/>
  <c r="F38" i="10"/>
  <c r="E38" i="10"/>
  <c r="G38" i="10" s="1"/>
  <c r="C38" i="10"/>
  <c r="D38" i="10" s="1"/>
  <c r="B38" i="10"/>
  <c r="F37" i="10"/>
  <c r="E37" i="10"/>
  <c r="C37" i="10"/>
  <c r="B37" i="10"/>
  <c r="F36" i="10"/>
  <c r="E36" i="10"/>
  <c r="G36" i="10" s="1"/>
  <c r="C36" i="10"/>
  <c r="D36" i="10" s="1"/>
  <c r="B36" i="10"/>
  <c r="F35" i="10"/>
  <c r="E35" i="10"/>
  <c r="C35" i="10"/>
  <c r="B35" i="10"/>
  <c r="D35" i="10" s="1"/>
  <c r="L29" i="10"/>
  <c r="K29" i="10"/>
  <c r="G29" i="10"/>
  <c r="E29" i="10"/>
  <c r="D29" i="10"/>
  <c r="F29" i="10" s="1"/>
  <c r="B29" i="10"/>
  <c r="C29" i="10" s="1"/>
  <c r="L28" i="10"/>
  <c r="M28" i="10" s="1"/>
  <c r="K28" i="10"/>
  <c r="G28" i="10"/>
  <c r="E28" i="10"/>
  <c r="D28" i="10"/>
  <c r="B28" i="10"/>
  <c r="C28" i="10" s="1"/>
  <c r="L27" i="10"/>
  <c r="K27" i="10"/>
  <c r="G27" i="10"/>
  <c r="E27" i="10"/>
  <c r="D27" i="10"/>
  <c r="F27" i="10" s="1"/>
  <c r="B27" i="10"/>
  <c r="C27" i="10" s="1"/>
  <c r="L26" i="10"/>
  <c r="K26" i="10"/>
  <c r="G26" i="10"/>
  <c r="E26" i="10"/>
  <c r="D26" i="10"/>
  <c r="F26" i="10" s="1"/>
  <c r="B26" i="10"/>
  <c r="C26" i="10" s="1"/>
  <c r="L25" i="10"/>
  <c r="K25" i="10"/>
  <c r="G25" i="10"/>
  <c r="E25" i="10"/>
  <c r="D25" i="10"/>
  <c r="B25" i="10"/>
  <c r="C25" i="10" s="1"/>
  <c r="J18" i="10"/>
  <c r="I18" i="10"/>
  <c r="E18" i="10"/>
  <c r="D18" i="10"/>
  <c r="C18" i="10"/>
  <c r="B18" i="10"/>
  <c r="F18" i="10" s="1"/>
  <c r="J17" i="10"/>
  <c r="I17" i="10"/>
  <c r="E17" i="10"/>
  <c r="D17" i="10"/>
  <c r="H17" i="10" s="1"/>
  <c r="C17" i="10"/>
  <c r="B17" i="10"/>
  <c r="J16" i="10"/>
  <c r="I16" i="10"/>
  <c r="E16" i="10"/>
  <c r="D16" i="10"/>
  <c r="C16" i="10"/>
  <c r="B16" i="10"/>
  <c r="F16" i="10" s="1"/>
  <c r="J15" i="10"/>
  <c r="I15" i="10"/>
  <c r="E15" i="10"/>
  <c r="D15" i="10"/>
  <c r="G15" i="10" s="1"/>
  <c r="C15" i="10"/>
  <c r="B15" i="10"/>
  <c r="J14" i="10"/>
  <c r="I14" i="10"/>
  <c r="E14" i="10"/>
  <c r="D14" i="10"/>
  <c r="C14" i="10"/>
  <c r="B14" i="10"/>
  <c r="F14" i="10" s="1"/>
  <c r="J13" i="10"/>
  <c r="I13" i="10"/>
  <c r="E13" i="10"/>
  <c r="D13" i="10"/>
  <c r="H13" i="10" s="1"/>
  <c r="C13" i="10"/>
  <c r="B13" i="10"/>
  <c r="J12" i="10"/>
  <c r="I12" i="10"/>
  <c r="E12" i="10"/>
  <c r="H12" i="10" s="1"/>
  <c r="D12" i="10"/>
  <c r="C12" i="10"/>
  <c r="G12" i="10" s="1"/>
  <c r="B12" i="10"/>
  <c r="F12" i="10" s="1"/>
  <c r="J11" i="10"/>
  <c r="I11" i="10"/>
  <c r="E11" i="10"/>
  <c r="D11" i="10"/>
  <c r="H11" i="10" s="1"/>
  <c r="C11" i="10"/>
  <c r="F11" i="10" s="1"/>
  <c r="B11" i="10"/>
  <c r="J10" i="10"/>
  <c r="I10" i="10"/>
  <c r="E10" i="10"/>
  <c r="H10" i="10" s="1"/>
  <c r="D10" i="10"/>
  <c r="C10" i="10"/>
  <c r="G10" i="10" s="1"/>
  <c r="B10" i="10"/>
  <c r="F10" i="10" s="1"/>
  <c r="J9" i="10"/>
  <c r="I9" i="10"/>
  <c r="E9" i="10"/>
  <c r="D9" i="10"/>
  <c r="H9" i="10" s="1"/>
  <c r="C9" i="10"/>
  <c r="F9" i="10" s="1"/>
  <c r="B9" i="10"/>
  <c r="J8" i="10"/>
  <c r="I8" i="10"/>
  <c r="E8" i="10"/>
  <c r="H8" i="10" s="1"/>
  <c r="D8" i="10"/>
  <c r="C8" i="10"/>
  <c r="G8" i="10" s="1"/>
  <c r="B8" i="10"/>
  <c r="F8" i="10" s="1"/>
  <c r="J7" i="10"/>
  <c r="J19" i="10" s="1"/>
  <c r="I7" i="10"/>
  <c r="I19" i="10" s="1"/>
  <c r="E7" i="10"/>
  <c r="E19" i="10" s="1"/>
  <c r="D7" i="10"/>
  <c r="D19" i="10" s="1"/>
  <c r="C7" i="10"/>
  <c r="B7" i="10"/>
  <c r="P1610" i="9"/>
  <c r="O1610" i="9"/>
  <c r="N1610" i="9"/>
  <c r="M1610" i="9"/>
  <c r="I1610" i="9"/>
  <c r="C1610" i="9"/>
  <c r="P1609" i="9"/>
  <c r="O1609" i="9"/>
  <c r="N1609" i="9"/>
  <c r="M1609" i="9"/>
  <c r="I1609" i="9"/>
  <c r="C1609" i="9"/>
  <c r="P1608" i="9"/>
  <c r="O1608" i="9"/>
  <c r="N1608" i="9"/>
  <c r="M1608" i="9"/>
  <c r="I1608" i="9"/>
  <c r="C1608" i="9"/>
  <c r="P1607" i="9"/>
  <c r="O1607" i="9"/>
  <c r="N1607" i="9"/>
  <c r="M1607" i="9"/>
  <c r="I1607" i="9"/>
  <c r="C1607" i="9"/>
  <c r="P1606" i="9"/>
  <c r="O1606" i="9"/>
  <c r="N1606" i="9"/>
  <c r="M1606" i="9"/>
  <c r="I1606" i="9"/>
  <c r="C1606" i="9"/>
  <c r="P1605" i="9"/>
  <c r="O1605" i="9"/>
  <c r="N1605" i="9"/>
  <c r="M1605" i="9"/>
  <c r="I1605" i="9"/>
  <c r="C1605" i="9"/>
  <c r="P1604" i="9"/>
  <c r="O1604" i="9"/>
  <c r="N1604" i="9"/>
  <c r="M1604" i="9"/>
  <c r="I1604" i="9"/>
  <c r="C1604" i="9"/>
  <c r="P1603" i="9"/>
  <c r="O1603" i="9"/>
  <c r="N1603" i="9"/>
  <c r="M1603" i="9"/>
  <c r="I1603" i="9"/>
  <c r="C1603" i="9"/>
  <c r="P1602" i="9"/>
  <c r="O1602" i="9"/>
  <c r="N1602" i="9"/>
  <c r="M1602" i="9"/>
  <c r="I1602" i="9"/>
  <c r="C1602" i="9"/>
  <c r="P1601" i="9"/>
  <c r="O1601" i="9"/>
  <c r="N1601" i="9"/>
  <c r="M1601" i="9"/>
  <c r="I1601" i="9"/>
  <c r="C1601" i="9"/>
  <c r="P1600" i="9"/>
  <c r="O1600" i="9"/>
  <c r="N1600" i="9"/>
  <c r="M1600" i="9"/>
  <c r="I1600" i="9"/>
  <c r="C1600" i="9"/>
  <c r="P1599" i="9"/>
  <c r="O1599" i="9"/>
  <c r="N1599" i="9"/>
  <c r="M1599" i="9"/>
  <c r="I1599" i="9"/>
  <c r="C1599" i="9"/>
  <c r="P1598" i="9"/>
  <c r="O1598" i="9"/>
  <c r="N1598" i="9"/>
  <c r="M1598" i="9"/>
  <c r="I1598" i="9"/>
  <c r="C1598" i="9"/>
  <c r="P1597" i="9"/>
  <c r="O1597" i="9"/>
  <c r="N1597" i="9"/>
  <c r="M1597" i="9"/>
  <c r="I1597" i="9"/>
  <c r="C1597" i="9"/>
  <c r="P1596" i="9"/>
  <c r="O1596" i="9"/>
  <c r="N1596" i="9"/>
  <c r="M1596" i="9"/>
  <c r="I1596" i="9"/>
  <c r="C1596" i="9"/>
  <c r="P1595" i="9"/>
  <c r="O1595" i="9"/>
  <c r="N1595" i="9"/>
  <c r="M1595" i="9"/>
  <c r="I1595" i="9"/>
  <c r="C1595" i="9"/>
  <c r="P1594" i="9"/>
  <c r="O1594" i="9"/>
  <c r="N1594" i="9"/>
  <c r="M1594" i="9"/>
  <c r="I1594" i="9"/>
  <c r="C1594" i="9"/>
  <c r="P1593" i="9"/>
  <c r="O1593" i="9"/>
  <c r="N1593" i="9"/>
  <c r="M1593" i="9"/>
  <c r="I1593" i="9"/>
  <c r="C1593" i="9"/>
  <c r="P1592" i="9"/>
  <c r="O1592" i="9"/>
  <c r="N1592" i="9"/>
  <c r="M1592" i="9"/>
  <c r="I1592" i="9"/>
  <c r="C1592" i="9"/>
  <c r="P1591" i="9"/>
  <c r="O1591" i="9"/>
  <c r="N1591" i="9"/>
  <c r="M1591" i="9"/>
  <c r="I1591" i="9"/>
  <c r="C1591" i="9"/>
  <c r="P1590" i="9"/>
  <c r="O1590" i="9"/>
  <c r="N1590" i="9"/>
  <c r="M1590" i="9"/>
  <c r="I1590" i="9"/>
  <c r="C1590" i="9"/>
  <c r="P1589" i="9"/>
  <c r="O1589" i="9"/>
  <c r="N1589" i="9"/>
  <c r="M1589" i="9"/>
  <c r="I1589" i="9"/>
  <c r="C1589" i="9"/>
  <c r="P1588" i="9"/>
  <c r="O1588" i="9"/>
  <c r="N1588" i="9"/>
  <c r="M1588" i="9"/>
  <c r="I1588" i="9"/>
  <c r="C1588" i="9"/>
  <c r="P1587" i="9"/>
  <c r="O1587" i="9"/>
  <c r="N1587" i="9"/>
  <c r="M1587" i="9"/>
  <c r="I1587" i="9"/>
  <c r="C1587" i="9"/>
  <c r="P1586" i="9"/>
  <c r="O1586" i="9"/>
  <c r="N1586" i="9"/>
  <c r="M1586" i="9"/>
  <c r="I1586" i="9"/>
  <c r="C1586" i="9"/>
  <c r="P1585" i="9"/>
  <c r="O1585" i="9"/>
  <c r="N1585" i="9"/>
  <c r="M1585" i="9"/>
  <c r="I1585" i="9"/>
  <c r="C1585" i="9"/>
  <c r="P1584" i="9"/>
  <c r="O1584" i="9"/>
  <c r="N1584" i="9"/>
  <c r="M1584" i="9"/>
  <c r="I1584" i="9"/>
  <c r="C1584" i="9"/>
  <c r="P1583" i="9"/>
  <c r="O1583" i="9"/>
  <c r="N1583" i="9"/>
  <c r="M1583" i="9"/>
  <c r="I1583" i="9"/>
  <c r="C1583" i="9"/>
  <c r="P1582" i="9"/>
  <c r="O1582" i="9"/>
  <c r="N1582" i="9"/>
  <c r="M1582" i="9"/>
  <c r="I1582" i="9"/>
  <c r="C1582" i="9"/>
  <c r="P1581" i="9"/>
  <c r="O1581" i="9"/>
  <c r="N1581" i="9"/>
  <c r="M1581" i="9"/>
  <c r="I1581" i="9"/>
  <c r="C1581" i="9"/>
  <c r="P1580" i="9"/>
  <c r="O1580" i="9"/>
  <c r="N1580" i="9"/>
  <c r="M1580" i="9"/>
  <c r="I1580" i="9"/>
  <c r="C1580" i="9"/>
  <c r="P1579" i="9"/>
  <c r="O1579" i="9"/>
  <c r="N1579" i="9"/>
  <c r="M1579" i="9"/>
  <c r="I1579" i="9"/>
  <c r="C1579" i="9"/>
  <c r="P1578" i="9"/>
  <c r="O1578" i="9"/>
  <c r="N1578" i="9"/>
  <c r="M1578" i="9"/>
  <c r="I1578" i="9"/>
  <c r="C1578" i="9"/>
  <c r="P1577" i="9"/>
  <c r="O1577" i="9"/>
  <c r="N1577" i="9"/>
  <c r="M1577" i="9"/>
  <c r="I1577" i="9"/>
  <c r="C1577" i="9"/>
  <c r="P1576" i="9"/>
  <c r="O1576" i="9"/>
  <c r="N1576" i="9"/>
  <c r="M1576" i="9"/>
  <c r="I1576" i="9"/>
  <c r="C1576" i="9"/>
  <c r="P1575" i="9"/>
  <c r="O1575" i="9"/>
  <c r="N1575" i="9"/>
  <c r="M1575" i="9"/>
  <c r="I1575" i="9"/>
  <c r="C1575" i="9"/>
  <c r="P1574" i="9"/>
  <c r="O1574" i="9"/>
  <c r="N1574" i="9"/>
  <c r="M1574" i="9"/>
  <c r="I1574" i="9"/>
  <c r="C1574" i="9"/>
  <c r="P1573" i="9"/>
  <c r="O1573" i="9"/>
  <c r="N1573" i="9"/>
  <c r="M1573" i="9"/>
  <c r="I1573" i="9"/>
  <c r="C1573" i="9"/>
  <c r="P1572" i="9"/>
  <c r="O1572" i="9"/>
  <c r="N1572" i="9"/>
  <c r="M1572" i="9"/>
  <c r="I1572" i="9"/>
  <c r="C1572" i="9"/>
  <c r="P1571" i="9"/>
  <c r="O1571" i="9"/>
  <c r="N1571" i="9"/>
  <c r="M1571" i="9"/>
  <c r="I1571" i="9"/>
  <c r="C1571" i="9"/>
  <c r="P1570" i="9"/>
  <c r="O1570" i="9"/>
  <c r="N1570" i="9"/>
  <c r="M1570" i="9"/>
  <c r="I1570" i="9"/>
  <c r="C1570" i="9"/>
  <c r="P1569" i="9"/>
  <c r="O1569" i="9"/>
  <c r="N1569" i="9"/>
  <c r="M1569" i="9"/>
  <c r="I1569" i="9"/>
  <c r="C1569" i="9"/>
  <c r="P1568" i="9"/>
  <c r="O1568" i="9"/>
  <c r="N1568" i="9"/>
  <c r="M1568" i="9"/>
  <c r="I1568" i="9"/>
  <c r="C1568" i="9"/>
  <c r="P1567" i="9"/>
  <c r="O1567" i="9"/>
  <c r="N1567" i="9"/>
  <c r="M1567" i="9"/>
  <c r="I1567" i="9"/>
  <c r="C1567" i="9"/>
  <c r="P1566" i="9"/>
  <c r="O1566" i="9"/>
  <c r="N1566" i="9"/>
  <c r="M1566" i="9"/>
  <c r="I1566" i="9"/>
  <c r="C1566" i="9"/>
  <c r="P1565" i="9"/>
  <c r="O1565" i="9"/>
  <c r="N1565" i="9"/>
  <c r="M1565" i="9"/>
  <c r="I1565" i="9"/>
  <c r="C1565" i="9"/>
  <c r="P1564" i="9"/>
  <c r="O1564" i="9"/>
  <c r="N1564" i="9"/>
  <c r="M1564" i="9"/>
  <c r="I1564" i="9"/>
  <c r="C1564" i="9"/>
  <c r="P1563" i="9"/>
  <c r="O1563" i="9"/>
  <c r="N1563" i="9"/>
  <c r="M1563" i="9"/>
  <c r="I1563" i="9"/>
  <c r="C1563" i="9"/>
  <c r="P1562" i="9"/>
  <c r="O1562" i="9"/>
  <c r="N1562" i="9"/>
  <c r="M1562" i="9"/>
  <c r="I1562" i="9"/>
  <c r="C1562" i="9"/>
  <c r="P1561" i="9"/>
  <c r="O1561" i="9"/>
  <c r="N1561" i="9"/>
  <c r="M1561" i="9"/>
  <c r="I1561" i="9"/>
  <c r="C1561" i="9"/>
  <c r="P1560" i="9"/>
  <c r="O1560" i="9"/>
  <c r="N1560" i="9"/>
  <c r="M1560" i="9"/>
  <c r="I1560" i="9"/>
  <c r="C1560" i="9"/>
  <c r="P1559" i="9"/>
  <c r="O1559" i="9"/>
  <c r="N1559" i="9"/>
  <c r="M1559" i="9"/>
  <c r="I1559" i="9"/>
  <c r="C1559" i="9"/>
  <c r="P1558" i="9"/>
  <c r="O1558" i="9"/>
  <c r="N1558" i="9"/>
  <c r="M1558" i="9"/>
  <c r="I1558" i="9"/>
  <c r="C1558" i="9"/>
  <c r="P1557" i="9"/>
  <c r="O1557" i="9"/>
  <c r="N1557" i="9"/>
  <c r="M1557" i="9"/>
  <c r="I1557" i="9"/>
  <c r="C1557" i="9"/>
  <c r="P1556" i="9"/>
  <c r="O1556" i="9"/>
  <c r="N1556" i="9"/>
  <c r="M1556" i="9"/>
  <c r="I1556" i="9"/>
  <c r="C1556" i="9"/>
  <c r="P1555" i="9"/>
  <c r="O1555" i="9"/>
  <c r="N1555" i="9"/>
  <c r="M1555" i="9"/>
  <c r="I1555" i="9"/>
  <c r="C1555" i="9"/>
  <c r="P1554" i="9"/>
  <c r="O1554" i="9"/>
  <c r="N1554" i="9"/>
  <c r="M1554" i="9"/>
  <c r="I1554" i="9"/>
  <c r="C1554" i="9"/>
  <c r="P1553" i="9"/>
  <c r="O1553" i="9"/>
  <c r="N1553" i="9"/>
  <c r="M1553" i="9"/>
  <c r="I1553" i="9"/>
  <c r="C1553" i="9"/>
  <c r="P1552" i="9"/>
  <c r="O1552" i="9"/>
  <c r="N1552" i="9"/>
  <c r="M1552" i="9"/>
  <c r="I1552" i="9"/>
  <c r="C1552" i="9"/>
  <c r="P1551" i="9"/>
  <c r="O1551" i="9"/>
  <c r="N1551" i="9"/>
  <c r="M1551" i="9"/>
  <c r="I1551" i="9"/>
  <c r="C1551" i="9"/>
  <c r="P1550" i="9"/>
  <c r="O1550" i="9"/>
  <c r="N1550" i="9"/>
  <c r="M1550" i="9"/>
  <c r="I1550" i="9"/>
  <c r="C1550" i="9"/>
  <c r="P1549" i="9"/>
  <c r="O1549" i="9"/>
  <c r="N1549" i="9"/>
  <c r="M1549" i="9"/>
  <c r="I1549" i="9"/>
  <c r="C1549" i="9"/>
  <c r="P1548" i="9"/>
  <c r="O1548" i="9"/>
  <c r="N1548" i="9"/>
  <c r="M1548" i="9"/>
  <c r="I1548" i="9"/>
  <c r="C1548" i="9"/>
  <c r="P1547" i="9"/>
  <c r="O1547" i="9"/>
  <c r="N1547" i="9"/>
  <c r="M1547" i="9"/>
  <c r="I1547" i="9"/>
  <c r="C1547" i="9"/>
  <c r="P1546" i="9"/>
  <c r="O1546" i="9"/>
  <c r="N1546" i="9"/>
  <c r="M1546" i="9"/>
  <c r="I1546" i="9"/>
  <c r="C1546" i="9"/>
  <c r="P1545" i="9"/>
  <c r="O1545" i="9"/>
  <c r="N1545" i="9"/>
  <c r="M1545" i="9"/>
  <c r="I1545" i="9"/>
  <c r="C1545" i="9"/>
  <c r="P1544" i="9"/>
  <c r="O1544" i="9"/>
  <c r="N1544" i="9"/>
  <c r="M1544" i="9"/>
  <c r="I1544" i="9"/>
  <c r="C1544" i="9"/>
  <c r="P1543" i="9"/>
  <c r="O1543" i="9"/>
  <c r="N1543" i="9"/>
  <c r="M1543" i="9"/>
  <c r="I1543" i="9"/>
  <c r="C1543" i="9"/>
  <c r="P1542" i="9"/>
  <c r="O1542" i="9"/>
  <c r="N1542" i="9"/>
  <c r="M1542" i="9"/>
  <c r="I1542" i="9"/>
  <c r="C1542" i="9"/>
  <c r="P1541" i="9"/>
  <c r="O1541" i="9"/>
  <c r="N1541" i="9"/>
  <c r="M1541" i="9"/>
  <c r="I1541" i="9"/>
  <c r="C1541" i="9"/>
  <c r="P1540" i="9"/>
  <c r="O1540" i="9"/>
  <c r="N1540" i="9"/>
  <c r="M1540" i="9"/>
  <c r="I1540" i="9"/>
  <c r="C1540" i="9"/>
  <c r="P1539" i="9"/>
  <c r="O1539" i="9"/>
  <c r="N1539" i="9"/>
  <c r="M1539" i="9"/>
  <c r="I1539" i="9"/>
  <c r="C1539" i="9"/>
  <c r="P1538" i="9"/>
  <c r="O1538" i="9"/>
  <c r="N1538" i="9"/>
  <c r="M1538" i="9"/>
  <c r="I1538" i="9"/>
  <c r="C1538" i="9"/>
  <c r="P1537" i="9"/>
  <c r="O1537" i="9"/>
  <c r="N1537" i="9"/>
  <c r="M1537" i="9"/>
  <c r="I1537" i="9"/>
  <c r="C1537" i="9"/>
  <c r="P1536" i="9"/>
  <c r="O1536" i="9"/>
  <c r="N1536" i="9"/>
  <c r="M1536" i="9"/>
  <c r="I1536" i="9"/>
  <c r="C1536" i="9"/>
  <c r="P1535" i="9"/>
  <c r="O1535" i="9"/>
  <c r="N1535" i="9"/>
  <c r="M1535" i="9"/>
  <c r="I1535" i="9"/>
  <c r="C1535" i="9"/>
  <c r="P1534" i="9"/>
  <c r="O1534" i="9"/>
  <c r="N1534" i="9"/>
  <c r="M1534" i="9"/>
  <c r="I1534" i="9"/>
  <c r="C1534" i="9"/>
  <c r="P1533" i="9"/>
  <c r="O1533" i="9"/>
  <c r="N1533" i="9"/>
  <c r="M1533" i="9"/>
  <c r="I1533" i="9"/>
  <c r="C1533" i="9"/>
  <c r="P1532" i="9"/>
  <c r="O1532" i="9"/>
  <c r="N1532" i="9"/>
  <c r="M1532" i="9"/>
  <c r="I1532" i="9"/>
  <c r="C1532" i="9"/>
  <c r="P1531" i="9"/>
  <c r="O1531" i="9"/>
  <c r="N1531" i="9"/>
  <c r="M1531" i="9"/>
  <c r="I1531" i="9"/>
  <c r="C1531" i="9"/>
  <c r="P1530" i="9"/>
  <c r="O1530" i="9"/>
  <c r="N1530" i="9"/>
  <c r="M1530" i="9"/>
  <c r="I1530" i="9"/>
  <c r="C1530" i="9"/>
  <c r="P1529" i="9"/>
  <c r="O1529" i="9"/>
  <c r="N1529" i="9"/>
  <c r="M1529" i="9"/>
  <c r="I1529" i="9"/>
  <c r="C1529" i="9"/>
  <c r="P1528" i="9"/>
  <c r="O1528" i="9"/>
  <c r="N1528" i="9"/>
  <c r="M1528" i="9"/>
  <c r="I1528" i="9"/>
  <c r="C1528" i="9"/>
  <c r="P1527" i="9"/>
  <c r="O1527" i="9"/>
  <c r="N1527" i="9"/>
  <c r="M1527" i="9"/>
  <c r="I1527" i="9"/>
  <c r="C1527" i="9"/>
  <c r="P1526" i="9"/>
  <c r="O1526" i="9"/>
  <c r="N1526" i="9"/>
  <c r="M1526" i="9"/>
  <c r="I1526" i="9"/>
  <c r="C1526" i="9"/>
  <c r="P1525" i="9"/>
  <c r="O1525" i="9"/>
  <c r="N1525" i="9"/>
  <c r="M1525" i="9"/>
  <c r="I1525" i="9"/>
  <c r="C1525" i="9"/>
  <c r="P1524" i="9"/>
  <c r="O1524" i="9"/>
  <c r="N1524" i="9"/>
  <c r="M1524" i="9"/>
  <c r="I1524" i="9"/>
  <c r="C1524" i="9"/>
  <c r="P1523" i="9"/>
  <c r="O1523" i="9"/>
  <c r="N1523" i="9"/>
  <c r="M1523" i="9"/>
  <c r="I1523" i="9"/>
  <c r="C1523" i="9"/>
  <c r="P1522" i="9"/>
  <c r="O1522" i="9"/>
  <c r="N1522" i="9"/>
  <c r="M1522" i="9"/>
  <c r="I1522" i="9"/>
  <c r="C1522" i="9"/>
  <c r="P1521" i="9"/>
  <c r="O1521" i="9"/>
  <c r="N1521" i="9"/>
  <c r="M1521" i="9"/>
  <c r="I1521" i="9"/>
  <c r="C1521" i="9"/>
  <c r="P1520" i="9"/>
  <c r="O1520" i="9"/>
  <c r="N1520" i="9"/>
  <c r="M1520" i="9"/>
  <c r="I1520" i="9"/>
  <c r="C1520" i="9"/>
  <c r="P1519" i="9"/>
  <c r="O1519" i="9"/>
  <c r="N1519" i="9"/>
  <c r="M1519" i="9"/>
  <c r="I1519" i="9"/>
  <c r="C1519" i="9"/>
  <c r="P1518" i="9"/>
  <c r="O1518" i="9"/>
  <c r="N1518" i="9"/>
  <c r="M1518" i="9"/>
  <c r="I1518" i="9"/>
  <c r="C1518" i="9"/>
  <c r="P1517" i="9"/>
  <c r="O1517" i="9"/>
  <c r="N1517" i="9"/>
  <c r="M1517" i="9"/>
  <c r="I1517" i="9"/>
  <c r="C1517" i="9"/>
  <c r="P1516" i="9"/>
  <c r="O1516" i="9"/>
  <c r="N1516" i="9"/>
  <c r="M1516" i="9"/>
  <c r="I1516" i="9"/>
  <c r="C1516" i="9"/>
  <c r="P1515" i="9"/>
  <c r="O1515" i="9"/>
  <c r="N1515" i="9"/>
  <c r="M1515" i="9"/>
  <c r="I1515" i="9"/>
  <c r="C1515" i="9"/>
  <c r="P1514" i="9"/>
  <c r="O1514" i="9"/>
  <c r="N1514" i="9"/>
  <c r="M1514" i="9"/>
  <c r="I1514" i="9"/>
  <c r="C1514" i="9"/>
  <c r="P1513" i="9"/>
  <c r="O1513" i="9"/>
  <c r="N1513" i="9"/>
  <c r="M1513" i="9"/>
  <c r="I1513" i="9"/>
  <c r="C1513" i="9"/>
  <c r="P1512" i="9"/>
  <c r="O1512" i="9"/>
  <c r="N1512" i="9"/>
  <c r="M1512" i="9"/>
  <c r="I1512" i="9"/>
  <c r="C1512" i="9"/>
  <c r="P1511" i="9"/>
  <c r="O1511" i="9"/>
  <c r="N1511" i="9"/>
  <c r="M1511" i="9"/>
  <c r="I1511" i="9"/>
  <c r="C1511" i="9"/>
  <c r="P1510" i="9"/>
  <c r="O1510" i="9"/>
  <c r="N1510" i="9"/>
  <c r="M1510" i="9"/>
  <c r="I1510" i="9"/>
  <c r="C1510" i="9"/>
  <c r="P1509" i="9"/>
  <c r="O1509" i="9"/>
  <c r="N1509" i="9"/>
  <c r="M1509" i="9"/>
  <c r="I1509" i="9"/>
  <c r="C1509" i="9"/>
  <c r="P1508" i="9"/>
  <c r="O1508" i="9"/>
  <c r="N1508" i="9"/>
  <c r="M1508" i="9"/>
  <c r="I1508" i="9"/>
  <c r="C1508" i="9"/>
  <c r="P1507" i="9"/>
  <c r="O1507" i="9"/>
  <c r="N1507" i="9"/>
  <c r="M1507" i="9"/>
  <c r="I1507" i="9"/>
  <c r="C1507" i="9"/>
  <c r="P1506" i="9"/>
  <c r="O1506" i="9"/>
  <c r="N1506" i="9"/>
  <c r="M1506" i="9"/>
  <c r="I1506" i="9"/>
  <c r="C1506" i="9"/>
  <c r="P1505" i="9"/>
  <c r="O1505" i="9"/>
  <c r="N1505" i="9"/>
  <c r="M1505" i="9"/>
  <c r="I1505" i="9"/>
  <c r="C1505" i="9"/>
  <c r="P1504" i="9"/>
  <c r="O1504" i="9"/>
  <c r="N1504" i="9"/>
  <c r="M1504" i="9"/>
  <c r="I1504" i="9"/>
  <c r="C1504" i="9"/>
  <c r="P1503" i="9"/>
  <c r="O1503" i="9"/>
  <c r="N1503" i="9"/>
  <c r="M1503" i="9"/>
  <c r="I1503" i="9"/>
  <c r="C1503" i="9"/>
  <c r="P1502" i="9"/>
  <c r="O1502" i="9"/>
  <c r="N1502" i="9"/>
  <c r="M1502" i="9"/>
  <c r="I1502" i="9"/>
  <c r="C1502" i="9"/>
  <c r="P1501" i="9"/>
  <c r="O1501" i="9"/>
  <c r="N1501" i="9"/>
  <c r="M1501" i="9"/>
  <c r="I1501" i="9"/>
  <c r="C1501" i="9"/>
  <c r="P1500" i="9"/>
  <c r="O1500" i="9"/>
  <c r="N1500" i="9"/>
  <c r="M1500" i="9"/>
  <c r="I1500" i="9"/>
  <c r="C1500" i="9"/>
  <c r="P1499" i="9"/>
  <c r="O1499" i="9"/>
  <c r="N1499" i="9"/>
  <c r="M1499" i="9"/>
  <c r="I1499" i="9"/>
  <c r="C1499" i="9"/>
  <c r="P1498" i="9"/>
  <c r="O1498" i="9"/>
  <c r="N1498" i="9"/>
  <c r="M1498" i="9"/>
  <c r="I1498" i="9"/>
  <c r="C1498" i="9"/>
  <c r="P1497" i="9"/>
  <c r="O1497" i="9"/>
  <c r="N1497" i="9"/>
  <c r="M1497" i="9"/>
  <c r="I1497" i="9"/>
  <c r="C1497" i="9"/>
  <c r="P1496" i="9"/>
  <c r="O1496" i="9"/>
  <c r="N1496" i="9"/>
  <c r="M1496" i="9"/>
  <c r="I1496" i="9"/>
  <c r="C1496" i="9"/>
  <c r="P1495" i="9"/>
  <c r="O1495" i="9"/>
  <c r="N1495" i="9"/>
  <c r="M1495" i="9"/>
  <c r="I1495" i="9"/>
  <c r="C1495" i="9"/>
  <c r="P1494" i="9"/>
  <c r="O1494" i="9"/>
  <c r="N1494" i="9"/>
  <c r="M1494" i="9"/>
  <c r="I1494" i="9"/>
  <c r="C1494" i="9"/>
  <c r="P1493" i="9"/>
  <c r="O1493" i="9"/>
  <c r="N1493" i="9"/>
  <c r="M1493" i="9"/>
  <c r="I1493" i="9"/>
  <c r="C1493" i="9"/>
  <c r="P1492" i="9"/>
  <c r="O1492" i="9"/>
  <c r="N1492" i="9"/>
  <c r="M1492" i="9"/>
  <c r="I1492" i="9"/>
  <c r="C1492" i="9"/>
  <c r="P1491" i="9"/>
  <c r="O1491" i="9"/>
  <c r="N1491" i="9"/>
  <c r="M1491" i="9"/>
  <c r="I1491" i="9"/>
  <c r="C1491" i="9"/>
  <c r="P1490" i="9"/>
  <c r="O1490" i="9"/>
  <c r="N1490" i="9"/>
  <c r="M1490" i="9"/>
  <c r="I1490" i="9"/>
  <c r="C1490" i="9"/>
  <c r="P1489" i="9"/>
  <c r="O1489" i="9"/>
  <c r="N1489" i="9"/>
  <c r="M1489" i="9"/>
  <c r="I1489" i="9"/>
  <c r="C1489" i="9"/>
  <c r="P1488" i="9"/>
  <c r="O1488" i="9"/>
  <c r="N1488" i="9"/>
  <c r="M1488" i="9"/>
  <c r="I1488" i="9"/>
  <c r="C1488" i="9"/>
  <c r="P1487" i="9"/>
  <c r="O1487" i="9"/>
  <c r="N1487" i="9"/>
  <c r="M1487" i="9"/>
  <c r="I1487" i="9"/>
  <c r="C1487" i="9"/>
  <c r="P1486" i="9"/>
  <c r="O1486" i="9"/>
  <c r="N1486" i="9"/>
  <c r="M1486" i="9"/>
  <c r="I1486" i="9"/>
  <c r="C1486" i="9"/>
  <c r="P1485" i="9"/>
  <c r="O1485" i="9"/>
  <c r="N1485" i="9"/>
  <c r="M1485" i="9"/>
  <c r="I1485" i="9"/>
  <c r="C1485" i="9"/>
  <c r="P1484" i="9"/>
  <c r="O1484" i="9"/>
  <c r="N1484" i="9"/>
  <c r="M1484" i="9"/>
  <c r="I1484" i="9"/>
  <c r="C1484" i="9"/>
  <c r="P1483" i="9"/>
  <c r="O1483" i="9"/>
  <c r="N1483" i="9"/>
  <c r="M1483" i="9"/>
  <c r="I1483" i="9"/>
  <c r="C1483" i="9"/>
  <c r="P1482" i="9"/>
  <c r="O1482" i="9"/>
  <c r="N1482" i="9"/>
  <c r="M1482" i="9"/>
  <c r="I1482" i="9"/>
  <c r="C1482" i="9"/>
  <c r="P1481" i="9"/>
  <c r="O1481" i="9"/>
  <c r="N1481" i="9"/>
  <c r="M1481" i="9"/>
  <c r="I1481" i="9"/>
  <c r="C1481" i="9"/>
  <c r="P1480" i="9"/>
  <c r="O1480" i="9"/>
  <c r="N1480" i="9"/>
  <c r="M1480" i="9"/>
  <c r="I1480" i="9"/>
  <c r="C1480" i="9"/>
  <c r="P1479" i="9"/>
  <c r="O1479" i="9"/>
  <c r="N1479" i="9"/>
  <c r="M1479" i="9"/>
  <c r="I1479" i="9"/>
  <c r="C1479" i="9"/>
  <c r="P1478" i="9"/>
  <c r="O1478" i="9"/>
  <c r="N1478" i="9"/>
  <c r="M1478" i="9"/>
  <c r="I1478" i="9"/>
  <c r="C1478" i="9"/>
  <c r="P1477" i="9"/>
  <c r="O1477" i="9"/>
  <c r="N1477" i="9"/>
  <c r="M1477" i="9"/>
  <c r="I1477" i="9"/>
  <c r="C1477" i="9"/>
  <c r="P1476" i="9"/>
  <c r="O1476" i="9"/>
  <c r="N1476" i="9"/>
  <c r="M1476" i="9"/>
  <c r="I1476" i="9"/>
  <c r="C1476" i="9"/>
  <c r="P1475" i="9"/>
  <c r="O1475" i="9"/>
  <c r="N1475" i="9"/>
  <c r="M1475" i="9"/>
  <c r="I1475" i="9"/>
  <c r="C1475" i="9"/>
  <c r="P1474" i="9"/>
  <c r="O1474" i="9"/>
  <c r="N1474" i="9"/>
  <c r="M1474" i="9"/>
  <c r="I1474" i="9"/>
  <c r="C1474" i="9"/>
  <c r="P1473" i="9"/>
  <c r="O1473" i="9"/>
  <c r="N1473" i="9"/>
  <c r="M1473" i="9"/>
  <c r="I1473" i="9"/>
  <c r="C1473" i="9"/>
  <c r="P1472" i="9"/>
  <c r="O1472" i="9"/>
  <c r="N1472" i="9"/>
  <c r="M1472" i="9"/>
  <c r="I1472" i="9"/>
  <c r="C1472" i="9"/>
  <c r="P1471" i="9"/>
  <c r="O1471" i="9"/>
  <c r="N1471" i="9"/>
  <c r="M1471" i="9"/>
  <c r="I1471" i="9"/>
  <c r="C1471" i="9"/>
  <c r="P1470" i="9"/>
  <c r="O1470" i="9"/>
  <c r="N1470" i="9"/>
  <c r="M1470" i="9"/>
  <c r="I1470" i="9"/>
  <c r="C1470" i="9"/>
  <c r="P1469" i="9"/>
  <c r="O1469" i="9"/>
  <c r="N1469" i="9"/>
  <c r="M1469" i="9"/>
  <c r="I1469" i="9"/>
  <c r="C1469" i="9"/>
  <c r="P1468" i="9"/>
  <c r="O1468" i="9"/>
  <c r="N1468" i="9"/>
  <c r="M1468" i="9"/>
  <c r="I1468" i="9"/>
  <c r="C1468" i="9"/>
  <c r="P1467" i="9"/>
  <c r="O1467" i="9"/>
  <c r="N1467" i="9"/>
  <c r="M1467" i="9"/>
  <c r="I1467" i="9"/>
  <c r="C1467" i="9"/>
  <c r="P1466" i="9"/>
  <c r="O1466" i="9"/>
  <c r="N1466" i="9"/>
  <c r="M1466" i="9"/>
  <c r="I1466" i="9"/>
  <c r="C1466" i="9"/>
  <c r="P1465" i="9"/>
  <c r="O1465" i="9"/>
  <c r="N1465" i="9"/>
  <c r="M1465" i="9"/>
  <c r="I1465" i="9"/>
  <c r="C1465" i="9"/>
  <c r="P1464" i="9"/>
  <c r="O1464" i="9"/>
  <c r="N1464" i="9"/>
  <c r="M1464" i="9"/>
  <c r="I1464" i="9"/>
  <c r="C1464" i="9"/>
  <c r="P1463" i="9"/>
  <c r="O1463" i="9"/>
  <c r="N1463" i="9"/>
  <c r="M1463" i="9"/>
  <c r="I1463" i="9"/>
  <c r="C1463" i="9"/>
  <c r="P1462" i="9"/>
  <c r="O1462" i="9"/>
  <c r="N1462" i="9"/>
  <c r="M1462" i="9"/>
  <c r="I1462" i="9"/>
  <c r="C1462" i="9"/>
  <c r="P1461" i="9"/>
  <c r="O1461" i="9"/>
  <c r="N1461" i="9"/>
  <c r="M1461" i="9"/>
  <c r="I1461" i="9"/>
  <c r="C1461" i="9"/>
  <c r="P1460" i="9"/>
  <c r="O1460" i="9"/>
  <c r="N1460" i="9"/>
  <c r="M1460" i="9"/>
  <c r="I1460" i="9"/>
  <c r="C1460" i="9"/>
  <c r="P1459" i="9"/>
  <c r="O1459" i="9"/>
  <c r="N1459" i="9"/>
  <c r="M1459" i="9"/>
  <c r="I1459" i="9"/>
  <c r="C1459" i="9"/>
  <c r="P1458" i="9"/>
  <c r="O1458" i="9"/>
  <c r="N1458" i="9"/>
  <c r="M1458" i="9"/>
  <c r="I1458" i="9"/>
  <c r="C1458" i="9"/>
  <c r="P1457" i="9"/>
  <c r="O1457" i="9"/>
  <c r="N1457" i="9"/>
  <c r="M1457" i="9"/>
  <c r="I1457" i="9"/>
  <c r="C1457" i="9"/>
  <c r="P1456" i="9"/>
  <c r="O1456" i="9"/>
  <c r="N1456" i="9"/>
  <c r="M1456" i="9"/>
  <c r="I1456" i="9"/>
  <c r="C1456" i="9"/>
  <c r="P1455" i="9"/>
  <c r="O1455" i="9"/>
  <c r="N1455" i="9"/>
  <c r="M1455" i="9"/>
  <c r="I1455" i="9"/>
  <c r="C1455" i="9"/>
  <c r="P1454" i="9"/>
  <c r="O1454" i="9"/>
  <c r="N1454" i="9"/>
  <c r="M1454" i="9"/>
  <c r="I1454" i="9"/>
  <c r="C1454" i="9"/>
  <c r="P1453" i="9"/>
  <c r="O1453" i="9"/>
  <c r="N1453" i="9"/>
  <c r="M1453" i="9"/>
  <c r="I1453" i="9"/>
  <c r="C1453" i="9"/>
  <c r="P1452" i="9"/>
  <c r="O1452" i="9"/>
  <c r="N1452" i="9"/>
  <c r="M1452" i="9"/>
  <c r="I1452" i="9"/>
  <c r="C1452" i="9"/>
  <c r="P1451" i="9"/>
  <c r="O1451" i="9"/>
  <c r="N1451" i="9"/>
  <c r="M1451" i="9"/>
  <c r="I1451" i="9"/>
  <c r="C1451" i="9"/>
  <c r="P1450" i="9"/>
  <c r="O1450" i="9"/>
  <c r="N1450" i="9"/>
  <c r="M1450" i="9"/>
  <c r="I1450" i="9"/>
  <c r="C1450" i="9"/>
  <c r="P1449" i="9"/>
  <c r="O1449" i="9"/>
  <c r="N1449" i="9"/>
  <c r="M1449" i="9"/>
  <c r="I1449" i="9"/>
  <c r="C1449" i="9"/>
  <c r="P1448" i="9"/>
  <c r="O1448" i="9"/>
  <c r="N1448" i="9"/>
  <c r="M1448" i="9"/>
  <c r="I1448" i="9"/>
  <c r="C1448" i="9"/>
  <c r="P1447" i="9"/>
  <c r="O1447" i="9"/>
  <c r="N1447" i="9"/>
  <c r="M1447" i="9"/>
  <c r="I1447" i="9"/>
  <c r="C1447" i="9"/>
  <c r="P1446" i="9"/>
  <c r="O1446" i="9"/>
  <c r="N1446" i="9"/>
  <c r="M1446" i="9"/>
  <c r="I1446" i="9"/>
  <c r="C1446" i="9"/>
  <c r="P1445" i="9"/>
  <c r="O1445" i="9"/>
  <c r="N1445" i="9"/>
  <c r="M1445" i="9"/>
  <c r="I1445" i="9"/>
  <c r="C1445" i="9"/>
  <c r="P1444" i="9"/>
  <c r="O1444" i="9"/>
  <c r="N1444" i="9"/>
  <c r="M1444" i="9"/>
  <c r="I1444" i="9"/>
  <c r="C1444" i="9"/>
  <c r="P1443" i="9"/>
  <c r="O1443" i="9"/>
  <c r="N1443" i="9"/>
  <c r="M1443" i="9"/>
  <c r="I1443" i="9"/>
  <c r="C1443" i="9"/>
  <c r="P1442" i="9"/>
  <c r="O1442" i="9"/>
  <c r="N1442" i="9"/>
  <c r="M1442" i="9"/>
  <c r="I1442" i="9"/>
  <c r="C1442" i="9"/>
  <c r="P1441" i="9"/>
  <c r="O1441" i="9"/>
  <c r="N1441" i="9"/>
  <c r="M1441" i="9"/>
  <c r="I1441" i="9"/>
  <c r="C1441" i="9"/>
  <c r="P1440" i="9"/>
  <c r="O1440" i="9"/>
  <c r="N1440" i="9"/>
  <c r="M1440" i="9"/>
  <c r="I1440" i="9"/>
  <c r="C1440" i="9"/>
  <c r="P1439" i="9"/>
  <c r="O1439" i="9"/>
  <c r="N1439" i="9"/>
  <c r="M1439" i="9"/>
  <c r="I1439" i="9"/>
  <c r="C1439" i="9"/>
  <c r="P1438" i="9"/>
  <c r="O1438" i="9"/>
  <c r="N1438" i="9"/>
  <c r="M1438" i="9"/>
  <c r="I1438" i="9"/>
  <c r="C1438" i="9"/>
  <c r="P1437" i="9"/>
  <c r="O1437" i="9"/>
  <c r="N1437" i="9"/>
  <c r="M1437" i="9"/>
  <c r="I1437" i="9"/>
  <c r="C1437" i="9"/>
  <c r="P1436" i="9"/>
  <c r="O1436" i="9"/>
  <c r="N1436" i="9"/>
  <c r="M1436" i="9"/>
  <c r="I1436" i="9"/>
  <c r="C1436" i="9"/>
  <c r="P1435" i="9"/>
  <c r="O1435" i="9"/>
  <c r="N1435" i="9"/>
  <c r="M1435" i="9"/>
  <c r="I1435" i="9"/>
  <c r="C1435" i="9"/>
  <c r="P1434" i="9"/>
  <c r="O1434" i="9"/>
  <c r="N1434" i="9"/>
  <c r="M1434" i="9"/>
  <c r="I1434" i="9"/>
  <c r="C1434" i="9"/>
  <c r="P1433" i="9"/>
  <c r="O1433" i="9"/>
  <c r="N1433" i="9"/>
  <c r="M1433" i="9"/>
  <c r="I1433" i="9"/>
  <c r="C1433" i="9"/>
  <c r="P1432" i="9"/>
  <c r="O1432" i="9"/>
  <c r="N1432" i="9"/>
  <c r="M1432" i="9"/>
  <c r="I1432" i="9"/>
  <c r="C1432" i="9"/>
  <c r="P1431" i="9"/>
  <c r="O1431" i="9"/>
  <c r="N1431" i="9"/>
  <c r="M1431" i="9"/>
  <c r="I1431" i="9"/>
  <c r="C1431" i="9"/>
  <c r="P1430" i="9"/>
  <c r="O1430" i="9"/>
  <c r="N1430" i="9"/>
  <c r="M1430" i="9"/>
  <c r="I1430" i="9"/>
  <c r="C1430" i="9"/>
  <c r="P1429" i="9"/>
  <c r="O1429" i="9"/>
  <c r="N1429" i="9"/>
  <c r="M1429" i="9"/>
  <c r="I1429" i="9"/>
  <c r="C1429" i="9"/>
  <c r="P1428" i="9"/>
  <c r="O1428" i="9"/>
  <c r="N1428" i="9"/>
  <c r="M1428" i="9"/>
  <c r="I1428" i="9"/>
  <c r="C1428" i="9"/>
  <c r="P1427" i="9"/>
  <c r="O1427" i="9"/>
  <c r="N1427" i="9"/>
  <c r="M1427" i="9"/>
  <c r="I1427" i="9"/>
  <c r="C1427" i="9"/>
  <c r="P1426" i="9"/>
  <c r="O1426" i="9"/>
  <c r="N1426" i="9"/>
  <c r="M1426" i="9"/>
  <c r="I1426" i="9"/>
  <c r="C1426" i="9"/>
  <c r="P1425" i="9"/>
  <c r="O1425" i="9"/>
  <c r="N1425" i="9"/>
  <c r="M1425" i="9"/>
  <c r="I1425" i="9"/>
  <c r="C1425" i="9"/>
  <c r="P1424" i="9"/>
  <c r="O1424" i="9"/>
  <c r="N1424" i="9"/>
  <c r="M1424" i="9"/>
  <c r="I1424" i="9"/>
  <c r="C1424" i="9"/>
  <c r="P1423" i="9"/>
  <c r="O1423" i="9"/>
  <c r="N1423" i="9"/>
  <c r="M1423" i="9"/>
  <c r="I1423" i="9"/>
  <c r="C1423" i="9"/>
  <c r="P1422" i="9"/>
  <c r="O1422" i="9"/>
  <c r="N1422" i="9"/>
  <c r="M1422" i="9"/>
  <c r="I1422" i="9"/>
  <c r="C1422" i="9"/>
  <c r="P1421" i="9"/>
  <c r="O1421" i="9"/>
  <c r="N1421" i="9"/>
  <c r="M1421" i="9"/>
  <c r="I1421" i="9"/>
  <c r="C1421" i="9"/>
  <c r="P1420" i="9"/>
  <c r="O1420" i="9"/>
  <c r="N1420" i="9"/>
  <c r="M1420" i="9"/>
  <c r="I1420" i="9"/>
  <c r="C1420" i="9"/>
  <c r="P1419" i="9"/>
  <c r="O1419" i="9"/>
  <c r="N1419" i="9"/>
  <c r="M1419" i="9"/>
  <c r="I1419" i="9"/>
  <c r="C1419" i="9"/>
  <c r="P1418" i="9"/>
  <c r="O1418" i="9"/>
  <c r="N1418" i="9"/>
  <c r="M1418" i="9"/>
  <c r="I1418" i="9"/>
  <c r="C1418" i="9"/>
  <c r="P1417" i="9"/>
  <c r="O1417" i="9"/>
  <c r="N1417" i="9"/>
  <c r="M1417" i="9"/>
  <c r="I1417" i="9"/>
  <c r="C1417" i="9"/>
  <c r="P1416" i="9"/>
  <c r="O1416" i="9"/>
  <c r="N1416" i="9"/>
  <c r="M1416" i="9"/>
  <c r="I1416" i="9"/>
  <c r="C1416" i="9"/>
  <c r="P1415" i="9"/>
  <c r="O1415" i="9"/>
  <c r="N1415" i="9"/>
  <c r="M1415" i="9"/>
  <c r="I1415" i="9"/>
  <c r="C1415" i="9"/>
  <c r="P1414" i="9"/>
  <c r="O1414" i="9"/>
  <c r="N1414" i="9"/>
  <c r="M1414" i="9"/>
  <c r="I1414" i="9"/>
  <c r="C1414" i="9"/>
  <c r="P1413" i="9"/>
  <c r="O1413" i="9"/>
  <c r="N1413" i="9"/>
  <c r="M1413" i="9"/>
  <c r="I1413" i="9"/>
  <c r="C1413" i="9"/>
  <c r="P1412" i="9"/>
  <c r="O1412" i="9"/>
  <c r="N1412" i="9"/>
  <c r="M1412" i="9"/>
  <c r="I1412" i="9"/>
  <c r="C1412" i="9"/>
  <c r="P1411" i="9"/>
  <c r="O1411" i="9"/>
  <c r="N1411" i="9"/>
  <c r="M1411" i="9"/>
  <c r="I1411" i="9"/>
  <c r="C1411" i="9"/>
  <c r="P1410" i="9"/>
  <c r="O1410" i="9"/>
  <c r="N1410" i="9"/>
  <c r="M1410" i="9"/>
  <c r="I1410" i="9"/>
  <c r="C1410" i="9"/>
  <c r="P1409" i="9"/>
  <c r="O1409" i="9"/>
  <c r="N1409" i="9"/>
  <c r="M1409" i="9"/>
  <c r="I1409" i="9"/>
  <c r="C1409" i="9"/>
  <c r="P1408" i="9"/>
  <c r="O1408" i="9"/>
  <c r="N1408" i="9"/>
  <c r="M1408" i="9"/>
  <c r="I1408" i="9"/>
  <c r="C1408" i="9"/>
  <c r="P1407" i="9"/>
  <c r="O1407" i="9"/>
  <c r="N1407" i="9"/>
  <c r="M1407" i="9"/>
  <c r="I1407" i="9"/>
  <c r="C1407" i="9"/>
  <c r="P1406" i="9"/>
  <c r="O1406" i="9"/>
  <c r="N1406" i="9"/>
  <c r="M1406" i="9"/>
  <c r="I1406" i="9"/>
  <c r="C1406" i="9"/>
  <c r="P1405" i="9"/>
  <c r="O1405" i="9"/>
  <c r="N1405" i="9"/>
  <c r="M1405" i="9"/>
  <c r="I1405" i="9"/>
  <c r="C1405" i="9"/>
  <c r="P1404" i="9"/>
  <c r="O1404" i="9"/>
  <c r="N1404" i="9"/>
  <c r="M1404" i="9"/>
  <c r="I1404" i="9"/>
  <c r="C1404" i="9"/>
  <c r="P1403" i="9"/>
  <c r="O1403" i="9"/>
  <c r="N1403" i="9"/>
  <c r="M1403" i="9"/>
  <c r="I1403" i="9"/>
  <c r="C1403" i="9"/>
  <c r="P1402" i="9"/>
  <c r="O1402" i="9"/>
  <c r="N1402" i="9"/>
  <c r="M1402" i="9"/>
  <c r="I1402" i="9"/>
  <c r="C1402" i="9"/>
  <c r="P1401" i="9"/>
  <c r="O1401" i="9"/>
  <c r="N1401" i="9"/>
  <c r="M1401" i="9"/>
  <c r="I1401" i="9"/>
  <c r="C1401" i="9"/>
  <c r="P1400" i="9"/>
  <c r="O1400" i="9"/>
  <c r="N1400" i="9"/>
  <c r="M1400" i="9"/>
  <c r="I1400" i="9"/>
  <c r="C1400" i="9"/>
  <c r="P1399" i="9"/>
  <c r="O1399" i="9"/>
  <c r="N1399" i="9"/>
  <c r="M1399" i="9"/>
  <c r="I1399" i="9"/>
  <c r="C1399" i="9"/>
  <c r="P1398" i="9"/>
  <c r="O1398" i="9"/>
  <c r="N1398" i="9"/>
  <c r="M1398" i="9"/>
  <c r="I1398" i="9"/>
  <c r="C1398" i="9"/>
  <c r="P1397" i="9"/>
  <c r="O1397" i="9"/>
  <c r="N1397" i="9"/>
  <c r="M1397" i="9"/>
  <c r="I1397" i="9"/>
  <c r="C1397" i="9"/>
  <c r="P1396" i="9"/>
  <c r="O1396" i="9"/>
  <c r="N1396" i="9"/>
  <c r="M1396" i="9"/>
  <c r="I1396" i="9"/>
  <c r="C1396" i="9"/>
  <c r="P1395" i="9"/>
  <c r="O1395" i="9"/>
  <c r="N1395" i="9"/>
  <c r="M1395" i="9"/>
  <c r="I1395" i="9"/>
  <c r="C1395" i="9"/>
  <c r="P1394" i="9"/>
  <c r="O1394" i="9"/>
  <c r="N1394" i="9"/>
  <c r="M1394" i="9"/>
  <c r="I1394" i="9"/>
  <c r="C1394" i="9"/>
  <c r="P1393" i="9"/>
  <c r="O1393" i="9"/>
  <c r="N1393" i="9"/>
  <c r="M1393" i="9"/>
  <c r="I1393" i="9"/>
  <c r="C1393" i="9"/>
  <c r="P1392" i="9"/>
  <c r="O1392" i="9"/>
  <c r="N1392" i="9"/>
  <c r="M1392" i="9"/>
  <c r="I1392" i="9"/>
  <c r="C1392" i="9"/>
  <c r="P1391" i="9"/>
  <c r="O1391" i="9"/>
  <c r="N1391" i="9"/>
  <c r="M1391" i="9"/>
  <c r="I1391" i="9"/>
  <c r="C1391" i="9"/>
  <c r="P1390" i="9"/>
  <c r="O1390" i="9"/>
  <c r="N1390" i="9"/>
  <c r="M1390" i="9"/>
  <c r="I1390" i="9"/>
  <c r="C1390" i="9"/>
  <c r="P1389" i="9"/>
  <c r="O1389" i="9"/>
  <c r="N1389" i="9"/>
  <c r="M1389" i="9"/>
  <c r="I1389" i="9"/>
  <c r="C1389" i="9"/>
  <c r="P1388" i="9"/>
  <c r="O1388" i="9"/>
  <c r="N1388" i="9"/>
  <c r="M1388" i="9"/>
  <c r="I1388" i="9"/>
  <c r="C1388" i="9"/>
  <c r="P1387" i="9"/>
  <c r="O1387" i="9"/>
  <c r="N1387" i="9"/>
  <c r="M1387" i="9"/>
  <c r="I1387" i="9"/>
  <c r="C1387" i="9"/>
  <c r="P1386" i="9"/>
  <c r="O1386" i="9"/>
  <c r="N1386" i="9"/>
  <c r="M1386" i="9"/>
  <c r="I1386" i="9"/>
  <c r="C1386" i="9"/>
  <c r="P1385" i="9"/>
  <c r="O1385" i="9"/>
  <c r="N1385" i="9"/>
  <c r="M1385" i="9"/>
  <c r="I1385" i="9"/>
  <c r="C1385" i="9"/>
  <c r="P1384" i="9"/>
  <c r="O1384" i="9"/>
  <c r="N1384" i="9"/>
  <c r="M1384" i="9"/>
  <c r="I1384" i="9"/>
  <c r="C1384" i="9"/>
  <c r="P1383" i="9"/>
  <c r="O1383" i="9"/>
  <c r="N1383" i="9"/>
  <c r="M1383" i="9"/>
  <c r="I1383" i="9"/>
  <c r="C1383" i="9"/>
  <c r="P1382" i="9"/>
  <c r="O1382" i="9"/>
  <c r="N1382" i="9"/>
  <c r="M1382" i="9"/>
  <c r="I1382" i="9"/>
  <c r="C1382" i="9"/>
  <c r="P1381" i="9"/>
  <c r="O1381" i="9"/>
  <c r="N1381" i="9"/>
  <c r="M1381" i="9"/>
  <c r="I1381" i="9"/>
  <c r="C1381" i="9"/>
  <c r="P1380" i="9"/>
  <c r="O1380" i="9"/>
  <c r="N1380" i="9"/>
  <c r="M1380" i="9"/>
  <c r="I1380" i="9"/>
  <c r="C1380" i="9"/>
  <c r="P1379" i="9"/>
  <c r="O1379" i="9"/>
  <c r="N1379" i="9"/>
  <c r="M1379" i="9"/>
  <c r="I1379" i="9"/>
  <c r="C1379" i="9"/>
  <c r="P1378" i="9"/>
  <c r="O1378" i="9"/>
  <c r="N1378" i="9"/>
  <c r="M1378" i="9"/>
  <c r="I1378" i="9"/>
  <c r="C1378" i="9"/>
  <c r="P1377" i="9"/>
  <c r="O1377" i="9"/>
  <c r="N1377" i="9"/>
  <c r="M1377" i="9"/>
  <c r="I1377" i="9"/>
  <c r="C1377" i="9"/>
  <c r="P1376" i="9"/>
  <c r="O1376" i="9"/>
  <c r="N1376" i="9"/>
  <c r="M1376" i="9"/>
  <c r="I1376" i="9"/>
  <c r="C1376" i="9"/>
  <c r="P1375" i="9"/>
  <c r="O1375" i="9"/>
  <c r="N1375" i="9"/>
  <c r="M1375" i="9"/>
  <c r="I1375" i="9"/>
  <c r="C1375" i="9"/>
  <c r="P1374" i="9"/>
  <c r="O1374" i="9"/>
  <c r="N1374" i="9"/>
  <c r="M1374" i="9"/>
  <c r="I1374" i="9"/>
  <c r="C1374" i="9"/>
  <c r="P1373" i="9"/>
  <c r="O1373" i="9"/>
  <c r="N1373" i="9"/>
  <c r="M1373" i="9"/>
  <c r="I1373" i="9"/>
  <c r="C1373" i="9"/>
  <c r="P1372" i="9"/>
  <c r="O1372" i="9"/>
  <c r="N1372" i="9"/>
  <c r="M1372" i="9"/>
  <c r="I1372" i="9"/>
  <c r="C1372" i="9"/>
  <c r="P1371" i="9"/>
  <c r="O1371" i="9"/>
  <c r="N1371" i="9"/>
  <c r="M1371" i="9"/>
  <c r="I1371" i="9"/>
  <c r="C1371" i="9"/>
  <c r="P1370" i="9"/>
  <c r="O1370" i="9"/>
  <c r="N1370" i="9"/>
  <c r="M1370" i="9"/>
  <c r="I1370" i="9"/>
  <c r="C1370" i="9"/>
  <c r="P1369" i="9"/>
  <c r="O1369" i="9"/>
  <c r="N1369" i="9"/>
  <c r="M1369" i="9"/>
  <c r="I1369" i="9"/>
  <c r="C1369" i="9"/>
  <c r="P1368" i="9"/>
  <c r="O1368" i="9"/>
  <c r="N1368" i="9"/>
  <c r="M1368" i="9"/>
  <c r="I1368" i="9"/>
  <c r="C1368" i="9"/>
  <c r="P1367" i="9"/>
  <c r="O1367" i="9"/>
  <c r="N1367" i="9"/>
  <c r="M1367" i="9"/>
  <c r="I1367" i="9"/>
  <c r="C1367" i="9"/>
  <c r="P1366" i="9"/>
  <c r="O1366" i="9"/>
  <c r="N1366" i="9"/>
  <c r="M1366" i="9"/>
  <c r="I1366" i="9"/>
  <c r="C1366" i="9"/>
  <c r="P1365" i="9"/>
  <c r="O1365" i="9"/>
  <c r="N1365" i="9"/>
  <c r="M1365" i="9"/>
  <c r="I1365" i="9"/>
  <c r="C1365" i="9"/>
  <c r="P1364" i="9"/>
  <c r="O1364" i="9"/>
  <c r="N1364" i="9"/>
  <c r="M1364" i="9"/>
  <c r="I1364" i="9"/>
  <c r="C1364" i="9"/>
  <c r="P1363" i="9"/>
  <c r="O1363" i="9"/>
  <c r="N1363" i="9"/>
  <c r="M1363" i="9"/>
  <c r="I1363" i="9"/>
  <c r="C1363" i="9"/>
  <c r="P1362" i="9"/>
  <c r="O1362" i="9"/>
  <c r="N1362" i="9"/>
  <c r="M1362" i="9"/>
  <c r="I1362" i="9"/>
  <c r="C1362" i="9"/>
  <c r="P1361" i="9"/>
  <c r="O1361" i="9"/>
  <c r="N1361" i="9"/>
  <c r="M1361" i="9"/>
  <c r="I1361" i="9"/>
  <c r="C1361" i="9"/>
  <c r="P1360" i="9"/>
  <c r="O1360" i="9"/>
  <c r="N1360" i="9"/>
  <c r="M1360" i="9"/>
  <c r="I1360" i="9"/>
  <c r="C1360" i="9"/>
  <c r="P1359" i="9"/>
  <c r="O1359" i="9"/>
  <c r="N1359" i="9"/>
  <c r="M1359" i="9"/>
  <c r="I1359" i="9"/>
  <c r="C1359" i="9"/>
  <c r="P1358" i="9"/>
  <c r="O1358" i="9"/>
  <c r="N1358" i="9"/>
  <c r="M1358" i="9"/>
  <c r="I1358" i="9"/>
  <c r="C1358" i="9"/>
  <c r="P1357" i="9"/>
  <c r="O1357" i="9"/>
  <c r="N1357" i="9"/>
  <c r="M1357" i="9"/>
  <c r="I1357" i="9"/>
  <c r="C1357" i="9"/>
  <c r="P1356" i="9"/>
  <c r="O1356" i="9"/>
  <c r="N1356" i="9"/>
  <c r="M1356" i="9"/>
  <c r="I1356" i="9"/>
  <c r="C1356" i="9"/>
  <c r="P1355" i="9"/>
  <c r="O1355" i="9"/>
  <c r="N1355" i="9"/>
  <c r="M1355" i="9"/>
  <c r="I1355" i="9"/>
  <c r="C1355" i="9"/>
  <c r="P1354" i="9"/>
  <c r="O1354" i="9"/>
  <c r="N1354" i="9"/>
  <c r="M1354" i="9"/>
  <c r="I1354" i="9"/>
  <c r="C1354" i="9"/>
  <c r="P1353" i="9"/>
  <c r="O1353" i="9"/>
  <c r="N1353" i="9"/>
  <c r="M1353" i="9"/>
  <c r="I1353" i="9"/>
  <c r="C1353" i="9"/>
  <c r="P1352" i="9"/>
  <c r="O1352" i="9"/>
  <c r="N1352" i="9"/>
  <c r="M1352" i="9"/>
  <c r="I1352" i="9"/>
  <c r="C1352" i="9"/>
  <c r="P1351" i="9"/>
  <c r="O1351" i="9"/>
  <c r="N1351" i="9"/>
  <c r="M1351" i="9"/>
  <c r="I1351" i="9"/>
  <c r="C1351" i="9"/>
  <c r="P1350" i="9"/>
  <c r="O1350" i="9"/>
  <c r="N1350" i="9"/>
  <c r="M1350" i="9"/>
  <c r="I1350" i="9"/>
  <c r="C1350" i="9"/>
  <c r="P1349" i="9"/>
  <c r="O1349" i="9"/>
  <c r="N1349" i="9"/>
  <c r="M1349" i="9"/>
  <c r="I1349" i="9"/>
  <c r="C1349" i="9"/>
  <c r="P1348" i="9"/>
  <c r="O1348" i="9"/>
  <c r="N1348" i="9"/>
  <c r="M1348" i="9"/>
  <c r="I1348" i="9"/>
  <c r="C1348" i="9"/>
  <c r="P1347" i="9"/>
  <c r="O1347" i="9"/>
  <c r="N1347" i="9"/>
  <c r="M1347" i="9"/>
  <c r="I1347" i="9"/>
  <c r="C1347" i="9"/>
  <c r="P1346" i="9"/>
  <c r="O1346" i="9"/>
  <c r="N1346" i="9"/>
  <c r="M1346" i="9"/>
  <c r="I1346" i="9"/>
  <c r="C1346" i="9"/>
  <c r="P1345" i="9"/>
  <c r="O1345" i="9"/>
  <c r="N1345" i="9"/>
  <c r="M1345" i="9"/>
  <c r="I1345" i="9"/>
  <c r="C1345" i="9"/>
  <c r="P1344" i="9"/>
  <c r="O1344" i="9"/>
  <c r="N1344" i="9"/>
  <c r="M1344" i="9"/>
  <c r="I1344" i="9"/>
  <c r="C1344" i="9"/>
  <c r="P1343" i="9"/>
  <c r="O1343" i="9"/>
  <c r="N1343" i="9"/>
  <c r="M1343" i="9"/>
  <c r="I1343" i="9"/>
  <c r="C1343" i="9"/>
  <c r="P1342" i="9"/>
  <c r="O1342" i="9"/>
  <c r="N1342" i="9"/>
  <c r="M1342" i="9"/>
  <c r="I1342" i="9"/>
  <c r="C1342" i="9"/>
  <c r="P1341" i="9"/>
  <c r="O1341" i="9"/>
  <c r="N1341" i="9"/>
  <c r="M1341" i="9"/>
  <c r="I1341" i="9"/>
  <c r="C1341" i="9"/>
  <c r="P1340" i="9"/>
  <c r="O1340" i="9"/>
  <c r="N1340" i="9"/>
  <c r="M1340" i="9"/>
  <c r="I1340" i="9"/>
  <c r="C1340" i="9"/>
  <c r="P1339" i="9"/>
  <c r="O1339" i="9"/>
  <c r="N1339" i="9"/>
  <c r="M1339" i="9"/>
  <c r="I1339" i="9"/>
  <c r="C1339" i="9"/>
  <c r="P1338" i="9"/>
  <c r="O1338" i="9"/>
  <c r="N1338" i="9"/>
  <c r="M1338" i="9"/>
  <c r="I1338" i="9"/>
  <c r="C1338" i="9"/>
  <c r="P1337" i="9"/>
  <c r="O1337" i="9"/>
  <c r="N1337" i="9"/>
  <c r="M1337" i="9"/>
  <c r="I1337" i="9"/>
  <c r="C1337" i="9"/>
  <c r="P1336" i="9"/>
  <c r="O1336" i="9"/>
  <c r="N1336" i="9"/>
  <c r="M1336" i="9"/>
  <c r="I1336" i="9"/>
  <c r="C1336" i="9"/>
  <c r="P1335" i="9"/>
  <c r="O1335" i="9"/>
  <c r="N1335" i="9"/>
  <c r="M1335" i="9"/>
  <c r="I1335" i="9"/>
  <c r="C1335" i="9"/>
  <c r="P1334" i="9"/>
  <c r="O1334" i="9"/>
  <c r="N1334" i="9"/>
  <c r="M1334" i="9"/>
  <c r="I1334" i="9"/>
  <c r="C1334" i="9"/>
  <c r="P1333" i="9"/>
  <c r="O1333" i="9"/>
  <c r="N1333" i="9"/>
  <c r="M1333" i="9"/>
  <c r="I1333" i="9"/>
  <c r="C1333" i="9"/>
  <c r="P1332" i="9"/>
  <c r="O1332" i="9"/>
  <c r="N1332" i="9"/>
  <c r="M1332" i="9"/>
  <c r="I1332" i="9"/>
  <c r="C1332" i="9"/>
  <c r="P1331" i="9"/>
  <c r="O1331" i="9"/>
  <c r="N1331" i="9"/>
  <c r="M1331" i="9"/>
  <c r="I1331" i="9"/>
  <c r="C1331" i="9"/>
  <c r="P1330" i="9"/>
  <c r="O1330" i="9"/>
  <c r="N1330" i="9"/>
  <c r="M1330" i="9"/>
  <c r="I1330" i="9"/>
  <c r="C1330" i="9"/>
  <c r="P1329" i="9"/>
  <c r="O1329" i="9"/>
  <c r="N1329" i="9"/>
  <c r="M1329" i="9"/>
  <c r="I1329" i="9"/>
  <c r="C1329" i="9"/>
  <c r="P1328" i="9"/>
  <c r="O1328" i="9"/>
  <c r="N1328" i="9"/>
  <c r="M1328" i="9"/>
  <c r="I1328" i="9"/>
  <c r="C1328" i="9"/>
  <c r="P1327" i="9"/>
  <c r="O1327" i="9"/>
  <c r="N1327" i="9"/>
  <c r="M1327" i="9"/>
  <c r="I1327" i="9"/>
  <c r="C1327" i="9"/>
  <c r="P1326" i="9"/>
  <c r="O1326" i="9"/>
  <c r="N1326" i="9"/>
  <c r="M1326" i="9"/>
  <c r="I1326" i="9"/>
  <c r="C1326" i="9"/>
  <c r="P1325" i="9"/>
  <c r="O1325" i="9"/>
  <c r="N1325" i="9"/>
  <c r="M1325" i="9"/>
  <c r="I1325" i="9"/>
  <c r="C1325" i="9"/>
  <c r="P1324" i="9"/>
  <c r="O1324" i="9"/>
  <c r="N1324" i="9"/>
  <c r="M1324" i="9"/>
  <c r="I1324" i="9"/>
  <c r="C1324" i="9"/>
  <c r="P1323" i="9"/>
  <c r="O1323" i="9"/>
  <c r="N1323" i="9"/>
  <c r="M1323" i="9"/>
  <c r="I1323" i="9"/>
  <c r="C1323" i="9"/>
  <c r="P1322" i="9"/>
  <c r="O1322" i="9"/>
  <c r="N1322" i="9"/>
  <c r="M1322" i="9"/>
  <c r="I1322" i="9"/>
  <c r="C1322" i="9"/>
  <c r="P1321" i="9"/>
  <c r="O1321" i="9"/>
  <c r="N1321" i="9"/>
  <c r="M1321" i="9"/>
  <c r="I1321" i="9"/>
  <c r="C1321" i="9"/>
  <c r="P1320" i="9"/>
  <c r="O1320" i="9"/>
  <c r="N1320" i="9"/>
  <c r="M1320" i="9"/>
  <c r="I1320" i="9"/>
  <c r="C1320" i="9"/>
  <c r="P1319" i="9"/>
  <c r="O1319" i="9"/>
  <c r="N1319" i="9"/>
  <c r="M1319" i="9"/>
  <c r="I1319" i="9"/>
  <c r="C1319" i="9"/>
  <c r="P1318" i="9"/>
  <c r="O1318" i="9"/>
  <c r="N1318" i="9"/>
  <c r="M1318" i="9"/>
  <c r="I1318" i="9"/>
  <c r="C1318" i="9"/>
  <c r="P1317" i="9"/>
  <c r="O1317" i="9"/>
  <c r="N1317" i="9"/>
  <c r="M1317" i="9"/>
  <c r="I1317" i="9"/>
  <c r="C1317" i="9"/>
  <c r="P1316" i="9"/>
  <c r="O1316" i="9"/>
  <c r="N1316" i="9"/>
  <c r="M1316" i="9"/>
  <c r="I1316" i="9"/>
  <c r="C1316" i="9"/>
  <c r="P1315" i="9"/>
  <c r="O1315" i="9"/>
  <c r="N1315" i="9"/>
  <c r="M1315" i="9"/>
  <c r="I1315" i="9"/>
  <c r="C1315" i="9"/>
  <c r="P1314" i="9"/>
  <c r="O1314" i="9"/>
  <c r="N1314" i="9"/>
  <c r="M1314" i="9"/>
  <c r="I1314" i="9"/>
  <c r="C1314" i="9"/>
  <c r="P1313" i="9"/>
  <c r="O1313" i="9"/>
  <c r="N1313" i="9"/>
  <c r="M1313" i="9"/>
  <c r="I1313" i="9"/>
  <c r="C1313" i="9"/>
  <c r="P1312" i="9"/>
  <c r="O1312" i="9"/>
  <c r="N1312" i="9"/>
  <c r="M1312" i="9"/>
  <c r="I1312" i="9"/>
  <c r="C1312" i="9"/>
  <c r="P1311" i="9"/>
  <c r="O1311" i="9"/>
  <c r="N1311" i="9"/>
  <c r="M1311" i="9"/>
  <c r="I1311" i="9"/>
  <c r="C1311" i="9"/>
  <c r="P1310" i="9"/>
  <c r="O1310" i="9"/>
  <c r="N1310" i="9"/>
  <c r="M1310" i="9"/>
  <c r="I1310" i="9"/>
  <c r="C1310" i="9"/>
  <c r="P1309" i="9"/>
  <c r="O1309" i="9"/>
  <c r="N1309" i="9"/>
  <c r="M1309" i="9"/>
  <c r="I1309" i="9"/>
  <c r="C1309" i="9"/>
  <c r="P1308" i="9"/>
  <c r="O1308" i="9"/>
  <c r="N1308" i="9"/>
  <c r="M1308" i="9"/>
  <c r="I1308" i="9"/>
  <c r="C1308" i="9"/>
  <c r="P1307" i="9"/>
  <c r="O1307" i="9"/>
  <c r="N1307" i="9"/>
  <c r="M1307" i="9"/>
  <c r="I1307" i="9"/>
  <c r="C1307" i="9"/>
  <c r="P1306" i="9"/>
  <c r="O1306" i="9"/>
  <c r="N1306" i="9"/>
  <c r="M1306" i="9"/>
  <c r="I1306" i="9"/>
  <c r="C1306" i="9"/>
  <c r="P1305" i="9"/>
  <c r="O1305" i="9"/>
  <c r="N1305" i="9"/>
  <c r="M1305" i="9"/>
  <c r="I1305" i="9"/>
  <c r="C1305" i="9"/>
  <c r="P1304" i="9"/>
  <c r="O1304" i="9"/>
  <c r="N1304" i="9"/>
  <c r="M1304" i="9"/>
  <c r="I1304" i="9"/>
  <c r="C1304" i="9"/>
  <c r="P1303" i="9"/>
  <c r="O1303" i="9"/>
  <c r="N1303" i="9"/>
  <c r="M1303" i="9"/>
  <c r="I1303" i="9"/>
  <c r="C1303" i="9"/>
  <c r="P1302" i="9"/>
  <c r="O1302" i="9"/>
  <c r="N1302" i="9"/>
  <c r="M1302" i="9"/>
  <c r="I1302" i="9"/>
  <c r="C1302" i="9"/>
  <c r="P1301" i="9"/>
  <c r="O1301" i="9"/>
  <c r="N1301" i="9"/>
  <c r="M1301" i="9"/>
  <c r="I1301" i="9"/>
  <c r="C1301" i="9"/>
  <c r="P1300" i="9"/>
  <c r="O1300" i="9"/>
  <c r="N1300" i="9"/>
  <c r="M1300" i="9"/>
  <c r="I1300" i="9"/>
  <c r="C1300" i="9"/>
  <c r="P1299" i="9"/>
  <c r="O1299" i="9"/>
  <c r="N1299" i="9"/>
  <c r="M1299" i="9"/>
  <c r="I1299" i="9"/>
  <c r="C1299" i="9"/>
  <c r="P1298" i="9"/>
  <c r="O1298" i="9"/>
  <c r="N1298" i="9"/>
  <c r="M1298" i="9"/>
  <c r="I1298" i="9"/>
  <c r="C1298" i="9"/>
  <c r="P1297" i="9"/>
  <c r="O1297" i="9"/>
  <c r="N1297" i="9"/>
  <c r="M1297" i="9"/>
  <c r="I1297" i="9"/>
  <c r="C1297" i="9"/>
  <c r="P1296" i="9"/>
  <c r="O1296" i="9"/>
  <c r="N1296" i="9"/>
  <c r="M1296" i="9"/>
  <c r="I1296" i="9"/>
  <c r="C1296" i="9"/>
  <c r="P1295" i="9"/>
  <c r="O1295" i="9"/>
  <c r="N1295" i="9"/>
  <c r="M1295" i="9"/>
  <c r="I1295" i="9"/>
  <c r="C1295" i="9"/>
  <c r="P1294" i="9"/>
  <c r="O1294" i="9"/>
  <c r="N1294" i="9"/>
  <c r="M1294" i="9"/>
  <c r="I1294" i="9"/>
  <c r="C1294" i="9"/>
  <c r="P1293" i="9"/>
  <c r="O1293" i="9"/>
  <c r="N1293" i="9"/>
  <c r="M1293" i="9"/>
  <c r="I1293" i="9"/>
  <c r="C1293" i="9"/>
  <c r="P1292" i="9"/>
  <c r="O1292" i="9"/>
  <c r="N1292" i="9"/>
  <c r="M1292" i="9"/>
  <c r="I1292" i="9"/>
  <c r="C1292" i="9"/>
  <c r="P1291" i="9"/>
  <c r="O1291" i="9"/>
  <c r="N1291" i="9"/>
  <c r="M1291" i="9"/>
  <c r="I1291" i="9"/>
  <c r="C1291" i="9"/>
  <c r="P1290" i="9"/>
  <c r="O1290" i="9"/>
  <c r="N1290" i="9"/>
  <c r="M1290" i="9"/>
  <c r="I1290" i="9"/>
  <c r="C1290" i="9"/>
  <c r="P1289" i="9"/>
  <c r="O1289" i="9"/>
  <c r="N1289" i="9"/>
  <c r="M1289" i="9"/>
  <c r="I1289" i="9"/>
  <c r="C1289" i="9"/>
  <c r="P1288" i="9"/>
  <c r="O1288" i="9"/>
  <c r="N1288" i="9"/>
  <c r="M1288" i="9"/>
  <c r="I1288" i="9"/>
  <c r="C1288" i="9"/>
  <c r="P1287" i="9"/>
  <c r="O1287" i="9"/>
  <c r="N1287" i="9"/>
  <c r="M1287" i="9"/>
  <c r="I1287" i="9"/>
  <c r="C1287" i="9"/>
  <c r="P1286" i="9"/>
  <c r="O1286" i="9"/>
  <c r="N1286" i="9"/>
  <c r="M1286" i="9"/>
  <c r="I1286" i="9"/>
  <c r="C1286" i="9"/>
  <c r="P1285" i="9"/>
  <c r="O1285" i="9"/>
  <c r="N1285" i="9"/>
  <c r="M1285" i="9"/>
  <c r="I1285" i="9"/>
  <c r="C1285" i="9"/>
  <c r="P1284" i="9"/>
  <c r="O1284" i="9"/>
  <c r="N1284" i="9"/>
  <c r="M1284" i="9"/>
  <c r="I1284" i="9"/>
  <c r="C1284" i="9"/>
  <c r="P1283" i="9"/>
  <c r="O1283" i="9"/>
  <c r="N1283" i="9"/>
  <c r="M1283" i="9"/>
  <c r="I1283" i="9"/>
  <c r="C1283" i="9"/>
  <c r="P1282" i="9"/>
  <c r="O1282" i="9"/>
  <c r="N1282" i="9"/>
  <c r="M1282" i="9"/>
  <c r="I1282" i="9"/>
  <c r="C1282" i="9"/>
  <c r="P1281" i="9"/>
  <c r="O1281" i="9"/>
  <c r="N1281" i="9"/>
  <c r="M1281" i="9"/>
  <c r="I1281" i="9"/>
  <c r="C1281" i="9"/>
  <c r="P1280" i="9"/>
  <c r="O1280" i="9"/>
  <c r="N1280" i="9"/>
  <c r="M1280" i="9"/>
  <c r="I1280" i="9"/>
  <c r="C1280" i="9"/>
  <c r="P1279" i="9"/>
  <c r="O1279" i="9"/>
  <c r="N1279" i="9"/>
  <c r="M1279" i="9"/>
  <c r="I1279" i="9"/>
  <c r="C1279" i="9"/>
  <c r="P1278" i="9"/>
  <c r="O1278" i="9"/>
  <c r="N1278" i="9"/>
  <c r="M1278" i="9"/>
  <c r="I1278" i="9"/>
  <c r="C1278" i="9"/>
  <c r="P1277" i="9"/>
  <c r="O1277" i="9"/>
  <c r="N1277" i="9"/>
  <c r="M1277" i="9"/>
  <c r="I1277" i="9"/>
  <c r="C1277" i="9"/>
  <c r="P1276" i="9"/>
  <c r="O1276" i="9"/>
  <c r="N1276" i="9"/>
  <c r="M1276" i="9"/>
  <c r="I1276" i="9"/>
  <c r="C1276" i="9"/>
  <c r="P1275" i="9"/>
  <c r="O1275" i="9"/>
  <c r="N1275" i="9"/>
  <c r="M1275" i="9"/>
  <c r="I1275" i="9"/>
  <c r="C1275" i="9"/>
  <c r="P1274" i="9"/>
  <c r="O1274" i="9"/>
  <c r="N1274" i="9"/>
  <c r="M1274" i="9"/>
  <c r="I1274" i="9"/>
  <c r="C1274" i="9"/>
  <c r="P1273" i="9"/>
  <c r="O1273" i="9"/>
  <c r="N1273" i="9"/>
  <c r="M1273" i="9"/>
  <c r="I1273" i="9"/>
  <c r="C1273" i="9"/>
  <c r="P1272" i="9"/>
  <c r="O1272" i="9"/>
  <c r="N1272" i="9"/>
  <c r="M1272" i="9"/>
  <c r="I1272" i="9"/>
  <c r="C1272" i="9"/>
  <c r="P1271" i="9"/>
  <c r="O1271" i="9"/>
  <c r="N1271" i="9"/>
  <c r="M1271" i="9"/>
  <c r="I1271" i="9"/>
  <c r="C1271" i="9"/>
  <c r="P1270" i="9"/>
  <c r="O1270" i="9"/>
  <c r="N1270" i="9"/>
  <c r="M1270" i="9"/>
  <c r="I1270" i="9"/>
  <c r="C1270" i="9"/>
  <c r="P1269" i="9"/>
  <c r="O1269" i="9"/>
  <c r="N1269" i="9"/>
  <c r="M1269" i="9"/>
  <c r="I1269" i="9"/>
  <c r="C1269" i="9"/>
  <c r="P1268" i="9"/>
  <c r="O1268" i="9"/>
  <c r="N1268" i="9"/>
  <c r="M1268" i="9"/>
  <c r="I1268" i="9"/>
  <c r="C1268" i="9"/>
  <c r="P1267" i="9"/>
  <c r="O1267" i="9"/>
  <c r="N1267" i="9"/>
  <c r="M1267" i="9"/>
  <c r="I1267" i="9"/>
  <c r="C1267" i="9"/>
  <c r="P1266" i="9"/>
  <c r="O1266" i="9"/>
  <c r="N1266" i="9"/>
  <c r="M1266" i="9"/>
  <c r="I1266" i="9"/>
  <c r="C1266" i="9"/>
  <c r="P1265" i="9"/>
  <c r="O1265" i="9"/>
  <c r="N1265" i="9"/>
  <c r="M1265" i="9"/>
  <c r="I1265" i="9"/>
  <c r="C1265" i="9"/>
  <c r="P1264" i="9"/>
  <c r="O1264" i="9"/>
  <c r="N1264" i="9"/>
  <c r="M1264" i="9"/>
  <c r="I1264" i="9"/>
  <c r="C1264" i="9"/>
  <c r="P1263" i="9"/>
  <c r="O1263" i="9"/>
  <c r="N1263" i="9"/>
  <c r="M1263" i="9"/>
  <c r="I1263" i="9"/>
  <c r="C1263" i="9"/>
  <c r="P1262" i="9"/>
  <c r="O1262" i="9"/>
  <c r="N1262" i="9"/>
  <c r="M1262" i="9"/>
  <c r="I1262" i="9"/>
  <c r="C1262" i="9"/>
  <c r="P1261" i="9"/>
  <c r="O1261" i="9"/>
  <c r="N1261" i="9"/>
  <c r="M1261" i="9"/>
  <c r="I1261" i="9"/>
  <c r="C1261" i="9"/>
  <c r="P1260" i="9"/>
  <c r="O1260" i="9"/>
  <c r="N1260" i="9"/>
  <c r="M1260" i="9"/>
  <c r="I1260" i="9"/>
  <c r="C1260" i="9"/>
  <c r="P1259" i="9"/>
  <c r="O1259" i="9"/>
  <c r="N1259" i="9"/>
  <c r="M1259" i="9"/>
  <c r="I1259" i="9"/>
  <c r="C1259" i="9"/>
  <c r="P1258" i="9"/>
  <c r="O1258" i="9"/>
  <c r="N1258" i="9"/>
  <c r="M1258" i="9"/>
  <c r="I1258" i="9"/>
  <c r="C1258" i="9"/>
  <c r="P1257" i="9"/>
  <c r="O1257" i="9"/>
  <c r="N1257" i="9"/>
  <c r="M1257" i="9"/>
  <c r="I1257" i="9"/>
  <c r="C1257" i="9"/>
  <c r="P1256" i="9"/>
  <c r="O1256" i="9"/>
  <c r="N1256" i="9"/>
  <c r="M1256" i="9"/>
  <c r="I1256" i="9"/>
  <c r="C1256" i="9"/>
  <c r="P1255" i="9"/>
  <c r="O1255" i="9"/>
  <c r="N1255" i="9"/>
  <c r="M1255" i="9"/>
  <c r="I1255" i="9"/>
  <c r="C1255" i="9"/>
  <c r="P1254" i="9"/>
  <c r="O1254" i="9"/>
  <c r="N1254" i="9"/>
  <c r="M1254" i="9"/>
  <c r="I1254" i="9"/>
  <c r="C1254" i="9"/>
  <c r="P1253" i="9"/>
  <c r="O1253" i="9"/>
  <c r="N1253" i="9"/>
  <c r="M1253" i="9"/>
  <c r="I1253" i="9"/>
  <c r="C1253" i="9"/>
  <c r="P1252" i="9"/>
  <c r="O1252" i="9"/>
  <c r="N1252" i="9"/>
  <c r="M1252" i="9"/>
  <c r="I1252" i="9"/>
  <c r="C1252" i="9"/>
  <c r="P1251" i="9"/>
  <c r="O1251" i="9"/>
  <c r="N1251" i="9"/>
  <c r="M1251" i="9"/>
  <c r="I1251" i="9"/>
  <c r="C1251" i="9"/>
  <c r="P1250" i="9"/>
  <c r="O1250" i="9"/>
  <c r="N1250" i="9"/>
  <c r="M1250" i="9"/>
  <c r="I1250" i="9"/>
  <c r="C1250" i="9"/>
  <c r="P1249" i="9"/>
  <c r="O1249" i="9"/>
  <c r="N1249" i="9"/>
  <c r="M1249" i="9"/>
  <c r="I1249" i="9"/>
  <c r="C1249" i="9"/>
  <c r="P1248" i="9"/>
  <c r="O1248" i="9"/>
  <c r="N1248" i="9"/>
  <c r="M1248" i="9"/>
  <c r="I1248" i="9"/>
  <c r="C1248" i="9"/>
  <c r="P1247" i="9"/>
  <c r="O1247" i="9"/>
  <c r="N1247" i="9"/>
  <c r="M1247" i="9"/>
  <c r="I1247" i="9"/>
  <c r="C1247" i="9"/>
  <c r="P1246" i="9"/>
  <c r="O1246" i="9"/>
  <c r="N1246" i="9"/>
  <c r="M1246" i="9"/>
  <c r="I1246" i="9"/>
  <c r="C1246" i="9"/>
  <c r="P1245" i="9"/>
  <c r="O1245" i="9"/>
  <c r="N1245" i="9"/>
  <c r="M1245" i="9"/>
  <c r="I1245" i="9"/>
  <c r="C1245" i="9"/>
  <c r="P1244" i="9"/>
  <c r="O1244" i="9"/>
  <c r="N1244" i="9"/>
  <c r="M1244" i="9"/>
  <c r="I1244" i="9"/>
  <c r="C1244" i="9"/>
  <c r="P1243" i="9"/>
  <c r="O1243" i="9"/>
  <c r="N1243" i="9"/>
  <c r="M1243" i="9"/>
  <c r="I1243" i="9"/>
  <c r="C1243" i="9"/>
  <c r="P1242" i="9"/>
  <c r="O1242" i="9"/>
  <c r="N1242" i="9"/>
  <c r="M1242" i="9"/>
  <c r="I1242" i="9"/>
  <c r="C1242" i="9"/>
  <c r="P1241" i="9"/>
  <c r="O1241" i="9"/>
  <c r="N1241" i="9"/>
  <c r="M1241" i="9"/>
  <c r="I1241" i="9"/>
  <c r="C1241" i="9"/>
  <c r="P1240" i="9"/>
  <c r="O1240" i="9"/>
  <c r="N1240" i="9"/>
  <c r="M1240" i="9"/>
  <c r="I1240" i="9"/>
  <c r="C1240" i="9"/>
  <c r="P1239" i="9"/>
  <c r="O1239" i="9"/>
  <c r="N1239" i="9"/>
  <c r="M1239" i="9"/>
  <c r="I1239" i="9"/>
  <c r="C1239" i="9"/>
  <c r="P1238" i="9"/>
  <c r="O1238" i="9"/>
  <c r="N1238" i="9"/>
  <c r="M1238" i="9"/>
  <c r="I1238" i="9"/>
  <c r="C1238" i="9"/>
  <c r="P1237" i="9"/>
  <c r="O1237" i="9"/>
  <c r="N1237" i="9"/>
  <c r="M1237" i="9"/>
  <c r="I1237" i="9"/>
  <c r="C1237" i="9"/>
  <c r="P1236" i="9"/>
  <c r="O1236" i="9"/>
  <c r="N1236" i="9"/>
  <c r="M1236" i="9"/>
  <c r="I1236" i="9"/>
  <c r="C1236" i="9"/>
  <c r="P1235" i="9"/>
  <c r="O1235" i="9"/>
  <c r="N1235" i="9"/>
  <c r="M1235" i="9"/>
  <c r="I1235" i="9"/>
  <c r="C1235" i="9"/>
  <c r="P1234" i="9"/>
  <c r="O1234" i="9"/>
  <c r="N1234" i="9"/>
  <c r="M1234" i="9"/>
  <c r="I1234" i="9"/>
  <c r="C1234" i="9"/>
  <c r="P1233" i="9"/>
  <c r="O1233" i="9"/>
  <c r="N1233" i="9"/>
  <c r="M1233" i="9"/>
  <c r="I1233" i="9"/>
  <c r="C1233" i="9"/>
  <c r="P1232" i="9"/>
  <c r="O1232" i="9"/>
  <c r="N1232" i="9"/>
  <c r="M1232" i="9"/>
  <c r="I1232" i="9"/>
  <c r="C1232" i="9"/>
  <c r="P1231" i="9"/>
  <c r="O1231" i="9"/>
  <c r="N1231" i="9"/>
  <c r="M1231" i="9"/>
  <c r="I1231" i="9"/>
  <c r="C1231" i="9"/>
  <c r="P1230" i="9"/>
  <c r="O1230" i="9"/>
  <c r="N1230" i="9"/>
  <c r="M1230" i="9"/>
  <c r="I1230" i="9"/>
  <c r="C1230" i="9"/>
  <c r="P1229" i="9"/>
  <c r="O1229" i="9"/>
  <c r="N1229" i="9"/>
  <c r="M1229" i="9"/>
  <c r="I1229" i="9"/>
  <c r="C1229" i="9"/>
  <c r="P1228" i="9"/>
  <c r="O1228" i="9"/>
  <c r="N1228" i="9"/>
  <c r="M1228" i="9"/>
  <c r="I1228" i="9"/>
  <c r="C1228" i="9"/>
  <c r="P1227" i="9"/>
  <c r="O1227" i="9"/>
  <c r="N1227" i="9"/>
  <c r="M1227" i="9"/>
  <c r="I1227" i="9"/>
  <c r="C1227" i="9"/>
  <c r="P1226" i="9"/>
  <c r="O1226" i="9"/>
  <c r="N1226" i="9"/>
  <c r="M1226" i="9"/>
  <c r="I1226" i="9"/>
  <c r="C1226" i="9"/>
  <c r="P1225" i="9"/>
  <c r="O1225" i="9"/>
  <c r="N1225" i="9"/>
  <c r="M1225" i="9"/>
  <c r="I1225" i="9"/>
  <c r="C1225" i="9"/>
  <c r="P1224" i="9"/>
  <c r="O1224" i="9"/>
  <c r="N1224" i="9"/>
  <c r="M1224" i="9"/>
  <c r="I1224" i="9"/>
  <c r="C1224" i="9"/>
  <c r="P1223" i="9"/>
  <c r="O1223" i="9"/>
  <c r="N1223" i="9"/>
  <c r="M1223" i="9"/>
  <c r="I1223" i="9"/>
  <c r="C1223" i="9"/>
  <c r="P1222" i="9"/>
  <c r="O1222" i="9"/>
  <c r="N1222" i="9"/>
  <c r="M1222" i="9"/>
  <c r="I1222" i="9"/>
  <c r="C1222" i="9"/>
  <c r="P1221" i="9"/>
  <c r="O1221" i="9"/>
  <c r="N1221" i="9"/>
  <c r="M1221" i="9"/>
  <c r="I1221" i="9"/>
  <c r="C1221" i="9"/>
  <c r="P1220" i="9"/>
  <c r="O1220" i="9"/>
  <c r="N1220" i="9"/>
  <c r="M1220" i="9"/>
  <c r="I1220" i="9"/>
  <c r="C1220" i="9"/>
  <c r="P1219" i="9"/>
  <c r="O1219" i="9"/>
  <c r="N1219" i="9"/>
  <c r="M1219" i="9"/>
  <c r="I1219" i="9"/>
  <c r="C1219" i="9"/>
  <c r="P1218" i="9"/>
  <c r="O1218" i="9"/>
  <c r="N1218" i="9"/>
  <c r="M1218" i="9"/>
  <c r="I1218" i="9"/>
  <c r="C1218" i="9"/>
  <c r="P1217" i="9"/>
  <c r="O1217" i="9"/>
  <c r="N1217" i="9"/>
  <c r="M1217" i="9"/>
  <c r="I1217" i="9"/>
  <c r="C1217" i="9"/>
  <c r="P1216" i="9"/>
  <c r="O1216" i="9"/>
  <c r="N1216" i="9"/>
  <c r="M1216" i="9"/>
  <c r="I1216" i="9"/>
  <c r="C1216" i="9"/>
  <c r="P1215" i="9"/>
  <c r="O1215" i="9"/>
  <c r="N1215" i="9"/>
  <c r="M1215" i="9"/>
  <c r="I1215" i="9"/>
  <c r="C1215" i="9"/>
  <c r="P1214" i="9"/>
  <c r="O1214" i="9"/>
  <c r="N1214" i="9"/>
  <c r="M1214" i="9"/>
  <c r="I1214" i="9"/>
  <c r="C1214" i="9"/>
  <c r="P1213" i="9"/>
  <c r="O1213" i="9"/>
  <c r="N1213" i="9"/>
  <c r="M1213" i="9"/>
  <c r="I1213" i="9"/>
  <c r="C1213" i="9"/>
  <c r="P1212" i="9"/>
  <c r="O1212" i="9"/>
  <c r="N1212" i="9"/>
  <c r="M1212" i="9"/>
  <c r="I1212" i="9"/>
  <c r="C1212" i="9"/>
  <c r="P1211" i="9"/>
  <c r="O1211" i="9"/>
  <c r="N1211" i="9"/>
  <c r="M1211" i="9"/>
  <c r="I1211" i="9"/>
  <c r="C1211" i="9"/>
  <c r="P1210" i="9"/>
  <c r="O1210" i="9"/>
  <c r="N1210" i="9"/>
  <c r="M1210" i="9"/>
  <c r="I1210" i="9"/>
  <c r="C1210" i="9"/>
  <c r="P1209" i="9"/>
  <c r="O1209" i="9"/>
  <c r="N1209" i="9"/>
  <c r="M1209" i="9"/>
  <c r="I1209" i="9"/>
  <c r="C1209" i="9"/>
  <c r="P1208" i="9"/>
  <c r="O1208" i="9"/>
  <c r="N1208" i="9"/>
  <c r="M1208" i="9"/>
  <c r="I1208" i="9"/>
  <c r="C1208" i="9"/>
  <c r="P1207" i="9"/>
  <c r="O1207" i="9"/>
  <c r="N1207" i="9"/>
  <c r="M1207" i="9"/>
  <c r="I1207" i="9"/>
  <c r="C1207" i="9"/>
  <c r="P1206" i="9"/>
  <c r="O1206" i="9"/>
  <c r="N1206" i="9"/>
  <c r="M1206" i="9"/>
  <c r="I1206" i="9"/>
  <c r="C1206" i="9"/>
  <c r="P1205" i="9"/>
  <c r="O1205" i="9"/>
  <c r="N1205" i="9"/>
  <c r="M1205" i="9"/>
  <c r="I1205" i="9"/>
  <c r="C1205" i="9"/>
  <c r="P1204" i="9"/>
  <c r="O1204" i="9"/>
  <c r="N1204" i="9"/>
  <c r="M1204" i="9"/>
  <c r="I1204" i="9"/>
  <c r="C1204" i="9"/>
  <c r="P1203" i="9"/>
  <c r="O1203" i="9"/>
  <c r="N1203" i="9"/>
  <c r="M1203" i="9"/>
  <c r="I1203" i="9"/>
  <c r="C1203" i="9"/>
  <c r="P1202" i="9"/>
  <c r="O1202" i="9"/>
  <c r="N1202" i="9"/>
  <c r="M1202" i="9"/>
  <c r="I1202" i="9"/>
  <c r="C1202" i="9"/>
  <c r="P1201" i="9"/>
  <c r="O1201" i="9"/>
  <c r="N1201" i="9"/>
  <c r="M1201" i="9"/>
  <c r="I1201" i="9"/>
  <c r="C1201" i="9"/>
  <c r="P1200" i="9"/>
  <c r="O1200" i="9"/>
  <c r="N1200" i="9"/>
  <c r="M1200" i="9"/>
  <c r="I1200" i="9"/>
  <c r="C1200" i="9"/>
  <c r="P1199" i="9"/>
  <c r="O1199" i="9"/>
  <c r="N1199" i="9"/>
  <c r="M1199" i="9"/>
  <c r="I1199" i="9"/>
  <c r="C1199" i="9"/>
  <c r="P1198" i="9"/>
  <c r="O1198" i="9"/>
  <c r="N1198" i="9"/>
  <c r="M1198" i="9"/>
  <c r="I1198" i="9"/>
  <c r="C1198" i="9"/>
  <c r="P1197" i="9"/>
  <c r="O1197" i="9"/>
  <c r="N1197" i="9"/>
  <c r="M1197" i="9"/>
  <c r="I1197" i="9"/>
  <c r="C1197" i="9"/>
  <c r="P1196" i="9"/>
  <c r="O1196" i="9"/>
  <c r="N1196" i="9"/>
  <c r="M1196" i="9"/>
  <c r="I1196" i="9"/>
  <c r="C1196" i="9"/>
  <c r="P1195" i="9"/>
  <c r="O1195" i="9"/>
  <c r="N1195" i="9"/>
  <c r="M1195" i="9"/>
  <c r="I1195" i="9"/>
  <c r="C1195" i="9"/>
  <c r="P1194" i="9"/>
  <c r="O1194" i="9"/>
  <c r="N1194" i="9"/>
  <c r="M1194" i="9"/>
  <c r="I1194" i="9"/>
  <c r="C1194" i="9"/>
  <c r="P1193" i="9"/>
  <c r="O1193" i="9"/>
  <c r="N1193" i="9"/>
  <c r="M1193" i="9"/>
  <c r="I1193" i="9"/>
  <c r="C1193" i="9"/>
  <c r="P1192" i="9"/>
  <c r="O1192" i="9"/>
  <c r="N1192" i="9"/>
  <c r="M1192" i="9"/>
  <c r="I1192" i="9"/>
  <c r="C1192" i="9"/>
  <c r="P1191" i="9"/>
  <c r="O1191" i="9"/>
  <c r="N1191" i="9"/>
  <c r="M1191" i="9"/>
  <c r="I1191" i="9"/>
  <c r="C1191" i="9"/>
  <c r="P1190" i="9"/>
  <c r="O1190" i="9"/>
  <c r="N1190" i="9"/>
  <c r="M1190" i="9"/>
  <c r="I1190" i="9"/>
  <c r="C1190" i="9"/>
  <c r="P1189" i="9"/>
  <c r="O1189" i="9"/>
  <c r="N1189" i="9"/>
  <c r="M1189" i="9"/>
  <c r="I1189" i="9"/>
  <c r="C1189" i="9"/>
  <c r="P1188" i="9"/>
  <c r="O1188" i="9"/>
  <c r="N1188" i="9"/>
  <c r="M1188" i="9"/>
  <c r="I1188" i="9"/>
  <c r="C1188" i="9"/>
  <c r="P1187" i="9"/>
  <c r="O1187" i="9"/>
  <c r="N1187" i="9"/>
  <c r="M1187" i="9"/>
  <c r="I1187" i="9"/>
  <c r="C1187" i="9"/>
  <c r="P1186" i="9"/>
  <c r="O1186" i="9"/>
  <c r="N1186" i="9"/>
  <c r="M1186" i="9"/>
  <c r="I1186" i="9"/>
  <c r="C1186" i="9"/>
  <c r="P1185" i="9"/>
  <c r="O1185" i="9"/>
  <c r="N1185" i="9"/>
  <c r="M1185" i="9"/>
  <c r="I1185" i="9"/>
  <c r="C1185" i="9"/>
  <c r="P1184" i="9"/>
  <c r="O1184" i="9"/>
  <c r="N1184" i="9"/>
  <c r="M1184" i="9"/>
  <c r="I1184" i="9"/>
  <c r="C1184" i="9"/>
  <c r="P1183" i="9"/>
  <c r="O1183" i="9"/>
  <c r="N1183" i="9"/>
  <c r="M1183" i="9"/>
  <c r="I1183" i="9"/>
  <c r="C1183" i="9"/>
  <c r="P1182" i="9"/>
  <c r="O1182" i="9"/>
  <c r="N1182" i="9"/>
  <c r="M1182" i="9"/>
  <c r="I1182" i="9"/>
  <c r="C1182" i="9"/>
  <c r="P1181" i="9"/>
  <c r="O1181" i="9"/>
  <c r="N1181" i="9"/>
  <c r="M1181" i="9"/>
  <c r="I1181" i="9"/>
  <c r="C1181" i="9"/>
  <c r="P1180" i="9"/>
  <c r="O1180" i="9"/>
  <c r="N1180" i="9"/>
  <c r="M1180" i="9"/>
  <c r="I1180" i="9"/>
  <c r="C1180" i="9"/>
  <c r="P1179" i="9"/>
  <c r="O1179" i="9"/>
  <c r="N1179" i="9"/>
  <c r="M1179" i="9"/>
  <c r="I1179" i="9"/>
  <c r="C1179" i="9"/>
  <c r="P1178" i="9"/>
  <c r="O1178" i="9"/>
  <c r="N1178" i="9"/>
  <c r="M1178" i="9"/>
  <c r="I1178" i="9"/>
  <c r="C1178" i="9"/>
  <c r="P1177" i="9"/>
  <c r="O1177" i="9"/>
  <c r="N1177" i="9"/>
  <c r="M1177" i="9"/>
  <c r="I1177" i="9"/>
  <c r="C1177" i="9"/>
  <c r="P1176" i="9"/>
  <c r="O1176" i="9"/>
  <c r="N1176" i="9"/>
  <c r="M1176" i="9"/>
  <c r="I1176" i="9"/>
  <c r="C1176" i="9"/>
  <c r="P1175" i="9"/>
  <c r="O1175" i="9"/>
  <c r="N1175" i="9"/>
  <c r="M1175" i="9"/>
  <c r="I1175" i="9"/>
  <c r="C1175" i="9"/>
  <c r="P1174" i="9"/>
  <c r="O1174" i="9"/>
  <c r="N1174" i="9"/>
  <c r="M1174" i="9"/>
  <c r="I1174" i="9"/>
  <c r="C1174" i="9"/>
  <c r="P1173" i="9"/>
  <c r="O1173" i="9"/>
  <c r="N1173" i="9"/>
  <c r="M1173" i="9"/>
  <c r="I1173" i="9"/>
  <c r="C1173" i="9"/>
  <c r="P1172" i="9"/>
  <c r="O1172" i="9"/>
  <c r="N1172" i="9"/>
  <c r="M1172" i="9"/>
  <c r="I1172" i="9"/>
  <c r="C1172" i="9"/>
  <c r="P1171" i="9"/>
  <c r="O1171" i="9"/>
  <c r="N1171" i="9"/>
  <c r="M1171" i="9"/>
  <c r="I1171" i="9"/>
  <c r="C1171" i="9"/>
  <c r="P1170" i="9"/>
  <c r="O1170" i="9"/>
  <c r="N1170" i="9"/>
  <c r="M1170" i="9"/>
  <c r="I1170" i="9"/>
  <c r="C1170" i="9"/>
  <c r="P1169" i="9"/>
  <c r="O1169" i="9"/>
  <c r="N1169" i="9"/>
  <c r="M1169" i="9"/>
  <c r="I1169" i="9"/>
  <c r="C1169" i="9"/>
  <c r="P1168" i="9"/>
  <c r="O1168" i="9"/>
  <c r="N1168" i="9"/>
  <c r="M1168" i="9"/>
  <c r="I1168" i="9"/>
  <c r="C1168" i="9"/>
  <c r="P1167" i="9"/>
  <c r="O1167" i="9"/>
  <c r="N1167" i="9"/>
  <c r="M1167" i="9"/>
  <c r="I1167" i="9"/>
  <c r="C1167" i="9"/>
  <c r="P1166" i="9"/>
  <c r="O1166" i="9"/>
  <c r="N1166" i="9"/>
  <c r="M1166" i="9"/>
  <c r="I1166" i="9"/>
  <c r="C1166" i="9"/>
  <c r="P1165" i="9"/>
  <c r="O1165" i="9"/>
  <c r="N1165" i="9"/>
  <c r="M1165" i="9"/>
  <c r="I1165" i="9"/>
  <c r="C1165" i="9"/>
  <c r="P1164" i="9"/>
  <c r="O1164" i="9"/>
  <c r="N1164" i="9"/>
  <c r="M1164" i="9"/>
  <c r="I1164" i="9"/>
  <c r="C1164" i="9"/>
  <c r="P1163" i="9"/>
  <c r="O1163" i="9"/>
  <c r="N1163" i="9"/>
  <c r="M1163" i="9"/>
  <c r="I1163" i="9"/>
  <c r="C1163" i="9"/>
  <c r="P1162" i="9"/>
  <c r="O1162" i="9"/>
  <c r="N1162" i="9"/>
  <c r="M1162" i="9"/>
  <c r="I1162" i="9"/>
  <c r="C1162" i="9"/>
  <c r="P1161" i="9"/>
  <c r="O1161" i="9"/>
  <c r="N1161" i="9"/>
  <c r="M1161" i="9"/>
  <c r="I1161" i="9"/>
  <c r="C1161" i="9"/>
  <c r="P1160" i="9"/>
  <c r="O1160" i="9"/>
  <c r="N1160" i="9"/>
  <c r="M1160" i="9"/>
  <c r="I1160" i="9"/>
  <c r="C1160" i="9"/>
  <c r="P1159" i="9"/>
  <c r="O1159" i="9"/>
  <c r="N1159" i="9"/>
  <c r="M1159" i="9"/>
  <c r="I1159" i="9"/>
  <c r="C1159" i="9"/>
  <c r="P1158" i="9"/>
  <c r="O1158" i="9"/>
  <c r="N1158" i="9"/>
  <c r="M1158" i="9"/>
  <c r="I1158" i="9"/>
  <c r="C1158" i="9"/>
  <c r="P1157" i="9"/>
  <c r="O1157" i="9"/>
  <c r="N1157" i="9"/>
  <c r="M1157" i="9"/>
  <c r="I1157" i="9"/>
  <c r="C1157" i="9"/>
  <c r="P1156" i="9"/>
  <c r="O1156" i="9"/>
  <c r="N1156" i="9"/>
  <c r="M1156" i="9"/>
  <c r="I1156" i="9"/>
  <c r="C1156" i="9"/>
  <c r="P1155" i="9"/>
  <c r="O1155" i="9"/>
  <c r="N1155" i="9"/>
  <c r="M1155" i="9"/>
  <c r="I1155" i="9"/>
  <c r="C1155" i="9"/>
  <c r="P1154" i="9"/>
  <c r="O1154" i="9"/>
  <c r="N1154" i="9"/>
  <c r="M1154" i="9"/>
  <c r="I1154" i="9"/>
  <c r="C1154" i="9"/>
  <c r="P1153" i="9"/>
  <c r="O1153" i="9"/>
  <c r="N1153" i="9"/>
  <c r="M1153" i="9"/>
  <c r="I1153" i="9"/>
  <c r="C1153" i="9"/>
  <c r="P1152" i="9"/>
  <c r="O1152" i="9"/>
  <c r="N1152" i="9"/>
  <c r="M1152" i="9"/>
  <c r="I1152" i="9"/>
  <c r="C1152" i="9"/>
  <c r="P1151" i="9"/>
  <c r="O1151" i="9"/>
  <c r="N1151" i="9"/>
  <c r="M1151" i="9"/>
  <c r="I1151" i="9"/>
  <c r="C1151" i="9"/>
  <c r="P1150" i="9"/>
  <c r="O1150" i="9"/>
  <c r="N1150" i="9"/>
  <c r="M1150" i="9"/>
  <c r="I1150" i="9"/>
  <c r="C1150" i="9"/>
  <c r="P1149" i="9"/>
  <c r="O1149" i="9"/>
  <c r="N1149" i="9"/>
  <c r="M1149" i="9"/>
  <c r="I1149" i="9"/>
  <c r="C1149" i="9"/>
  <c r="P1148" i="9"/>
  <c r="O1148" i="9"/>
  <c r="N1148" i="9"/>
  <c r="M1148" i="9"/>
  <c r="I1148" i="9"/>
  <c r="C1148" i="9"/>
  <c r="P1147" i="9"/>
  <c r="O1147" i="9"/>
  <c r="N1147" i="9"/>
  <c r="M1147" i="9"/>
  <c r="I1147" i="9"/>
  <c r="C1147" i="9"/>
  <c r="P1146" i="9"/>
  <c r="O1146" i="9"/>
  <c r="N1146" i="9"/>
  <c r="M1146" i="9"/>
  <c r="I1146" i="9"/>
  <c r="C1146" i="9"/>
  <c r="P1145" i="9"/>
  <c r="O1145" i="9"/>
  <c r="N1145" i="9"/>
  <c r="M1145" i="9"/>
  <c r="I1145" i="9"/>
  <c r="C1145" i="9"/>
  <c r="P1144" i="9"/>
  <c r="O1144" i="9"/>
  <c r="N1144" i="9"/>
  <c r="M1144" i="9"/>
  <c r="I1144" i="9"/>
  <c r="C1144" i="9"/>
  <c r="P1143" i="9"/>
  <c r="O1143" i="9"/>
  <c r="N1143" i="9"/>
  <c r="M1143" i="9"/>
  <c r="I1143" i="9"/>
  <c r="C1143" i="9"/>
  <c r="P1142" i="9"/>
  <c r="O1142" i="9"/>
  <c r="N1142" i="9"/>
  <c r="M1142" i="9"/>
  <c r="I1142" i="9"/>
  <c r="C1142" i="9"/>
  <c r="P1141" i="9"/>
  <c r="O1141" i="9"/>
  <c r="N1141" i="9"/>
  <c r="M1141" i="9"/>
  <c r="I1141" i="9"/>
  <c r="C1141" i="9"/>
  <c r="P1140" i="9"/>
  <c r="O1140" i="9"/>
  <c r="N1140" i="9"/>
  <c r="M1140" i="9"/>
  <c r="I1140" i="9"/>
  <c r="C1140" i="9"/>
  <c r="P1139" i="9"/>
  <c r="O1139" i="9"/>
  <c r="N1139" i="9"/>
  <c r="M1139" i="9"/>
  <c r="I1139" i="9"/>
  <c r="C1139" i="9"/>
  <c r="P1138" i="9"/>
  <c r="O1138" i="9"/>
  <c r="N1138" i="9"/>
  <c r="M1138" i="9"/>
  <c r="I1138" i="9"/>
  <c r="C1138" i="9"/>
  <c r="P1137" i="9"/>
  <c r="O1137" i="9"/>
  <c r="N1137" i="9"/>
  <c r="M1137" i="9"/>
  <c r="I1137" i="9"/>
  <c r="C1137" i="9"/>
  <c r="P1136" i="9"/>
  <c r="O1136" i="9"/>
  <c r="N1136" i="9"/>
  <c r="M1136" i="9"/>
  <c r="I1136" i="9"/>
  <c r="C1136" i="9"/>
  <c r="P1135" i="9"/>
  <c r="O1135" i="9"/>
  <c r="N1135" i="9"/>
  <c r="M1135" i="9"/>
  <c r="I1135" i="9"/>
  <c r="C1135" i="9"/>
  <c r="P1134" i="9"/>
  <c r="O1134" i="9"/>
  <c r="N1134" i="9"/>
  <c r="M1134" i="9"/>
  <c r="I1134" i="9"/>
  <c r="C1134" i="9"/>
  <c r="P1133" i="9"/>
  <c r="O1133" i="9"/>
  <c r="N1133" i="9"/>
  <c r="M1133" i="9"/>
  <c r="I1133" i="9"/>
  <c r="C1133" i="9"/>
  <c r="P1132" i="9"/>
  <c r="O1132" i="9"/>
  <c r="N1132" i="9"/>
  <c r="M1132" i="9"/>
  <c r="I1132" i="9"/>
  <c r="C1132" i="9"/>
  <c r="P1131" i="9"/>
  <c r="O1131" i="9"/>
  <c r="N1131" i="9"/>
  <c r="M1131" i="9"/>
  <c r="I1131" i="9"/>
  <c r="C1131" i="9"/>
  <c r="P1130" i="9"/>
  <c r="O1130" i="9"/>
  <c r="N1130" i="9"/>
  <c r="M1130" i="9"/>
  <c r="I1130" i="9"/>
  <c r="C1130" i="9"/>
  <c r="P1129" i="9"/>
  <c r="O1129" i="9"/>
  <c r="N1129" i="9"/>
  <c r="M1129" i="9"/>
  <c r="I1129" i="9"/>
  <c r="C1129" i="9"/>
  <c r="P1128" i="9"/>
  <c r="O1128" i="9"/>
  <c r="N1128" i="9"/>
  <c r="M1128" i="9"/>
  <c r="I1128" i="9"/>
  <c r="C1128" i="9"/>
  <c r="P1127" i="9"/>
  <c r="O1127" i="9"/>
  <c r="N1127" i="9"/>
  <c r="M1127" i="9"/>
  <c r="I1127" i="9"/>
  <c r="C1127" i="9"/>
  <c r="P1126" i="9"/>
  <c r="O1126" i="9"/>
  <c r="N1126" i="9"/>
  <c r="M1126" i="9"/>
  <c r="I1126" i="9"/>
  <c r="C1126" i="9"/>
  <c r="P1125" i="9"/>
  <c r="O1125" i="9"/>
  <c r="N1125" i="9"/>
  <c r="M1125" i="9"/>
  <c r="I1125" i="9"/>
  <c r="C1125" i="9"/>
  <c r="P1124" i="9"/>
  <c r="O1124" i="9"/>
  <c r="N1124" i="9"/>
  <c r="M1124" i="9"/>
  <c r="I1124" i="9"/>
  <c r="C1124" i="9"/>
  <c r="P1123" i="9"/>
  <c r="O1123" i="9"/>
  <c r="N1123" i="9"/>
  <c r="M1123" i="9"/>
  <c r="I1123" i="9"/>
  <c r="C1123" i="9"/>
  <c r="P1122" i="9"/>
  <c r="O1122" i="9"/>
  <c r="N1122" i="9"/>
  <c r="M1122" i="9"/>
  <c r="I1122" i="9"/>
  <c r="C1122" i="9"/>
  <c r="P1121" i="9"/>
  <c r="O1121" i="9"/>
  <c r="N1121" i="9"/>
  <c r="M1121" i="9"/>
  <c r="I1121" i="9"/>
  <c r="C1121" i="9"/>
  <c r="P1120" i="9"/>
  <c r="O1120" i="9"/>
  <c r="N1120" i="9"/>
  <c r="M1120" i="9"/>
  <c r="I1120" i="9"/>
  <c r="C1120" i="9"/>
  <c r="P1119" i="9"/>
  <c r="O1119" i="9"/>
  <c r="N1119" i="9"/>
  <c r="M1119" i="9"/>
  <c r="I1119" i="9"/>
  <c r="C1119" i="9"/>
  <c r="P1118" i="9"/>
  <c r="O1118" i="9"/>
  <c r="N1118" i="9"/>
  <c r="M1118" i="9"/>
  <c r="I1118" i="9"/>
  <c r="C1118" i="9"/>
  <c r="P1117" i="9"/>
  <c r="O1117" i="9"/>
  <c r="N1117" i="9"/>
  <c r="M1117" i="9"/>
  <c r="I1117" i="9"/>
  <c r="C1117" i="9"/>
  <c r="P1116" i="9"/>
  <c r="O1116" i="9"/>
  <c r="N1116" i="9"/>
  <c r="M1116" i="9"/>
  <c r="I1116" i="9"/>
  <c r="C1116" i="9"/>
  <c r="P1115" i="9"/>
  <c r="O1115" i="9"/>
  <c r="N1115" i="9"/>
  <c r="M1115" i="9"/>
  <c r="I1115" i="9"/>
  <c r="C1115" i="9"/>
  <c r="P1114" i="9"/>
  <c r="O1114" i="9"/>
  <c r="N1114" i="9"/>
  <c r="M1114" i="9"/>
  <c r="I1114" i="9"/>
  <c r="C1114" i="9"/>
  <c r="P1113" i="9"/>
  <c r="O1113" i="9"/>
  <c r="N1113" i="9"/>
  <c r="M1113" i="9"/>
  <c r="I1113" i="9"/>
  <c r="C1113" i="9"/>
  <c r="P1112" i="9"/>
  <c r="O1112" i="9"/>
  <c r="N1112" i="9"/>
  <c r="M1112" i="9"/>
  <c r="I1112" i="9"/>
  <c r="C1112" i="9"/>
  <c r="P1111" i="9"/>
  <c r="O1111" i="9"/>
  <c r="N1111" i="9"/>
  <c r="M1111" i="9"/>
  <c r="I1111" i="9"/>
  <c r="C1111" i="9"/>
  <c r="P1110" i="9"/>
  <c r="O1110" i="9"/>
  <c r="N1110" i="9"/>
  <c r="M1110" i="9"/>
  <c r="I1110" i="9"/>
  <c r="C1110" i="9"/>
  <c r="P1109" i="9"/>
  <c r="O1109" i="9"/>
  <c r="N1109" i="9"/>
  <c r="M1109" i="9"/>
  <c r="I1109" i="9"/>
  <c r="C1109" i="9"/>
  <c r="P1108" i="9"/>
  <c r="O1108" i="9"/>
  <c r="N1108" i="9"/>
  <c r="M1108" i="9"/>
  <c r="I1108" i="9"/>
  <c r="C1108" i="9"/>
  <c r="P1107" i="9"/>
  <c r="O1107" i="9"/>
  <c r="N1107" i="9"/>
  <c r="M1107" i="9"/>
  <c r="I1107" i="9"/>
  <c r="C1107" i="9"/>
  <c r="P1106" i="9"/>
  <c r="O1106" i="9"/>
  <c r="N1106" i="9"/>
  <c r="M1106" i="9"/>
  <c r="I1106" i="9"/>
  <c r="C1106" i="9"/>
  <c r="P1105" i="9"/>
  <c r="O1105" i="9"/>
  <c r="N1105" i="9"/>
  <c r="M1105" i="9"/>
  <c r="I1105" i="9"/>
  <c r="C1105" i="9"/>
  <c r="P1104" i="9"/>
  <c r="O1104" i="9"/>
  <c r="N1104" i="9"/>
  <c r="M1104" i="9"/>
  <c r="I1104" i="9"/>
  <c r="C1104" i="9"/>
  <c r="P1103" i="9"/>
  <c r="O1103" i="9"/>
  <c r="N1103" i="9"/>
  <c r="M1103" i="9"/>
  <c r="I1103" i="9"/>
  <c r="C1103" i="9"/>
  <c r="P1102" i="9"/>
  <c r="O1102" i="9"/>
  <c r="N1102" i="9"/>
  <c r="M1102" i="9"/>
  <c r="I1102" i="9"/>
  <c r="C1102" i="9"/>
  <c r="P1101" i="9"/>
  <c r="O1101" i="9"/>
  <c r="N1101" i="9"/>
  <c r="M1101" i="9"/>
  <c r="I1101" i="9"/>
  <c r="C1101" i="9"/>
  <c r="P1100" i="9"/>
  <c r="O1100" i="9"/>
  <c r="N1100" i="9"/>
  <c r="M1100" i="9"/>
  <c r="I1100" i="9"/>
  <c r="C1100" i="9"/>
  <c r="P1099" i="9"/>
  <c r="O1099" i="9"/>
  <c r="N1099" i="9"/>
  <c r="M1099" i="9"/>
  <c r="I1099" i="9"/>
  <c r="C1099" i="9"/>
  <c r="P1098" i="9"/>
  <c r="O1098" i="9"/>
  <c r="N1098" i="9"/>
  <c r="M1098" i="9"/>
  <c r="I1098" i="9"/>
  <c r="C1098" i="9"/>
  <c r="P1097" i="9"/>
  <c r="O1097" i="9"/>
  <c r="N1097" i="9"/>
  <c r="M1097" i="9"/>
  <c r="I1097" i="9"/>
  <c r="C1097" i="9"/>
  <c r="P1096" i="9"/>
  <c r="O1096" i="9"/>
  <c r="N1096" i="9"/>
  <c r="M1096" i="9"/>
  <c r="I1096" i="9"/>
  <c r="C1096" i="9"/>
  <c r="P1095" i="9"/>
  <c r="O1095" i="9"/>
  <c r="N1095" i="9"/>
  <c r="M1095" i="9"/>
  <c r="I1095" i="9"/>
  <c r="C1095" i="9"/>
  <c r="P1094" i="9"/>
  <c r="O1094" i="9"/>
  <c r="N1094" i="9"/>
  <c r="M1094" i="9"/>
  <c r="I1094" i="9"/>
  <c r="C1094" i="9"/>
  <c r="P1093" i="9"/>
  <c r="O1093" i="9"/>
  <c r="N1093" i="9"/>
  <c r="M1093" i="9"/>
  <c r="I1093" i="9"/>
  <c r="C1093" i="9"/>
  <c r="P1092" i="9"/>
  <c r="O1092" i="9"/>
  <c r="N1092" i="9"/>
  <c r="M1092" i="9"/>
  <c r="I1092" i="9"/>
  <c r="C1092" i="9"/>
  <c r="P1091" i="9"/>
  <c r="O1091" i="9"/>
  <c r="N1091" i="9"/>
  <c r="M1091" i="9"/>
  <c r="I1091" i="9"/>
  <c r="C1091" i="9"/>
  <c r="P1090" i="9"/>
  <c r="O1090" i="9"/>
  <c r="N1090" i="9"/>
  <c r="M1090" i="9"/>
  <c r="I1090" i="9"/>
  <c r="C1090" i="9"/>
  <c r="P1089" i="9"/>
  <c r="O1089" i="9"/>
  <c r="N1089" i="9"/>
  <c r="M1089" i="9"/>
  <c r="I1089" i="9"/>
  <c r="C1089" i="9"/>
  <c r="P1088" i="9"/>
  <c r="O1088" i="9"/>
  <c r="N1088" i="9"/>
  <c r="M1088" i="9"/>
  <c r="I1088" i="9"/>
  <c r="C1088" i="9"/>
  <c r="P1087" i="9"/>
  <c r="O1087" i="9"/>
  <c r="N1087" i="9"/>
  <c r="M1087" i="9"/>
  <c r="I1087" i="9"/>
  <c r="C1087" i="9"/>
  <c r="P1086" i="9"/>
  <c r="O1086" i="9"/>
  <c r="N1086" i="9"/>
  <c r="M1086" i="9"/>
  <c r="I1086" i="9"/>
  <c r="C1086" i="9"/>
  <c r="P1085" i="9"/>
  <c r="O1085" i="9"/>
  <c r="N1085" i="9"/>
  <c r="M1085" i="9"/>
  <c r="I1085" i="9"/>
  <c r="C1085" i="9"/>
  <c r="P1084" i="9"/>
  <c r="O1084" i="9"/>
  <c r="N1084" i="9"/>
  <c r="M1084" i="9"/>
  <c r="I1084" i="9"/>
  <c r="C1084" i="9"/>
  <c r="P1083" i="9"/>
  <c r="O1083" i="9"/>
  <c r="N1083" i="9"/>
  <c r="M1083" i="9"/>
  <c r="I1083" i="9"/>
  <c r="C1083" i="9"/>
  <c r="P1082" i="9"/>
  <c r="O1082" i="9"/>
  <c r="N1082" i="9"/>
  <c r="M1082" i="9"/>
  <c r="I1082" i="9"/>
  <c r="C1082" i="9"/>
  <c r="P1081" i="9"/>
  <c r="O1081" i="9"/>
  <c r="N1081" i="9"/>
  <c r="M1081" i="9"/>
  <c r="I1081" i="9"/>
  <c r="C1081" i="9"/>
  <c r="P1080" i="9"/>
  <c r="O1080" i="9"/>
  <c r="N1080" i="9"/>
  <c r="M1080" i="9"/>
  <c r="I1080" i="9"/>
  <c r="C1080" i="9"/>
  <c r="P1079" i="9"/>
  <c r="O1079" i="9"/>
  <c r="N1079" i="9"/>
  <c r="M1079" i="9"/>
  <c r="I1079" i="9"/>
  <c r="C1079" i="9"/>
  <c r="P1078" i="9"/>
  <c r="O1078" i="9"/>
  <c r="N1078" i="9"/>
  <c r="M1078" i="9"/>
  <c r="I1078" i="9"/>
  <c r="C1078" i="9"/>
  <c r="P1077" i="9"/>
  <c r="O1077" i="9"/>
  <c r="N1077" i="9"/>
  <c r="M1077" i="9"/>
  <c r="I1077" i="9"/>
  <c r="C1077" i="9"/>
  <c r="P1076" i="9"/>
  <c r="O1076" i="9"/>
  <c r="N1076" i="9"/>
  <c r="M1076" i="9"/>
  <c r="I1076" i="9"/>
  <c r="C1076" i="9"/>
  <c r="P1075" i="9"/>
  <c r="O1075" i="9"/>
  <c r="N1075" i="9"/>
  <c r="M1075" i="9"/>
  <c r="I1075" i="9"/>
  <c r="C1075" i="9"/>
  <c r="P1074" i="9"/>
  <c r="O1074" i="9"/>
  <c r="N1074" i="9"/>
  <c r="M1074" i="9"/>
  <c r="I1074" i="9"/>
  <c r="C1074" i="9"/>
  <c r="P1073" i="9"/>
  <c r="O1073" i="9"/>
  <c r="N1073" i="9"/>
  <c r="M1073" i="9"/>
  <c r="I1073" i="9"/>
  <c r="C1073" i="9"/>
  <c r="P1072" i="9"/>
  <c r="O1072" i="9"/>
  <c r="N1072" i="9"/>
  <c r="M1072" i="9"/>
  <c r="I1072" i="9"/>
  <c r="C1072" i="9"/>
  <c r="P1071" i="9"/>
  <c r="O1071" i="9"/>
  <c r="N1071" i="9"/>
  <c r="M1071" i="9"/>
  <c r="I1071" i="9"/>
  <c r="C1071" i="9"/>
  <c r="P1070" i="9"/>
  <c r="O1070" i="9"/>
  <c r="N1070" i="9"/>
  <c r="M1070" i="9"/>
  <c r="I1070" i="9"/>
  <c r="C1070" i="9"/>
  <c r="P1069" i="9"/>
  <c r="O1069" i="9"/>
  <c r="N1069" i="9"/>
  <c r="M1069" i="9"/>
  <c r="I1069" i="9"/>
  <c r="C1069" i="9"/>
  <c r="P1068" i="9"/>
  <c r="O1068" i="9"/>
  <c r="N1068" i="9"/>
  <c r="M1068" i="9"/>
  <c r="I1068" i="9"/>
  <c r="C1068" i="9"/>
  <c r="P1067" i="9"/>
  <c r="O1067" i="9"/>
  <c r="N1067" i="9"/>
  <c r="M1067" i="9"/>
  <c r="I1067" i="9"/>
  <c r="C1067" i="9"/>
  <c r="P1066" i="9"/>
  <c r="O1066" i="9"/>
  <c r="N1066" i="9"/>
  <c r="M1066" i="9"/>
  <c r="I1066" i="9"/>
  <c r="C1066" i="9"/>
  <c r="P1065" i="9"/>
  <c r="O1065" i="9"/>
  <c r="N1065" i="9"/>
  <c r="M1065" i="9"/>
  <c r="I1065" i="9"/>
  <c r="C1065" i="9"/>
  <c r="P1064" i="9"/>
  <c r="O1064" i="9"/>
  <c r="N1064" i="9"/>
  <c r="M1064" i="9"/>
  <c r="I1064" i="9"/>
  <c r="C1064" i="9"/>
  <c r="P1063" i="9"/>
  <c r="O1063" i="9"/>
  <c r="N1063" i="9"/>
  <c r="M1063" i="9"/>
  <c r="I1063" i="9"/>
  <c r="C1063" i="9"/>
  <c r="P1062" i="9"/>
  <c r="O1062" i="9"/>
  <c r="N1062" i="9"/>
  <c r="M1062" i="9"/>
  <c r="I1062" i="9"/>
  <c r="C1062" i="9"/>
  <c r="P1061" i="9"/>
  <c r="O1061" i="9"/>
  <c r="N1061" i="9"/>
  <c r="M1061" i="9"/>
  <c r="I1061" i="9"/>
  <c r="C1061" i="9"/>
  <c r="P1060" i="9"/>
  <c r="O1060" i="9"/>
  <c r="N1060" i="9"/>
  <c r="M1060" i="9"/>
  <c r="I1060" i="9"/>
  <c r="C1060" i="9"/>
  <c r="P1059" i="9"/>
  <c r="O1059" i="9"/>
  <c r="N1059" i="9"/>
  <c r="M1059" i="9"/>
  <c r="I1059" i="9"/>
  <c r="C1059" i="9"/>
  <c r="P1058" i="9"/>
  <c r="O1058" i="9"/>
  <c r="N1058" i="9"/>
  <c r="M1058" i="9"/>
  <c r="I1058" i="9"/>
  <c r="C1058" i="9"/>
  <c r="P1057" i="9"/>
  <c r="O1057" i="9"/>
  <c r="N1057" i="9"/>
  <c r="M1057" i="9"/>
  <c r="I1057" i="9"/>
  <c r="C1057" i="9"/>
  <c r="P1056" i="9"/>
  <c r="O1056" i="9"/>
  <c r="N1056" i="9"/>
  <c r="M1056" i="9"/>
  <c r="I1056" i="9"/>
  <c r="C1056" i="9"/>
  <c r="P1055" i="9"/>
  <c r="O1055" i="9"/>
  <c r="N1055" i="9"/>
  <c r="M1055" i="9"/>
  <c r="I1055" i="9"/>
  <c r="C1055" i="9"/>
  <c r="P1054" i="9"/>
  <c r="O1054" i="9"/>
  <c r="N1054" i="9"/>
  <c r="M1054" i="9"/>
  <c r="I1054" i="9"/>
  <c r="C1054" i="9"/>
  <c r="P1053" i="9"/>
  <c r="O1053" i="9"/>
  <c r="N1053" i="9"/>
  <c r="M1053" i="9"/>
  <c r="I1053" i="9"/>
  <c r="C1053" i="9"/>
  <c r="P1052" i="9"/>
  <c r="O1052" i="9"/>
  <c r="N1052" i="9"/>
  <c r="M1052" i="9"/>
  <c r="I1052" i="9"/>
  <c r="C1052" i="9"/>
  <c r="P1051" i="9"/>
  <c r="O1051" i="9"/>
  <c r="N1051" i="9"/>
  <c r="M1051" i="9"/>
  <c r="I1051" i="9"/>
  <c r="C1051" i="9"/>
  <c r="P1050" i="9"/>
  <c r="O1050" i="9"/>
  <c r="N1050" i="9"/>
  <c r="M1050" i="9"/>
  <c r="I1050" i="9"/>
  <c r="C1050" i="9"/>
  <c r="P1049" i="9"/>
  <c r="O1049" i="9"/>
  <c r="N1049" i="9"/>
  <c r="M1049" i="9"/>
  <c r="I1049" i="9"/>
  <c r="C1049" i="9"/>
  <c r="P1048" i="9"/>
  <c r="O1048" i="9"/>
  <c r="N1048" i="9"/>
  <c r="M1048" i="9"/>
  <c r="I1048" i="9"/>
  <c r="C1048" i="9"/>
  <c r="P1047" i="9"/>
  <c r="O1047" i="9"/>
  <c r="N1047" i="9"/>
  <c r="M1047" i="9"/>
  <c r="I1047" i="9"/>
  <c r="C1047" i="9"/>
  <c r="P1046" i="9"/>
  <c r="O1046" i="9"/>
  <c r="N1046" i="9"/>
  <c r="M1046" i="9"/>
  <c r="I1046" i="9"/>
  <c r="C1046" i="9"/>
  <c r="P1045" i="9"/>
  <c r="O1045" i="9"/>
  <c r="N1045" i="9"/>
  <c r="M1045" i="9"/>
  <c r="I1045" i="9"/>
  <c r="C1045" i="9"/>
  <c r="P1044" i="9"/>
  <c r="O1044" i="9"/>
  <c r="N1044" i="9"/>
  <c r="M1044" i="9"/>
  <c r="I1044" i="9"/>
  <c r="C1044" i="9"/>
  <c r="P1043" i="9"/>
  <c r="O1043" i="9"/>
  <c r="N1043" i="9"/>
  <c r="M1043" i="9"/>
  <c r="I1043" i="9"/>
  <c r="C1043" i="9"/>
  <c r="P1042" i="9"/>
  <c r="O1042" i="9"/>
  <c r="N1042" i="9"/>
  <c r="M1042" i="9"/>
  <c r="I1042" i="9"/>
  <c r="C1042" i="9"/>
  <c r="P1041" i="9"/>
  <c r="O1041" i="9"/>
  <c r="N1041" i="9"/>
  <c r="M1041" i="9"/>
  <c r="I1041" i="9"/>
  <c r="C1041" i="9"/>
  <c r="P1040" i="9"/>
  <c r="O1040" i="9"/>
  <c r="N1040" i="9"/>
  <c r="M1040" i="9"/>
  <c r="I1040" i="9"/>
  <c r="C1040" i="9"/>
  <c r="P1039" i="9"/>
  <c r="O1039" i="9"/>
  <c r="N1039" i="9"/>
  <c r="M1039" i="9"/>
  <c r="I1039" i="9"/>
  <c r="C1039" i="9"/>
  <c r="P1038" i="9"/>
  <c r="O1038" i="9"/>
  <c r="N1038" i="9"/>
  <c r="M1038" i="9"/>
  <c r="I1038" i="9"/>
  <c r="C1038" i="9"/>
  <c r="P1037" i="9"/>
  <c r="O1037" i="9"/>
  <c r="N1037" i="9"/>
  <c r="M1037" i="9"/>
  <c r="I1037" i="9"/>
  <c r="C1037" i="9"/>
  <c r="P1036" i="9"/>
  <c r="O1036" i="9"/>
  <c r="N1036" i="9"/>
  <c r="M1036" i="9"/>
  <c r="I1036" i="9"/>
  <c r="C1036" i="9"/>
  <c r="P1035" i="9"/>
  <c r="O1035" i="9"/>
  <c r="N1035" i="9"/>
  <c r="M1035" i="9"/>
  <c r="I1035" i="9"/>
  <c r="C1035" i="9"/>
  <c r="P1034" i="9"/>
  <c r="O1034" i="9"/>
  <c r="N1034" i="9"/>
  <c r="M1034" i="9"/>
  <c r="I1034" i="9"/>
  <c r="C1034" i="9"/>
  <c r="P1033" i="9"/>
  <c r="O1033" i="9"/>
  <c r="N1033" i="9"/>
  <c r="M1033" i="9"/>
  <c r="I1033" i="9"/>
  <c r="C1033" i="9"/>
  <c r="P1032" i="9"/>
  <c r="O1032" i="9"/>
  <c r="N1032" i="9"/>
  <c r="M1032" i="9"/>
  <c r="I1032" i="9"/>
  <c r="C1032" i="9"/>
  <c r="P1031" i="9"/>
  <c r="O1031" i="9"/>
  <c r="N1031" i="9"/>
  <c r="M1031" i="9"/>
  <c r="I1031" i="9"/>
  <c r="C1031" i="9"/>
  <c r="P1030" i="9"/>
  <c r="O1030" i="9"/>
  <c r="N1030" i="9"/>
  <c r="M1030" i="9"/>
  <c r="I1030" i="9"/>
  <c r="C1030" i="9"/>
  <c r="P1029" i="9"/>
  <c r="O1029" i="9"/>
  <c r="N1029" i="9"/>
  <c r="M1029" i="9"/>
  <c r="I1029" i="9"/>
  <c r="C1029" i="9"/>
  <c r="P1028" i="9"/>
  <c r="O1028" i="9"/>
  <c r="N1028" i="9"/>
  <c r="M1028" i="9"/>
  <c r="I1028" i="9"/>
  <c r="C1028" i="9"/>
  <c r="P1027" i="9"/>
  <c r="O1027" i="9"/>
  <c r="N1027" i="9"/>
  <c r="M1027" i="9"/>
  <c r="I1027" i="9"/>
  <c r="C1027" i="9"/>
  <c r="P1026" i="9"/>
  <c r="O1026" i="9"/>
  <c r="N1026" i="9"/>
  <c r="M1026" i="9"/>
  <c r="I1026" i="9"/>
  <c r="C1026" i="9"/>
  <c r="P1025" i="9"/>
  <c r="O1025" i="9"/>
  <c r="N1025" i="9"/>
  <c r="M1025" i="9"/>
  <c r="I1025" i="9"/>
  <c r="C1025" i="9"/>
  <c r="P1024" i="9"/>
  <c r="O1024" i="9"/>
  <c r="N1024" i="9"/>
  <c r="M1024" i="9"/>
  <c r="I1024" i="9"/>
  <c r="C1024" i="9"/>
  <c r="P1023" i="9"/>
  <c r="O1023" i="9"/>
  <c r="N1023" i="9"/>
  <c r="M1023" i="9"/>
  <c r="I1023" i="9"/>
  <c r="C1023" i="9"/>
  <c r="P1022" i="9"/>
  <c r="O1022" i="9"/>
  <c r="N1022" i="9"/>
  <c r="M1022" i="9"/>
  <c r="I1022" i="9"/>
  <c r="C1022" i="9"/>
  <c r="P1021" i="9"/>
  <c r="O1021" i="9"/>
  <c r="N1021" i="9"/>
  <c r="M1021" i="9"/>
  <c r="I1021" i="9"/>
  <c r="C1021" i="9"/>
  <c r="P1020" i="9"/>
  <c r="O1020" i="9"/>
  <c r="N1020" i="9"/>
  <c r="M1020" i="9"/>
  <c r="I1020" i="9"/>
  <c r="C1020" i="9"/>
  <c r="P1019" i="9"/>
  <c r="O1019" i="9"/>
  <c r="N1019" i="9"/>
  <c r="M1019" i="9"/>
  <c r="I1019" i="9"/>
  <c r="C1019" i="9"/>
  <c r="P1018" i="9"/>
  <c r="O1018" i="9"/>
  <c r="N1018" i="9"/>
  <c r="M1018" i="9"/>
  <c r="I1018" i="9"/>
  <c r="C1018" i="9"/>
  <c r="P1017" i="9"/>
  <c r="O1017" i="9"/>
  <c r="N1017" i="9"/>
  <c r="M1017" i="9"/>
  <c r="I1017" i="9"/>
  <c r="C1017" i="9"/>
  <c r="P1016" i="9"/>
  <c r="O1016" i="9"/>
  <c r="N1016" i="9"/>
  <c r="M1016" i="9"/>
  <c r="I1016" i="9"/>
  <c r="C1016" i="9"/>
  <c r="P1015" i="9"/>
  <c r="O1015" i="9"/>
  <c r="N1015" i="9"/>
  <c r="M1015" i="9"/>
  <c r="I1015" i="9"/>
  <c r="C1015" i="9"/>
  <c r="P1014" i="9"/>
  <c r="O1014" i="9"/>
  <c r="N1014" i="9"/>
  <c r="M1014" i="9"/>
  <c r="I1014" i="9"/>
  <c r="C1014" i="9"/>
  <c r="P1013" i="9"/>
  <c r="O1013" i="9"/>
  <c r="N1013" i="9"/>
  <c r="M1013" i="9"/>
  <c r="I1013" i="9"/>
  <c r="C1013" i="9"/>
  <c r="P1012" i="9"/>
  <c r="O1012" i="9"/>
  <c r="N1012" i="9"/>
  <c r="M1012" i="9"/>
  <c r="I1012" i="9"/>
  <c r="C1012" i="9"/>
  <c r="P1011" i="9"/>
  <c r="O1011" i="9"/>
  <c r="N1011" i="9"/>
  <c r="M1011" i="9"/>
  <c r="I1011" i="9"/>
  <c r="C1011" i="9"/>
  <c r="P1010" i="9"/>
  <c r="O1010" i="9"/>
  <c r="N1010" i="9"/>
  <c r="M1010" i="9"/>
  <c r="I1010" i="9"/>
  <c r="C1010" i="9"/>
  <c r="P1009" i="9"/>
  <c r="O1009" i="9"/>
  <c r="N1009" i="9"/>
  <c r="M1009" i="9"/>
  <c r="I1009" i="9"/>
  <c r="C1009" i="9"/>
  <c r="P1008" i="9"/>
  <c r="O1008" i="9"/>
  <c r="N1008" i="9"/>
  <c r="M1008" i="9"/>
  <c r="I1008" i="9"/>
  <c r="C1008" i="9"/>
  <c r="P1007" i="9"/>
  <c r="O1007" i="9"/>
  <c r="N1007" i="9"/>
  <c r="M1007" i="9"/>
  <c r="I1007" i="9"/>
  <c r="C1007" i="9"/>
  <c r="P1006" i="9"/>
  <c r="O1006" i="9"/>
  <c r="N1006" i="9"/>
  <c r="M1006" i="9"/>
  <c r="I1006" i="9"/>
  <c r="C1006" i="9"/>
  <c r="P1005" i="9"/>
  <c r="O1005" i="9"/>
  <c r="N1005" i="9"/>
  <c r="M1005" i="9"/>
  <c r="I1005" i="9"/>
  <c r="C1005" i="9"/>
  <c r="P1004" i="9"/>
  <c r="O1004" i="9"/>
  <c r="N1004" i="9"/>
  <c r="M1004" i="9"/>
  <c r="I1004" i="9"/>
  <c r="C1004" i="9"/>
  <c r="P1003" i="9"/>
  <c r="O1003" i="9"/>
  <c r="N1003" i="9"/>
  <c r="M1003" i="9"/>
  <c r="I1003" i="9"/>
  <c r="C1003" i="9"/>
  <c r="P1002" i="9"/>
  <c r="O1002" i="9"/>
  <c r="N1002" i="9"/>
  <c r="M1002" i="9"/>
  <c r="I1002" i="9"/>
  <c r="C1002" i="9"/>
  <c r="P1001" i="9"/>
  <c r="O1001" i="9"/>
  <c r="N1001" i="9"/>
  <c r="M1001" i="9"/>
  <c r="I1001" i="9"/>
  <c r="C1001" i="9"/>
  <c r="P1000" i="9"/>
  <c r="O1000" i="9"/>
  <c r="N1000" i="9"/>
  <c r="M1000" i="9"/>
  <c r="I1000" i="9"/>
  <c r="C1000" i="9"/>
  <c r="P999" i="9"/>
  <c r="O999" i="9"/>
  <c r="N999" i="9"/>
  <c r="M999" i="9"/>
  <c r="I999" i="9"/>
  <c r="C999" i="9"/>
  <c r="P998" i="9"/>
  <c r="O998" i="9"/>
  <c r="N998" i="9"/>
  <c r="M998" i="9"/>
  <c r="I998" i="9"/>
  <c r="C998" i="9"/>
  <c r="P997" i="9"/>
  <c r="O997" i="9"/>
  <c r="N997" i="9"/>
  <c r="M997" i="9"/>
  <c r="I997" i="9"/>
  <c r="C997" i="9"/>
  <c r="P996" i="9"/>
  <c r="O996" i="9"/>
  <c r="N996" i="9"/>
  <c r="M996" i="9"/>
  <c r="I996" i="9"/>
  <c r="C996" i="9"/>
  <c r="P995" i="9"/>
  <c r="O995" i="9"/>
  <c r="N995" i="9"/>
  <c r="M995" i="9"/>
  <c r="I995" i="9"/>
  <c r="C995" i="9"/>
  <c r="P994" i="9"/>
  <c r="O994" i="9"/>
  <c r="N994" i="9"/>
  <c r="M994" i="9"/>
  <c r="I994" i="9"/>
  <c r="C994" i="9"/>
  <c r="P993" i="9"/>
  <c r="O993" i="9"/>
  <c r="N993" i="9"/>
  <c r="M993" i="9"/>
  <c r="I993" i="9"/>
  <c r="C993" i="9"/>
  <c r="P992" i="9"/>
  <c r="O992" i="9"/>
  <c r="N992" i="9"/>
  <c r="M992" i="9"/>
  <c r="I992" i="9"/>
  <c r="C992" i="9"/>
  <c r="P991" i="9"/>
  <c r="O991" i="9"/>
  <c r="N991" i="9"/>
  <c r="M991" i="9"/>
  <c r="I991" i="9"/>
  <c r="C991" i="9"/>
  <c r="P990" i="9"/>
  <c r="O990" i="9"/>
  <c r="N990" i="9"/>
  <c r="M990" i="9"/>
  <c r="I990" i="9"/>
  <c r="C990" i="9"/>
  <c r="P989" i="9"/>
  <c r="O989" i="9"/>
  <c r="N989" i="9"/>
  <c r="M989" i="9"/>
  <c r="I989" i="9"/>
  <c r="C989" i="9"/>
  <c r="P988" i="9"/>
  <c r="O988" i="9"/>
  <c r="N988" i="9"/>
  <c r="M988" i="9"/>
  <c r="I988" i="9"/>
  <c r="C988" i="9"/>
  <c r="P987" i="9"/>
  <c r="O987" i="9"/>
  <c r="N987" i="9"/>
  <c r="M987" i="9"/>
  <c r="I987" i="9"/>
  <c r="C987" i="9"/>
  <c r="P986" i="9"/>
  <c r="O986" i="9"/>
  <c r="N986" i="9"/>
  <c r="M986" i="9"/>
  <c r="I986" i="9"/>
  <c r="C986" i="9"/>
  <c r="P985" i="9"/>
  <c r="O985" i="9"/>
  <c r="N985" i="9"/>
  <c r="M985" i="9"/>
  <c r="I985" i="9"/>
  <c r="C985" i="9"/>
  <c r="P984" i="9"/>
  <c r="O984" i="9"/>
  <c r="N984" i="9"/>
  <c r="M984" i="9"/>
  <c r="I984" i="9"/>
  <c r="C984" i="9"/>
  <c r="P983" i="9"/>
  <c r="O983" i="9"/>
  <c r="N983" i="9"/>
  <c r="M983" i="9"/>
  <c r="I983" i="9"/>
  <c r="C983" i="9"/>
  <c r="P982" i="9"/>
  <c r="O982" i="9"/>
  <c r="N982" i="9"/>
  <c r="M982" i="9"/>
  <c r="I982" i="9"/>
  <c r="C982" i="9"/>
  <c r="P981" i="9"/>
  <c r="O981" i="9"/>
  <c r="N981" i="9"/>
  <c r="M981" i="9"/>
  <c r="I981" i="9"/>
  <c r="C981" i="9"/>
  <c r="P980" i="9"/>
  <c r="O980" i="9"/>
  <c r="N980" i="9"/>
  <c r="M980" i="9"/>
  <c r="I980" i="9"/>
  <c r="C980" i="9"/>
  <c r="P979" i="9"/>
  <c r="O979" i="9"/>
  <c r="N979" i="9"/>
  <c r="M979" i="9"/>
  <c r="I979" i="9"/>
  <c r="C979" i="9"/>
  <c r="P978" i="9"/>
  <c r="O978" i="9"/>
  <c r="N978" i="9"/>
  <c r="M978" i="9"/>
  <c r="I978" i="9"/>
  <c r="C978" i="9"/>
  <c r="P977" i="9"/>
  <c r="O977" i="9"/>
  <c r="N977" i="9"/>
  <c r="M977" i="9"/>
  <c r="I977" i="9"/>
  <c r="C977" i="9"/>
  <c r="P976" i="9"/>
  <c r="O976" i="9"/>
  <c r="N976" i="9"/>
  <c r="M976" i="9"/>
  <c r="I976" i="9"/>
  <c r="C976" i="9"/>
  <c r="P975" i="9"/>
  <c r="O975" i="9"/>
  <c r="N975" i="9"/>
  <c r="M975" i="9"/>
  <c r="I975" i="9"/>
  <c r="C975" i="9"/>
  <c r="P974" i="9"/>
  <c r="O974" i="9"/>
  <c r="N974" i="9"/>
  <c r="M974" i="9"/>
  <c r="I974" i="9"/>
  <c r="C974" i="9"/>
  <c r="P973" i="9"/>
  <c r="O973" i="9"/>
  <c r="N973" i="9"/>
  <c r="M973" i="9"/>
  <c r="I973" i="9"/>
  <c r="C973" i="9"/>
  <c r="P972" i="9"/>
  <c r="O972" i="9"/>
  <c r="N972" i="9"/>
  <c r="M972" i="9"/>
  <c r="I972" i="9"/>
  <c r="C972" i="9"/>
  <c r="P971" i="9"/>
  <c r="O971" i="9"/>
  <c r="N971" i="9"/>
  <c r="M971" i="9"/>
  <c r="I971" i="9"/>
  <c r="C971" i="9"/>
  <c r="P970" i="9"/>
  <c r="O970" i="9"/>
  <c r="N970" i="9"/>
  <c r="M970" i="9"/>
  <c r="I970" i="9"/>
  <c r="C970" i="9"/>
  <c r="P969" i="9"/>
  <c r="O969" i="9"/>
  <c r="N969" i="9"/>
  <c r="M969" i="9"/>
  <c r="I969" i="9"/>
  <c r="C969" i="9"/>
  <c r="P968" i="9"/>
  <c r="O968" i="9"/>
  <c r="N968" i="9"/>
  <c r="M968" i="9"/>
  <c r="I968" i="9"/>
  <c r="C968" i="9"/>
  <c r="P967" i="9"/>
  <c r="O967" i="9"/>
  <c r="N967" i="9"/>
  <c r="M967" i="9"/>
  <c r="I967" i="9"/>
  <c r="C967" i="9"/>
  <c r="P966" i="9"/>
  <c r="O966" i="9"/>
  <c r="N966" i="9"/>
  <c r="M966" i="9"/>
  <c r="I966" i="9"/>
  <c r="C966" i="9"/>
  <c r="P965" i="9"/>
  <c r="O965" i="9"/>
  <c r="N965" i="9"/>
  <c r="M965" i="9"/>
  <c r="I965" i="9"/>
  <c r="C965" i="9"/>
  <c r="P964" i="9"/>
  <c r="O964" i="9"/>
  <c r="N964" i="9"/>
  <c r="M964" i="9"/>
  <c r="I964" i="9"/>
  <c r="C964" i="9"/>
  <c r="P963" i="9"/>
  <c r="O963" i="9"/>
  <c r="N963" i="9"/>
  <c r="M963" i="9"/>
  <c r="I963" i="9"/>
  <c r="C963" i="9"/>
  <c r="P962" i="9"/>
  <c r="O962" i="9"/>
  <c r="N962" i="9"/>
  <c r="M962" i="9"/>
  <c r="I962" i="9"/>
  <c r="C962" i="9"/>
  <c r="P961" i="9"/>
  <c r="O961" i="9"/>
  <c r="N961" i="9"/>
  <c r="M961" i="9"/>
  <c r="I961" i="9"/>
  <c r="C961" i="9"/>
  <c r="P960" i="9"/>
  <c r="O960" i="9"/>
  <c r="N960" i="9"/>
  <c r="M960" i="9"/>
  <c r="I960" i="9"/>
  <c r="C960" i="9"/>
  <c r="P959" i="9"/>
  <c r="O959" i="9"/>
  <c r="N959" i="9"/>
  <c r="M959" i="9"/>
  <c r="I959" i="9"/>
  <c r="C959" i="9"/>
  <c r="P958" i="9"/>
  <c r="O958" i="9"/>
  <c r="N958" i="9"/>
  <c r="M958" i="9"/>
  <c r="I958" i="9"/>
  <c r="C958" i="9"/>
  <c r="P957" i="9"/>
  <c r="O957" i="9"/>
  <c r="N957" i="9"/>
  <c r="M957" i="9"/>
  <c r="I957" i="9"/>
  <c r="C957" i="9"/>
  <c r="P956" i="9"/>
  <c r="O956" i="9"/>
  <c r="N956" i="9"/>
  <c r="M956" i="9"/>
  <c r="I956" i="9"/>
  <c r="C956" i="9"/>
  <c r="P955" i="9"/>
  <c r="O955" i="9"/>
  <c r="N955" i="9"/>
  <c r="M955" i="9"/>
  <c r="I955" i="9"/>
  <c r="C955" i="9"/>
  <c r="P954" i="9"/>
  <c r="O954" i="9"/>
  <c r="N954" i="9"/>
  <c r="M954" i="9"/>
  <c r="I954" i="9"/>
  <c r="C954" i="9"/>
  <c r="P953" i="9"/>
  <c r="O953" i="9"/>
  <c r="N953" i="9"/>
  <c r="M953" i="9"/>
  <c r="I953" i="9"/>
  <c r="C953" i="9"/>
  <c r="P952" i="9"/>
  <c r="O952" i="9"/>
  <c r="N952" i="9"/>
  <c r="M952" i="9"/>
  <c r="I952" i="9"/>
  <c r="C952" i="9"/>
  <c r="P951" i="9"/>
  <c r="O951" i="9"/>
  <c r="N951" i="9"/>
  <c r="M951" i="9"/>
  <c r="I951" i="9"/>
  <c r="C951" i="9"/>
  <c r="P950" i="9"/>
  <c r="O950" i="9"/>
  <c r="N950" i="9"/>
  <c r="M950" i="9"/>
  <c r="I950" i="9"/>
  <c r="C950" i="9"/>
  <c r="P949" i="9"/>
  <c r="O949" i="9"/>
  <c r="N949" i="9"/>
  <c r="M949" i="9"/>
  <c r="I949" i="9"/>
  <c r="C949" i="9"/>
  <c r="P948" i="9"/>
  <c r="O948" i="9"/>
  <c r="N948" i="9"/>
  <c r="M948" i="9"/>
  <c r="I948" i="9"/>
  <c r="C948" i="9"/>
  <c r="P947" i="9"/>
  <c r="O947" i="9"/>
  <c r="N947" i="9"/>
  <c r="M947" i="9"/>
  <c r="I947" i="9"/>
  <c r="C947" i="9"/>
  <c r="P946" i="9"/>
  <c r="O946" i="9"/>
  <c r="N946" i="9"/>
  <c r="M946" i="9"/>
  <c r="I946" i="9"/>
  <c r="C946" i="9"/>
  <c r="P945" i="9"/>
  <c r="O945" i="9"/>
  <c r="N945" i="9"/>
  <c r="M945" i="9"/>
  <c r="I945" i="9"/>
  <c r="C945" i="9"/>
  <c r="P944" i="9"/>
  <c r="O944" i="9"/>
  <c r="N944" i="9"/>
  <c r="M944" i="9"/>
  <c r="I944" i="9"/>
  <c r="C944" i="9"/>
  <c r="P943" i="9"/>
  <c r="O943" i="9"/>
  <c r="N943" i="9"/>
  <c r="M943" i="9"/>
  <c r="I943" i="9"/>
  <c r="C943" i="9"/>
  <c r="P942" i="9"/>
  <c r="O942" i="9"/>
  <c r="N942" i="9"/>
  <c r="M942" i="9"/>
  <c r="I942" i="9"/>
  <c r="C942" i="9"/>
  <c r="P941" i="9"/>
  <c r="O941" i="9"/>
  <c r="N941" i="9"/>
  <c r="M941" i="9"/>
  <c r="I941" i="9"/>
  <c r="C941" i="9"/>
  <c r="P940" i="9"/>
  <c r="O940" i="9"/>
  <c r="N940" i="9"/>
  <c r="M940" i="9"/>
  <c r="I940" i="9"/>
  <c r="C940" i="9"/>
  <c r="P939" i="9"/>
  <c r="O939" i="9"/>
  <c r="N939" i="9"/>
  <c r="M939" i="9"/>
  <c r="I939" i="9"/>
  <c r="C939" i="9"/>
  <c r="P938" i="9"/>
  <c r="O938" i="9"/>
  <c r="N938" i="9"/>
  <c r="M938" i="9"/>
  <c r="I938" i="9"/>
  <c r="C938" i="9"/>
  <c r="P937" i="9"/>
  <c r="O937" i="9"/>
  <c r="N937" i="9"/>
  <c r="M937" i="9"/>
  <c r="I937" i="9"/>
  <c r="C937" i="9"/>
  <c r="P936" i="9"/>
  <c r="O936" i="9"/>
  <c r="N936" i="9"/>
  <c r="M936" i="9"/>
  <c r="I936" i="9"/>
  <c r="C936" i="9"/>
  <c r="P935" i="9"/>
  <c r="O935" i="9"/>
  <c r="N935" i="9"/>
  <c r="M935" i="9"/>
  <c r="I935" i="9"/>
  <c r="C935" i="9"/>
  <c r="P934" i="9"/>
  <c r="O934" i="9"/>
  <c r="N934" i="9"/>
  <c r="M934" i="9"/>
  <c r="I934" i="9"/>
  <c r="C934" i="9"/>
  <c r="P933" i="9"/>
  <c r="O933" i="9"/>
  <c r="N933" i="9"/>
  <c r="M933" i="9"/>
  <c r="I933" i="9"/>
  <c r="C933" i="9"/>
  <c r="P932" i="9"/>
  <c r="O932" i="9"/>
  <c r="N932" i="9"/>
  <c r="M932" i="9"/>
  <c r="I932" i="9"/>
  <c r="C932" i="9"/>
  <c r="P931" i="9"/>
  <c r="O931" i="9"/>
  <c r="N931" i="9"/>
  <c r="M931" i="9"/>
  <c r="I931" i="9"/>
  <c r="C931" i="9"/>
  <c r="P930" i="9"/>
  <c r="O930" i="9"/>
  <c r="N930" i="9"/>
  <c r="M930" i="9"/>
  <c r="I930" i="9"/>
  <c r="C930" i="9"/>
  <c r="P929" i="9"/>
  <c r="O929" i="9"/>
  <c r="N929" i="9"/>
  <c r="M929" i="9"/>
  <c r="I929" i="9"/>
  <c r="C929" i="9"/>
  <c r="P928" i="9"/>
  <c r="O928" i="9"/>
  <c r="N928" i="9"/>
  <c r="M928" i="9"/>
  <c r="I928" i="9"/>
  <c r="C928" i="9"/>
  <c r="P927" i="9"/>
  <c r="O927" i="9"/>
  <c r="N927" i="9"/>
  <c r="M927" i="9"/>
  <c r="I927" i="9"/>
  <c r="C927" i="9"/>
  <c r="P926" i="9"/>
  <c r="O926" i="9"/>
  <c r="N926" i="9"/>
  <c r="M926" i="9"/>
  <c r="I926" i="9"/>
  <c r="C926" i="9"/>
  <c r="P925" i="9"/>
  <c r="O925" i="9"/>
  <c r="N925" i="9"/>
  <c r="M925" i="9"/>
  <c r="I925" i="9"/>
  <c r="C925" i="9"/>
  <c r="P924" i="9"/>
  <c r="O924" i="9"/>
  <c r="N924" i="9"/>
  <c r="M924" i="9"/>
  <c r="I924" i="9"/>
  <c r="C924" i="9"/>
  <c r="P923" i="9"/>
  <c r="O923" i="9"/>
  <c r="N923" i="9"/>
  <c r="M923" i="9"/>
  <c r="I923" i="9"/>
  <c r="C923" i="9"/>
  <c r="P922" i="9"/>
  <c r="O922" i="9"/>
  <c r="N922" i="9"/>
  <c r="M922" i="9"/>
  <c r="I922" i="9"/>
  <c r="C922" i="9"/>
  <c r="P921" i="9"/>
  <c r="O921" i="9"/>
  <c r="N921" i="9"/>
  <c r="M921" i="9"/>
  <c r="I921" i="9"/>
  <c r="C921" i="9"/>
  <c r="P920" i="9"/>
  <c r="O920" i="9"/>
  <c r="N920" i="9"/>
  <c r="M920" i="9"/>
  <c r="I920" i="9"/>
  <c r="C920" i="9"/>
  <c r="P919" i="9"/>
  <c r="O919" i="9"/>
  <c r="N919" i="9"/>
  <c r="M919" i="9"/>
  <c r="I919" i="9"/>
  <c r="C919" i="9"/>
  <c r="P918" i="9"/>
  <c r="O918" i="9"/>
  <c r="N918" i="9"/>
  <c r="M918" i="9"/>
  <c r="I918" i="9"/>
  <c r="C918" i="9"/>
  <c r="P917" i="9"/>
  <c r="O917" i="9"/>
  <c r="N917" i="9"/>
  <c r="M917" i="9"/>
  <c r="I917" i="9"/>
  <c r="C917" i="9"/>
  <c r="P916" i="9"/>
  <c r="O916" i="9"/>
  <c r="N916" i="9"/>
  <c r="M916" i="9"/>
  <c r="I916" i="9"/>
  <c r="C916" i="9"/>
  <c r="P915" i="9"/>
  <c r="O915" i="9"/>
  <c r="N915" i="9"/>
  <c r="M915" i="9"/>
  <c r="I915" i="9"/>
  <c r="C915" i="9"/>
  <c r="P914" i="9"/>
  <c r="O914" i="9"/>
  <c r="N914" i="9"/>
  <c r="M914" i="9"/>
  <c r="I914" i="9"/>
  <c r="C914" i="9"/>
  <c r="P913" i="9"/>
  <c r="O913" i="9"/>
  <c r="N913" i="9"/>
  <c r="M913" i="9"/>
  <c r="I913" i="9"/>
  <c r="C913" i="9"/>
  <c r="P912" i="9"/>
  <c r="O912" i="9"/>
  <c r="N912" i="9"/>
  <c r="M912" i="9"/>
  <c r="I912" i="9"/>
  <c r="C912" i="9"/>
  <c r="P911" i="9"/>
  <c r="O911" i="9"/>
  <c r="N911" i="9"/>
  <c r="M911" i="9"/>
  <c r="I911" i="9"/>
  <c r="C911" i="9"/>
  <c r="P910" i="9"/>
  <c r="O910" i="9"/>
  <c r="N910" i="9"/>
  <c r="M910" i="9"/>
  <c r="I910" i="9"/>
  <c r="C910" i="9"/>
  <c r="P909" i="9"/>
  <c r="O909" i="9"/>
  <c r="N909" i="9"/>
  <c r="M909" i="9"/>
  <c r="I909" i="9"/>
  <c r="C909" i="9"/>
  <c r="P908" i="9"/>
  <c r="O908" i="9"/>
  <c r="N908" i="9"/>
  <c r="M908" i="9"/>
  <c r="I908" i="9"/>
  <c r="C908" i="9"/>
  <c r="P907" i="9"/>
  <c r="O907" i="9"/>
  <c r="N907" i="9"/>
  <c r="M907" i="9"/>
  <c r="I907" i="9"/>
  <c r="C907" i="9"/>
  <c r="P906" i="9"/>
  <c r="O906" i="9"/>
  <c r="N906" i="9"/>
  <c r="M906" i="9"/>
  <c r="I906" i="9"/>
  <c r="C906" i="9"/>
  <c r="P905" i="9"/>
  <c r="O905" i="9"/>
  <c r="N905" i="9"/>
  <c r="M905" i="9"/>
  <c r="I905" i="9"/>
  <c r="C905" i="9"/>
  <c r="P904" i="9"/>
  <c r="O904" i="9"/>
  <c r="N904" i="9"/>
  <c r="M904" i="9"/>
  <c r="I904" i="9"/>
  <c r="C904" i="9"/>
  <c r="P903" i="9"/>
  <c r="O903" i="9"/>
  <c r="N903" i="9"/>
  <c r="M903" i="9"/>
  <c r="I903" i="9"/>
  <c r="C903" i="9"/>
  <c r="P902" i="9"/>
  <c r="O902" i="9"/>
  <c r="N902" i="9"/>
  <c r="M902" i="9"/>
  <c r="I902" i="9"/>
  <c r="C902" i="9"/>
  <c r="P901" i="9"/>
  <c r="O901" i="9"/>
  <c r="N901" i="9"/>
  <c r="M901" i="9"/>
  <c r="I901" i="9"/>
  <c r="C901" i="9"/>
  <c r="P900" i="9"/>
  <c r="O900" i="9"/>
  <c r="N900" i="9"/>
  <c r="M900" i="9"/>
  <c r="I900" i="9"/>
  <c r="C900" i="9"/>
  <c r="P899" i="9"/>
  <c r="O899" i="9"/>
  <c r="N899" i="9"/>
  <c r="M899" i="9"/>
  <c r="I899" i="9"/>
  <c r="C899" i="9"/>
  <c r="P898" i="9"/>
  <c r="O898" i="9"/>
  <c r="N898" i="9"/>
  <c r="M898" i="9"/>
  <c r="I898" i="9"/>
  <c r="C898" i="9"/>
  <c r="P897" i="9"/>
  <c r="O897" i="9"/>
  <c r="N897" i="9"/>
  <c r="M897" i="9"/>
  <c r="I897" i="9"/>
  <c r="C897" i="9"/>
  <c r="P896" i="9"/>
  <c r="O896" i="9"/>
  <c r="N896" i="9"/>
  <c r="M896" i="9"/>
  <c r="I896" i="9"/>
  <c r="C896" i="9"/>
  <c r="P895" i="9"/>
  <c r="O895" i="9"/>
  <c r="N895" i="9"/>
  <c r="M895" i="9"/>
  <c r="I895" i="9"/>
  <c r="C895" i="9"/>
  <c r="P894" i="9"/>
  <c r="O894" i="9"/>
  <c r="N894" i="9"/>
  <c r="M894" i="9"/>
  <c r="I894" i="9"/>
  <c r="C894" i="9"/>
  <c r="P893" i="9"/>
  <c r="O893" i="9"/>
  <c r="N893" i="9"/>
  <c r="M893" i="9"/>
  <c r="I893" i="9"/>
  <c r="C893" i="9"/>
  <c r="P892" i="9"/>
  <c r="O892" i="9"/>
  <c r="N892" i="9"/>
  <c r="M892" i="9"/>
  <c r="I892" i="9"/>
  <c r="C892" i="9"/>
  <c r="P891" i="9"/>
  <c r="O891" i="9"/>
  <c r="N891" i="9"/>
  <c r="M891" i="9"/>
  <c r="I891" i="9"/>
  <c r="C891" i="9"/>
  <c r="P890" i="9"/>
  <c r="O890" i="9"/>
  <c r="N890" i="9"/>
  <c r="M890" i="9"/>
  <c r="I890" i="9"/>
  <c r="C890" i="9"/>
  <c r="P889" i="9"/>
  <c r="O889" i="9"/>
  <c r="N889" i="9"/>
  <c r="M889" i="9"/>
  <c r="I889" i="9"/>
  <c r="C889" i="9"/>
  <c r="P888" i="9"/>
  <c r="O888" i="9"/>
  <c r="N888" i="9"/>
  <c r="M888" i="9"/>
  <c r="I888" i="9"/>
  <c r="C888" i="9"/>
  <c r="P887" i="9"/>
  <c r="O887" i="9"/>
  <c r="N887" i="9"/>
  <c r="M887" i="9"/>
  <c r="I887" i="9"/>
  <c r="C887" i="9"/>
  <c r="P886" i="9"/>
  <c r="O886" i="9"/>
  <c r="N886" i="9"/>
  <c r="M886" i="9"/>
  <c r="I886" i="9"/>
  <c r="C886" i="9"/>
  <c r="P885" i="9"/>
  <c r="O885" i="9"/>
  <c r="N885" i="9"/>
  <c r="M885" i="9"/>
  <c r="I885" i="9"/>
  <c r="C885" i="9"/>
  <c r="P884" i="9"/>
  <c r="O884" i="9"/>
  <c r="N884" i="9"/>
  <c r="M884" i="9"/>
  <c r="I884" i="9"/>
  <c r="C884" i="9"/>
  <c r="P883" i="9"/>
  <c r="O883" i="9"/>
  <c r="N883" i="9"/>
  <c r="M883" i="9"/>
  <c r="I883" i="9"/>
  <c r="C883" i="9"/>
  <c r="P882" i="9"/>
  <c r="O882" i="9"/>
  <c r="N882" i="9"/>
  <c r="M882" i="9"/>
  <c r="I882" i="9"/>
  <c r="C882" i="9"/>
  <c r="P881" i="9"/>
  <c r="O881" i="9"/>
  <c r="N881" i="9"/>
  <c r="M881" i="9"/>
  <c r="I881" i="9"/>
  <c r="C881" i="9"/>
  <c r="P880" i="9"/>
  <c r="O880" i="9"/>
  <c r="N880" i="9"/>
  <c r="M880" i="9"/>
  <c r="I880" i="9"/>
  <c r="C880" i="9"/>
  <c r="P879" i="9"/>
  <c r="O879" i="9"/>
  <c r="N879" i="9"/>
  <c r="M879" i="9"/>
  <c r="I879" i="9"/>
  <c r="C879" i="9"/>
  <c r="P878" i="9"/>
  <c r="O878" i="9"/>
  <c r="N878" i="9"/>
  <c r="M878" i="9"/>
  <c r="I878" i="9"/>
  <c r="C878" i="9"/>
  <c r="P877" i="9"/>
  <c r="O877" i="9"/>
  <c r="N877" i="9"/>
  <c r="M877" i="9"/>
  <c r="I877" i="9"/>
  <c r="C877" i="9"/>
  <c r="P876" i="9"/>
  <c r="O876" i="9"/>
  <c r="N876" i="9"/>
  <c r="M876" i="9"/>
  <c r="I876" i="9"/>
  <c r="C876" i="9"/>
  <c r="P875" i="9"/>
  <c r="O875" i="9"/>
  <c r="N875" i="9"/>
  <c r="M875" i="9"/>
  <c r="I875" i="9"/>
  <c r="C875" i="9"/>
  <c r="P874" i="9"/>
  <c r="O874" i="9"/>
  <c r="N874" i="9"/>
  <c r="M874" i="9"/>
  <c r="I874" i="9"/>
  <c r="C874" i="9"/>
  <c r="P873" i="9"/>
  <c r="O873" i="9"/>
  <c r="N873" i="9"/>
  <c r="M873" i="9"/>
  <c r="I873" i="9"/>
  <c r="C873" i="9"/>
  <c r="P872" i="9"/>
  <c r="O872" i="9"/>
  <c r="N872" i="9"/>
  <c r="M872" i="9"/>
  <c r="I872" i="9"/>
  <c r="C872" i="9"/>
  <c r="P871" i="9"/>
  <c r="O871" i="9"/>
  <c r="N871" i="9"/>
  <c r="M871" i="9"/>
  <c r="I871" i="9"/>
  <c r="C871" i="9"/>
  <c r="P870" i="9"/>
  <c r="O870" i="9"/>
  <c r="N870" i="9"/>
  <c r="M870" i="9"/>
  <c r="I870" i="9"/>
  <c r="C870" i="9"/>
  <c r="P869" i="9"/>
  <c r="O869" i="9"/>
  <c r="N869" i="9"/>
  <c r="M869" i="9"/>
  <c r="I869" i="9"/>
  <c r="C869" i="9"/>
  <c r="P868" i="9"/>
  <c r="O868" i="9"/>
  <c r="N868" i="9"/>
  <c r="M868" i="9"/>
  <c r="I868" i="9"/>
  <c r="C868" i="9"/>
  <c r="P867" i="9"/>
  <c r="O867" i="9"/>
  <c r="N867" i="9"/>
  <c r="M867" i="9"/>
  <c r="I867" i="9"/>
  <c r="C867" i="9"/>
  <c r="P866" i="9"/>
  <c r="O866" i="9"/>
  <c r="N866" i="9"/>
  <c r="M866" i="9"/>
  <c r="I866" i="9"/>
  <c r="C866" i="9"/>
  <c r="P865" i="9"/>
  <c r="O865" i="9"/>
  <c r="N865" i="9"/>
  <c r="M865" i="9"/>
  <c r="I865" i="9"/>
  <c r="C865" i="9"/>
  <c r="P864" i="9"/>
  <c r="O864" i="9"/>
  <c r="N864" i="9"/>
  <c r="M864" i="9"/>
  <c r="I864" i="9"/>
  <c r="C864" i="9"/>
  <c r="P863" i="9"/>
  <c r="O863" i="9"/>
  <c r="N863" i="9"/>
  <c r="M863" i="9"/>
  <c r="I863" i="9"/>
  <c r="C863" i="9"/>
  <c r="P862" i="9"/>
  <c r="O862" i="9"/>
  <c r="N862" i="9"/>
  <c r="M862" i="9"/>
  <c r="I862" i="9"/>
  <c r="C862" i="9"/>
  <c r="P861" i="9"/>
  <c r="O861" i="9"/>
  <c r="N861" i="9"/>
  <c r="M861" i="9"/>
  <c r="I861" i="9"/>
  <c r="C861" i="9"/>
  <c r="P860" i="9"/>
  <c r="O860" i="9"/>
  <c r="N860" i="9"/>
  <c r="M860" i="9"/>
  <c r="I860" i="9"/>
  <c r="C860" i="9"/>
  <c r="P859" i="9"/>
  <c r="O859" i="9"/>
  <c r="N859" i="9"/>
  <c r="M859" i="9"/>
  <c r="I859" i="9"/>
  <c r="C859" i="9"/>
  <c r="P858" i="9"/>
  <c r="O858" i="9"/>
  <c r="N858" i="9"/>
  <c r="M858" i="9"/>
  <c r="I858" i="9"/>
  <c r="C858" i="9"/>
  <c r="P857" i="9"/>
  <c r="O857" i="9"/>
  <c r="N857" i="9"/>
  <c r="M857" i="9"/>
  <c r="I857" i="9"/>
  <c r="C857" i="9"/>
  <c r="P856" i="9"/>
  <c r="O856" i="9"/>
  <c r="N856" i="9"/>
  <c r="M856" i="9"/>
  <c r="I856" i="9"/>
  <c r="C856" i="9"/>
  <c r="P855" i="9"/>
  <c r="O855" i="9"/>
  <c r="N855" i="9"/>
  <c r="M855" i="9"/>
  <c r="I855" i="9"/>
  <c r="C855" i="9"/>
  <c r="P854" i="9"/>
  <c r="O854" i="9"/>
  <c r="N854" i="9"/>
  <c r="M854" i="9"/>
  <c r="I854" i="9"/>
  <c r="C854" i="9"/>
  <c r="P853" i="9"/>
  <c r="O853" i="9"/>
  <c r="N853" i="9"/>
  <c r="M853" i="9"/>
  <c r="I853" i="9"/>
  <c r="C853" i="9"/>
  <c r="P852" i="9"/>
  <c r="O852" i="9"/>
  <c r="N852" i="9"/>
  <c r="M852" i="9"/>
  <c r="I852" i="9"/>
  <c r="C852" i="9"/>
  <c r="P851" i="9"/>
  <c r="O851" i="9"/>
  <c r="N851" i="9"/>
  <c r="M851" i="9"/>
  <c r="I851" i="9"/>
  <c r="C851" i="9"/>
  <c r="P850" i="9"/>
  <c r="O850" i="9"/>
  <c r="N850" i="9"/>
  <c r="M850" i="9"/>
  <c r="I850" i="9"/>
  <c r="C850" i="9"/>
  <c r="P849" i="9"/>
  <c r="O849" i="9"/>
  <c r="N849" i="9"/>
  <c r="M849" i="9"/>
  <c r="I849" i="9"/>
  <c r="C849" i="9"/>
  <c r="P848" i="9"/>
  <c r="O848" i="9"/>
  <c r="N848" i="9"/>
  <c r="M848" i="9"/>
  <c r="I848" i="9"/>
  <c r="C848" i="9"/>
  <c r="P847" i="9"/>
  <c r="O847" i="9"/>
  <c r="N847" i="9"/>
  <c r="M847" i="9"/>
  <c r="I847" i="9"/>
  <c r="C847" i="9"/>
  <c r="P846" i="9"/>
  <c r="O846" i="9"/>
  <c r="N846" i="9"/>
  <c r="M846" i="9"/>
  <c r="I846" i="9"/>
  <c r="C846" i="9"/>
  <c r="P845" i="9"/>
  <c r="O845" i="9"/>
  <c r="N845" i="9"/>
  <c r="M845" i="9"/>
  <c r="I845" i="9"/>
  <c r="C845" i="9"/>
  <c r="P844" i="9"/>
  <c r="O844" i="9"/>
  <c r="N844" i="9"/>
  <c r="M844" i="9"/>
  <c r="I844" i="9"/>
  <c r="C844" i="9"/>
  <c r="P843" i="9"/>
  <c r="O843" i="9"/>
  <c r="N843" i="9"/>
  <c r="M843" i="9"/>
  <c r="I843" i="9"/>
  <c r="C843" i="9"/>
  <c r="P842" i="9"/>
  <c r="O842" i="9"/>
  <c r="N842" i="9"/>
  <c r="M842" i="9"/>
  <c r="I842" i="9"/>
  <c r="C842" i="9"/>
  <c r="P841" i="9"/>
  <c r="O841" i="9"/>
  <c r="N841" i="9"/>
  <c r="M841" i="9"/>
  <c r="I841" i="9"/>
  <c r="C841" i="9"/>
  <c r="P840" i="9"/>
  <c r="O840" i="9"/>
  <c r="N840" i="9"/>
  <c r="M840" i="9"/>
  <c r="I840" i="9"/>
  <c r="C840" i="9"/>
  <c r="P839" i="9"/>
  <c r="O839" i="9"/>
  <c r="N839" i="9"/>
  <c r="M839" i="9"/>
  <c r="I839" i="9"/>
  <c r="C839" i="9"/>
  <c r="P838" i="9"/>
  <c r="O838" i="9"/>
  <c r="N838" i="9"/>
  <c r="M838" i="9"/>
  <c r="I838" i="9"/>
  <c r="C838" i="9"/>
  <c r="P837" i="9"/>
  <c r="O837" i="9"/>
  <c r="N837" i="9"/>
  <c r="M837" i="9"/>
  <c r="I837" i="9"/>
  <c r="C837" i="9"/>
  <c r="P836" i="9"/>
  <c r="O836" i="9"/>
  <c r="N836" i="9"/>
  <c r="M836" i="9"/>
  <c r="I836" i="9"/>
  <c r="C836" i="9"/>
  <c r="P835" i="9"/>
  <c r="O835" i="9"/>
  <c r="N835" i="9"/>
  <c r="M835" i="9"/>
  <c r="I835" i="9"/>
  <c r="C835" i="9"/>
  <c r="P834" i="9"/>
  <c r="O834" i="9"/>
  <c r="N834" i="9"/>
  <c r="M834" i="9"/>
  <c r="I834" i="9"/>
  <c r="C834" i="9"/>
  <c r="P833" i="9"/>
  <c r="O833" i="9"/>
  <c r="N833" i="9"/>
  <c r="M833" i="9"/>
  <c r="I833" i="9"/>
  <c r="C833" i="9"/>
  <c r="P832" i="9"/>
  <c r="O832" i="9"/>
  <c r="N832" i="9"/>
  <c r="M832" i="9"/>
  <c r="I832" i="9"/>
  <c r="C832" i="9"/>
  <c r="P831" i="9"/>
  <c r="O831" i="9"/>
  <c r="N831" i="9"/>
  <c r="M831" i="9"/>
  <c r="I831" i="9"/>
  <c r="C831" i="9"/>
  <c r="P830" i="9"/>
  <c r="O830" i="9"/>
  <c r="N830" i="9"/>
  <c r="M830" i="9"/>
  <c r="I830" i="9"/>
  <c r="C830" i="9"/>
  <c r="P829" i="9"/>
  <c r="O829" i="9"/>
  <c r="N829" i="9"/>
  <c r="M829" i="9"/>
  <c r="I829" i="9"/>
  <c r="C829" i="9"/>
  <c r="P828" i="9"/>
  <c r="O828" i="9"/>
  <c r="N828" i="9"/>
  <c r="M828" i="9"/>
  <c r="I828" i="9"/>
  <c r="C828" i="9"/>
  <c r="P827" i="9"/>
  <c r="O827" i="9"/>
  <c r="N827" i="9"/>
  <c r="M827" i="9"/>
  <c r="I827" i="9"/>
  <c r="C827" i="9"/>
  <c r="P826" i="9"/>
  <c r="O826" i="9"/>
  <c r="N826" i="9"/>
  <c r="M826" i="9"/>
  <c r="I826" i="9"/>
  <c r="C826" i="9"/>
  <c r="P825" i="9"/>
  <c r="O825" i="9"/>
  <c r="N825" i="9"/>
  <c r="M825" i="9"/>
  <c r="I825" i="9"/>
  <c r="C825" i="9"/>
  <c r="P824" i="9"/>
  <c r="O824" i="9"/>
  <c r="N824" i="9"/>
  <c r="M824" i="9"/>
  <c r="I824" i="9"/>
  <c r="C824" i="9"/>
  <c r="P823" i="9"/>
  <c r="O823" i="9"/>
  <c r="N823" i="9"/>
  <c r="M823" i="9"/>
  <c r="I823" i="9"/>
  <c r="C823" i="9"/>
  <c r="P822" i="9"/>
  <c r="O822" i="9"/>
  <c r="N822" i="9"/>
  <c r="M822" i="9"/>
  <c r="I822" i="9"/>
  <c r="C822" i="9"/>
  <c r="P821" i="9"/>
  <c r="O821" i="9"/>
  <c r="N821" i="9"/>
  <c r="M821" i="9"/>
  <c r="I821" i="9"/>
  <c r="C821" i="9"/>
  <c r="P820" i="9"/>
  <c r="O820" i="9"/>
  <c r="N820" i="9"/>
  <c r="M820" i="9"/>
  <c r="I820" i="9"/>
  <c r="C820" i="9"/>
  <c r="P819" i="9"/>
  <c r="O819" i="9"/>
  <c r="N819" i="9"/>
  <c r="M819" i="9"/>
  <c r="I819" i="9"/>
  <c r="C819" i="9"/>
  <c r="P818" i="9"/>
  <c r="O818" i="9"/>
  <c r="N818" i="9"/>
  <c r="M818" i="9"/>
  <c r="I818" i="9"/>
  <c r="C818" i="9"/>
  <c r="P817" i="9"/>
  <c r="O817" i="9"/>
  <c r="N817" i="9"/>
  <c r="M817" i="9"/>
  <c r="I817" i="9"/>
  <c r="C817" i="9"/>
  <c r="P816" i="9"/>
  <c r="O816" i="9"/>
  <c r="N816" i="9"/>
  <c r="M816" i="9"/>
  <c r="I816" i="9"/>
  <c r="C816" i="9"/>
  <c r="P815" i="9"/>
  <c r="O815" i="9"/>
  <c r="N815" i="9"/>
  <c r="M815" i="9"/>
  <c r="I815" i="9"/>
  <c r="C815" i="9"/>
  <c r="P814" i="9"/>
  <c r="O814" i="9"/>
  <c r="N814" i="9"/>
  <c r="M814" i="9"/>
  <c r="I814" i="9"/>
  <c r="C814" i="9"/>
  <c r="P813" i="9"/>
  <c r="O813" i="9"/>
  <c r="N813" i="9"/>
  <c r="M813" i="9"/>
  <c r="I813" i="9"/>
  <c r="C813" i="9"/>
  <c r="P812" i="9"/>
  <c r="O812" i="9"/>
  <c r="N812" i="9"/>
  <c r="M812" i="9"/>
  <c r="I812" i="9"/>
  <c r="C812" i="9"/>
  <c r="P811" i="9"/>
  <c r="O811" i="9"/>
  <c r="N811" i="9"/>
  <c r="M811" i="9"/>
  <c r="I811" i="9"/>
  <c r="C811" i="9"/>
  <c r="P810" i="9"/>
  <c r="O810" i="9"/>
  <c r="N810" i="9"/>
  <c r="M810" i="9"/>
  <c r="I810" i="9"/>
  <c r="C810" i="9"/>
  <c r="P809" i="9"/>
  <c r="O809" i="9"/>
  <c r="N809" i="9"/>
  <c r="M809" i="9"/>
  <c r="I809" i="9"/>
  <c r="C809" i="9"/>
  <c r="P808" i="9"/>
  <c r="O808" i="9"/>
  <c r="N808" i="9"/>
  <c r="M808" i="9"/>
  <c r="I808" i="9"/>
  <c r="C808" i="9"/>
  <c r="P807" i="9"/>
  <c r="O807" i="9"/>
  <c r="N807" i="9"/>
  <c r="M807" i="9"/>
  <c r="I807" i="9"/>
  <c r="C807" i="9"/>
  <c r="P806" i="9"/>
  <c r="O806" i="9"/>
  <c r="N806" i="9"/>
  <c r="M806" i="9"/>
  <c r="I806" i="9"/>
  <c r="C806" i="9"/>
  <c r="P805" i="9"/>
  <c r="O805" i="9"/>
  <c r="N805" i="9"/>
  <c r="M805" i="9"/>
  <c r="I805" i="9"/>
  <c r="C805" i="9"/>
  <c r="P804" i="9"/>
  <c r="O804" i="9"/>
  <c r="N804" i="9"/>
  <c r="M804" i="9"/>
  <c r="I804" i="9"/>
  <c r="C804" i="9"/>
  <c r="P803" i="9"/>
  <c r="O803" i="9"/>
  <c r="N803" i="9"/>
  <c r="M803" i="9"/>
  <c r="I803" i="9"/>
  <c r="C803" i="9"/>
  <c r="P802" i="9"/>
  <c r="O802" i="9"/>
  <c r="N802" i="9"/>
  <c r="M802" i="9"/>
  <c r="I802" i="9"/>
  <c r="C802" i="9"/>
  <c r="P801" i="9"/>
  <c r="O801" i="9"/>
  <c r="N801" i="9"/>
  <c r="M801" i="9"/>
  <c r="I801" i="9"/>
  <c r="C801" i="9"/>
  <c r="P800" i="9"/>
  <c r="O800" i="9"/>
  <c r="N800" i="9"/>
  <c r="M800" i="9"/>
  <c r="I800" i="9"/>
  <c r="C800" i="9"/>
  <c r="P799" i="9"/>
  <c r="O799" i="9"/>
  <c r="N799" i="9"/>
  <c r="M799" i="9"/>
  <c r="I799" i="9"/>
  <c r="C799" i="9"/>
  <c r="P798" i="9"/>
  <c r="O798" i="9"/>
  <c r="N798" i="9"/>
  <c r="M798" i="9"/>
  <c r="I798" i="9"/>
  <c r="C798" i="9"/>
  <c r="P797" i="9"/>
  <c r="O797" i="9"/>
  <c r="N797" i="9"/>
  <c r="M797" i="9"/>
  <c r="I797" i="9"/>
  <c r="C797" i="9"/>
  <c r="P796" i="9"/>
  <c r="O796" i="9"/>
  <c r="N796" i="9"/>
  <c r="M796" i="9"/>
  <c r="I796" i="9"/>
  <c r="C796" i="9"/>
  <c r="P795" i="9"/>
  <c r="O795" i="9"/>
  <c r="N795" i="9"/>
  <c r="M795" i="9"/>
  <c r="I795" i="9"/>
  <c r="C795" i="9"/>
  <c r="P794" i="9"/>
  <c r="O794" i="9"/>
  <c r="N794" i="9"/>
  <c r="M794" i="9"/>
  <c r="I794" i="9"/>
  <c r="C794" i="9"/>
  <c r="P793" i="9"/>
  <c r="O793" i="9"/>
  <c r="N793" i="9"/>
  <c r="M793" i="9"/>
  <c r="I793" i="9"/>
  <c r="C793" i="9"/>
  <c r="P792" i="9"/>
  <c r="O792" i="9"/>
  <c r="N792" i="9"/>
  <c r="M792" i="9"/>
  <c r="I792" i="9"/>
  <c r="C792" i="9"/>
  <c r="P791" i="9"/>
  <c r="O791" i="9"/>
  <c r="N791" i="9"/>
  <c r="M791" i="9"/>
  <c r="I791" i="9"/>
  <c r="C791" i="9"/>
  <c r="P790" i="9"/>
  <c r="O790" i="9"/>
  <c r="N790" i="9"/>
  <c r="M790" i="9"/>
  <c r="I790" i="9"/>
  <c r="C790" i="9"/>
  <c r="P789" i="9"/>
  <c r="O789" i="9"/>
  <c r="N789" i="9"/>
  <c r="M789" i="9"/>
  <c r="I789" i="9"/>
  <c r="C789" i="9"/>
  <c r="P788" i="9"/>
  <c r="O788" i="9"/>
  <c r="N788" i="9"/>
  <c r="M788" i="9"/>
  <c r="I788" i="9"/>
  <c r="C788" i="9"/>
  <c r="P787" i="9"/>
  <c r="O787" i="9"/>
  <c r="N787" i="9"/>
  <c r="M787" i="9"/>
  <c r="I787" i="9"/>
  <c r="C787" i="9"/>
  <c r="P786" i="9"/>
  <c r="O786" i="9"/>
  <c r="N786" i="9"/>
  <c r="M786" i="9"/>
  <c r="I786" i="9"/>
  <c r="C786" i="9"/>
  <c r="P785" i="9"/>
  <c r="O785" i="9"/>
  <c r="N785" i="9"/>
  <c r="M785" i="9"/>
  <c r="I785" i="9"/>
  <c r="C785" i="9"/>
  <c r="P784" i="9"/>
  <c r="O784" i="9"/>
  <c r="N784" i="9"/>
  <c r="M784" i="9"/>
  <c r="I784" i="9"/>
  <c r="C784" i="9"/>
  <c r="P783" i="9"/>
  <c r="O783" i="9"/>
  <c r="N783" i="9"/>
  <c r="M783" i="9"/>
  <c r="I783" i="9"/>
  <c r="C783" i="9"/>
  <c r="P782" i="9"/>
  <c r="O782" i="9"/>
  <c r="N782" i="9"/>
  <c r="M782" i="9"/>
  <c r="I782" i="9"/>
  <c r="C782" i="9"/>
  <c r="P781" i="9"/>
  <c r="O781" i="9"/>
  <c r="N781" i="9"/>
  <c r="M781" i="9"/>
  <c r="I781" i="9"/>
  <c r="C781" i="9"/>
  <c r="P780" i="9"/>
  <c r="O780" i="9"/>
  <c r="N780" i="9"/>
  <c r="M780" i="9"/>
  <c r="I780" i="9"/>
  <c r="C780" i="9"/>
  <c r="P779" i="9"/>
  <c r="O779" i="9"/>
  <c r="N779" i="9"/>
  <c r="M779" i="9"/>
  <c r="I779" i="9"/>
  <c r="C779" i="9"/>
  <c r="P778" i="9"/>
  <c r="O778" i="9"/>
  <c r="N778" i="9"/>
  <c r="M778" i="9"/>
  <c r="I778" i="9"/>
  <c r="C778" i="9"/>
  <c r="P777" i="9"/>
  <c r="O777" i="9"/>
  <c r="N777" i="9"/>
  <c r="M777" i="9"/>
  <c r="I777" i="9"/>
  <c r="C777" i="9"/>
  <c r="P776" i="9"/>
  <c r="O776" i="9"/>
  <c r="N776" i="9"/>
  <c r="M776" i="9"/>
  <c r="I776" i="9"/>
  <c r="C776" i="9"/>
  <c r="P775" i="9"/>
  <c r="O775" i="9"/>
  <c r="N775" i="9"/>
  <c r="M775" i="9"/>
  <c r="I775" i="9"/>
  <c r="C775" i="9"/>
  <c r="P774" i="9"/>
  <c r="O774" i="9"/>
  <c r="N774" i="9"/>
  <c r="M774" i="9"/>
  <c r="I774" i="9"/>
  <c r="C774" i="9"/>
  <c r="P773" i="9"/>
  <c r="O773" i="9"/>
  <c r="N773" i="9"/>
  <c r="M773" i="9"/>
  <c r="I773" i="9"/>
  <c r="C773" i="9"/>
  <c r="P772" i="9"/>
  <c r="O772" i="9"/>
  <c r="N772" i="9"/>
  <c r="M772" i="9"/>
  <c r="I772" i="9"/>
  <c r="C772" i="9"/>
  <c r="P771" i="9"/>
  <c r="O771" i="9"/>
  <c r="N771" i="9"/>
  <c r="M771" i="9"/>
  <c r="I771" i="9"/>
  <c r="C771" i="9"/>
  <c r="P770" i="9"/>
  <c r="O770" i="9"/>
  <c r="N770" i="9"/>
  <c r="M770" i="9"/>
  <c r="I770" i="9"/>
  <c r="C770" i="9"/>
  <c r="P769" i="9"/>
  <c r="O769" i="9"/>
  <c r="N769" i="9"/>
  <c r="M769" i="9"/>
  <c r="I769" i="9"/>
  <c r="C769" i="9"/>
  <c r="P768" i="9"/>
  <c r="O768" i="9"/>
  <c r="N768" i="9"/>
  <c r="M768" i="9"/>
  <c r="I768" i="9"/>
  <c r="C768" i="9"/>
  <c r="P767" i="9"/>
  <c r="O767" i="9"/>
  <c r="N767" i="9"/>
  <c r="M767" i="9"/>
  <c r="I767" i="9"/>
  <c r="C767" i="9"/>
  <c r="P766" i="9"/>
  <c r="O766" i="9"/>
  <c r="N766" i="9"/>
  <c r="M766" i="9"/>
  <c r="I766" i="9"/>
  <c r="C766" i="9"/>
  <c r="P765" i="9"/>
  <c r="O765" i="9"/>
  <c r="N765" i="9"/>
  <c r="M765" i="9"/>
  <c r="I765" i="9"/>
  <c r="C765" i="9"/>
  <c r="P764" i="9"/>
  <c r="O764" i="9"/>
  <c r="N764" i="9"/>
  <c r="M764" i="9"/>
  <c r="I764" i="9"/>
  <c r="C764" i="9"/>
  <c r="P763" i="9"/>
  <c r="O763" i="9"/>
  <c r="N763" i="9"/>
  <c r="M763" i="9"/>
  <c r="I763" i="9"/>
  <c r="C763" i="9"/>
  <c r="P762" i="9"/>
  <c r="O762" i="9"/>
  <c r="N762" i="9"/>
  <c r="M762" i="9"/>
  <c r="I762" i="9"/>
  <c r="C762" i="9"/>
  <c r="P761" i="9"/>
  <c r="O761" i="9"/>
  <c r="N761" i="9"/>
  <c r="M761" i="9"/>
  <c r="I761" i="9"/>
  <c r="C761" i="9"/>
  <c r="P760" i="9"/>
  <c r="O760" i="9"/>
  <c r="N760" i="9"/>
  <c r="M760" i="9"/>
  <c r="I760" i="9"/>
  <c r="C760" i="9"/>
  <c r="P759" i="9"/>
  <c r="O759" i="9"/>
  <c r="N759" i="9"/>
  <c r="M759" i="9"/>
  <c r="I759" i="9"/>
  <c r="C759" i="9"/>
  <c r="P758" i="9"/>
  <c r="O758" i="9"/>
  <c r="N758" i="9"/>
  <c r="M758" i="9"/>
  <c r="I758" i="9"/>
  <c r="C758" i="9"/>
  <c r="P757" i="9"/>
  <c r="O757" i="9"/>
  <c r="N757" i="9"/>
  <c r="M757" i="9"/>
  <c r="I757" i="9"/>
  <c r="C757" i="9"/>
  <c r="P756" i="9"/>
  <c r="O756" i="9"/>
  <c r="N756" i="9"/>
  <c r="M756" i="9"/>
  <c r="I756" i="9"/>
  <c r="C756" i="9"/>
  <c r="P755" i="9"/>
  <c r="O755" i="9"/>
  <c r="N755" i="9"/>
  <c r="M755" i="9"/>
  <c r="I755" i="9"/>
  <c r="C755" i="9"/>
  <c r="P754" i="9"/>
  <c r="O754" i="9"/>
  <c r="N754" i="9"/>
  <c r="M754" i="9"/>
  <c r="I754" i="9"/>
  <c r="C754" i="9"/>
  <c r="P753" i="9"/>
  <c r="O753" i="9"/>
  <c r="N753" i="9"/>
  <c r="M753" i="9"/>
  <c r="I753" i="9"/>
  <c r="C753" i="9"/>
  <c r="P752" i="9"/>
  <c r="O752" i="9"/>
  <c r="N752" i="9"/>
  <c r="M752" i="9"/>
  <c r="I752" i="9"/>
  <c r="C752" i="9"/>
  <c r="P751" i="9"/>
  <c r="O751" i="9"/>
  <c r="N751" i="9"/>
  <c r="M751" i="9"/>
  <c r="I751" i="9"/>
  <c r="C751" i="9"/>
  <c r="P750" i="9"/>
  <c r="O750" i="9"/>
  <c r="N750" i="9"/>
  <c r="M750" i="9"/>
  <c r="I750" i="9"/>
  <c r="C750" i="9"/>
  <c r="P749" i="9"/>
  <c r="O749" i="9"/>
  <c r="N749" i="9"/>
  <c r="M749" i="9"/>
  <c r="I749" i="9"/>
  <c r="C749" i="9"/>
  <c r="P748" i="9"/>
  <c r="O748" i="9"/>
  <c r="N748" i="9"/>
  <c r="M748" i="9"/>
  <c r="I748" i="9"/>
  <c r="C748" i="9"/>
  <c r="P747" i="9"/>
  <c r="O747" i="9"/>
  <c r="N747" i="9"/>
  <c r="M747" i="9"/>
  <c r="I747" i="9"/>
  <c r="C747" i="9"/>
  <c r="P746" i="9"/>
  <c r="O746" i="9"/>
  <c r="N746" i="9"/>
  <c r="M746" i="9"/>
  <c r="I746" i="9"/>
  <c r="C746" i="9"/>
  <c r="P745" i="9"/>
  <c r="O745" i="9"/>
  <c r="N745" i="9"/>
  <c r="M745" i="9"/>
  <c r="I745" i="9"/>
  <c r="C745" i="9"/>
  <c r="P744" i="9"/>
  <c r="O744" i="9"/>
  <c r="N744" i="9"/>
  <c r="M744" i="9"/>
  <c r="I744" i="9"/>
  <c r="C744" i="9"/>
  <c r="P743" i="9"/>
  <c r="O743" i="9"/>
  <c r="N743" i="9"/>
  <c r="M743" i="9"/>
  <c r="I743" i="9"/>
  <c r="C743" i="9"/>
  <c r="P742" i="9"/>
  <c r="O742" i="9"/>
  <c r="N742" i="9"/>
  <c r="M742" i="9"/>
  <c r="I742" i="9"/>
  <c r="C742" i="9"/>
  <c r="P741" i="9"/>
  <c r="O741" i="9"/>
  <c r="N741" i="9"/>
  <c r="M741" i="9"/>
  <c r="I741" i="9"/>
  <c r="C741" i="9"/>
  <c r="P740" i="9"/>
  <c r="O740" i="9"/>
  <c r="N740" i="9"/>
  <c r="M740" i="9"/>
  <c r="I740" i="9"/>
  <c r="C740" i="9"/>
  <c r="P739" i="9"/>
  <c r="O739" i="9"/>
  <c r="N739" i="9"/>
  <c r="M739" i="9"/>
  <c r="I739" i="9"/>
  <c r="C739" i="9"/>
  <c r="P738" i="9"/>
  <c r="O738" i="9"/>
  <c r="N738" i="9"/>
  <c r="M738" i="9"/>
  <c r="I738" i="9"/>
  <c r="C738" i="9"/>
  <c r="P737" i="9"/>
  <c r="O737" i="9"/>
  <c r="N737" i="9"/>
  <c r="M737" i="9"/>
  <c r="I737" i="9"/>
  <c r="C737" i="9"/>
  <c r="P736" i="9"/>
  <c r="O736" i="9"/>
  <c r="N736" i="9"/>
  <c r="M736" i="9"/>
  <c r="I736" i="9"/>
  <c r="C736" i="9"/>
  <c r="P735" i="9"/>
  <c r="O735" i="9"/>
  <c r="N735" i="9"/>
  <c r="M735" i="9"/>
  <c r="I735" i="9"/>
  <c r="C735" i="9"/>
  <c r="P734" i="9"/>
  <c r="O734" i="9"/>
  <c r="N734" i="9"/>
  <c r="M734" i="9"/>
  <c r="I734" i="9"/>
  <c r="C734" i="9"/>
  <c r="P733" i="9"/>
  <c r="O733" i="9"/>
  <c r="N733" i="9"/>
  <c r="M733" i="9"/>
  <c r="I733" i="9"/>
  <c r="C733" i="9"/>
  <c r="P732" i="9"/>
  <c r="O732" i="9"/>
  <c r="N732" i="9"/>
  <c r="M732" i="9"/>
  <c r="I732" i="9"/>
  <c r="C732" i="9"/>
  <c r="P731" i="9"/>
  <c r="O731" i="9"/>
  <c r="N731" i="9"/>
  <c r="M731" i="9"/>
  <c r="I731" i="9"/>
  <c r="C731" i="9"/>
  <c r="P730" i="9"/>
  <c r="O730" i="9"/>
  <c r="N730" i="9"/>
  <c r="M730" i="9"/>
  <c r="I730" i="9"/>
  <c r="C730" i="9"/>
  <c r="P729" i="9"/>
  <c r="O729" i="9"/>
  <c r="N729" i="9"/>
  <c r="M729" i="9"/>
  <c r="I729" i="9"/>
  <c r="C729" i="9"/>
  <c r="P728" i="9"/>
  <c r="O728" i="9"/>
  <c r="N728" i="9"/>
  <c r="M728" i="9"/>
  <c r="I728" i="9"/>
  <c r="C728" i="9"/>
  <c r="P727" i="9"/>
  <c r="O727" i="9"/>
  <c r="N727" i="9"/>
  <c r="M727" i="9"/>
  <c r="I727" i="9"/>
  <c r="C727" i="9"/>
  <c r="P726" i="9"/>
  <c r="O726" i="9"/>
  <c r="N726" i="9"/>
  <c r="M726" i="9"/>
  <c r="I726" i="9"/>
  <c r="C726" i="9"/>
  <c r="P725" i="9"/>
  <c r="O725" i="9"/>
  <c r="N725" i="9"/>
  <c r="M725" i="9"/>
  <c r="I725" i="9"/>
  <c r="C725" i="9"/>
  <c r="P724" i="9"/>
  <c r="O724" i="9"/>
  <c r="N724" i="9"/>
  <c r="M724" i="9"/>
  <c r="I724" i="9"/>
  <c r="C724" i="9"/>
  <c r="P723" i="9"/>
  <c r="O723" i="9"/>
  <c r="N723" i="9"/>
  <c r="M723" i="9"/>
  <c r="I723" i="9"/>
  <c r="C723" i="9"/>
  <c r="P722" i="9"/>
  <c r="O722" i="9"/>
  <c r="N722" i="9"/>
  <c r="M722" i="9"/>
  <c r="I722" i="9"/>
  <c r="C722" i="9"/>
  <c r="P721" i="9"/>
  <c r="O721" i="9"/>
  <c r="N721" i="9"/>
  <c r="M721" i="9"/>
  <c r="I721" i="9"/>
  <c r="C721" i="9"/>
  <c r="P720" i="9"/>
  <c r="O720" i="9"/>
  <c r="N720" i="9"/>
  <c r="M720" i="9"/>
  <c r="I720" i="9"/>
  <c r="C720" i="9"/>
  <c r="P719" i="9"/>
  <c r="O719" i="9"/>
  <c r="N719" i="9"/>
  <c r="M719" i="9"/>
  <c r="I719" i="9"/>
  <c r="C719" i="9"/>
  <c r="P718" i="9"/>
  <c r="O718" i="9"/>
  <c r="N718" i="9"/>
  <c r="M718" i="9"/>
  <c r="I718" i="9"/>
  <c r="C718" i="9"/>
  <c r="P717" i="9"/>
  <c r="O717" i="9"/>
  <c r="N717" i="9"/>
  <c r="M717" i="9"/>
  <c r="I717" i="9"/>
  <c r="C717" i="9"/>
  <c r="P716" i="9"/>
  <c r="O716" i="9"/>
  <c r="N716" i="9"/>
  <c r="M716" i="9"/>
  <c r="I716" i="9"/>
  <c r="C716" i="9"/>
  <c r="P715" i="9"/>
  <c r="O715" i="9"/>
  <c r="N715" i="9"/>
  <c r="M715" i="9"/>
  <c r="I715" i="9"/>
  <c r="C715" i="9"/>
  <c r="P714" i="9"/>
  <c r="O714" i="9"/>
  <c r="N714" i="9"/>
  <c r="M714" i="9"/>
  <c r="I714" i="9"/>
  <c r="C714" i="9"/>
  <c r="P713" i="9"/>
  <c r="O713" i="9"/>
  <c r="N713" i="9"/>
  <c r="M713" i="9"/>
  <c r="I713" i="9"/>
  <c r="C713" i="9"/>
  <c r="P712" i="9"/>
  <c r="O712" i="9"/>
  <c r="N712" i="9"/>
  <c r="M712" i="9"/>
  <c r="I712" i="9"/>
  <c r="C712" i="9"/>
  <c r="P711" i="9"/>
  <c r="O711" i="9"/>
  <c r="N711" i="9"/>
  <c r="M711" i="9"/>
  <c r="I711" i="9"/>
  <c r="C711" i="9"/>
  <c r="P710" i="9"/>
  <c r="O710" i="9"/>
  <c r="N710" i="9"/>
  <c r="M710" i="9"/>
  <c r="I710" i="9"/>
  <c r="C710" i="9"/>
  <c r="P709" i="9"/>
  <c r="O709" i="9"/>
  <c r="N709" i="9"/>
  <c r="M709" i="9"/>
  <c r="I709" i="9"/>
  <c r="C709" i="9"/>
  <c r="P708" i="9"/>
  <c r="O708" i="9"/>
  <c r="N708" i="9"/>
  <c r="M708" i="9"/>
  <c r="I708" i="9"/>
  <c r="C708" i="9"/>
  <c r="P707" i="9"/>
  <c r="O707" i="9"/>
  <c r="N707" i="9"/>
  <c r="M707" i="9"/>
  <c r="I707" i="9"/>
  <c r="C707" i="9"/>
  <c r="P706" i="9"/>
  <c r="O706" i="9"/>
  <c r="N706" i="9"/>
  <c r="M706" i="9"/>
  <c r="I706" i="9"/>
  <c r="C706" i="9"/>
  <c r="P705" i="9"/>
  <c r="O705" i="9"/>
  <c r="N705" i="9"/>
  <c r="M705" i="9"/>
  <c r="I705" i="9"/>
  <c r="C705" i="9"/>
  <c r="P704" i="9"/>
  <c r="O704" i="9"/>
  <c r="N704" i="9"/>
  <c r="M704" i="9"/>
  <c r="I704" i="9"/>
  <c r="C704" i="9"/>
  <c r="P703" i="9"/>
  <c r="O703" i="9"/>
  <c r="N703" i="9"/>
  <c r="M703" i="9"/>
  <c r="I703" i="9"/>
  <c r="C703" i="9"/>
  <c r="P702" i="9"/>
  <c r="O702" i="9"/>
  <c r="N702" i="9"/>
  <c r="M702" i="9"/>
  <c r="I702" i="9"/>
  <c r="C702" i="9"/>
  <c r="P701" i="9"/>
  <c r="O701" i="9"/>
  <c r="N701" i="9"/>
  <c r="M701" i="9"/>
  <c r="I701" i="9"/>
  <c r="C701" i="9"/>
  <c r="P700" i="9"/>
  <c r="O700" i="9"/>
  <c r="N700" i="9"/>
  <c r="M700" i="9"/>
  <c r="I700" i="9"/>
  <c r="C700" i="9"/>
  <c r="P699" i="9"/>
  <c r="O699" i="9"/>
  <c r="N699" i="9"/>
  <c r="M699" i="9"/>
  <c r="I699" i="9"/>
  <c r="C699" i="9"/>
  <c r="P698" i="9"/>
  <c r="O698" i="9"/>
  <c r="N698" i="9"/>
  <c r="M698" i="9"/>
  <c r="I698" i="9"/>
  <c r="C698" i="9"/>
  <c r="P697" i="9"/>
  <c r="O697" i="9"/>
  <c r="N697" i="9"/>
  <c r="M697" i="9"/>
  <c r="I697" i="9"/>
  <c r="C697" i="9"/>
  <c r="P696" i="9"/>
  <c r="O696" i="9"/>
  <c r="N696" i="9"/>
  <c r="M696" i="9"/>
  <c r="I696" i="9"/>
  <c r="C696" i="9"/>
  <c r="P695" i="9"/>
  <c r="O695" i="9"/>
  <c r="N695" i="9"/>
  <c r="M695" i="9"/>
  <c r="I695" i="9"/>
  <c r="C695" i="9"/>
  <c r="P694" i="9"/>
  <c r="O694" i="9"/>
  <c r="N694" i="9"/>
  <c r="M694" i="9"/>
  <c r="I694" i="9"/>
  <c r="C694" i="9"/>
  <c r="P693" i="9"/>
  <c r="O693" i="9"/>
  <c r="N693" i="9"/>
  <c r="M693" i="9"/>
  <c r="I693" i="9"/>
  <c r="C693" i="9"/>
  <c r="P692" i="9"/>
  <c r="O692" i="9"/>
  <c r="N692" i="9"/>
  <c r="M692" i="9"/>
  <c r="I692" i="9"/>
  <c r="C692" i="9"/>
  <c r="P691" i="9"/>
  <c r="O691" i="9"/>
  <c r="N691" i="9"/>
  <c r="M691" i="9"/>
  <c r="I691" i="9"/>
  <c r="C691" i="9"/>
  <c r="P690" i="9"/>
  <c r="O690" i="9"/>
  <c r="N690" i="9"/>
  <c r="M690" i="9"/>
  <c r="I690" i="9"/>
  <c r="C690" i="9"/>
  <c r="P689" i="9"/>
  <c r="O689" i="9"/>
  <c r="N689" i="9"/>
  <c r="M689" i="9"/>
  <c r="I689" i="9"/>
  <c r="C689" i="9"/>
  <c r="P688" i="9"/>
  <c r="O688" i="9"/>
  <c r="N688" i="9"/>
  <c r="M688" i="9"/>
  <c r="I688" i="9"/>
  <c r="C688" i="9"/>
  <c r="P687" i="9"/>
  <c r="O687" i="9"/>
  <c r="N687" i="9"/>
  <c r="M687" i="9"/>
  <c r="I687" i="9"/>
  <c r="C687" i="9"/>
  <c r="P686" i="9"/>
  <c r="O686" i="9"/>
  <c r="N686" i="9"/>
  <c r="M686" i="9"/>
  <c r="I686" i="9"/>
  <c r="C686" i="9"/>
  <c r="P685" i="9"/>
  <c r="O685" i="9"/>
  <c r="N685" i="9"/>
  <c r="M685" i="9"/>
  <c r="I685" i="9"/>
  <c r="C685" i="9"/>
  <c r="P684" i="9"/>
  <c r="O684" i="9"/>
  <c r="N684" i="9"/>
  <c r="M684" i="9"/>
  <c r="I684" i="9"/>
  <c r="C684" i="9"/>
  <c r="P683" i="9"/>
  <c r="O683" i="9"/>
  <c r="N683" i="9"/>
  <c r="M683" i="9"/>
  <c r="I683" i="9"/>
  <c r="C683" i="9"/>
  <c r="P682" i="9"/>
  <c r="O682" i="9"/>
  <c r="N682" i="9"/>
  <c r="M682" i="9"/>
  <c r="I682" i="9"/>
  <c r="C682" i="9"/>
  <c r="P681" i="9"/>
  <c r="O681" i="9"/>
  <c r="N681" i="9"/>
  <c r="M681" i="9"/>
  <c r="I681" i="9"/>
  <c r="C681" i="9"/>
  <c r="P680" i="9"/>
  <c r="O680" i="9"/>
  <c r="N680" i="9"/>
  <c r="M680" i="9"/>
  <c r="I680" i="9"/>
  <c r="C680" i="9"/>
  <c r="P679" i="9"/>
  <c r="O679" i="9"/>
  <c r="N679" i="9"/>
  <c r="M679" i="9"/>
  <c r="I679" i="9"/>
  <c r="C679" i="9"/>
  <c r="P678" i="9"/>
  <c r="O678" i="9"/>
  <c r="N678" i="9"/>
  <c r="M678" i="9"/>
  <c r="I678" i="9"/>
  <c r="C678" i="9"/>
  <c r="P677" i="9"/>
  <c r="O677" i="9"/>
  <c r="N677" i="9"/>
  <c r="M677" i="9"/>
  <c r="I677" i="9"/>
  <c r="C677" i="9"/>
  <c r="P676" i="9"/>
  <c r="O676" i="9"/>
  <c r="N676" i="9"/>
  <c r="M676" i="9"/>
  <c r="I676" i="9"/>
  <c r="C676" i="9"/>
  <c r="P675" i="9"/>
  <c r="O675" i="9"/>
  <c r="N675" i="9"/>
  <c r="M675" i="9"/>
  <c r="I675" i="9"/>
  <c r="C675" i="9"/>
  <c r="P674" i="9"/>
  <c r="O674" i="9"/>
  <c r="N674" i="9"/>
  <c r="M674" i="9"/>
  <c r="I674" i="9"/>
  <c r="C674" i="9"/>
  <c r="P673" i="9"/>
  <c r="O673" i="9"/>
  <c r="N673" i="9"/>
  <c r="M673" i="9"/>
  <c r="I673" i="9"/>
  <c r="C673" i="9"/>
  <c r="P672" i="9"/>
  <c r="O672" i="9"/>
  <c r="N672" i="9"/>
  <c r="M672" i="9"/>
  <c r="I672" i="9"/>
  <c r="C672" i="9"/>
  <c r="P671" i="9"/>
  <c r="O671" i="9"/>
  <c r="N671" i="9"/>
  <c r="M671" i="9"/>
  <c r="I671" i="9"/>
  <c r="C671" i="9"/>
  <c r="P670" i="9"/>
  <c r="O670" i="9"/>
  <c r="N670" i="9"/>
  <c r="M670" i="9"/>
  <c r="I670" i="9"/>
  <c r="C670" i="9"/>
  <c r="P669" i="9"/>
  <c r="O669" i="9"/>
  <c r="N669" i="9"/>
  <c r="M669" i="9"/>
  <c r="I669" i="9"/>
  <c r="C669" i="9"/>
  <c r="P668" i="9"/>
  <c r="O668" i="9"/>
  <c r="N668" i="9"/>
  <c r="M668" i="9"/>
  <c r="I668" i="9"/>
  <c r="C668" i="9"/>
  <c r="P667" i="9"/>
  <c r="O667" i="9"/>
  <c r="N667" i="9"/>
  <c r="M667" i="9"/>
  <c r="I667" i="9"/>
  <c r="C667" i="9"/>
  <c r="P666" i="9"/>
  <c r="O666" i="9"/>
  <c r="N666" i="9"/>
  <c r="M666" i="9"/>
  <c r="I666" i="9"/>
  <c r="C666" i="9"/>
  <c r="P665" i="9"/>
  <c r="O665" i="9"/>
  <c r="N665" i="9"/>
  <c r="M665" i="9"/>
  <c r="I665" i="9"/>
  <c r="C665" i="9"/>
  <c r="P664" i="9"/>
  <c r="O664" i="9"/>
  <c r="N664" i="9"/>
  <c r="M664" i="9"/>
  <c r="I664" i="9"/>
  <c r="C664" i="9"/>
  <c r="P663" i="9"/>
  <c r="O663" i="9"/>
  <c r="N663" i="9"/>
  <c r="M663" i="9"/>
  <c r="I663" i="9"/>
  <c r="C663" i="9"/>
  <c r="P662" i="9"/>
  <c r="O662" i="9"/>
  <c r="N662" i="9"/>
  <c r="M662" i="9"/>
  <c r="I662" i="9"/>
  <c r="C662" i="9"/>
  <c r="P661" i="9"/>
  <c r="O661" i="9"/>
  <c r="N661" i="9"/>
  <c r="M661" i="9"/>
  <c r="I661" i="9"/>
  <c r="C661" i="9"/>
  <c r="P660" i="9"/>
  <c r="O660" i="9"/>
  <c r="N660" i="9"/>
  <c r="M660" i="9"/>
  <c r="I660" i="9"/>
  <c r="C660" i="9"/>
  <c r="P659" i="9"/>
  <c r="O659" i="9"/>
  <c r="N659" i="9"/>
  <c r="M659" i="9"/>
  <c r="I659" i="9"/>
  <c r="C659" i="9"/>
  <c r="P658" i="9"/>
  <c r="O658" i="9"/>
  <c r="N658" i="9"/>
  <c r="M658" i="9"/>
  <c r="I658" i="9"/>
  <c r="C658" i="9"/>
  <c r="P657" i="9"/>
  <c r="O657" i="9"/>
  <c r="N657" i="9"/>
  <c r="M657" i="9"/>
  <c r="I657" i="9"/>
  <c r="C657" i="9"/>
  <c r="P656" i="9"/>
  <c r="O656" i="9"/>
  <c r="N656" i="9"/>
  <c r="M656" i="9"/>
  <c r="I656" i="9"/>
  <c r="C656" i="9"/>
  <c r="P655" i="9"/>
  <c r="O655" i="9"/>
  <c r="N655" i="9"/>
  <c r="M655" i="9"/>
  <c r="I655" i="9"/>
  <c r="C655" i="9"/>
  <c r="P654" i="9"/>
  <c r="O654" i="9"/>
  <c r="N654" i="9"/>
  <c r="M654" i="9"/>
  <c r="I654" i="9"/>
  <c r="C654" i="9"/>
  <c r="P653" i="9"/>
  <c r="O653" i="9"/>
  <c r="N653" i="9"/>
  <c r="M653" i="9"/>
  <c r="I653" i="9"/>
  <c r="C653" i="9"/>
  <c r="P652" i="9"/>
  <c r="O652" i="9"/>
  <c r="N652" i="9"/>
  <c r="M652" i="9"/>
  <c r="I652" i="9"/>
  <c r="C652" i="9"/>
  <c r="P651" i="9"/>
  <c r="O651" i="9"/>
  <c r="N651" i="9"/>
  <c r="M651" i="9"/>
  <c r="I651" i="9"/>
  <c r="C651" i="9"/>
  <c r="P650" i="9"/>
  <c r="O650" i="9"/>
  <c r="N650" i="9"/>
  <c r="M650" i="9"/>
  <c r="I650" i="9"/>
  <c r="C650" i="9"/>
  <c r="P649" i="9"/>
  <c r="O649" i="9"/>
  <c r="N649" i="9"/>
  <c r="M649" i="9"/>
  <c r="I649" i="9"/>
  <c r="C649" i="9"/>
  <c r="P648" i="9"/>
  <c r="O648" i="9"/>
  <c r="N648" i="9"/>
  <c r="M648" i="9"/>
  <c r="I648" i="9"/>
  <c r="C648" i="9"/>
  <c r="P647" i="9"/>
  <c r="O647" i="9"/>
  <c r="N647" i="9"/>
  <c r="M647" i="9"/>
  <c r="I647" i="9"/>
  <c r="C647" i="9"/>
  <c r="P646" i="9"/>
  <c r="O646" i="9"/>
  <c r="N646" i="9"/>
  <c r="M646" i="9"/>
  <c r="I646" i="9"/>
  <c r="C646" i="9"/>
  <c r="P645" i="9"/>
  <c r="O645" i="9"/>
  <c r="N645" i="9"/>
  <c r="M645" i="9"/>
  <c r="I645" i="9"/>
  <c r="C645" i="9"/>
  <c r="P644" i="9"/>
  <c r="O644" i="9"/>
  <c r="N644" i="9"/>
  <c r="M644" i="9"/>
  <c r="I644" i="9"/>
  <c r="C644" i="9"/>
  <c r="P643" i="9"/>
  <c r="O643" i="9"/>
  <c r="N643" i="9"/>
  <c r="M643" i="9"/>
  <c r="I643" i="9"/>
  <c r="C643" i="9"/>
  <c r="P642" i="9"/>
  <c r="O642" i="9"/>
  <c r="N642" i="9"/>
  <c r="M642" i="9"/>
  <c r="I642" i="9"/>
  <c r="C642" i="9"/>
  <c r="P641" i="9"/>
  <c r="O641" i="9"/>
  <c r="N641" i="9"/>
  <c r="M641" i="9"/>
  <c r="I641" i="9"/>
  <c r="C641" i="9"/>
  <c r="P640" i="9"/>
  <c r="O640" i="9"/>
  <c r="N640" i="9"/>
  <c r="M640" i="9"/>
  <c r="I640" i="9"/>
  <c r="C640" i="9"/>
  <c r="P639" i="9"/>
  <c r="O639" i="9"/>
  <c r="N639" i="9"/>
  <c r="M639" i="9"/>
  <c r="I639" i="9"/>
  <c r="C639" i="9"/>
  <c r="P638" i="9"/>
  <c r="O638" i="9"/>
  <c r="N638" i="9"/>
  <c r="M638" i="9"/>
  <c r="I638" i="9"/>
  <c r="C638" i="9"/>
  <c r="P637" i="9"/>
  <c r="O637" i="9"/>
  <c r="N637" i="9"/>
  <c r="M637" i="9"/>
  <c r="I637" i="9"/>
  <c r="C637" i="9"/>
  <c r="P636" i="9"/>
  <c r="O636" i="9"/>
  <c r="N636" i="9"/>
  <c r="M636" i="9"/>
  <c r="I636" i="9"/>
  <c r="C636" i="9"/>
  <c r="P635" i="9"/>
  <c r="O635" i="9"/>
  <c r="N635" i="9"/>
  <c r="M635" i="9"/>
  <c r="I635" i="9"/>
  <c r="C635" i="9"/>
  <c r="P634" i="9"/>
  <c r="O634" i="9"/>
  <c r="N634" i="9"/>
  <c r="M634" i="9"/>
  <c r="I634" i="9"/>
  <c r="C634" i="9"/>
  <c r="P633" i="9"/>
  <c r="O633" i="9"/>
  <c r="N633" i="9"/>
  <c r="M633" i="9"/>
  <c r="I633" i="9"/>
  <c r="C633" i="9"/>
  <c r="P632" i="9"/>
  <c r="O632" i="9"/>
  <c r="N632" i="9"/>
  <c r="M632" i="9"/>
  <c r="I632" i="9"/>
  <c r="C632" i="9"/>
  <c r="P631" i="9"/>
  <c r="O631" i="9"/>
  <c r="N631" i="9"/>
  <c r="M631" i="9"/>
  <c r="I631" i="9"/>
  <c r="C631" i="9"/>
  <c r="P630" i="9"/>
  <c r="O630" i="9"/>
  <c r="N630" i="9"/>
  <c r="M630" i="9"/>
  <c r="I630" i="9"/>
  <c r="C630" i="9"/>
  <c r="P629" i="9"/>
  <c r="O629" i="9"/>
  <c r="N629" i="9"/>
  <c r="M629" i="9"/>
  <c r="I629" i="9"/>
  <c r="C629" i="9"/>
  <c r="P628" i="9"/>
  <c r="O628" i="9"/>
  <c r="N628" i="9"/>
  <c r="M628" i="9"/>
  <c r="I628" i="9"/>
  <c r="C628" i="9"/>
  <c r="P627" i="9"/>
  <c r="O627" i="9"/>
  <c r="N627" i="9"/>
  <c r="M627" i="9"/>
  <c r="I627" i="9"/>
  <c r="C627" i="9"/>
  <c r="P626" i="9"/>
  <c r="O626" i="9"/>
  <c r="N626" i="9"/>
  <c r="M626" i="9"/>
  <c r="I626" i="9"/>
  <c r="C626" i="9"/>
  <c r="P625" i="9"/>
  <c r="O625" i="9"/>
  <c r="N625" i="9"/>
  <c r="M625" i="9"/>
  <c r="I625" i="9"/>
  <c r="C625" i="9"/>
  <c r="P624" i="9"/>
  <c r="O624" i="9"/>
  <c r="N624" i="9"/>
  <c r="M624" i="9"/>
  <c r="I624" i="9"/>
  <c r="C624" i="9"/>
  <c r="P623" i="9"/>
  <c r="O623" i="9"/>
  <c r="N623" i="9"/>
  <c r="M623" i="9"/>
  <c r="I623" i="9"/>
  <c r="C623" i="9"/>
  <c r="P622" i="9"/>
  <c r="O622" i="9"/>
  <c r="N622" i="9"/>
  <c r="M622" i="9"/>
  <c r="I622" i="9"/>
  <c r="C622" i="9"/>
  <c r="P621" i="9"/>
  <c r="O621" i="9"/>
  <c r="N621" i="9"/>
  <c r="M621" i="9"/>
  <c r="I621" i="9"/>
  <c r="C621" i="9"/>
  <c r="P620" i="9"/>
  <c r="O620" i="9"/>
  <c r="N620" i="9"/>
  <c r="M620" i="9"/>
  <c r="I620" i="9"/>
  <c r="C620" i="9"/>
  <c r="P619" i="9"/>
  <c r="O619" i="9"/>
  <c r="N619" i="9"/>
  <c r="M619" i="9"/>
  <c r="I619" i="9"/>
  <c r="C619" i="9"/>
  <c r="P618" i="9"/>
  <c r="O618" i="9"/>
  <c r="N618" i="9"/>
  <c r="M618" i="9"/>
  <c r="I618" i="9"/>
  <c r="C618" i="9"/>
  <c r="P617" i="9"/>
  <c r="O617" i="9"/>
  <c r="N617" i="9"/>
  <c r="M617" i="9"/>
  <c r="I617" i="9"/>
  <c r="C617" i="9"/>
  <c r="P616" i="9"/>
  <c r="O616" i="9"/>
  <c r="N616" i="9"/>
  <c r="M616" i="9"/>
  <c r="I616" i="9"/>
  <c r="C616" i="9"/>
  <c r="P615" i="9"/>
  <c r="O615" i="9"/>
  <c r="N615" i="9"/>
  <c r="M615" i="9"/>
  <c r="I615" i="9"/>
  <c r="C615" i="9"/>
  <c r="P614" i="9"/>
  <c r="O614" i="9"/>
  <c r="N614" i="9"/>
  <c r="M614" i="9"/>
  <c r="I614" i="9"/>
  <c r="C614" i="9"/>
  <c r="P613" i="9"/>
  <c r="O613" i="9"/>
  <c r="N613" i="9"/>
  <c r="M613" i="9"/>
  <c r="I613" i="9"/>
  <c r="C613" i="9"/>
  <c r="P612" i="9"/>
  <c r="O612" i="9"/>
  <c r="N612" i="9"/>
  <c r="M612" i="9"/>
  <c r="I612" i="9"/>
  <c r="C612" i="9"/>
  <c r="P611" i="9"/>
  <c r="O611" i="9"/>
  <c r="N611" i="9"/>
  <c r="M611" i="9"/>
  <c r="I611" i="9"/>
  <c r="C611" i="9"/>
  <c r="P610" i="9"/>
  <c r="O610" i="9"/>
  <c r="N610" i="9"/>
  <c r="M610" i="9"/>
  <c r="I610" i="9"/>
  <c r="C610" i="9"/>
  <c r="P609" i="9"/>
  <c r="O609" i="9"/>
  <c r="N609" i="9"/>
  <c r="M609" i="9"/>
  <c r="I609" i="9"/>
  <c r="C609" i="9"/>
  <c r="P608" i="9"/>
  <c r="O608" i="9"/>
  <c r="N608" i="9"/>
  <c r="M608" i="9"/>
  <c r="I608" i="9"/>
  <c r="C608" i="9"/>
  <c r="P607" i="9"/>
  <c r="O607" i="9"/>
  <c r="N607" i="9"/>
  <c r="M607" i="9"/>
  <c r="I607" i="9"/>
  <c r="C607" i="9"/>
  <c r="P606" i="9"/>
  <c r="O606" i="9"/>
  <c r="N606" i="9"/>
  <c r="M606" i="9"/>
  <c r="I606" i="9"/>
  <c r="C606" i="9"/>
  <c r="P605" i="9"/>
  <c r="O605" i="9"/>
  <c r="N605" i="9"/>
  <c r="M605" i="9"/>
  <c r="I605" i="9"/>
  <c r="C605" i="9"/>
  <c r="P604" i="9"/>
  <c r="O604" i="9"/>
  <c r="N604" i="9"/>
  <c r="M604" i="9"/>
  <c r="I604" i="9"/>
  <c r="C604" i="9"/>
  <c r="P603" i="9"/>
  <c r="O603" i="9"/>
  <c r="N603" i="9"/>
  <c r="M603" i="9"/>
  <c r="I603" i="9"/>
  <c r="C603" i="9"/>
  <c r="P602" i="9"/>
  <c r="O602" i="9"/>
  <c r="N602" i="9"/>
  <c r="M602" i="9"/>
  <c r="I602" i="9"/>
  <c r="C602" i="9"/>
  <c r="P601" i="9"/>
  <c r="O601" i="9"/>
  <c r="N601" i="9"/>
  <c r="M601" i="9"/>
  <c r="I601" i="9"/>
  <c r="C601" i="9"/>
  <c r="P600" i="9"/>
  <c r="O600" i="9"/>
  <c r="N600" i="9"/>
  <c r="M600" i="9"/>
  <c r="I600" i="9"/>
  <c r="C600" i="9"/>
  <c r="P599" i="9"/>
  <c r="O599" i="9"/>
  <c r="N599" i="9"/>
  <c r="M599" i="9"/>
  <c r="I599" i="9"/>
  <c r="C599" i="9"/>
  <c r="P598" i="9"/>
  <c r="O598" i="9"/>
  <c r="N598" i="9"/>
  <c r="M598" i="9"/>
  <c r="I598" i="9"/>
  <c r="C598" i="9"/>
  <c r="P597" i="9"/>
  <c r="O597" i="9"/>
  <c r="N597" i="9"/>
  <c r="M597" i="9"/>
  <c r="I597" i="9"/>
  <c r="C597" i="9"/>
  <c r="P596" i="9"/>
  <c r="O596" i="9"/>
  <c r="N596" i="9"/>
  <c r="M596" i="9"/>
  <c r="I596" i="9"/>
  <c r="C596" i="9"/>
  <c r="P595" i="9"/>
  <c r="O595" i="9"/>
  <c r="N595" i="9"/>
  <c r="M595" i="9"/>
  <c r="I595" i="9"/>
  <c r="C595" i="9"/>
  <c r="P594" i="9"/>
  <c r="O594" i="9"/>
  <c r="N594" i="9"/>
  <c r="M594" i="9"/>
  <c r="I594" i="9"/>
  <c r="C594" i="9"/>
  <c r="P593" i="9"/>
  <c r="O593" i="9"/>
  <c r="N593" i="9"/>
  <c r="M593" i="9"/>
  <c r="I593" i="9"/>
  <c r="C593" i="9"/>
  <c r="P592" i="9"/>
  <c r="O592" i="9"/>
  <c r="N592" i="9"/>
  <c r="M592" i="9"/>
  <c r="I592" i="9"/>
  <c r="C592" i="9"/>
  <c r="P591" i="9"/>
  <c r="O591" i="9"/>
  <c r="N591" i="9"/>
  <c r="M591" i="9"/>
  <c r="I591" i="9"/>
  <c r="C591" i="9"/>
  <c r="P590" i="9"/>
  <c r="O590" i="9"/>
  <c r="N590" i="9"/>
  <c r="M590" i="9"/>
  <c r="I590" i="9"/>
  <c r="C590" i="9"/>
  <c r="P589" i="9"/>
  <c r="O589" i="9"/>
  <c r="N589" i="9"/>
  <c r="M589" i="9"/>
  <c r="I589" i="9"/>
  <c r="C589" i="9"/>
  <c r="P588" i="9"/>
  <c r="O588" i="9"/>
  <c r="N588" i="9"/>
  <c r="M588" i="9"/>
  <c r="I588" i="9"/>
  <c r="C588" i="9"/>
  <c r="P587" i="9"/>
  <c r="O587" i="9"/>
  <c r="N587" i="9"/>
  <c r="M587" i="9"/>
  <c r="I587" i="9"/>
  <c r="C587" i="9"/>
  <c r="P586" i="9"/>
  <c r="O586" i="9"/>
  <c r="N586" i="9"/>
  <c r="M586" i="9"/>
  <c r="I586" i="9"/>
  <c r="C586" i="9"/>
  <c r="P585" i="9"/>
  <c r="O585" i="9"/>
  <c r="N585" i="9"/>
  <c r="M585" i="9"/>
  <c r="I585" i="9"/>
  <c r="C585" i="9"/>
  <c r="P584" i="9"/>
  <c r="O584" i="9"/>
  <c r="N584" i="9"/>
  <c r="M584" i="9"/>
  <c r="I584" i="9"/>
  <c r="C584" i="9"/>
  <c r="P583" i="9"/>
  <c r="O583" i="9"/>
  <c r="N583" i="9"/>
  <c r="M583" i="9"/>
  <c r="I583" i="9"/>
  <c r="C583" i="9"/>
  <c r="P582" i="9"/>
  <c r="O582" i="9"/>
  <c r="N582" i="9"/>
  <c r="M582" i="9"/>
  <c r="I582" i="9"/>
  <c r="C582" i="9"/>
  <c r="P581" i="9"/>
  <c r="O581" i="9"/>
  <c r="N581" i="9"/>
  <c r="M581" i="9"/>
  <c r="I581" i="9"/>
  <c r="C581" i="9"/>
  <c r="P580" i="9"/>
  <c r="O580" i="9"/>
  <c r="N580" i="9"/>
  <c r="M580" i="9"/>
  <c r="I580" i="9"/>
  <c r="C580" i="9"/>
  <c r="P579" i="9"/>
  <c r="O579" i="9"/>
  <c r="N579" i="9"/>
  <c r="M579" i="9"/>
  <c r="I579" i="9"/>
  <c r="C579" i="9"/>
  <c r="P578" i="9"/>
  <c r="O578" i="9"/>
  <c r="N578" i="9"/>
  <c r="M578" i="9"/>
  <c r="I578" i="9"/>
  <c r="C578" i="9"/>
  <c r="P577" i="9"/>
  <c r="O577" i="9"/>
  <c r="N577" i="9"/>
  <c r="M577" i="9"/>
  <c r="I577" i="9"/>
  <c r="C577" i="9"/>
  <c r="P576" i="9"/>
  <c r="O576" i="9"/>
  <c r="N576" i="9"/>
  <c r="M576" i="9"/>
  <c r="I576" i="9"/>
  <c r="C576" i="9"/>
  <c r="P575" i="9"/>
  <c r="O575" i="9"/>
  <c r="N575" i="9"/>
  <c r="M575" i="9"/>
  <c r="I575" i="9"/>
  <c r="C575" i="9"/>
  <c r="P574" i="9"/>
  <c r="O574" i="9"/>
  <c r="N574" i="9"/>
  <c r="M574" i="9"/>
  <c r="I574" i="9"/>
  <c r="C574" i="9"/>
  <c r="P573" i="9"/>
  <c r="O573" i="9"/>
  <c r="N573" i="9"/>
  <c r="M573" i="9"/>
  <c r="I573" i="9"/>
  <c r="C573" i="9"/>
  <c r="P572" i="9"/>
  <c r="O572" i="9"/>
  <c r="N572" i="9"/>
  <c r="M572" i="9"/>
  <c r="I572" i="9"/>
  <c r="C572" i="9"/>
  <c r="P571" i="9"/>
  <c r="O571" i="9"/>
  <c r="N571" i="9"/>
  <c r="M571" i="9"/>
  <c r="I571" i="9"/>
  <c r="C571" i="9"/>
  <c r="P570" i="9"/>
  <c r="O570" i="9"/>
  <c r="N570" i="9"/>
  <c r="M570" i="9"/>
  <c r="I570" i="9"/>
  <c r="C570" i="9"/>
  <c r="P569" i="9"/>
  <c r="O569" i="9"/>
  <c r="N569" i="9"/>
  <c r="M569" i="9"/>
  <c r="I569" i="9"/>
  <c r="C569" i="9"/>
  <c r="P568" i="9"/>
  <c r="O568" i="9"/>
  <c r="N568" i="9"/>
  <c r="M568" i="9"/>
  <c r="I568" i="9"/>
  <c r="C568" i="9"/>
  <c r="P567" i="9"/>
  <c r="O567" i="9"/>
  <c r="N567" i="9"/>
  <c r="M567" i="9"/>
  <c r="I567" i="9"/>
  <c r="C567" i="9"/>
  <c r="P566" i="9"/>
  <c r="O566" i="9"/>
  <c r="N566" i="9"/>
  <c r="M566" i="9"/>
  <c r="I566" i="9"/>
  <c r="C566" i="9"/>
  <c r="P565" i="9"/>
  <c r="O565" i="9"/>
  <c r="N565" i="9"/>
  <c r="M565" i="9"/>
  <c r="I565" i="9"/>
  <c r="C565" i="9"/>
  <c r="P564" i="9"/>
  <c r="O564" i="9"/>
  <c r="N564" i="9"/>
  <c r="M564" i="9"/>
  <c r="I564" i="9"/>
  <c r="C564" i="9"/>
  <c r="P563" i="9"/>
  <c r="O563" i="9"/>
  <c r="N563" i="9"/>
  <c r="M563" i="9"/>
  <c r="I563" i="9"/>
  <c r="C563" i="9"/>
  <c r="P562" i="9"/>
  <c r="O562" i="9"/>
  <c r="N562" i="9"/>
  <c r="M562" i="9"/>
  <c r="I562" i="9"/>
  <c r="C562" i="9"/>
  <c r="P561" i="9"/>
  <c r="O561" i="9"/>
  <c r="N561" i="9"/>
  <c r="M561" i="9"/>
  <c r="I561" i="9"/>
  <c r="C561" i="9"/>
  <c r="P560" i="9"/>
  <c r="O560" i="9"/>
  <c r="N560" i="9"/>
  <c r="M560" i="9"/>
  <c r="I560" i="9"/>
  <c r="C560" i="9"/>
  <c r="P559" i="9"/>
  <c r="O559" i="9"/>
  <c r="N559" i="9"/>
  <c r="M559" i="9"/>
  <c r="I559" i="9"/>
  <c r="C559" i="9"/>
  <c r="P558" i="9"/>
  <c r="O558" i="9"/>
  <c r="N558" i="9"/>
  <c r="M558" i="9"/>
  <c r="I558" i="9"/>
  <c r="C558" i="9"/>
  <c r="P557" i="9"/>
  <c r="O557" i="9"/>
  <c r="N557" i="9"/>
  <c r="M557" i="9"/>
  <c r="I557" i="9"/>
  <c r="C557" i="9"/>
  <c r="P556" i="9"/>
  <c r="O556" i="9"/>
  <c r="N556" i="9"/>
  <c r="M556" i="9"/>
  <c r="I556" i="9"/>
  <c r="C556" i="9"/>
  <c r="P555" i="9"/>
  <c r="O555" i="9"/>
  <c r="N555" i="9"/>
  <c r="M555" i="9"/>
  <c r="I555" i="9"/>
  <c r="C555" i="9"/>
  <c r="P554" i="9"/>
  <c r="O554" i="9"/>
  <c r="N554" i="9"/>
  <c r="M554" i="9"/>
  <c r="I554" i="9"/>
  <c r="C554" i="9"/>
  <c r="P553" i="9"/>
  <c r="O553" i="9"/>
  <c r="N553" i="9"/>
  <c r="M553" i="9"/>
  <c r="I553" i="9"/>
  <c r="C553" i="9"/>
  <c r="P552" i="9"/>
  <c r="O552" i="9"/>
  <c r="N552" i="9"/>
  <c r="M552" i="9"/>
  <c r="I552" i="9"/>
  <c r="C552" i="9"/>
  <c r="P551" i="9"/>
  <c r="O551" i="9"/>
  <c r="N551" i="9"/>
  <c r="M551" i="9"/>
  <c r="I551" i="9"/>
  <c r="C551" i="9"/>
  <c r="P550" i="9"/>
  <c r="O550" i="9"/>
  <c r="N550" i="9"/>
  <c r="M550" i="9"/>
  <c r="I550" i="9"/>
  <c r="C550" i="9"/>
  <c r="P549" i="9"/>
  <c r="O549" i="9"/>
  <c r="N549" i="9"/>
  <c r="M549" i="9"/>
  <c r="I549" i="9"/>
  <c r="C549" i="9"/>
  <c r="P548" i="9"/>
  <c r="O548" i="9"/>
  <c r="N548" i="9"/>
  <c r="M548" i="9"/>
  <c r="I548" i="9"/>
  <c r="C548" i="9"/>
  <c r="P547" i="9"/>
  <c r="O547" i="9"/>
  <c r="N547" i="9"/>
  <c r="M547" i="9"/>
  <c r="I547" i="9"/>
  <c r="C547" i="9"/>
  <c r="P546" i="9"/>
  <c r="O546" i="9"/>
  <c r="N546" i="9"/>
  <c r="M546" i="9"/>
  <c r="I546" i="9"/>
  <c r="C546" i="9"/>
  <c r="P545" i="9"/>
  <c r="O545" i="9"/>
  <c r="N545" i="9"/>
  <c r="M545" i="9"/>
  <c r="I545" i="9"/>
  <c r="C545" i="9"/>
  <c r="P544" i="9"/>
  <c r="O544" i="9"/>
  <c r="N544" i="9"/>
  <c r="M544" i="9"/>
  <c r="I544" i="9"/>
  <c r="C544" i="9"/>
  <c r="P543" i="9"/>
  <c r="O543" i="9"/>
  <c r="N543" i="9"/>
  <c r="M543" i="9"/>
  <c r="I543" i="9"/>
  <c r="C543" i="9"/>
  <c r="P542" i="9"/>
  <c r="O542" i="9"/>
  <c r="N542" i="9"/>
  <c r="M542" i="9"/>
  <c r="I542" i="9"/>
  <c r="C542" i="9"/>
  <c r="P541" i="9"/>
  <c r="O541" i="9"/>
  <c r="N541" i="9"/>
  <c r="M541" i="9"/>
  <c r="I541" i="9"/>
  <c r="C541" i="9"/>
  <c r="P540" i="9"/>
  <c r="O540" i="9"/>
  <c r="N540" i="9"/>
  <c r="M540" i="9"/>
  <c r="I540" i="9"/>
  <c r="C540" i="9"/>
  <c r="P539" i="9"/>
  <c r="O539" i="9"/>
  <c r="N539" i="9"/>
  <c r="M539" i="9"/>
  <c r="I539" i="9"/>
  <c r="C539" i="9"/>
  <c r="P538" i="9"/>
  <c r="O538" i="9"/>
  <c r="N538" i="9"/>
  <c r="M538" i="9"/>
  <c r="I538" i="9"/>
  <c r="C538" i="9"/>
  <c r="P537" i="9"/>
  <c r="O537" i="9"/>
  <c r="N537" i="9"/>
  <c r="M537" i="9"/>
  <c r="I537" i="9"/>
  <c r="C537" i="9"/>
  <c r="P536" i="9"/>
  <c r="O536" i="9"/>
  <c r="N536" i="9"/>
  <c r="M536" i="9"/>
  <c r="I536" i="9"/>
  <c r="C536" i="9"/>
  <c r="P535" i="9"/>
  <c r="O535" i="9"/>
  <c r="N535" i="9"/>
  <c r="M535" i="9"/>
  <c r="I535" i="9"/>
  <c r="C535" i="9"/>
  <c r="P534" i="9"/>
  <c r="O534" i="9"/>
  <c r="N534" i="9"/>
  <c r="M534" i="9"/>
  <c r="I534" i="9"/>
  <c r="C534" i="9"/>
  <c r="P533" i="9"/>
  <c r="O533" i="9"/>
  <c r="N533" i="9"/>
  <c r="M533" i="9"/>
  <c r="I533" i="9"/>
  <c r="C533" i="9"/>
  <c r="P532" i="9"/>
  <c r="O532" i="9"/>
  <c r="N532" i="9"/>
  <c r="M532" i="9"/>
  <c r="I532" i="9"/>
  <c r="C532" i="9"/>
  <c r="P531" i="9"/>
  <c r="O531" i="9"/>
  <c r="N531" i="9"/>
  <c r="M531" i="9"/>
  <c r="I531" i="9"/>
  <c r="C531" i="9"/>
  <c r="P530" i="9"/>
  <c r="O530" i="9"/>
  <c r="N530" i="9"/>
  <c r="M530" i="9"/>
  <c r="I530" i="9"/>
  <c r="C530" i="9"/>
  <c r="P529" i="9"/>
  <c r="O529" i="9"/>
  <c r="N529" i="9"/>
  <c r="M529" i="9"/>
  <c r="I529" i="9"/>
  <c r="C529" i="9"/>
  <c r="P528" i="9"/>
  <c r="O528" i="9"/>
  <c r="N528" i="9"/>
  <c r="M528" i="9"/>
  <c r="I528" i="9"/>
  <c r="C528" i="9"/>
  <c r="P527" i="9"/>
  <c r="O527" i="9"/>
  <c r="N527" i="9"/>
  <c r="M527" i="9"/>
  <c r="I527" i="9"/>
  <c r="C527" i="9"/>
  <c r="P526" i="9"/>
  <c r="O526" i="9"/>
  <c r="N526" i="9"/>
  <c r="M526" i="9"/>
  <c r="I526" i="9"/>
  <c r="C526" i="9"/>
  <c r="P525" i="9"/>
  <c r="O525" i="9"/>
  <c r="N525" i="9"/>
  <c r="M525" i="9"/>
  <c r="I525" i="9"/>
  <c r="C525" i="9"/>
  <c r="P524" i="9"/>
  <c r="O524" i="9"/>
  <c r="N524" i="9"/>
  <c r="M524" i="9"/>
  <c r="I524" i="9"/>
  <c r="C524" i="9"/>
  <c r="P523" i="9"/>
  <c r="O523" i="9"/>
  <c r="N523" i="9"/>
  <c r="M523" i="9"/>
  <c r="I523" i="9"/>
  <c r="C523" i="9"/>
  <c r="P522" i="9"/>
  <c r="O522" i="9"/>
  <c r="N522" i="9"/>
  <c r="M522" i="9"/>
  <c r="I522" i="9"/>
  <c r="C522" i="9"/>
  <c r="P521" i="9"/>
  <c r="O521" i="9"/>
  <c r="N521" i="9"/>
  <c r="M521" i="9"/>
  <c r="I521" i="9"/>
  <c r="C521" i="9"/>
  <c r="P520" i="9"/>
  <c r="O520" i="9"/>
  <c r="N520" i="9"/>
  <c r="M520" i="9"/>
  <c r="I520" i="9"/>
  <c r="C520" i="9"/>
  <c r="P519" i="9"/>
  <c r="O519" i="9"/>
  <c r="N519" i="9"/>
  <c r="M519" i="9"/>
  <c r="I519" i="9"/>
  <c r="C519" i="9"/>
  <c r="P518" i="9"/>
  <c r="O518" i="9"/>
  <c r="N518" i="9"/>
  <c r="M518" i="9"/>
  <c r="I518" i="9"/>
  <c r="C518" i="9"/>
  <c r="P517" i="9"/>
  <c r="O517" i="9"/>
  <c r="N517" i="9"/>
  <c r="M517" i="9"/>
  <c r="I517" i="9"/>
  <c r="C517" i="9"/>
  <c r="P516" i="9"/>
  <c r="O516" i="9"/>
  <c r="N516" i="9"/>
  <c r="M516" i="9"/>
  <c r="I516" i="9"/>
  <c r="C516" i="9"/>
  <c r="P515" i="9"/>
  <c r="O515" i="9"/>
  <c r="N515" i="9"/>
  <c r="M515" i="9"/>
  <c r="I515" i="9"/>
  <c r="C515" i="9"/>
  <c r="P514" i="9"/>
  <c r="O514" i="9"/>
  <c r="N514" i="9"/>
  <c r="M514" i="9"/>
  <c r="I514" i="9"/>
  <c r="C514" i="9"/>
  <c r="P513" i="9"/>
  <c r="O513" i="9"/>
  <c r="N513" i="9"/>
  <c r="M513" i="9"/>
  <c r="I513" i="9"/>
  <c r="C513" i="9"/>
  <c r="P512" i="9"/>
  <c r="O512" i="9"/>
  <c r="N512" i="9"/>
  <c r="M512" i="9"/>
  <c r="I512" i="9"/>
  <c r="C512" i="9"/>
  <c r="P511" i="9"/>
  <c r="O511" i="9"/>
  <c r="N511" i="9"/>
  <c r="M511" i="9"/>
  <c r="I511" i="9"/>
  <c r="C511" i="9"/>
  <c r="P510" i="9"/>
  <c r="O510" i="9"/>
  <c r="N510" i="9"/>
  <c r="M510" i="9"/>
  <c r="I510" i="9"/>
  <c r="C510" i="9"/>
  <c r="P509" i="9"/>
  <c r="O509" i="9"/>
  <c r="N509" i="9"/>
  <c r="M509" i="9"/>
  <c r="I509" i="9"/>
  <c r="C509" i="9"/>
  <c r="P508" i="9"/>
  <c r="O508" i="9"/>
  <c r="N508" i="9"/>
  <c r="M508" i="9"/>
  <c r="I508" i="9"/>
  <c r="C508" i="9"/>
  <c r="P507" i="9"/>
  <c r="O507" i="9"/>
  <c r="N507" i="9"/>
  <c r="M507" i="9"/>
  <c r="I507" i="9"/>
  <c r="C507" i="9"/>
  <c r="P506" i="9"/>
  <c r="O506" i="9"/>
  <c r="N506" i="9"/>
  <c r="M506" i="9"/>
  <c r="I506" i="9"/>
  <c r="C506" i="9"/>
  <c r="P505" i="9"/>
  <c r="O505" i="9"/>
  <c r="N505" i="9"/>
  <c r="M505" i="9"/>
  <c r="I505" i="9"/>
  <c r="C505" i="9"/>
  <c r="P504" i="9"/>
  <c r="O504" i="9"/>
  <c r="N504" i="9"/>
  <c r="M504" i="9"/>
  <c r="I504" i="9"/>
  <c r="C504" i="9"/>
  <c r="P503" i="9"/>
  <c r="O503" i="9"/>
  <c r="N503" i="9"/>
  <c r="M503" i="9"/>
  <c r="I503" i="9"/>
  <c r="C503" i="9"/>
  <c r="P502" i="9"/>
  <c r="O502" i="9"/>
  <c r="N502" i="9"/>
  <c r="M502" i="9"/>
  <c r="I502" i="9"/>
  <c r="C502" i="9"/>
  <c r="P501" i="9"/>
  <c r="O501" i="9"/>
  <c r="N501" i="9"/>
  <c r="M501" i="9"/>
  <c r="I501" i="9"/>
  <c r="C501" i="9"/>
  <c r="P500" i="9"/>
  <c r="O500" i="9"/>
  <c r="N500" i="9"/>
  <c r="M500" i="9"/>
  <c r="I500" i="9"/>
  <c r="C500" i="9"/>
  <c r="P499" i="9"/>
  <c r="O499" i="9"/>
  <c r="N499" i="9"/>
  <c r="M499" i="9"/>
  <c r="I499" i="9"/>
  <c r="C499" i="9"/>
  <c r="P498" i="9"/>
  <c r="O498" i="9"/>
  <c r="N498" i="9"/>
  <c r="M498" i="9"/>
  <c r="I498" i="9"/>
  <c r="C498" i="9"/>
  <c r="P497" i="9"/>
  <c r="O497" i="9"/>
  <c r="N497" i="9"/>
  <c r="M497" i="9"/>
  <c r="I497" i="9"/>
  <c r="C497" i="9"/>
  <c r="P496" i="9"/>
  <c r="O496" i="9"/>
  <c r="N496" i="9"/>
  <c r="M496" i="9"/>
  <c r="I496" i="9"/>
  <c r="C496" i="9"/>
  <c r="P495" i="9"/>
  <c r="O495" i="9"/>
  <c r="N495" i="9"/>
  <c r="M495" i="9"/>
  <c r="I495" i="9"/>
  <c r="C495" i="9"/>
  <c r="P494" i="9"/>
  <c r="O494" i="9"/>
  <c r="N494" i="9"/>
  <c r="M494" i="9"/>
  <c r="I494" i="9"/>
  <c r="C494" i="9"/>
  <c r="P493" i="9"/>
  <c r="O493" i="9"/>
  <c r="N493" i="9"/>
  <c r="M493" i="9"/>
  <c r="I493" i="9"/>
  <c r="C493" i="9"/>
  <c r="P492" i="9"/>
  <c r="O492" i="9"/>
  <c r="N492" i="9"/>
  <c r="M492" i="9"/>
  <c r="I492" i="9"/>
  <c r="C492" i="9"/>
  <c r="P491" i="9"/>
  <c r="O491" i="9"/>
  <c r="N491" i="9"/>
  <c r="M491" i="9"/>
  <c r="I491" i="9"/>
  <c r="C491" i="9"/>
  <c r="P490" i="9"/>
  <c r="O490" i="9"/>
  <c r="N490" i="9"/>
  <c r="M490" i="9"/>
  <c r="I490" i="9"/>
  <c r="C490" i="9"/>
  <c r="P489" i="9"/>
  <c r="O489" i="9"/>
  <c r="N489" i="9"/>
  <c r="M489" i="9"/>
  <c r="I489" i="9"/>
  <c r="C489" i="9"/>
  <c r="P488" i="9"/>
  <c r="O488" i="9"/>
  <c r="N488" i="9"/>
  <c r="M488" i="9"/>
  <c r="I488" i="9"/>
  <c r="C488" i="9"/>
  <c r="P487" i="9"/>
  <c r="O487" i="9"/>
  <c r="N487" i="9"/>
  <c r="M487" i="9"/>
  <c r="I487" i="9"/>
  <c r="C487" i="9"/>
  <c r="P486" i="9"/>
  <c r="O486" i="9"/>
  <c r="N486" i="9"/>
  <c r="M486" i="9"/>
  <c r="I486" i="9"/>
  <c r="C486" i="9"/>
  <c r="P485" i="9"/>
  <c r="O485" i="9"/>
  <c r="N485" i="9"/>
  <c r="M485" i="9"/>
  <c r="I485" i="9"/>
  <c r="C485" i="9"/>
  <c r="P484" i="9"/>
  <c r="O484" i="9"/>
  <c r="N484" i="9"/>
  <c r="M484" i="9"/>
  <c r="I484" i="9"/>
  <c r="C484" i="9"/>
  <c r="P483" i="9"/>
  <c r="O483" i="9"/>
  <c r="N483" i="9"/>
  <c r="M483" i="9"/>
  <c r="I483" i="9"/>
  <c r="C483" i="9"/>
  <c r="P482" i="9"/>
  <c r="O482" i="9"/>
  <c r="N482" i="9"/>
  <c r="M482" i="9"/>
  <c r="I482" i="9"/>
  <c r="C482" i="9"/>
  <c r="P481" i="9"/>
  <c r="O481" i="9"/>
  <c r="N481" i="9"/>
  <c r="M481" i="9"/>
  <c r="I481" i="9"/>
  <c r="C481" i="9"/>
  <c r="P480" i="9"/>
  <c r="O480" i="9"/>
  <c r="N480" i="9"/>
  <c r="M480" i="9"/>
  <c r="I480" i="9"/>
  <c r="C480" i="9"/>
  <c r="P479" i="9"/>
  <c r="O479" i="9"/>
  <c r="N479" i="9"/>
  <c r="M479" i="9"/>
  <c r="I479" i="9"/>
  <c r="C479" i="9"/>
  <c r="P478" i="9"/>
  <c r="O478" i="9"/>
  <c r="N478" i="9"/>
  <c r="M478" i="9"/>
  <c r="I478" i="9"/>
  <c r="C478" i="9"/>
  <c r="P477" i="9"/>
  <c r="O477" i="9"/>
  <c r="N477" i="9"/>
  <c r="M477" i="9"/>
  <c r="I477" i="9"/>
  <c r="C477" i="9"/>
  <c r="P476" i="9"/>
  <c r="O476" i="9"/>
  <c r="N476" i="9"/>
  <c r="M476" i="9"/>
  <c r="I476" i="9"/>
  <c r="C476" i="9"/>
  <c r="P475" i="9"/>
  <c r="O475" i="9"/>
  <c r="N475" i="9"/>
  <c r="M475" i="9"/>
  <c r="I475" i="9"/>
  <c r="C475" i="9"/>
  <c r="P474" i="9"/>
  <c r="O474" i="9"/>
  <c r="N474" i="9"/>
  <c r="M474" i="9"/>
  <c r="I474" i="9"/>
  <c r="C474" i="9"/>
  <c r="P473" i="9"/>
  <c r="O473" i="9"/>
  <c r="N473" i="9"/>
  <c r="M473" i="9"/>
  <c r="I473" i="9"/>
  <c r="C473" i="9"/>
  <c r="P472" i="9"/>
  <c r="O472" i="9"/>
  <c r="N472" i="9"/>
  <c r="M472" i="9"/>
  <c r="I472" i="9"/>
  <c r="C472" i="9"/>
  <c r="P471" i="9"/>
  <c r="O471" i="9"/>
  <c r="N471" i="9"/>
  <c r="M471" i="9"/>
  <c r="I471" i="9"/>
  <c r="C471" i="9"/>
  <c r="P470" i="9"/>
  <c r="O470" i="9"/>
  <c r="N470" i="9"/>
  <c r="M470" i="9"/>
  <c r="I470" i="9"/>
  <c r="C470" i="9"/>
  <c r="P469" i="9"/>
  <c r="O469" i="9"/>
  <c r="N469" i="9"/>
  <c r="M469" i="9"/>
  <c r="I469" i="9"/>
  <c r="C469" i="9"/>
  <c r="P468" i="9"/>
  <c r="O468" i="9"/>
  <c r="N468" i="9"/>
  <c r="M468" i="9"/>
  <c r="I468" i="9"/>
  <c r="C468" i="9"/>
  <c r="P467" i="9"/>
  <c r="O467" i="9"/>
  <c r="N467" i="9"/>
  <c r="M467" i="9"/>
  <c r="I467" i="9"/>
  <c r="C467" i="9"/>
  <c r="P466" i="9"/>
  <c r="O466" i="9"/>
  <c r="N466" i="9"/>
  <c r="M466" i="9"/>
  <c r="I466" i="9"/>
  <c r="C466" i="9"/>
  <c r="P465" i="9"/>
  <c r="O465" i="9"/>
  <c r="N465" i="9"/>
  <c r="M465" i="9"/>
  <c r="I465" i="9"/>
  <c r="C465" i="9"/>
  <c r="P464" i="9"/>
  <c r="O464" i="9"/>
  <c r="N464" i="9"/>
  <c r="M464" i="9"/>
  <c r="I464" i="9"/>
  <c r="C464" i="9"/>
  <c r="P463" i="9"/>
  <c r="O463" i="9"/>
  <c r="N463" i="9"/>
  <c r="M463" i="9"/>
  <c r="I463" i="9"/>
  <c r="C463" i="9"/>
  <c r="P462" i="9"/>
  <c r="O462" i="9"/>
  <c r="N462" i="9"/>
  <c r="M462" i="9"/>
  <c r="I462" i="9"/>
  <c r="C462" i="9"/>
  <c r="P461" i="9"/>
  <c r="O461" i="9"/>
  <c r="N461" i="9"/>
  <c r="M461" i="9"/>
  <c r="I461" i="9"/>
  <c r="C461" i="9"/>
  <c r="P460" i="9"/>
  <c r="O460" i="9"/>
  <c r="N460" i="9"/>
  <c r="M460" i="9"/>
  <c r="I460" i="9"/>
  <c r="C460" i="9"/>
  <c r="P459" i="9"/>
  <c r="O459" i="9"/>
  <c r="N459" i="9"/>
  <c r="M459" i="9"/>
  <c r="I459" i="9"/>
  <c r="C459" i="9"/>
  <c r="P458" i="9"/>
  <c r="O458" i="9"/>
  <c r="N458" i="9"/>
  <c r="M458" i="9"/>
  <c r="I458" i="9"/>
  <c r="C458" i="9"/>
  <c r="P457" i="9"/>
  <c r="O457" i="9"/>
  <c r="N457" i="9"/>
  <c r="M457" i="9"/>
  <c r="I457" i="9"/>
  <c r="C457" i="9"/>
  <c r="P456" i="9"/>
  <c r="O456" i="9"/>
  <c r="N456" i="9"/>
  <c r="M456" i="9"/>
  <c r="I456" i="9"/>
  <c r="C456" i="9"/>
  <c r="P455" i="9"/>
  <c r="O455" i="9"/>
  <c r="N455" i="9"/>
  <c r="M455" i="9"/>
  <c r="I455" i="9"/>
  <c r="C455" i="9"/>
  <c r="P454" i="9"/>
  <c r="O454" i="9"/>
  <c r="N454" i="9"/>
  <c r="M454" i="9"/>
  <c r="I454" i="9"/>
  <c r="C454" i="9"/>
  <c r="P453" i="9"/>
  <c r="O453" i="9"/>
  <c r="N453" i="9"/>
  <c r="M453" i="9"/>
  <c r="I453" i="9"/>
  <c r="C453" i="9"/>
  <c r="P452" i="9"/>
  <c r="O452" i="9"/>
  <c r="N452" i="9"/>
  <c r="M452" i="9"/>
  <c r="I452" i="9"/>
  <c r="C452" i="9"/>
  <c r="P451" i="9"/>
  <c r="O451" i="9"/>
  <c r="N451" i="9"/>
  <c r="M451" i="9"/>
  <c r="I451" i="9"/>
  <c r="C451" i="9"/>
  <c r="P450" i="9"/>
  <c r="O450" i="9"/>
  <c r="N450" i="9"/>
  <c r="M450" i="9"/>
  <c r="I450" i="9"/>
  <c r="C450" i="9"/>
  <c r="P449" i="9"/>
  <c r="O449" i="9"/>
  <c r="N449" i="9"/>
  <c r="M449" i="9"/>
  <c r="I449" i="9"/>
  <c r="C449" i="9"/>
  <c r="P448" i="9"/>
  <c r="O448" i="9"/>
  <c r="N448" i="9"/>
  <c r="M448" i="9"/>
  <c r="I448" i="9"/>
  <c r="C448" i="9"/>
  <c r="P447" i="9"/>
  <c r="O447" i="9"/>
  <c r="N447" i="9"/>
  <c r="M447" i="9"/>
  <c r="I447" i="9"/>
  <c r="C447" i="9"/>
  <c r="P446" i="9"/>
  <c r="O446" i="9"/>
  <c r="N446" i="9"/>
  <c r="M446" i="9"/>
  <c r="I446" i="9"/>
  <c r="C446" i="9"/>
  <c r="P445" i="9"/>
  <c r="O445" i="9"/>
  <c r="N445" i="9"/>
  <c r="M445" i="9"/>
  <c r="I445" i="9"/>
  <c r="C445" i="9"/>
  <c r="P444" i="9"/>
  <c r="O444" i="9"/>
  <c r="N444" i="9"/>
  <c r="M444" i="9"/>
  <c r="I444" i="9"/>
  <c r="C444" i="9"/>
  <c r="P443" i="9"/>
  <c r="O443" i="9"/>
  <c r="N443" i="9"/>
  <c r="M443" i="9"/>
  <c r="I443" i="9"/>
  <c r="C443" i="9"/>
  <c r="P442" i="9"/>
  <c r="O442" i="9"/>
  <c r="N442" i="9"/>
  <c r="M442" i="9"/>
  <c r="I442" i="9"/>
  <c r="C442" i="9"/>
  <c r="P441" i="9"/>
  <c r="O441" i="9"/>
  <c r="N441" i="9"/>
  <c r="M441" i="9"/>
  <c r="I441" i="9"/>
  <c r="C441" i="9"/>
  <c r="P440" i="9"/>
  <c r="O440" i="9"/>
  <c r="N440" i="9"/>
  <c r="M440" i="9"/>
  <c r="I440" i="9"/>
  <c r="C440" i="9"/>
  <c r="P439" i="9"/>
  <c r="O439" i="9"/>
  <c r="N439" i="9"/>
  <c r="M439" i="9"/>
  <c r="I439" i="9"/>
  <c r="C439" i="9"/>
  <c r="P438" i="9"/>
  <c r="O438" i="9"/>
  <c r="N438" i="9"/>
  <c r="M438" i="9"/>
  <c r="I438" i="9"/>
  <c r="C438" i="9"/>
  <c r="P437" i="9"/>
  <c r="O437" i="9"/>
  <c r="N437" i="9"/>
  <c r="M437" i="9"/>
  <c r="I437" i="9"/>
  <c r="C437" i="9"/>
  <c r="P436" i="9"/>
  <c r="O436" i="9"/>
  <c r="N436" i="9"/>
  <c r="M436" i="9"/>
  <c r="I436" i="9"/>
  <c r="C436" i="9"/>
  <c r="P435" i="9"/>
  <c r="O435" i="9"/>
  <c r="N435" i="9"/>
  <c r="M435" i="9"/>
  <c r="I435" i="9"/>
  <c r="C435" i="9"/>
  <c r="P434" i="9"/>
  <c r="O434" i="9"/>
  <c r="N434" i="9"/>
  <c r="M434" i="9"/>
  <c r="I434" i="9"/>
  <c r="C434" i="9"/>
  <c r="P433" i="9"/>
  <c r="O433" i="9"/>
  <c r="N433" i="9"/>
  <c r="M433" i="9"/>
  <c r="I433" i="9"/>
  <c r="C433" i="9"/>
  <c r="P432" i="9"/>
  <c r="O432" i="9"/>
  <c r="N432" i="9"/>
  <c r="M432" i="9"/>
  <c r="I432" i="9"/>
  <c r="C432" i="9"/>
  <c r="P431" i="9"/>
  <c r="O431" i="9"/>
  <c r="N431" i="9"/>
  <c r="M431" i="9"/>
  <c r="I431" i="9"/>
  <c r="C431" i="9"/>
  <c r="P430" i="9"/>
  <c r="O430" i="9"/>
  <c r="N430" i="9"/>
  <c r="M430" i="9"/>
  <c r="I430" i="9"/>
  <c r="C430" i="9"/>
  <c r="P429" i="9"/>
  <c r="O429" i="9"/>
  <c r="N429" i="9"/>
  <c r="M429" i="9"/>
  <c r="I429" i="9"/>
  <c r="C429" i="9"/>
  <c r="P428" i="9"/>
  <c r="O428" i="9"/>
  <c r="N428" i="9"/>
  <c r="M428" i="9"/>
  <c r="I428" i="9"/>
  <c r="C428" i="9"/>
  <c r="P427" i="9"/>
  <c r="O427" i="9"/>
  <c r="N427" i="9"/>
  <c r="M427" i="9"/>
  <c r="I427" i="9"/>
  <c r="C427" i="9"/>
  <c r="P426" i="9"/>
  <c r="O426" i="9"/>
  <c r="N426" i="9"/>
  <c r="M426" i="9"/>
  <c r="I426" i="9"/>
  <c r="C426" i="9"/>
  <c r="P425" i="9"/>
  <c r="O425" i="9"/>
  <c r="N425" i="9"/>
  <c r="M425" i="9"/>
  <c r="I425" i="9"/>
  <c r="C425" i="9"/>
  <c r="P424" i="9"/>
  <c r="O424" i="9"/>
  <c r="N424" i="9"/>
  <c r="M424" i="9"/>
  <c r="I424" i="9"/>
  <c r="C424" i="9"/>
  <c r="P423" i="9"/>
  <c r="O423" i="9"/>
  <c r="N423" i="9"/>
  <c r="M423" i="9"/>
  <c r="I423" i="9"/>
  <c r="C423" i="9"/>
  <c r="P422" i="9"/>
  <c r="O422" i="9"/>
  <c r="N422" i="9"/>
  <c r="M422" i="9"/>
  <c r="I422" i="9"/>
  <c r="C422" i="9"/>
  <c r="P421" i="9"/>
  <c r="O421" i="9"/>
  <c r="N421" i="9"/>
  <c r="M421" i="9"/>
  <c r="I421" i="9"/>
  <c r="C421" i="9"/>
  <c r="P420" i="9"/>
  <c r="O420" i="9"/>
  <c r="N420" i="9"/>
  <c r="M420" i="9"/>
  <c r="I420" i="9"/>
  <c r="C420" i="9"/>
  <c r="P419" i="9"/>
  <c r="O419" i="9"/>
  <c r="N419" i="9"/>
  <c r="M419" i="9"/>
  <c r="I419" i="9"/>
  <c r="C419" i="9"/>
  <c r="P418" i="9"/>
  <c r="O418" i="9"/>
  <c r="N418" i="9"/>
  <c r="M418" i="9"/>
  <c r="I418" i="9"/>
  <c r="C418" i="9"/>
  <c r="P417" i="9"/>
  <c r="O417" i="9"/>
  <c r="N417" i="9"/>
  <c r="M417" i="9"/>
  <c r="I417" i="9"/>
  <c r="C417" i="9"/>
  <c r="P416" i="9"/>
  <c r="O416" i="9"/>
  <c r="N416" i="9"/>
  <c r="M416" i="9"/>
  <c r="I416" i="9"/>
  <c r="C416" i="9"/>
  <c r="P415" i="9"/>
  <c r="O415" i="9"/>
  <c r="N415" i="9"/>
  <c r="M415" i="9"/>
  <c r="I415" i="9"/>
  <c r="C415" i="9"/>
  <c r="P414" i="9"/>
  <c r="O414" i="9"/>
  <c r="N414" i="9"/>
  <c r="M414" i="9"/>
  <c r="I414" i="9"/>
  <c r="C414" i="9"/>
  <c r="P413" i="9"/>
  <c r="O413" i="9"/>
  <c r="N413" i="9"/>
  <c r="M413" i="9"/>
  <c r="I413" i="9"/>
  <c r="C413" i="9"/>
  <c r="P412" i="9"/>
  <c r="O412" i="9"/>
  <c r="N412" i="9"/>
  <c r="M412" i="9"/>
  <c r="I412" i="9"/>
  <c r="C412" i="9"/>
  <c r="P411" i="9"/>
  <c r="O411" i="9"/>
  <c r="N411" i="9"/>
  <c r="M411" i="9"/>
  <c r="I411" i="9"/>
  <c r="C411" i="9"/>
  <c r="P410" i="9"/>
  <c r="O410" i="9"/>
  <c r="N410" i="9"/>
  <c r="M410" i="9"/>
  <c r="I410" i="9"/>
  <c r="C410" i="9"/>
  <c r="P409" i="9"/>
  <c r="O409" i="9"/>
  <c r="N409" i="9"/>
  <c r="M409" i="9"/>
  <c r="I409" i="9"/>
  <c r="C409" i="9"/>
  <c r="P408" i="9"/>
  <c r="O408" i="9"/>
  <c r="N408" i="9"/>
  <c r="M408" i="9"/>
  <c r="I408" i="9"/>
  <c r="C408" i="9"/>
  <c r="P407" i="9"/>
  <c r="O407" i="9"/>
  <c r="N407" i="9"/>
  <c r="M407" i="9"/>
  <c r="I407" i="9"/>
  <c r="C407" i="9"/>
  <c r="P406" i="9"/>
  <c r="O406" i="9"/>
  <c r="N406" i="9"/>
  <c r="M406" i="9"/>
  <c r="I406" i="9"/>
  <c r="C406" i="9"/>
  <c r="P405" i="9"/>
  <c r="O405" i="9"/>
  <c r="N405" i="9"/>
  <c r="M405" i="9"/>
  <c r="I405" i="9"/>
  <c r="C405" i="9"/>
  <c r="P404" i="9"/>
  <c r="O404" i="9"/>
  <c r="N404" i="9"/>
  <c r="M404" i="9"/>
  <c r="I404" i="9"/>
  <c r="C404" i="9"/>
  <c r="P403" i="9"/>
  <c r="O403" i="9"/>
  <c r="N403" i="9"/>
  <c r="M403" i="9"/>
  <c r="I403" i="9"/>
  <c r="C403" i="9"/>
  <c r="P402" i="9"/>
  <c r="O402" i="9"/>
  <c r="N402" i="9"/>
  <c r="M402" i="9"/>
  <c r="I402" i="9"/>
  <c r="C402" i="9"/>
  <c r="P401" i="9"/>
  <c r="O401" i="9"/>
  <c r="N401" i="9"/>
  <c r="M401" i="9"/>
  <c r="I401" i="9"/>
  <c r="C401" i="9"/>
  <c r="P400" i="9"/>
  <c r="O400" i="9"/>
  <c r="N400" i="9"/>
  <c r="M400" i="9"/>
  <c r="I400" i="9"/>
  <c r="C400" i="9"/>
  <c r="P399" i="9"/>
  <c r="O399" i="9"/>
  <c r="N399" i="9"/>
  <c r="M399" i="9"/>
  <c r="I399" i="9"/>
  <c r="C399" i="9"/>
  <c r="P398" i="9"/>
  <c r="O398" i="9"/>
  <c r="N398" i="9"/>
  <c r="M398" i="9"/>
  <c r="I398" i="9"/>
  <c r="C398" i="9"/>
  <c r="P397" i="9"/>
  <c r="O397" i="9"/>
  <c r="N397" i="9"/>
  <c r="M397" i="9"/>
  <c r="I397" i="9"/>
  <c r="C397" i="9"/>
  <c r="P396" i="9"/>
  <c r="O396" i="9"/>
  <c r="N396" i="9"/>
  <c r="M396" i="9"/>
  <c r="I396" i="9"/>
  <c r="C396" i="9"/>
  <c r="P395" i="9"/>
  <c r="O395" i="9"/>
  <c r="N395" i="9"/>
  <c r="M395" i="9"/>
  <c r="I395" i="9"/>
  <c r="C395" i="9"/>
  <c r="P394" i="9"/>
  <c r="O394" i="9"/>
  <c r="N394" i="9"/>
  <c r="M394" i="9"/>
  <c r="I394" i="9"/>
  <c r="C394" i="9"/>
  <c r="P393" i="9"/>
  <c r="O393" i="9"/>
  <c r="N393" i="9"/>
  <c r="M393" i="9"/>
  <c r="I393" i="9"/>
  <c r="C393" i="9"/>
  <c r="P392" i="9"/>
  <c r="O392" i="9"/>
  <c r="N392" i="9"/>
  <c r="M392" i="9"/>
  <c r="I392" i="9"/>
  <c r="C392" i="9"/>
  <c r="P391" i="9"/>
  <c r="O391" i="9"/>
  <c r="N391" i="9"/>
  <c r="M391" i="9"/>
  <c r="I391" i="9"/>
  <c r="C391" i="9"/>
  <c r="P390" i="9"/>
  <c r="O390" i="9"/>
  <c r="N390" i="9"/>
  <c r="M390" i="9"/>
  <c r="I390" i="9"/>
  <c r="C390" i="9"/>
  <c r="P389" i="9"/>
  <c r="O389" i="9"/>
  <c r="N389" i="9"/>
  <c r="M389" i="9"/>
  <c r="I389" i="9"/>
  <c r="C389" i="9"/>
  <c r="P388" i="9"/>
  <c r="O388" i="9"/>
  <c r="N388" i="9"/>
  <c r="M388" i="9"/>
  <c r="I388" i="9"/>
  <c r="C388" i="9"/>
  <c r="P387" i="9"/>
  <c r="O387" i="9"/>
  <c r="N387" i="9"/>
  <c r="M387" i="9"/>
  <c r="I387" i="9"/>
  <c r="C387" i="9"/>
  <c r="P386" i="9"/>
  <c r="O386" i="9"/>
  <c r="N386" i="9"/>
  <c r="M386" i="9"/>
  <c r="I386" i="9"/>
  <c r="C386" i="9"/>
  <c r="P385" i="9"/>
  <c r="O385" i="9"/>
  <c r="N385" i="9"/>
  <c r="M385" i="9"/>
  <c r="I385" i="9"/>
  <c r="C385" i="9"/>
  <c r="P384" i="9"/>
  <c r="O384" i="9"/>
  <c r="N384" i="9"/>
  <c r="M384" i="9"/>
  <c r="I384" i="9"/>
  <c r="C384" i="9"/>
  <c r="P383" i="9"/>
  <c r="O383" i="9"/>
  <c r="N383" i="9"/>
  <c r="M383" i="9"/>
  <c r="I383" i="9"/>
  <c r="C383" i="9"/>
  <c r="P382" i="9"/>
  <c r="O382" i="9"/>
  <c r="N382" i="9"/>
  <c r="M382" i="9"/>
  <c r="I382" i="9"/>
  <c r="C382" i="9"/>
  <c r="P381" i="9"/>
  <c r="O381" i="9"/>
  <c r="N381" i="9"/>
  <c r="M381" i="9"/>
  <c r="I381" i="9"/>
  <c r="C381" i="9"/>
  <c r="P380" i="9"/>
  <c r="O380" i="9"/>
  <c r="N380" i="9"/>
  <c r="M380" i="9"/>
  <c r="I380" i="9"/>
  <c r="C380" i="9"/>
  <c r="P379" i="9"/>
  <c r="O379" i="9"/>
  <c r="N379" i="9"/>
  <c r="M379" i="9"/>
  <c r="I379" i="9"/>
  <c r="C379" i="9"/>
  <c r="P378" i="9"/>
  <c r="O378" i="9"/>
  <c r="N378" i="9"/>
  <c r="M378" i="9"/>
  <c r="I378" i="9"/>
  <c r="C378" i="9"/>
  <c r="P377" i="9"/>
  <c r="O377" i="9"/>
  <c r="N377" i="9"/>
  <c r="M377" i="9"/>
  <c r="I377" i="9"/>
  <c r="C377" i="9"/>
  <c r="P376" i="9"/>
  <c r="O376" i="9"/>
  <c r="N376" i="9"/>
  <c r="M376" i="9"/>
  <c r="I376" i="9"/>
  <c r="C376" i="9"/>
  <c r="P375" i="9"/>
  <c r="O375" i="9"/>
  <c r="N375" i="9"/>
  <c r="M375" i="9"/>
  <c r="I375" i="9"/>
  <c r="C375" i="9"/>
  <c r="P374" i="9"/>
  <c r="O374" i="9"/>
  <c r="N374" i="9"/>
  <c r="M374" i="9"/>
  <c r="I374" i="9"/>
  <c r="C374" i="9"/>
  <c r="P373" i="9"/>
  <c r="O373" i="9"/>
  <c r="N373" i="9"/>
  <c r="M373" i="9"/>
  <c r="I373" i="9"/>
  <c r="C373" i="9"/>
  <c r="P372" i="9"/>
  <c r="O372" i="9"/>
  <c r="N372" i="9"/>
  <c r="M372" i="9"/>
  <c r="I372" i="9"/>
  <c r="C372" i="9"/>
  <c r="P371" i="9"/>
  <c r="O371" i="9"/>
  <c r="N371" i="9"/>
  <c r="M371" i="9"/>
  <c r="I371" i="9"/>
  <c r="C371" i="9"/>
  <c r="P370" i="9"/>
  <c r="O370" i="9"/>
  <c r="N370" i="9"/>
  <c r="M370" i="9"/>
  <c r="I370" i="9"/>
  <c r="C370" i="9"/>
  <c r="P369" i="9"/>
  <c r="O369" i="9"/>
  <c r="N369" i="9"/>
  <c r="M369" i="9"/>
  <c r="I369" i="9"/>
  <c r="C369" i="9"/>
  <c r="P368" i="9"/>
  <c r="O368" i="9"/>
  <c r="N368" i="9"/>
  <c r="M368" i="9"/>
  <c r="I368" i="9"/>
  <c r="C368" i="9"/>
  <c r="P367" i="9"/>
  <c r="O367" i="9"/>
  <c r="N367" i="9"/>
  <c r="M367" i="9"/>
  <c r="I367" i="9"/>
  <c r="C367" i="9"/>
  <c r="P366" i="9"/>
  <c r="O366" i="9"/>
  <c r="N366" i="9"/>
  <c r="M366" i="9"/>
  <c r="I366" i="9"/>
  <c r="C366" i="9"/>
  <c r="P365" i="9"/>
  <c r="O365" i="9"/>
  <c r="N365" i="9"/>
  <c r="M365" i="9"/>
  <c r="I365" i="9"/>
  <c r="C365" i="9"/>
  <c r="P364" i="9"/>
  <c r="O364" i="9"/>
  <c r="N364" i="9"/>
  <c r="M364" i="9"/>
  <c r="I364" i="9"/>
  <c r="C364" i="9"/>
  <c r="P363" i="9"/>
  <c r="O363" i="9"/>
  <c r="N363" i="9"/>
  <c r="M363" i="9"/>
  <c r="I363" i="9"/>
  <c r="C363" i="9"/>
  <c r="P362" i="9"/>
  <c r="O362" i="9"/>
  <c r="N362" i="9"/>
  <c r="M362" i="9"/>
  <c r="I362" i="9"/>
  <c r="C362" i="9"/>
  <c r="P361" i="9"/>
  <c r="O361" i="9"/>
  <c r="N361" i="9"/>
  <c r="M361" i="9"/>
  <c r="I361" i="9"/>
  <c r="C361" i="9"/>
  <c r="P360" i="9"/>
  <c r="O360" i="9"/>
  <c r="N360" i="9"/>
  <c r="M360" i="9"/>
  <c r="I360" i="9"/>
  <c r="C360" i="9"/>
  <c r="P359" i="9"/>
  <c r="O359" i="9"/>
  <c r="N359" i="9"/>
  <c r="M359" i="9"/>
  <c r="I359" i="9"/>
  <c r="C359" i="9"/>
  <c r="P358" i="9"/>
  <c r="O358" i="9"/>
  <c r="N358" i="9"/>
  <c r="M358" i="9"/>
  <c r="I358" i="9"/>
  <c r="C358" i="9"/>
  <c r="P357" i="9"/>
  <c r="O357" i="9"/>
  <c r="N357" i="9"/>
  <c r="M357" i="9"/>
  <c r="I357" i="9"/>
  <c r="C357" i="9"/>
  <c r="P356" i="9"/>
  <c r="O356" i="9"/>
  <c r="N356" i="9"/>
  <c r="M356" i="9"/>
  <c r="I356" i="9"/>
  <c r="C356" i="9"/>
  <c r="P355" i="9"/>
  <c r="O355" i="9"/>
  <c r="N355" i="9"/>
  <c r="M355" i="9"/>
  <c r="I355" i="9"/>
  <c r="C355" i="9"/>
  <c r="P354" i="9"/>
  <c r="O354" i="9"/>
  <c r="N354" i="9"/>
  <c r="M354" i="9"/>
  <c r="I354" i="9"/>
  <c r="C354" i="9"/>
  <c r="P353" i="9"/>
  <c r="O353" i="9"/>
  <c r="N353" i="9"/>
  <c r="M353" i="9"/>
  <c r="I353" i="9"/>
  <c r="C353" i="9"/>
  <c r="P352" i="9"/>
  <c r="O352" i="9"/>
  <c r="N352" i="9"/>
  <c r="M352" i="9"/>
  <c r="I352" i="9"/>
  <c r="C352" i="9"/>
  <c r="P351" i="9"/>
  <c r="O351" i="9"/>
  <c r="N351" i="9"/>
  <c r="M351" i="9"/>
  <c r="I351" i="9"/>
  <c r="C351" i="9"/>
  <c r="P350" i="9"/>
  <c r="O350" i="9"/>
  <c r="N350" i="9"/>
  <c r="M350" i="9"/>
  <c r="I350" i="9"/>
  <c r="C350" i="9"/>
  <c r="P349" i="9"/>
  <c r="O349" i="9"/>
  <c r="N349" i="9"/>
  <c r="M349" i="9"/>
  <c r="I349" i="9"/>
  <c r="C349" i="9"/>
  <c r="P348" i="9"/>
  <c r="O348" i="9"/>
  <c r="N348" i="9"/>
  <c r="M348" i="9"/>
  <c r="I348" i="9"/>
  <c r="C348" i="9"/>
  <c r="P347" i="9"/>
  <c r="O347" i="9"/>
  <c r="N347" i="9"/>
  <c r="M347" i="9"/>
  <c r="I347" i="9"/>
  <c r="C347" i="9"/>
  <c r="P346" i="9"/>
  <c r="O346" i="9"/>
  <c r="N346" i="9"/>
  <c r="M346" i="9"/>
  <c r="I346" i="9"/>
  <c r="C346" i="9"/>
  <c r="P345" i="9"/>
  <c r="O345" i="9"/>
  <c r="N345" i="9"/>
  <c r="M345" i="9"/>
  <c r="I345" i="9"/>
  <c r="C345" i="9"/>
  <c r="P344" i="9"/>
  <c r="O344" i="9"/>
  <c r="N344" i="9"/>
  <c r="M344" i="9"/>
  <c r="I344" i="9"/>
  <c r="C344" i="9"/>
  <c r="P343" i="9"/>
  <c r="O343" i="9"/>
  <c r="N343" i="9"/>
  <c r="M343" i="9"/>
  <c r="I343" i="9"/>
  <c r="C343" i="9"/>
  <c r="P342" i="9"/>
  <c r="O342" i="9"/>
  <c r="N342" i="9"/>
  <c r="M342" i="9"/>
  <c r="I342" i="9"/>
  <c r="C342" i="9"/>
  <c r="P341" i="9"/>
  <c r="O341" i="9"/>
  <c r="N341" i="9"/>
  <c r="M341" i="9"/>
  <c r="I341" i="9"/>
  <c r="C341" i="9"/>
  <c r="P340" i="9"/>
  <c r="O340" i="9"/>
  <c r="N340" i="9"/>
  <c r="M340" i="9"/>
  <c r="I340" i="9"/>
  <c r="C340" i="9"/>
  <c r="P339" i="9"/>
  <c r="O339" i="9"/>
  <c r="N339" i="9"/>
  <c r="M339" i="9"/>
  <c r="I339" i="9"/>
  <c r="C339" i="9"/>
  <c r="P338" i="9"/>
  <c r="O338" i="9"/>
  <c r="N338" i="9"/>
  <c r="M338" i="9"/>
  <c r="I338" i="9"/>
  <c r="C338" i="9"/>
  <c r="P337" i="9"/>
  <c r="O337" i="9"/>
  <c r="N337" i="9"/>
  <c r="M337" i="9"/>
  <c r="I337" i="9"/>
  <c r="C337" i="9"/>
  <c r="P336" i="9"/>
  <c r="O336" i="9"/>
  <c r="N336" i="9"/>
  <c r="M336" i="9"/>
  <c r="I336" i="9"/>
  <c r="C336" i="9"/>
  <c r="P335" i="9"/>
  <c r="O335" i="9"/>
  <c r="N335" i="9"/>
  <c r="M335" i="9"/>
  <c r="I335" i="9"/>
  <c r="C335" i="9"/>
  <c r="P334" i="9"/>
  <c r="O334" i="9"/>
  <c r="N334" i="9"/>
  <c r="M334" i="9"/>
  <c r="I334" i="9"/>
  <c r="C334" i="9"/>
  <c r="P333" i="9"/>
  <c r="O333" i="9"/>
  <c r="N333" i="9"/>
  <c r="M333" i="9"/>
  <c r="I333" i="9"/>
  <c r="C333" i="9"/>
  <c r="P332" i="9"/>
  <c r="O332" i="9"/>
  <c r="N332" i="9"/>
  <c r="M332" i="9"/>
  <c r="I332" i="9"/>
  <c r="C332" i="9"/>
  <c r="P331" i="9"/>
  <c r="O331" i="9"/>
  <c r="N331" i="9"/>
  <c r="M331" i="9"/>
  <c r="I331" i="9"/>
  <c r="C331" i="9"/>
  <c r="P330" i="9"/>
  <c r="O330" i="9"/>
  <c r="N330" i="9"/>
  <c r="M330" i="9"/>
  <c r="I330" i="9"/>
  <c r="C330" i="9"/>
  <c r="P329" i="9"/>
  <c r="O329" i="9"/>
  <c r="N329" i="9"/>
  <c r="M329" i="9"/>
  <c r="I329" i="9"/>
  <c r="C329" i="9"/>
  <c r="P328" i="9"/>
  <c r="O328" i="9"/>
  <c r="N328" i="9"/>
  <c r="M328" i="9"/>
  <c r="I328" i="9"/>
  <c r="C328" i="9"/>
  <c r="P327" i="9"/>
  <c r="O327" i="9"/>
  <c r="N327" i="9"/>
  <c r="M327" i="9"/>
  <c r="I327" i="9"/>
  <c r="C327" i="9"/>
  <c r="P326" i="9"/>
  <c r="O326" i="9"/>
  <c r="N326" i="9"/>
  <c r="M326" i="9"/>
  <c r="I326" i="9"/>
  <c r="C326" i="9"/>
  <c r="P325" i="9"/>
  <c r="O325" i="9"/>
  <c r="N325" i="9"/>
  <c r="M325" i="9"/>
  <c r="I325" i="9"/>
  <c r="C325" i="9"/>
  <c r="P324" i="9"/>
  <c r="O324" i="9"/>
  <c r="N324" i="9"/>
  <c r="M324" i="9"/>
  <c r="I324" i="9"/>
  <c r="C324" i="9"/>
  <c r="P323" i="9"/>
  <c r="O323" i="9"/>
  <c r="N323" i="9"/>
  <c r="M323" i="9"/>
  <c r="I323" i="9"/>
  <c r="C323" i="9"/>
  <c r="P322" i="9"/>
  <c r="O322" i="9"/>
  <c r="N322" i="9"/>
  <c r="M322" i="9"/>
  <c r="I322" i="9"/>
  <c r="C322" i="9"/>
  <c r="P321" i="9"/>
  <c r="O321" i="9"/>
  <c r="N321" i="9"/>
  <c r="M321" i="9"/>
  <c r="I321" i="9"/>
  <c r="C321" i="9"/>
  <c r="P320" i="9"/>
  <c r="O320" i="9"/>
  <c r="N320" i="9"/>
  <c r="M320" i="9"/>
  <c r="I320" i="9"/>
  <c r="C320" i="9"/>
  <c r="P319" i="9"/>
  <c r="O319" i="9"/>
  <c r="N319" i="9"/>
  <c r="M319" i="9"/>
  <c r="I319" i="9"/>
  <c r="C319" i="9"/>
  <c r="P318" i="9"/>
  <c r="O318" i="9"/>
  <c r="N318" i="9"/>
  <c r="M318" i="9"/>
  <c r="I318" i="9"/>
  <c r="C318" i="9"/>
  <c r="P317" i="9"/>
  <c r="O317" i="9"/>
  <c r="N317" i="9"/>
  <c r="M317" i="9"/>
  <c r="I317" i="9"/>
  <c r="C317" i="9"/>
  <c r="P316" i="9"/>
  <c r="O316" i="9"/>
  <c r="N316" i="9"/>
  <c r="M316" i="9"/>
  <c r="I316" i="9"/>
  <c r="C316" i="9"/>
  <c r="P315" i="9"/>
  <c r="O315" i="9"/>
  <c r="N315" i="9"/>
  <c r="M315" i="9"/>
  <c r="I315" i="9"/>
  <c r="C315" i="9"/>
  <c r="P314" i="9"/>
  <c r="O314" i="9"/>
  <c r="N314" i="9"/>
  <c r="M314" i="9"/>
  <c r="I314" i="9"/>
  <c r="C314" i="9"/>
  <c r="P313" i="9"/>
  <c r="O313" i="9"/>
  <c r="N313" i="9"/>
  <c r="M313" i="9"/>
  <c r="I313" i="9"/>
  <c r="C313" i="9"/>
  <c r="P312" i="9"/>
  <c r="O312" i="9"/>
  <c r="N312" i="9"/>
  <c r="M312" i="9"/>
  <c r="I312" i="9"/>
  <c r="C312" i="9"/>
  <c r="P311" i="9"/>
  <c r="O311" i="9"/>
  <c r="N311" i="9"/>
  <c r="M311" i="9"/>
  <c r="I311" i="9"/>
  <c r="C311" i="9"/>
  <c r="P310" i="9"/>
  <c r="O310" i="9"/>
  <c r="N310" i="9"/>
  <c r="M310" i="9"/>
  <c r="I310" i="9"/>
  <c r="C310" i="9"/>
  <c r="P309" i="9"/>
  <c r="O309" i="9"/>
  <c r="N309" i="9"/>
  <c r="M309" i="9"/>
  <c r="I309" i="9"/>
  <c r="C309" i="9"/>
  <c r="P308" i="9"/>
  <c r="O308" i="9"/>
  <c r="N308" i="9"/>
  <c r="M308" i="9"/>
  <c r="I308" i="9"/>
  <c r="C308" i="9"/>
  <c r="P307" i="9"/>
  <c r="O307" i="9"/>
  <c r="N307" i="9"/>
  <c r="M307" i="9"/>
  <c r="I307" i="9"/>
  <c r="C307" i="9"/>
  <c r="P306" i="9"/>
  <c r="O306" i="9"/>
  <c r="N306" i="9"/>
  <c r="M306" i="9"/>
  <c r="I306" i="9"/>
  <c r="C306" i="9"/>
  <c r="P305" i="9"/>
  <c r="O305" i="9"/>
  <c r="N305" i="9"/>
  <c r="M305" i="9"/>
  <c r="I305" i="9"/>
  <c r="C305" i="9"/>
  <c r="P304" i="9"/>
  <c r="O304" i="9"/>
  <c r="N304" i="9"/>
  <c r="M304" i="9"/>
  <c r="I304" i="9"/>
  <c r="C304" i="9"/>
  <c r="P303" i="9"/>
  <c r="O303" i="9"/>
  <c r="N303" i="9"/>
  <c r="M303" i="9"/>
  <c r="I303" i="9"/>
  <c r="C303" i="9"/>
  <c r="P302" i="9"/>
  <c r="O302" i="9"/>
  <c r="N302" i="9"/>
  <c r="M302" i="9"/>
  <c r="I302" i="9"/>
  <c r="C302" i="9"/>
  <c r="P301" i="9"/>
  <c r="O301" i="9"/>
  <c r="N301" i="9"/>
  <c r="M301" i="9"/>
  <c r="I301" i="9"/>
  <c r="C301" i="9"/>
  <c r="P300" i="9"/>
  <c r="O300" i="9"/>
  <c r="N300" i="9"/>
  <c r="M300" i="9"/>
  <c r="I300" i="9"/>
  <c r="C300" i="9"/>
  <c r="P299" i="9"/>
  <c r="O299" i="9"/>
  <c r="N299" i="9"/>
  <c r="M299" i="9"/>
  <c r="I299" i="9"/>
  <c r="C299" i="9"/>
  <c r="P298" i="9"/>
  <c r="O298" i="9"/>
  <c r="N298" i="9"/>
  <c r="M298" i="9"/>
  <c r="I298" i="9"/>
  <c r="C298" i="9"/>
  <c r="P297" i="9"/>
  <c r="O297" i="9"/>
  <c r="N297" i="9"/>
  <c r="M297" i="9"/>
  <c r="I297" i="9"/>
  <c r="C297" i="9"/>
  <c r="P296" i="9"/>
  <c r="O296" i="9"/>
  <c r="N296" i="9"/>
  <c r="M296" i="9"/>
  <c r="I296" i="9"/>
  <c r="C296" i="9"/>
  <c r="P295" i="9"/>
  <c r="O295" i="9"/>
  <c r="N295" i="9"/>
  <c r="M295" i="9"/>
  <c r="I295" i="9"/>
  <c r="C295" i="9"/>
  <c r="P294" i="9"/>
  <c r="O294" i="9"/>
  <c r="N294" i="9"/>
  <c r="M294" i="9"/>
  <c r="I294" i="9"/>
  <c r="C294" i="9"/>
  <c r="P293" i="9"/>
  <c r="O293" i="9"/>
  <c r="N293" i="9"/>
  <c r="M293" i="9"/>
  <c r="I293" i="9"/>
  <c r="C293" i="9"/>
  <c r="P292" i="9"/>
  <c r="O292" i="9"/>
  <c r="N292" i="9"/>
  <c r="M292" i="9"/>
  <c r="I292" i="9"/>
  <c r="C292" i="9"/>
  <c r="P291" i="9"/>
  <c r="O291" i="9"/>
  <c r="N291" i="9"/>
  <c r="M291" i="9"/>
  <c r="I291" i="9"/>
  <c r="C291" i="9"/>
  <c r="P290" i="9"/>
  <c r="O290" i="9"/>
  <c r="N290" i="9"/>
  <c r="M290" i="9"/>
  <c r="I290" i="9"/>
  <c r="C290" i="9"/>
  <c r="P289" i="9"/>
  <c r="O289" i="9"/>
  <c r="N289" i="9"/>
  <c r="M289" i="9"/>
  <c r="I289" i="9"/>
  <c r="C289" i="9"/>
  <c r="P288" i="9"/>
  <c r="O288" i="9"/>
  <c r="N288" i="9"/>
  <c r="M288" i="9"/>
  <c r="I288" i="9"/>
  <c r="C288" i="9"/>
  <c r="P287" i="9"/>
  <c r="O287" i="9"/>
  <c r="N287" i="9"/>
  <c r="M287" i="9"/>
  <c r="I287" i="9"/>
  <c r="C287" i="9"/>
  <c r="P286" i="9"/>
  <c r="O286" i="9"/>
  <c r="N286" i="9"/>
  <c r="M286" i="9"/>
  <c r="I286" i="9"/>
  <c r="C286" i="9"/>
  <c r="P285" i="9"/>
  <c r="O285" i="9"/>
  <c r="N285" i="9"/>
  <c r="M285" i="9"/>
  <c r="I285" i="9"/>
  <c r="C285" i="9"/>
  <c r="P284" i="9"/>
  <c r="O284" i="9"/>
  <c r="N284" i="9"/>
  <c r="M284" i="9"/>
  <c r="I284" i="9"/>
  <c r="C284" i="9"/>
  <c r="P283" i="9"/>
  <c r="O283" i="9"/>
  <c r="N283" i="9"/>
  <c r="M283" i="9"/>
  <c r="I283" i="9"/>
  <c r="C283" i="9"/>
  <c r="P282" i="9"/>
  <c r="O282" i="9"/>
  <c r="N282" i="9"/>
  <c r="M282" i="9"/>
  <c r="I282" i="9"/>
  <c r="C282" i="9"/>
  <c r="P281" i="9"/>
  <c r="O281" i="9"/>
  <c r="N281" i="9"/>
  <c r="M281" i="9"/>
  <c r="I281" i="9"/>
  <c r="C281" i="9"/>
  <c r="P280" i="9"/>
  <c r="O280" i="9"/>
  <c r="N280" i="9"/>
  <c r="M280" i="9"/>
  <c r="I280" i="9"/>
  <c r="C280" i="9"/>
  <c r="P279" i="9"/>
  <c r="O279" i="9"/>
  <c r="N279" i="9"/>
  <c r="M279" i="9"/>
  <c r="I279" i="9"/>
  <c r="C279" i="9"/>
  <c r="P278" i="9"/>
  <c r="O278" i="9"/>
  <c r="N278" i="9"/>
  <c r="M278" i="9"/>
  <c r="I278" i="9"/>
  <c r="C278" i="9"/>
  <c r="P277" i="9"/>
  <c r="O277" i="9"/>
  <c r="N277" i="9"/>
  <c r="M277" i="9"/>
  <c r="I277" i="9"/>
  <c r="C277" i="9"/>
  <c r="P276" i="9"/>
  <c r="O276" i="9"/>
  <c r="N276" i="9"/>
  <c r="M276" i="9"/>
  <c r="I276" i="9"/>
  <c r="C276" i="9"/>
  <c r="P275" i="9"/>
  <c r="O275" i="9"/>
  <c r="N275" i="9"/>
  <c r="M275" i="9"/>
  <c r="I275" i="9"/>
  <c r="C275" i="9"/>
  <c r="P274" i="9"/>
  <c r="O274" i="9"/>
  <c r="N274" i="9"/>
  <c r="M274" i="9"/>
  <c r="I274" i="9"/>
  <c r="C274" i="9"/>
  <c r="P273" i="9"/>
  <c r="O273" i="9"/>
  <c r="N273" i="9"/>
  <c r="M273" i="9"/>
  <c r="I273" i="9"/>
  <c r="C273" i="9"/>
  <c r="P272" i="9"/>
  <c r="O272" i="9"/>
  <c r="N272" i="9"/>
  <c r="M272" i="9"/>
  <c r="I272" i="9"/>
  <c r="C272" i="9"/>
  <c r="P271" i="9"/>
  <c r="O271" i="9"/>
  <c r="N271" i="9"/>
  <c r="M271" i="9"/>
  <c r="I271" i="9"/>
  <c r="C271" i="9"/>
  <c r="P270" i="9"/>
  <c r="O270" i="9"/>
  <c r="N270" i="9"/>
  <c r="M270" i="9"/>
  <c r="I270" i="9"/>
  <c r="C270" i="9"/>
  <c r="P269" i="9"/>
  <c r="O269" i="9"/>
  <c r="N269" i="9"/>
  <c r="M269" i="9"/>
  <c r="I269" i="9"/>
  <c r="C269" i="9"/>
  <c r="P268" i="9"/>
  <c r="O268" i="9"/>
  <c r="N268" i="9"/>
  <c r="M268" i="9"/>
  <c r="I268" i="9"/>
  <c r="C268" i="9"/>
  <c r="P267" i="9"/>
  <c r="O267" i="9"/>
  <c r="N267" i="9"/>
  <c r="M267" i="9"/>
  <c r="I267" i="9"/>
  <c r="C267" i="9"/>
  <c r="P266" i="9"/>
  <c r="O266" i="9"/>
  <c r="N266" i="9"/>
  <c r="M266" i="9"/>
  <c r="I266" i="9"/>
  <c r="C266" i="9"/>
  <c r="P265" i="9"/>
  <c r="O265" i="9"/>
  <c r="N265" i="9"/>
  <c r="M265" i="9"/>
  <c r="I265" i="9"/>
  <c r="C265" i="9"/>
  <c r="P264" i="9"/>
  <c r="O264" i="9"/>
  <c r="N264" i="9"/>
  <c r="M264" i="9"/>
  <c r="I264" i="9"/>
  <c r="C264" i="9"/>
  <c r="P263" i="9"/>
  <c r="O263" i="9"/>
  <c r="N263" i="9"/>
  <c r="M263" i="9"/>
  <c r="I263" i="9"/>
  <c r="C263" i="9"/>
  <c r="P262" i="9"/>
  <c r="O262" i="9"/>
  <c r="N262" i="9"/>
  <c r="M262" i="9"/>
  <c r="I262" i="9"/>
  <c r="C262" i="9"/>
  <c r="P261" i="9"/>
  <c r="O261" i="9"/>
  <c r="N261" i="9"/>
  <c r="M261" i="9"/>
  <c r="I261" i="9"/>
  <c r="C261" i="9"/>
  <c r="P260" i="9"/>
  <c r="O260" i="9"/>
  <c r="N260" i="9"/>
  <c r="M260" i="9"/>
  <c r="I260" i="9"/>
  <c r="C260" i="9"/>
  <c r="P259" i="9"/>
  <c r="O259" i="9"/>
  <c r="N259" i="9"/>
  <c r="M259" i="9"/>
  <c r="I259" i="9"/>
  <c r="C259" i="9"/>
  <c r="P258" i="9"/>
  <c r="O258" i="9"/>
  <c r="N258" i="9"/>
  <c r="M258" i="9"/>
  <c r="I258" i="9"/>
  <c r="C258" i="9"/>
  <c r="P257" i="9"/>
  <c r="O257" i="9"/>
  <c r="N257" i="9"/>
  <c r="M257" i="9"/>
  <c r="I257" i="9"/>
  <c r="C257" i="9"/>
  <c r="P256" i="9"/>
  <c r="O256" i="9"/>
  <c r="N256" i="9"/>
  <c r="M256" i="9"/>
  <c r="I256" i="9"/>
  <c r="C256" i="9"/>
  <c r="P255" i="9"/>
  <c r="O255" i="9"/>
  <c r="N255" i="9"/>
  <c r="M255" i="9"/>
  <c r="I255" i="9"/>
  <c r="C255" i="9"/>
  <c r="P254" i="9"/>
  <c r="O254" i="9"/>
  <c r="N254" i="9"/>
  <c r="M254" i="9"/>
  <c r="I254" i="9"/>
  <c r="C254" i="9"/>
  <c r="P253" i="9"/>
  <c r="O253" i="9"/>
  <c r="N253" i="9"/>
  <c r="M253" i="9"/>
  <c r="I253" i="9"/>
  <c r="C253" i="9"/>
  <c r="P252" i="9"/>
  <c r="O252" i="9"/>
  <c r="N252" i="9"/>
  <c r="M252" i="9"/>
  <c r="I252" i="9"/>
  <c r="C252" i="9"/>
  <c r="P251" i="9"/>
  <c r="O251" i="9"/>
  <c r="N251" i="9"/>
  <c r="M251" i="9"/>
  <c r="I251" i="9"/>
  <c r="C251" i="9"/>
  <c r="P250" i="9"/>
  <c r="O250" i="9"/>
  <c r="N250" i="9"/>
  <c r="M250" i="9"/>
  <c r="I250" i="9"/>
  <c r="C250" i="9"/>
  <c r="P249" i="9"/>
  <c r="O249" i="9"/>
  <c r="N249" i="9"/>
  <c r="M249" i="9"/>
  <c r="I249" i="9"/>
  <c r="C249" i="9"/>
  <c r="P248" i="9"/>
  <c r="O248" i="9"/>
  <c r="N248" i="9"/>
  <c r="M248" i="9"/>
  <c r="I248" i="9"/>
  <c r="C248" i="9"/>
  <c r="P247" i="9"/>
  <c r="O247" i="9"/>
  <c r="N247" i="9"/>
  <c r="M247" i="9"/>
  <c r="I247" i="9"/>
  <c r="C247" i="9"/>
  <c r="P246" i="9"/>
  <c r="O246" i="9"/>
  <c r="N246" i="9"/>
  <c r="M246" i="9"/>
  <c r="I246" i="9"/>
  <c r="C246" i="9"/>
  <c r="P245" i="9"/>
  <c r="O245" i="9"/>
  <c r="N245" i="9"/>
  <c r="M245" i="9"/>
  <c r="I245" i="9"/>
  <c r="C245" i="9"/>
  <c r="P244" i="9"/>
  <c r="O244" i="9"/>
  <c r="N244" i="9"/>
  <c r="M244" i="9"/>
  <c r="I244" i="9"/>
  <c r="C244" i="9"/>
  <c r="P243" i="9"/>
  <c r="O243" i="9"/>
  <c r="N243" i="9"/>
  <c r="M243" i="9"/>
  <c r="I243" i="9"/>
  <c r="C243" i="9"/>
  <c r="P242" i="9"/>
  <c r="O242" i="9"/>
  <c r="N242" i="9"/>
  <c r="M242" i="9"/>
  <c r="I242" i="9"/>
  <c r="C242" i="9"/>
  <c r="P241" i="9"/>
  <c r="O241" i="9"/>
  <c r="N241" i="9"/>
  <c r="M241" i="9"/>
  <c r="I241" i="9"/>
  <c r="C241" i="9"/>
  <c r="P240" i="9"/>
  <c r="O240" i="9"/>
  <c r="N240" i="9"/>
  <c r="M240" i="9"/>
  <c r="I240" i="9"/>
  <c r="C240" i="9"/>
  <c r="P239" i="9"/>
  <c r="O239" i="9"/>
  <c r="N239" i="9"/>
  <c r="M239" i="9"/>
  <c r="I239" i="9"/>
  <c r="C239" i="9"/>
  <c r="P238" i="9"/>
  <c r="O238" i="9"/>
  <c r="N238" i="9"/>
  <c r="M238" i="9"/>
  <c r="I238" i="9"/>
  <c r="C238" i="9"/>
  <c r="P237" i="9"/>
  <c r="O237" i="9"/>
  <c r="N237" i="9"/>
  <c r="M237" i="9"/>
  <c r="I237" i="9"/>
  <c r="C237" i="9"/>
  <c r="P236" i="9"/>
  <c r="O236" i="9"/>
  <c r="N236" i="9"/>
  <c r="M236" i="9"/>
  <c r="I236" i="9"/>
  <c r="C236" i="9"/>
  <c r="P235" i="9"/>
  <c r="O235" i="9"/>
  <c r="N235" i="9"/>
  <c r="M235" i="9"/>
  <c r="I235" i="9"/>
  <c r="C235" i="9"/>
  <c r="P234" i="9"/>
  <c r="O234" i="9"/>
  <c r="N234" i="9"/>
  <c r="M234" i="9"/>
  <c r="I234" i="9"/>
  <c r="C234" i="9"/>
  <c r="P233" i="9"/>
  <c r="O233" i="9"/>
  <c r="N233" i="9"/>
  <c r="M233" i="9"/>
  <c r="I233" i="9"/>
  <c r="C233" i="9"/>
  <c r="P232" i="9"/>
  <c r="O232" i="9"/>
  <c r="N232" i="9"/>
  <c r="M232" i="9"/>
  <c r="I232" i="9"/>
  <c r="C232" i="9"/>
  <c r="P231" i="9"/>
  <c r="O231" i="9"/>
  <c r="N231" i="9"/>
  <c r="M231" i="9"/>
  <c r="I231" i="9"/>
  <c r="C231" i="9"/>
  <c r="P230" i="9"/>
  <c r="O230" i="9"/>
  <c r="N230" i="9"/>
  <c r="M230" i="9"/>
  <c r="I230" i="9"/>
  <c r="C230" i="9"/>
  <c r="P229" i="9"/>
  <c r="O229" i="9"/>
  <c r="N229" i="9"/>
  <c r="M229" i="9"/>
  <c r="I229" i="9"/>
  <c r="C229" i="9"/>
  <c r="P228" i="9"/>
  <c r="O228" i="9"/>
  <c r="N228" i="9"/>
  <c r="M228" i="9"/>
  <c r="I228" i="9"/>
  <c r="C228" i="9"/>
  <c r="P227" i="9"/>
  <c r="O227" i="9"/>
  <c r="N227" i="9"/>
  <c r="M227" i="9"/>
  <c r="I227" i="9"/>
  <c r="C227" i="9"/>
  <c r="P226" i="9"/>
  <c r="O226" i="9"/>
  <c r="N226" i="9"/>
  <c r="M226" i="9"/>
  <c r="I226" i="9"/>
  <c r="C226" i="9"/>
  <c r="P225" i="9"/>
  <c r="O225" i="9"/>
  <c r="N225" i="9"/>
  <c r="M225" i="9"/>
  <c r="I225" i="9"/>
  <c r="C225" i="9"/>
  <c r="P224" i="9"/>
  <c r="O224" i="9"/>
  <c r="N224" i="9"/>
  <c r="M224" i="9"/>
  <c r="I224" i="9"/>
  <c r="C224" i="9"/>
  <c r="P223" i="9"/>
  <c r="O223" i="9"/>
  <c r="N223" i="9"/>
  <c r="M223" i="9"/>
  <c r="I223" i="9"/>
  <c r="C223" i="9"/>
  <c r="P222" i="9"/>
  <c r="O222" i="9"/>
  <c r="N222" i="9"/>
  <c r="M222" i="9"/>
  <c r="I222" i="9"/>
  <c r="C222" i="9"/>
  <c r="P221" i="9"/>
  <c r="O221" i="9"/>
  <c r="N221" i="9"/>
  <c r="M221" i="9"/>
  <c r="I221" i="9"/>
  <c r="C221" i="9"/>
  <c r="P220" i="9"/>
  <c r="O220" i="9"/>
  <c r="N220" i="9"/>
  <c r="M220" i="9"/>
  <c r="I220" i="9"/>
  <c r="C220" i="9"/>
  <c r="P219" i="9"/>
  <c r="O219" i="9"/>
  <c r="N219" i="9"/>
  <c r="M219" i="9"/>
  <c r="I219" i="9"/>
  <c r="C219" i="9"/>
  <c r="P218" i="9"/>
  <c r="O218" i="9"/>
  <c r="N218" i="9"/>
  <c r="M218" i="9"/>
  <c r="I218" i="9"/>
  <c r="C218" i="9"/>
  <c r="P217" i="9"/>
  <c r="O217" i="9"/>
  <c r="N217" i="9"/>
  <c r="M217" i="9"/>
  <c r="I217" i="9"/>
  <c r="C217" i="9"/>
  <c r="P216" i="9"/>
  <c r="O216" i="9"/>
  <c r="N216" i="9"/>
  <c r="M216" i="9"/>
  <c r="I216" i="9"/>
  <c r="C216" i="9"/>
  <c r="P215" i="9"/>
  <c r="O215" i="9"/>
  <c r="N215" i="9"/>
  <c r="M215" i="9"/>
  <c r="I215" i="9"/>
  <c r="C215" i="9"/>
  <c r="P214" i="9"/>
  <c r="O214" i="9"/>
  <c r="N214" i="9"/>
  <c r="M214" i="9"/>
  <c r="I214" i="9"/>
  <c r="C214" i="9"/>
  <c r="P213" i="9"/>
  <c r="O213" i="9"/>
  <c r="N213" i="9"/>
  <c r="M213" i="9"/>
  <c r="I213" i="9"/>
  <c r="C213" i="9"/>
  <c r="P212" i="9"/>
  <c r="O212" i="9"/>
  <c r="N212" i="9"/>
  <c r="M212" i="9"/>
  <c r="I212" i="9"/>
  <c r="C212" i="9"/>
  <c r="P211" i="9"/>
  <c r="O211" i="9"/>
  <c r="N211" i="9"/>
  <c r="M211" i="9"/>
  <c r="I211" i="9"/>
  <c r="C211" i="9"/>
  <c r="P210" i="9"/>
  <c r="O210" i="9"/>
  <c r="N210" i="9"/>
  <c r="M210" i="9"/>
  <c r="I210" i="9"/>
  <c r="C210" i="9"/>
  <c r="P209" i="9"/>
  <c r="O209" i="9"/>
  <c r="N209" i="9"/>
  <c r="M209" i="9"/>
  <c r="I209" i="9"/>
  <c r="C209" i="9"/>
  <c r="P208" i="9"/>
  <c r="O208" i="9"/>
  <c r="N208" i="9"/>
  <c r="M208" i="9"/>
  <c r="I208" i="9"/>
  <c r="C208" i="9"/>
  <c r="P207" i="9"/>
  <c r="O207" i="9"/>
  <c r="N207" i="9"/>
  <c r="M207" i="9"/>
  <c r="I207" i="9"/>
  <c r="C207" i="9"/>
  <c r="P206" i="9"/>
  <c r="O206" i="9"/>
  <c r="N206" i="9"/>
  <c r="M206" i="9"/>
  <c r="I206" i="9"/>
  <c r="C206" i="9"/>
  <c r="P205" i="9"/>
  <c r="O205" i="9"/>
  <c r="N205" i="9"/>
  <c r="M205" i="9"/>
  <c r="I205" i="9"/>
  <c r="C205" i="9"/>
  <c r="P204" i="9"/>
  <c r="O204" i="9"/>
  <c r="N204" i="9"/>
  <c r="M204" i="9"/>
  <c r="I204" i="9"/>
  <c r="C204" i="9"/>
  <c r="P203" i="9"/>
  <c r="O203" i="9"/>
  <c r="N203" i="9"/>
  <c r="M203" i="9"/>
  <c r="I203" i="9"/>
  <c r="C203" i="9"/>
  <c r="P202" i="9"/>
  <c r="O202" i="9"/>
  <c r="N202" i="9"/>
  <c r="M202" i="9"/>
  <c r="I202" i="9"/>
  <c r="C202" i="9"/>
  <c r="P201" i="9"/>
  <c r="O201" i="9"/>
  <c r="N201" i="9"/>
  <c r="M201" i="9"/>
  <c r="I201" i="9"/>
  <c r="C201" i="9"/>
  <c r="P200" i="9"/>
  <c r="O200" i="9"/>
  <c r="N200" i="9"/>
  <c r="M200" i="9"/>
  <c r="I200" i="9"/>
  <c r="C200" i="9"/>
  <c r="P199" i="9"/>
  <c r="O199" i="9"/>
  <c r="N199" i="9"/>
  <c r="M199" i="9"/>
  <c r="I199" i="9"/>
  <c r="C199" i="9"/>
  <c r="P198" i="9"/>
  <c r="O198" i="9"/>
  <c r="N198" i="9"/>
  <c r="M198" i="9"/>
  <c r="I198" i="9"/>
  <c r="C198" i="9"/>
  <c r="P197" i="9"/>
  <c r="O197" i="9"/>
  <c r="N197" i="9"/>
  <c r="M197" i="9"/>
  <c r="I197" i="9"/>
  <c r="C197" i="9"/>
  <c r="P196" i="9"/>
  <c r="O196" i="9"/>
  <c r="N196" i="9"/>
  <c r="M196" i="9"/>
  <c r="I196" i="9"/>
  <c r="C196" i="9"/>
  <c r="P195" i="9"/>
  <c r="O195" i="9"/>
  <c r="N195" i="9"/>
  <c r="M195" i="9"/>
  <c r="I195" i="9"/>
  <c r="C195" i="9"/>
  <c r="P194" i="9"/>
  <c r="O194" i="9"/>
  <c r="N194" i="9"/>
  <c r="M194" i="9"/>
  <c r="I194" i="9"/>
  <c r="C194" i="9"/>
  <c r="P193" i="9"/>
  <c r="O193" i="9"/>
  <c r="N193" i="9"/>
  <c r="M193" i="9"/>
  <c r="I193" i="9"/>
  <c r="C193" i="9"/>
  <c r="P192" i="9"/>
  <c r="O192" i="9"/>
  <c r="N192" i="9"/>
  <c r="M192" i="9"/>
  <c r="I192" i="9"/>
  <c r="C192" i="9"/>
  <c r="P191" i="9"/>
  <c r="O191" i="9"/>
  <c r="N191" i="9"/>
  <c r="M191" i="9"/>
  <c r="I191" i="9"/>
  <c r="C191" i="9"/>
  <c r="P190" i="9"/>
  <c r="O190" i="9"/>
  <c r="N190" i="9"/>
  <c r="M190" i="9"/>
  <c r="I190" i="9"/>
  <c r="C190" i="9"/>
  <c r="P189" i="9"/>
  <c r="O189" i="9"/>
  <c r="N189" i="9"/>
  <c r="M189" i="9"/>
  <c r="I189" i="9"/>
  <c r="C189" i="9"/>
  <c r="P188" i="9"/>
  <c r="O188" i="9"/>
  <c r="N188" i="9"/>
  <c r="M188" i="9"/>
  <c r="I188" i="9"/>
  <c r="C188" i="9"/>
  <c r="P187" i="9"/>
  <c r="O187" i="9"/>
  <c r="N187" i="9"/>
  <c r="M187" i="9"/>
  <c r="I187" i="9"/>
  <c r="C187" i="9"/>
  <c r="P186" i="9"/>
  <c r="O186" i="9"/>
  <c r="N186" i="9"/>
  <c r="M186" i="9"/>
  <c r="I186" i="9"/>
  <c r="C186" i="9"/>
  <c r="P185" i="9"/>
  <c r="O185" i="9"/>
  <c r="N185" i="9"/>
  <c r="M185" i="9"/>
  <c r="I185" i="9"/>
  <c r="C185" i="9"/>
  <c r="P184" i="9"/>
  <c r="O184" i="9"/>
  <c r="N184" i="9"/>
  <c r="M184" i="9"/>
  <c r="I184" i="9"/>
  <c r="C184" i="9"/>
  <c r="P183" i="9"/>
  <c r="O183" i="9"/>
  <c r="N183" i="9"/>
  <c r="M183" i="9"/>
  <c r="I183" i="9"/>
  <c r="C183" i="9"/>
  <c r="P182" i="9"/>
  <c r="O182" i="9"/>
  <c r="N182" i="9"/>
  <c r="M182" i="9"/>
  <c r="I182" i="9"/>
  <c r="C182" i="9"/>
  <c r="P181" i="9"/>
  <c r="O181" i="9"/>
  <c r="N181" i="9"/>
  <c r="M181" i="9"/>
  <c r="I181" i="9"/>
  <c r="C181" i="9"/>
  <c r="P180" i="9"/>
  <c r="O180" i="9"/>
  <c r="N180" i="9"/>
  <c r="M180" i="9"/>
  <c r="I180" i="9"/>
  <c r="C180" i="9"/>
  <c r="P179" i="9"/>
  <c r="O179" i="9"/>
  <c r="N179" i="9"/>
  <c r="M179" i="9"/>
  <c r="I179" i="9"/>
  <c r="C179" i="9"/>
  <c r="P178" i="9"/>
  <c r="O178" i="9"/>
  <c r="N178" i="9"/>
  <c r="M178" i="9"/>
  <c r="I178" i="9"/>
  <c r="C178" i="9"/>
  <c r="P177" i="9"/>
  <c r="O177" i="9"/>
  <c r="N177" i="9"/>
  <c r="M177" i="9"/>
  <c r="I177" i="9"/>
  <c r="C177" i="9"/>
  <c r="P176" i="9"/>
  <c r="O176" i="9"/>
  <c r="N176" i="9"/>
  <c r="M176" i="9"/>
  <c r="I176" i="9"/>
  <c r="C176" i="9"/>
  <c r="P175" i="9"/>
  <c r="O175" i="9"/>
  <c r="N175" i="9"/>
  <c r="M175" i="9"/>
  <c r="I175" i="9"/>
  <c r="C175" i="9"/>
  <c r="P174" i="9"/>
  <c r="O174" i="9"/>
  <c r="N174" i="9"/>
  <c r="M174" i="9"/>
  <c r="I174" i="9"/>
  <c r="C174" i="9"/>
  <c r="P173" i="9"/>
  <c r="O173" i="9"/>
  <c r="N173" i="9"/>
  <c r="M173" i="9"/>
  <c r="I173" i="9"/>
  <c r="C173" i="9"/>
  <c r="P172" i="9"/>
  <c r="O172" i="9"/>
  <c r="N172" i="9"/>
  <c r="M172" i="9"/>
  <c r="I172" i="9"/>
  <c r="C172" i="9"/>
  <c r="P171" i="9"/>
  <c r="O171" i="9"/>
  <c r="N171" i="9"/>
  <c r="M171" i="9"/>
  <c r="I171" i="9"/>
  <c r="C171" i="9"/>
  <c r="P170" i="9"/>
  <c r="O170" i="9"/>
  <c r="N170" i="9"/>
  <c r="M170" i="9"/>
  <c r="I170" i="9"/>
  <c r="C170" i="9"/>
  <c r="P169" i="9"/>
  <c r="O169" i="9"/>
  <c r="N169" i="9"/>
  <c r="M169" i="9"/>
  <c r="I169" i="9"/>
  <c r="C169" i="9"/>
  <c r="P168" i="9"/>
  <c r="O168" i="9"/>
  <c r="N168" i="9"/>
  <c r="M168" i="9"/>
  <c r="I168" i="9"/>
  <c r="C168" i="9"/>
  <c r="P167" i="9"/>
  <c r="O167" i="9"/>
  <c r="N167" i="9"/>
  <c r="M167" i="9"/>
  <c r="I167" i="9"/>
  <c r="C167" i="9"/>
  <c r="P166" i="9"/>
  <c r="O166" i="9"/>
  <c r="N166" i="9"/>
  <c r="M166" i="9"/>
  <c r="I166" i="9"/>
  <c r="C166" i="9"/>
  <c r="P165" i="9"/>
  <c r="O165" i="9"/>
  <c r="N165" i="9"/>
  <c r="M165" i="9"/>
  <c r="I165" i="9"/>
  <c r="C165" i="9"/>
  <c r="P164" i="9"/>
  <c r="O164" i="9"/>
  <c r="N164" i="9"/>
  <c r="M164" i="9"/>
  <c r="I164" i="9"/>
  <c r="C164" i="9"/>
  <c r="P163" i="9"/>
  <c r="O163" i="9"/>
  <c r="N163" i="9"/>
  <c r="M163" i="9"/>
  <c r="I163" i="9"/>
  <c r="C163" i="9"/>
  <c r="P162" i="9"/>
  <c r="O162" i="9"/>
  <c r="N162" i="9"/>
  <c r="M162" i="9"/>
  <c r="I162" i="9"/>
  <c r="C162" i="9"/>
  <c r="P161" i="9"/>
  <c r="O161" i="9"/>
  <c r="N161" i="9"/>
  <c r="M161" i="9"/>
  <c r="I161" i="9"/>
  <c r="C161" i="9"/>
  <c r="P160" i="9"/>
  <c r="O160" i="9"/>
  <c r="N160" i="9"/>
  <c r="M160" i="9"/>
  <c r="I160" i="9"/>
  <c r="C160" i="9"/>
  <c r="P159" i="9"/>
  <c r="O159" i="9"/>
  <c r="N159" i="9"/>
  <c r="M159" i="9"/>
  <c r="I159" i="9"/>
  <c r="C159" i="9"/>
  <c r="P158" i="9"/>
  <c r="O158" i="9"/>
  <c r="N158" i="9"/>
  <c r="M158" i="9"/>
  <c r="I158" i="9"/>
  <c r="C158" i="9"/>
  <c r="P157" i="9"/>
  <c r="O157" i="9"/>
  <c r="N157" i="9"/>
  <c r="M157" i="9"/>
  <c r="I157" i="9"/>
  <c r="C157" i="9"/>
  <c r="P156" i="9"/>
  <c r="O156" i="9"/>
  <c r="N156" i="9"/>
  <c r="M156" i="9"/>
  <c r="I156" i="9"/>
  <c r="C156" i="9"/>
  <c r="P155" i="9"/>
  <c r="O155" i="9"/>
  <c r="N155" i="9"/>
  <c r="M155" i="9"/>
  <c r="I155" i="9"/>
  <c r="C155" i="9"/>
  <c r="P154" i="9"/>
  <c r="O154" i="9"/>
  <c r="N154" i="9"/>
  <c r="M154" i="9"/>
  <c r="I154" i="9"/>
  <c r="C154" i="9"/>
  <c r="P153" i="9"/>
  <c r="O153" i="9"/>
  <c r="N153" i="9"/>
  <c r="M153" i="9"/>
  <c r="I153" i="9"/>
  <c r="C153" i="9"/>
  <c r="P152" i="9"/>
  <c r="O152" i="9"/>
  <c r="N152" i="9"/>
  <c r="M152" i="9"/>
  <c r="I152" i="9"/>
  <c r="C152" i="9"/>
  <c r="P151" i="9"/>
  <c r="O151" i="9"/>
  <c r="N151" i="9"/>
  <c r="M151" i="9"/>
  <c r="I151" i="9"/>
  <c r="C151" i="9"/>
  <c r="P150" i="9"/>
  <c r="O150" i="9"/>
  <c r="N150" i="9"/>
  <c r="M150" i="9"/>
  <c r="I150" i="9"/>
  <c r="C150" i="9"/>
  <c r="P149" i="9"/>
  <c r="O149" i="9"/>
  <c r="N149" i="9"/>
  <c r="M149" i="9"/>
  <c r="I149" i="9"/>
  <c r="C149" i="9"/>
  <c r="P148" i="9"/>
  <c r="O148" i="9"/>
  <c r="N148" i="9"/>
  <c r="M148" i="9"/>
  <c r="I148" i="9"/>
  <c r="C148" i="9"/>
  <c r="P147" i="9"/>
  <c r="O147" i="9"/>
  <c r="N147" i="9"/>
  <c r="M147" i="9"/>
  <c r="I147" i="9"/>
  <c r="C147" i="9"/>
  <c r="P146" i="9"/>
  <c r="O146" i="9"/>
  <c r="N146" i="9"/>
  <c r="M146" i="9"/>
  <c r="I146" i="9"/>
  <c r="C146" i="9"/>
  <c r="P145" i="9"/>
  <c r="O145" i="9"/>
  <c r="N145" i="9"/>
  <c r="M145" i="9"/>
  <c r="I145" i="9"/>
  <c r="C145" i="9"/>
  <c r="P144" i="9"/>
  <c r="O144" i="9"/>
  <c r="N144" i="9"/>
  <c r="M144" i="9"/>
  <c r="I144" i="9"/>
  <c r="C144" i="9"/>
  <c r="P143" i="9"/>
  <c r="O143" i="9"/>
  <c r="N143" i="9"/>
  <c r="M143" i="9"/>
  <c r="I143" i="9"/>
  <c r="C143" i="9"/>
  <c r="P142" i="9"/>
  <c r="O142" i="9"/>
  <c r="N142" i="9"/>
  <c r="M142" i="9"/>
  <c r="I142" i="9"/>
  <c r="C142" i="9"/>
  <c r="P141" i="9"/>
  <c r="O141" i="9"/>
  <c r="N141" i="9"/>
  <c r="M141" i="9"/>
  <c r="I141" i="9"/>
  <c r="C141" i="9"/>
  <c r="P140" i="9"/>
  <c r="O140" i="9"/>
  <c r="N140" i="9"/>
  <c r="M140" i="9"/>
  <c r="I140" i="9"/>
  <c r="C140" i="9"/>
  <c r="P139" i="9"/>
  <c r="O139" i="9"/>
  <c r="N139" i="9"/>
  <c r="M139" i="9"/>
  <c r="I139" i="9"/>
  <c r="C139" i="9"/>
  <c r="P138" i="9"/>
  <c r="O138" i="9"/>
  <c r="N138" i="9"/>
  <c r="M138" i="9"/>
  <c r="I138" i="9"/>
  <c r="C138" i="9"/>
  <c r="P137" i="9"/>
  <c r="O137" i="9"/>
  <c r="N137" i="9"/>
  <c r="M137" i="9"/>
  <c r="I137" i="9"/>
  <c r="C137" i="9"/>
  <c r="P136" i="9"/>
  <c r="O136" i="9"/>
  <c r="N136" i="9"/>
  <c r="M136" i="9"/>
  <c r="I136" i="9"/>
  <c r="C136" i="9"/>
  <c r="P135" i="9"/>
  <c r="O135" i="9"/>
  <c r="N135" i="9"/>
  <c r="M135" i="9"/>
  <c r="I135" i="9"/>
  <c r="C135" i="9"/>
  <c r="P134" i="9"/>
  <c r="O134" i="9"/>
  <c r="N134" i="9"/>
  <c r="M134" i="9"/>
  <c r="I134" i="9"/>
  <c r="C134" i="9"/>
  <c r="P133" i="9"/>
  <c r="O133" i="9"/>
  <c r="N133" i="9"/>
  <c r="M133" i="9"/>
  <c r="I133" i="9"/>
  <c r="C133" i="9"/>
  <c r="P132" i="9"/>
  <c r="O132" i="9"/>
  <c r="N132" i="9"/>
  <c r="M132" i="9"/>
  <c r="I132" i="9"/>
  <c r="C132" i="9"/>
  <c r="P131" i="9"/>
  <c r="O131" i="9"/>
  <c r="N131" i="9"/>
  <c r="M131" i="9"/>
  <c r="I131" i="9"/>
  <c r="C131" i="9"/>
  <c r="P130" i="9"/>
  <c r="O130" i="9"/>
  <c r="N130" i="9"/>
  <c r="M130" i="9"/>
  <c r="I130" i="9"/>
  <c r="C130" i="9"/>
  <c r="P129" i="9"/>
  <c r="O129" i="9"/>
  <c r="N129" i="9"/>
  <c r="M129" i="9"/>
  <c r="I129" i="9"/>
  <c r="C129" i="9"/>
  <c r="P128" i="9"/>
  <c r="O128" i="9"/>
  <c r="N128" i="9"/>
  <c r="M128" i="9"/>
  <c r="I128" i="9"/>
  <c r="C128" i="9"/>
  <c r="P127" i="9"/>
  <c r="O127" i="9"/>
  <c r="N127" i="9"/>
  <c r="M127" i="9"/>
  <c r="I127" i="9"/>
  <c r="C127" i="9"/>
  <c r="P126" i="9"/>
  <c r="O126" i="9"/>
  <c r="N126" i="9"/>
  <c r="M126" i="9"/>
  <c r="I126" i="9"/>
  <c r="C126" i="9"/>
  <c r="P125" i="9"/>
  <c r="O125" i="9"/>
  <c r="N125" i="9"/>
  <c r="M125" i="9"/>
  <c r="I125" i="9"/>
  <c r="C125" i="9"/>
  <c r="P124" i="9"/>
  <c r="O124" i="9"/>
  <c r="N124" i="9"/>
  <c r="M124" i="9"/>
  <c r="I124" i="9"/>
  <c r="C124" i="9"/>
  <c r="P123" i="9"/>
  <c r="O123" i="9"/>
  <c r="N123" i="9"/>
  <c r="M123" i="9"/>
  <c r="I123" i="9"/>
  <c r="C123" i="9"/>
  <c r="P122" i="9"/>
  <c r="O122" i="9"/>
  <c r="N122" i="9"/>
  <c r="M122" i="9"/>
  <c r="I122" i="9"/>
  <c r="C122" i="9"/>
  <c r="P121" i="9"/>
  <c r="O121" i="9"/>
  <c r="N121" i="9"/>
  <c r="M121" i="9"/>
  <c r="I121" i="9"/>
  <c r="C121" i="9"/>
  <c r="P120" i="9"/>
  <c r="O120" i="9"/>
  <c r="N120" i="9"/>
  <c r="M120" i="9"/>
  <c r="I120" i="9"/>
  <c r="C120" i="9"/>
  <c r="P119" i="9"/>
  <c r="O119" i="9"/>
  <c r="N119" i="9"/>
  <c r="M119" i="9"/>
  <c r="I119" i="9"/>
  <c r="C119" i="9"/>
  <c r="P118" i="9"/>
  <c r="O118" i="9"/>
  <c r="N118" i="9"/>
  <c r="M118" i="9"/>
  <c r="I118" i="9"/>
  <c r="C118" i="9"/>
  <c r="P117" i="9"/>
  <c r="O117" i="9"/>
  <c r="N117" i="9"/>
  <c r="M117" i="9"/>
  <c r="I117" i="9"/>
  <c r="C117" i="9"/>
  <c r="P116" i="9"/>
  <c r="O116" i="9"/>
  <c r="N116" i="9"/>
  <c r="M116" i="9"/>
  <c r="I116" i="9"/>
  <c r="C116" i="9"/>
  <c r="P115" i="9"/>
  <c r="O115" i="9"/>
  <c r="N115" i="9"/>
  <c r="M115" i="9"/>
  <c r="I115" i="9"/>
  <c r="C115" i="9"/>
  <c r="P114" i="9"/>
  <c r="O114" i="9"/>
  <c r="N114" i="9"/>
  <c r="M114" i="9"/>
  <c r="I114" i="9"/>
  <c r="C114" i="9"/>
  <c r="P113" i="9"/>
  <c r="O113" i="9"/>
  <c r="N113" i="9"/>
  <c r="M113" i="9"/>
  <c r="I113" i="9"/>
  <c r="C113" i="9"/>
  <c r="P112" i="9"/>
  <c r="O112" i="9"/>
  <c r="N112" i="9"/>
  <c r="M112" i="9"/>
  <c r="I112" i="9"/>
  <c r="C112" i="9"/>
  <c r="P111" i="9"/>
  <c r="O111" i="9"/>
  <c r="N111" i="9"/>
  <c r="M111" i="9"/>
  <c r="I111" i="9"/>
  <c r="C111" i="9"/>
  <c r="P110" i="9"/>
  <c r="O110" i="9"/>
  <c r="N110" i="9"/>
  <c r="M110" i="9"/>
  <c r="I110" i="9"/>
  <c r="C110" i="9"/>
  <c r="P109" i="9"/>
  <c r="O109" i="9"/>
  <c r="N109" i="9"/>
  <c r="M109" i="9"/>
  <c r="I109" i="9"/>
  <c r="C109" i="9"/>
  <c r="P108" i="9"/>
  <c r="O108" i="9"/>
  <c r="N108" i="9"/>
  <c r="M108" i="9"/>
  <c r="I108" i="9"/>
  <c r="C108" i="9"/>
  <c r="P107" i="9"/>
  <c r="O107" i="9"/>
  <c r="N107" i="9"/>
  <c r="M107" i="9"/>
  <c r="I107" i="9"/>
  <c r="C107" i="9"/>
  <c r="P106" i="9"/>
  <c r="O106" i="9"/>
  <c r="N106" i="9"/>
  <c r="M106" i="9"/>
  <c r="I106" i="9"/>
  <c r="C106" i="9"/>
  <c r="P105" i="9"/>
  <c r="O105" i="9"/>
  <c r="N105" i="9"/>
  <c r="M105" i="9"/>
  <c r="I105" i="9"/>
  <c r="C105" i="9"/>
  <c r="P104" i="9"/>
  <c r="O104" i="9"/>
  <c r="N104" i="9"/>
  <c r="M104" i="9"/>
  <c r="I104" i="9"/>
  <c r="C104" i="9"/>
  <c r="P103" i="9"/>
  <c r="O103" i="9"/>
  <c r="N103" i="9"/>
  <c r="M103" i="9"/>
  <c r="I103" i="9"/>
  <c r="C103" i="9"/>
  <c r="P102" i="9"/>
  <c r="O102" i="9"/>
  <c r="N102" i="9"/>
  <c r="M102" i="9"/>
  <c r="I102" i="9"/>
  <c r="C102" i="9"/>
  <c r="P101" i="9"/>
  <c r="O101" i="9"/>
  <c r="N101" i="9"/>
  <c r="M101" i="9"/>
  <c r="I101" i="9"/>
  <c r="C101" i="9"/>
  <c r="P100" i="9"/>
  <c r="O100" i="9"/>
  <c r="N100" i="9"/>
  <c r="M100" i="9"/>
  <c r="I100" i="9"/>
  <c r="C100" i="9"/>
  <c r="P99" i="9"/>
  <c r="O99" i="9"/>
  <c r="N99" i="9"/>
  <c r="M99" i="9"/>
  <c r="I99" i="9"/>
  <c r="C99" i="9"/>
  <c r="P98" i="9"/>
  <c r="O98" i="9"/>
  <c r="N98" i="9"/>
  <c r="M98" i="9"/>
  <c r="I98" i="9"/>
  <c r="C98" i="9"/>
  <c r="P97" i="9"/>
  <c r="O97" i="9"/>
  <c r="N97" i="9"/>
  <c r="M97" i="9"/>
  <c r="I97" i="9"/>
  <c r="C97" i="9"/>
  <c r="P96" i="9"/>
  <c r="O96" i="9"/>
  <c r="N96" i="9"/>
  <c r="M96" i="9"/>
  <c r="I96" i="9"/>
  <c r="C96" i="9"/>
  <c r="P95" i="9"/>
  <c r="O95" i="9"/>
  <c r="N95" i="9"/>
  <c r="M95" i="9"/>
  <c r="I95" i="9"/>
  <c r="C95" i="9"/>
  <c r="P94" i="9"/>
  <c r="O94" i="9"/>
  <c r="N94" i="9"/>
  <c r="M94" i="9"/>
  <c r="I94" i="9"/>
  <c r="C94" i="9"/>
  <c r="P93" i="9"/>
  <c r="O93" i="9"/>
  <c r="N93" i="9"/>
  <c r="M93" i="9"/>
  <c r="I93" i="9"/>
  <c r="C93" i="9"/>
  <c r="P92" i="9"/>
  <c r="O92" i="9"/>
  <c r="N92" i="9"/>
  <c r="M92" i="9"/>
  <c r="I92" i="9"/>
  <c r="C92" i="9"/>
  <c r="P91" i="9"/>
  <c r="O91" i="9"/>
  <c r="N91" i="9"/>
  <c r="M91" i="9"/>
  <c r="I91" i="9"/>
  <c r="C91" i="9"/>
  <c r="P90" i="9"/>
  <c r="O90" i="9"/>
  <c r="N90" i="9"/>
  <c r="M90" i="9"/>
  <c r="I90" i="9"/>
  <c r="C90" i="9"/>
  <c r="P89" i="9"/>
  <c r="O89" i="9"/>
  <c r="N89" i="9"/>
  <c r="M89" i="9"/>
  <c r="I89" i="9"/>
  <c r="C89" i="9"/>
  <c r="P88" i="9"/>
  <c r="O88" i="9"/>
  <c r="N88" i="9"/>
  <c r="M88" i="9"/>
  <c r="I88" i="9"/>
  <c r="C88" i="9"/>
  <c r="P87" i="9"/>
  <c r="O87" i="9"/>
  <c r="N87" i="9"/>
  <c r="M87" i="9"/>
  <c r="I87" i="9"/>
  <c r="C87" i="9"/>
  <c r="P86" i="9"/>
  <c r="O86" i="9"/>
  <c r="N86" i="9"/>
  <c r="M86" i="9"/>
  <c r="I86" i="9"/>
  <c r="C86" i="9"/>
  <c r="P85" i="9"/>
  <c r="O85" i="9"/>
  <c r="N85" i="9"/>
  <c r="M85" i="9"/>
  <c r="I85" i="9"/>
  <c r="C85" i="9"/>
  <c r="P84" i="9"/>
  <c r="O84" i="9"/>
  <c r="N84" i="9"/>
  <c r="M84" i="9"/>
  <c r="I84" i="9"/>
  <c r="C84" i="9"/>
  <c r="P83" i="9"/>
  <c r="O83" i="9"/>
  <c r="N83" i="9"/>
  <c r="M83" i="9"/>
  <c r="I83" i="9"/>
  <c r="C83" i="9"/>
  <c r="P82" i="9"/>
  <c r="O82" i="9"/>
  <c r="N82" i="9"/>
  <c r="M82" i="9"/>
  <c r="I82" i="9"/>
  <c r="C82" i="9"/>
  <c r="P81" i="9"/>
  <c r="O81" i="9"/>
  <c r="N81" i="9"/>
  <c r="M81" i="9"/>
  <c r="I81" i="9"/>
  <c r="C81" i="9"/>
  <c r="P80" i="9"/>
  <c r="O80" i="9"/>
  <c r="N80" i="9"/>
  <c r="M80" i="9"/>
  <c r="I80" i="9"/>
  <c r="C80" i="9"/>
  <c r="P79" i="9"/>
  <c r="O79" i="9"/>
  <c r="N79" i="9"/>
  <c r="M79" i="9"/>
  <c r="I79" i="9"/>
  <c r="C79" i="9"/>
  <c r="P78" i="9"/>
  <c r="O78" i="9"/>
  <c r="N78" i="9"/>
  <c r="M78" i="9"/>
  <c r="I78" i="9"/>
  <c r="C78" i="9"/>
  <c r="P77" i="9"/>
  <c r="O77" i="9"/>
  <c r="N77" i="9"/>
  <c r="M77" i="9"/>
  <c r="I77" i="9"/>
  <c r="C77" i="9"/>
  <c r="P76" i="9"/>
  <c r="O76" i="9"/>
  <c r="N76" i="9"/>
  <c r="M76" i="9"/>
  <c r="I76" i="9"/>
  <c r="C76" i="9"/>
  <c r="P75" i="9"/>
  <c r="O75" i="9"/>
  <c r="N75" i="9"/>
  <c r="M75" i="9"/>
  <c r="I75" i="9"/>
  <c r="C75" i="9"/>
  <c r="P74" i="9"/>
  <c r="O74" i="9"/>
  <c r="N74" i="9"/>
  <c r="M74" i="9"/>
  <c r="I74" i="9"/>
  <c r="C74" i="9"/>
  <c r="P73" i="9"/>
  <c r="O73" i="9"/>
  <c r="N73" i="9"/>
  <c r="M73" i="9"/>
  <c r="I73" i="9"/>
  <c r="C73" i="9"/>
  <c r="P72" i="9"/>
  <c r="O72" i="9"/>
  <c r="N72" i="9"/>
  <c r="M72" i="9"/>
  <c r="I72" i="9"/>
  <c r="C72" i="9"/>
  <c r="P71" i="9"/>
  <c r="O71" i="9"/>
  <c r="N71" i="9"/>
  <c r="M71" i="9"/>
  <c r="I71" i="9"/>
  <c r="C71" i="9"/>
  <c r="P70" i="9"/>
  <c r="O70" i="9"/>
  <c r="N70" i="9"/>
  <c r="M70" i="9"/>
  <c r="I70" i="9"/>
  <c r="C70" i="9"/>
  <c r="P69" i="9"/>
  <c r="O69" i="9"/>
  <c r="N69" i="9"/>
  <c r="M69" i="9"/>
  <c r="I69" i="9"/>
  <c r="C69" i="9"/>
  <c r="P68" i="9"/>
  <c r="O68" i="9"/>
  <c r="N68" i="9"/>
  <c r="M68" i="9"/>
  <c r="I68" i="9"/>
  <c r="C68" i="9"/>
  <c r="P67" i="9"/>
  <c r="O67" i="9"/>
  <c r="N67" i="9"/>
  <c r="M67" i="9"/>
  <c r="I67" i="9"/>
  <c r="C67" i="9"/>
  <c r="P66" i="9"/>
  <c r="O66" i="9"/>
  <c r="N66" i="9"/>
  <c r="M66" i="9"/>
  <c r="I66" i="9"/>
  <c r="C66" i="9"/>
  <c r="P65" i="9"/>
  <c r="O65" i="9"/>
  <c r="N65" i="9"/>
  <c r="M65" i="9"/>
  <c r="I65" i="9"/>
  <c r="C65" i="9"/>
  <c r="P64" i="9"/>
  <c r="O64" i="9"/>
  <c r="N64" i="9"/>
  <c r="M64" i="9"/>
  <c r="I64" i="9"/>
  <c r="C64" i="9"/>
  <c r="P63" i="9"/>
  <c r="O63" i="9"/>
  <c r="N63" i="9"/>
  <c r="M63" i="9"/>
  <c r="I63" i="9"/>
  <c r="C63" i="9"/>
  <c r="P62" i="9"/>
  <c r="O62" i="9"/>
  <c r="N62" i="9"/>
  <c r="M62" i="9"/>
  <c r="I62" i="9"/>
  <c r="C62" i="9"/>
  <c r="P61" i="9"/>
  <c r="O61" i="9"/>
  <c r="N61" i="9"/>
  <c r="M61" i="9"/>
  <c r="I61" i="9"/>
  <c r="C61" i="9"/>
  <c r="P60" i="9"/>
  <c r="O60" i="9"/>
  <c r="N60" i="9"/>
  <c r="M60" i="9"/>
  <c r="I60" i="9"/>
  <c r="C60" i="9"/>
  <c r="P59" i="9"/>
  <c r="O59" i="9"/>
  <c r="N59" i="9"/>
  <c r="M59" i="9"/>
  <c r="I59" i="9"/>
  <c r="C59" i="9"/>
  <c r="P58" i="9"/>
  <c r="O58" i="9"/>
  <c r="N58" i="9"/>
  <c r="M58" i="9"/>
  <c r="I58" i="9"/>
  <c r="C58" i="9"/>
  <c r="P57" i="9"/>
  <c r="O57" i="9"/>
  <c r="N57" i="9"/>
  <c r="M57" i="9"/>
  <c r="I57" i="9"/>
  <c r="C57" i="9"/>
  <c r="P56" i="9"/>
  <c r="O56" i="9"/>
  <c r="N56" i="9"/>
  <c r="M56" i="9"/>
  <c r="I56" i="9"/>
  <c r="C56" i="9"/>
  <c r="P55" i="9"/>
  <c r="O55" i="9"/>
  <c r="N55" i="9"/>
  <c r="M55" i="9"/>
  <c r="I55" i="9"/>
  <c r="C55" i="9"/>
  <c r="P54" i="9"/>
  <c r="O54" i="9"/>
  <c r="N54" i="9"/>
  <c r="M54" i="9"/>
  <c r="I54" i="9"/>
  <c r="C54" i="9"/>
  <c r="P53" i="9"/>
  <c r="O53" i="9"/>
  <c r="N53" i="9"/>
  <c r="M53" i="9"/>
  <c r="I53" i="9"/>
  <c r="C53" i="9"/>
  <c r="P52" i="9"/>
  <c r="O52" i="9"/>
  <c r="N52" i="9"/>
  <c r="M52" i="9"/>
  <c r="I52" i="9"/>
  <c r="C52" i="9"/>
  <c r="P51" i="9"/>
  <c r="O51" i="9"/>
  <c r="N51" i="9"/>
  <c r="M51" i="9"/>
  <c r="I51" i="9"/>
  <c r="C51" i="9"/>
  <c r="P50" i="9"/>
  <c r="O50" i="9"/>
  <c r="N50" i="9"/>
  <c r="M50" i="9"/>
  <c r="I50" i="9"/>
  <c r="C50" i="9"/>
  <c r="P49" i="9"/>
  <c r="O49" i="9"/>
  <c r="N49" i="9"/>
  <c r="M49" i="9"/>
  <c r="I49" i="9"/>
  <c r="C49" i="9"/>
  <c r="P48" i="9"/>
  <c r="O48" i="9"/>
  <c r="N48" i="9"/>
  <c r="M48" i="9"/>
  <c r="I48" i="9"/>
  <c r="C48" i="9"/>
  <c r="P47" i="9"/>
  <c r="O47" i="9"/>
  <c r="N47" i="9"/>
  <c r="M47" i="9"/>
  <c r="I47" i="9"/>
  <c r="C47" i="9"/>
  <c r="P46" i="9"/>
  <c r="O46" i="9"/>
  <c r="N46" i="9"/>
  <c r="M46" i="9"/>
  <c r="I46" i="9"/>
  <c r="C46" i="9"/>
  <c r="P45" i="9"/>
  <c r="O45" i="9"/>
  <c r="N45" i="9"/>
  <c r="M45" i="9"/>
  <c r="I45" i="9"/>
  <c r="C45" i="9"/>
  <c r="P44" i="9"/>
  <c r="O44" i="9"/>
  <c r="N44" i="9"/>
  <c r="M44" i="9"/>
  <c r="I44" i="9"/>
  <c r="C44" i="9"/>
  <c r="P43" i="9"/>
  <c r="O43" i="9"/>
  <c r="N43" i="9"/>
  <c r="M43" i="9"/>
  <c r="I43" i="9"/>
  <c r="C43" i="9"/>
  <c r="P42" i="9"/>
  <c r="O42" i="9"/>
  <c r="N42" i="9"/>
  <c r="M42" i="9"/>
  <c r="I42" i="9"/>
  <c r="C42" i="9"/>
  <c r="P41" i="9"/>
  <c r="O41" i="9"/>
  <c r="N41" i="9"/>
  <c r="M41" i="9"/>
  <c r="I41" i="9"/>
  <c r="C41" i="9"/>
  <c r="P40" i="9"/>
  <c r="O40" i="9"/>
  <c r="N40" i="9"/>
  <c r="M40" i="9"/>
  <c r="I40" i="9"/>
  <c r="C40" i="9"/>
  <c r="P39" i="9"/>
  <c r="O39" i="9"/>
  <c r="N39" i="9"/>
  <c r="M39" i="9"/>
  <c r="I39" i="9"/>
  <c r="C39" i="9"/>
  <c r="P38" i="9"/>
  <c r="O38" i="9"/>
  <c r="N38" i="9"/>
  <c r="M38" i="9"/>
  <c r="I38" i="9"/>
  <c r="C38" i="9"/>
  <c r="P37" i="9"/>
  <c r="O37" i="9"/>
  <c r="N37" i="9"/>
  <c r="M37" i="9"/>
  <c r="I37" i="9"/>
  <c r="C37" i="9"/>
  <c r="P36" i="9"/>
  <c r="O36" i="9"/>
  <c r="N36" i="9"/>
  <c r="M36" i="9"/>
  <c r="I36" i="9"/>
  <c r="C36" i="9"/>
  <c r="P35" i="9"/>
  <c r="O35" i="9"/>
  <c r="N35" i="9"/>
  <c r="M35" i="9"/>
  <c r="I35" i="9"/>
  <c r="C35" i="9"/>
  <c r="P34" i="9"/>
  <c r="O34" i="9"/>
  <c r="N34" i="9"/>
  <c r="M34" i="9"/>
  <c r="I34" i="9"/>
  <c r="C34" i="9"/>
  <c r="P33" i="9"/>
  <c r="O33" i="9"/>
  <c r="N33" i="9"/>
  <c r="M33" i="9"/>
  <c r="I33" i="9"/>
  <c r="C33" i="9"/>
  <c r="P32" i="9"/>
  <c r="O32" i="9"/>
  <c r="N32" i="9"/>
  <c r="M32" i="9"/>
  <c r="I32" i="9"/>
  <c r="C32" i="9"/>
  <c r="P31" i="9"/>
  <c r="O31" i="9"/>
  <c r="N31" i="9"/>
  <c r="M31" i="9"/>
  <c r="I31" i="9"/>
  <c r="C31" i="9"/>
  <c r="P30" i="9"/>
  <c r="O30" i="9"/>
  <c r="N30" i="9"/>
  <c r="M30" i="9"/>
  <c r="I30" i="9"/>
  <c r="C30" i="9"/>
  <c r="P29" i="9"/>
  <c r="O29" i="9"/>
  <c r="N29" i="9"/>
  <c r="M29" i="9"/>
  <c r="I29" i="9"/>
  <c r="C29" i="9"/>
  <c r="P28" i="9"/>
  <c r="O28" i="9"/>
  <c r="N28" i="9"/>
  <c r="M28" i="9"/>
  <c r="I28" i="9"/>
  <c r="C28" i="9"/>
  <c r="P27" i="9"/>
  <c r="O27" i="9"/>
  <c r="N27" i="9"/>
  <c r="M27" i="9"/>
  <c r="I27" i="9"/>
  <c r="C27" i="9"/>
  <c r="P26" i="9"/>
  <c r="O26" i="9"/>
  <c r="N26" i="9"/>
  <c r="M26" i="9"/>
  <c r="I26" i="9"/>
  <c r="C26" i="9"/>
  <c r="P25" i="9"/>
  <c r="O25" i="9"/>
  <c r="N25" i="9"/>
  <c r="M25" i="9"/>
  <c r="I25" i="9"/>
  <c r="C25" i="9"/>
  <c r="P24" i="9"/>
  <c r="O24" i="9"/>
  <c r="N24" i="9"/>
  <c r="M24" i="9"/>
  <c r="I24" i="9"/>
  <c r="C24" i="9"/>
  <c r="P23" i="9"/>
  <c r="O23" i="9"/>
  <c r="N23" i="9"/>
  <c r="M23" i="9"/>
  <c r="I23" i="9"/>
  <c r="C23" i="9"/>
  <c r="P22" i="9"/>
  <c r="O22" i="9"/>
  <c r="N22" i="9"/>
  <c r="M22" i="9"/>
  <c r="I22" i="9"/>
  <c r="C22" i="9"/>
  <c r="P21" i="9"/>
  <c r="O21" i="9"/>
  <c r="N21" i="9"/>
  <c r="M21" i="9"/>
  <c r="I21" i="9"/>
  <c r="C21" i="9"/>
  <c r="P20" i="9"/>
  <c r="O20" i="9"/>
  <c r="N20" i="9"/>
  <c r="M20" i="9"/>
  <c r="I20" i="9"/>
  <c r="C20" i="9"/>
  <c r="P19" i="9"/>
  <c r="O19" i="9"/>
  <c r="N19" i="9"/>
  <c r="M19" i="9"/>
  <c r="I19" i="9"/>
  <c r="C19" i="9"/>
  <c r="P18" i="9"/>
  <c r="O18" i="9"/>
  <c r="N18" i="9"/>
  <c r="M18" i="9"/>
  <c r="I18" i="9"/>
  <c r="C18" i="9"/>
  <c r="P17" i="9"/>
  <c r="O17" i="9"/>
  <c r="N17" i="9"/>
  <c r="M17" i="9"/>
  <c r="I17" i="9"/>
  <c r="C17" i="9"/>
  <c r="P16" i="9"/>
  <c r="O16" i="9"/>
  <c r="N16" i="9"/>
  <c r="M16" i="9"/>
  <c r="I16" i="9"/>
  <c r="C16" i="9"/>
  <c r="P15" i="9"/>
  <c r="O15" i="9"/>
  <c r="N15" i="9"/>
  <c r="M15" i="9"/>
  <c r="I15" i="9"/>
  <c r="C15" i="9"/>
  <c r="P14" i="9"/>
  <c r="O14" i="9"/>
  <c r="N14" i="9"/>
  <c r="M14" i="9"/>
  <c r="I14" i="9"/>
  <c r="C14" i="9"/>
  <c r="P13" i="9"/>
  <c r="O13" i="9"/>
  <c r="N13" i="9"/>
  <c r="M13" i="9"/>
  <c r="I13" i="9"/>
  <c r="C13" i="9"/>
  <c r="P12" i="9"/>
  <c r="O12" i="9"/>
  <c r="N12" i="9"/>
  <c r="M12" i="9"/>
  <c r="I12" i="9"/>
  <c r="C12" i="9"/>
  <c r="P11" i="9"/>
  <c r="O11" i="9"/>
  <c r="N11" i="9"/>
  <c r="M11" i="9"/>
  <c r="I11" i="9"/>
  <c r="C11" i="9"/>
  <c r="P10" i="9"/>
  <c r="O10" i="9"/>
  <c r="N10" i="9"/>
  <c r="M10" i="9"/>
  <c r="I10" i="9"/>
  <c r="C10" i="9"/>
  <c r="P9" i="9"/>
  <c r="O9" i="9"/>
  <c r="N9" i="9"/>
  <c r="M9" i="9"/>
  <c r="I9" i="9"/>
  <c r="C9" i="9"/>
  <c r="P8" i="9"/>
  <c r="O8" i="9"/>
  <c r="N8" i="9"/>
  <c r="M8" i="9"/>
  <c r="I8" i="9"/>
  <c r="C8" i="9"/>
  <c r="P7" i="9"/>
  <c r="O7" i="9"/>
  <c r="N7" i="9"/>
  <c r="M7" i="9"/>
  <c r="I7" i="9"/>
  <c r="C7" i="9"/>
  <c r="P6" i="9"/>
  <c r="O6" i="9"/>
  <c r="N6" i="9"/>
  <c r="M6" i="9"/>
  <c r="I6" i="9"/>
  <c r="C6" i="9"/>
  <c r="P5" i="9"/>
  <c r="O5" i="9"/>
  <c r="N5" i="9"/>
  <c r="M5" i="9"/>
  <c r="I5" i="9"/>
  <c r="C5" i="9"/>
  <c r="P4" i="9"/>
  <c r="O4" i="9"/>
  <c r="N4" i="9"/>
  <c r="M4" i="9"/>
  <c r="I4" i="9"/>
  <c r="C4" i="9"/>
  <c r="P3" i="9"/>
  <c r="O3" i="9"/>
  <c r="N3" i="9"/>
  <c r="M3" i="9"/>
  <c r="I3" i="9"/>
  <c r="C3" i="9"/>
  <c r="P2" i="9"/>
  <c r="O2" i="9"/>
  <c r="N2" i="9"/>
  <c r="H38" i="10" s="1"/>
  <c r="M2" i="9"/>
  <c r="H75" i="10" s="1"/>
  <c r="J75" i="10" s="1"/>
  <c r="I2" i="9"/>
  <c r="C2" i="9"/>
  <c r="Q221" i="8"/>
  <c r="G221" i="8"/>
  <c r="F221" i="8"/>
  <c r="C221" i="8"/>
  <c r="Q220" i="8"/>
  <c r="G220" i="8"/>
  <c r="F220" i="8"/>
  <c r="C220" i="8"/>
  <c r="Q219" i="8"/>
  <c r="G219" i="8"/>
  <c r="F219" i="8"/>
  <c r="C219" i="8"/>
  <c r="Q218" i="8"/>
  <c r="G218" i="8"/>
  <c r="F218" i="8"/>
  <c r="C218" i="8"/>
  <c r="Q217" i="8"/>
  <c r="G217" i="8"/>
  <c r="F217" i="8"/>
  <c r="C217" i="8"/>
  <c r="Q216" i="8"/>
  <c r="G216" i="8"/>
  <c r="F216" i="8"/>
  <c r="C216" i="8"/>
  <c r="Q215" i="8"/>
  <c r="G215" i="8"/>
  <c r="F215" i="8"/>
  <c r="C215" i="8"/>
  <c r="Q214" i="8"/>
  <c r="G214" i="8"/>
  <c r="F214" i="8"/>
  <c r="C214" i="8"/>
  <c r="Q213" i="8"/>
  <c r="G213" i="8"/>
  <c r="F213" i="8"/>
  <c r="C213" i="8"/>
  <c r="Q212" i="8"/>
  <c r="G212" i="8"/>
  <c r="F212" i="8"/>
  <c r="C212" i="8"/>
  <c r="Q211" i="8"/>
  <c r="G211" i="8"/>
  <c r="F211" i="8"/>
  <c r="C211" i="8"/>
  <c r="Q210" i="8"/>
  <c r="G210" i="8"/>
  <c r="F210" i="8"/>
  <c r="C210" i="8"/>
  <c r="Q209" i="8"/>
  <c r="G209" i="8"/>
  <c r="F209" i="8"/>
  <c r="C209" i="8"/>
  <c r="Q208" i="8"/>
  <c r="G208" i="8"/>
  <c r="F208" i="8"/>
  <c r="C208" i="8"/>
  <c r="Q207" i="8"/>
  <c r="G207" i="8"/>
  <c r="F207" i="8"/>
  <c r="C207" i="8"/>
  <c r="Q206" i="8"/>
  <c r="G206" i="8"/>
  <c r="F206" i="8"/>
  <c r="C206" i="8"/>
  <c r="Q205" i="8"/>
  <c r="G205" i="8"/>
  <c r="F205" i="8"/>
  <c r="C205" i="8"/>
  <c r="Q204" i="8"/>
  <c r="G204" i="8"/>
  <c r="F204" i="8"/>
  <c r="C204" i="8"/>
  <c r="Q203" i="8"/>
  <c r="G203" i="8"/>
  <c r="F203" i="8"/>
  <c r="C203" i="8"/>
  <c r="Q202" i="8"/>
  <c r="G202" i="8"/>
  <c r="F202" i="8"/>
  <c r="C202" i="8"/>
  <c r="Q201" i="8"/>
  <c r="G201" i="8"/>
  <c r="F201" i="8"/>
  <c r="C201" i="8"/>
  <c r="Q200" i="8"/>
  <c r="G200" i="8"/>
  <c r="F200" i="8"/>
  <c r="C200" i="8"/>
  <c r="Q199" i="8"/>
  <c r="G199" i="8"/>
  <c r="F199" i="8"/>
  <c r="C199" i="8"/>
  <c r="Q198" i="8"/>
  <c r="G198" i="8"/>
  <c r="F198" i="8"/>
  <c r="C198" i="8"/>
  <c r="Q197" i="8"/>
  <c r="G197" i="8"/>
  <c r="F197" i="8"/>
  <c r="C197" i="8"/>
  <c r="Q196" i="8"/>
  <c r="G196" i="8"/>
  <c r="F196" i="8"/>
  <c r="C196" i="8"/>
  <c r="Q195" i="8"/>
  <c r="G195" i="8"/>
  <c r="F195" i="8"/>
  <c r="C195" i="8"/>
  <c r="Q194" i="8"/>
  <c r="G194" i="8"/>
  <c r="F194" i="8"/>
  <c r="C194" i="8"/>
  <c r="Q193" i="8"/>
  <c r="G193" i="8"/>
  <c r="F193" i="8"/>
  <c r="C193" i="8"/>
  <c r="Q192" i="8"/>
  <c r="G192" i="8"/>
  <c r="F192" i="8"/>
  <c r="C192" i="8"/>
  <c r="Q191" i="8"/>
  <c r="G191" i="8"/>
  <c r="F191" i="8"/>
  <c r="C191" i="8"/>
  <c r="Q190" i="8"/>
  <c r="G190" i="8"/>
  <c r="F190" i="8"/>
  <c r="C190" i="8"/>
  <c r="Q189" i="8"/>
  <c r="G189" i="8"/>
  <c r="F189" i="8"/>
  <c r="C189" i="8"/>
  <c r="Q188" i="8"/>
  <c r="G188" i="8"/>
  <c r="F188" i="8"/>
  <c r="C188" i="8"/>
  <c r="Q187" i="8"/>
  <c r="G187" i="8"/>
  <c r="F187" i="8"/>
  <c r="C187" i="8"/>
  <c r="Q186" i="8"/>
  <c r="G186" i="8"/>
  <c r="F186" i="8"/>
  <c r="C186" i="8"/>
  <c r="Q185" i="8"/>
  <c r="G185" i="8"/>
  <c r="F185" i="8"/>
  <c r="C185" i="8"/>
  <c r="Q184" i="8"/>
  <c r="G184" i="8"/>
  <c r="F184" i="8"/>
  <c r="C184" i="8"/>
  <c r="Q183" i="8"/>
  <c r="G183" i="8"/>
  <c r="F183" i="8"/>
  <c r="C183" i="8"/>
  <c r="Q182" i="8"/>
  <c r="G182" i="8"/>
  <c r="F182" i="8"/>
  <c r="C182" i="8"/>
  <c r="Q181" i="8"/>
  <c r="G181" i="8"/>
  <c r="F181" i="8"/>
  <c r="C181" i="8"/>
  <c r="Q180" i="8"/>
  <c r="G180" i="8"/>
  <c r="F180" i="8"/>
  <c r="C180" i="8"/>
  <c r="Q179" i="8"/>
  <c r="G179" i="8"/>
  <c r="F179" i="8"/>
  <c r="C179" i="8"/>
  <c r="Q178" i="8"/>
  <c r="G178" i="8"/>
  <c r="F178" i="8"/>
  <c r="C178" i="8"/>
  <c r="Q177" i="8"/>
  <c r="G177" i="8"/>
  <c r="F177" i="8"/>
  <c r="C177" i="8"/>
  <c r="Q176" i="8"/>
  <c r="G176" i="8"/>
  <c r="F176" i="8"/>
  <c r="C176" i="8"/>
  <c r="Q175" i="8"/>
  <c r="G175" i="8"/>
  <c r="F175" i="8"/>
  <c r="C175" i="8"/>
  <c r="Q174" i="8"/>
  <c r="G174" i="8"/>
  <c r="F174" i="8"/>
  <c r="C174" i="8"/>
  <c r="Q173" i="8"/>
  <c r="G173" i="8"/>
  <c r="F173" i="8"/>
  <c r="C173" i="8"/>
  <c r="Q172" i="8"/>
  <c r="G172" i="8"/>
  <c r="F172" i="8"/>
  <c r="C172" i="8"/>
  <c r="Q171" i="8"/>
  <c r="G171" i="8"/>
  <c r="F171" i="8"/>
  <c r="C171" i="8"/>
  <c r="Q170" i="8"/>
  <c r="G170" i="8"/>
  <c r="F170" i="8"/>
  <c r="C170" i="8"/>
  <c r="Q169" i="8"/>
  <c r="G169" i="8"/>
  <c r="F169" i="8"/>
  <c r="C169" i="8"/>
  <c r="Q168" i="8"/>
  <c r="G168" i="8"/>
  <c r="F168" i="8"/>
  <c r="C168" i="8"/>
  <c r="Q167" i="8"/>
  <c r="G167" i="8"/>
  <c r="F167" i="8"/>
  <c r="C167" i="8"/>
  <c r="Q166" i="8"/>
  <c r="G166" i="8"/>
  <c r="F166" i="8"/>
  <c r="C166" i="8"/>
  <c r="Q165" i="8"/>
  <c r="G165" i="8"/>
  <c r="F165" i="8"/>
  <c r="C165" i="8"/>
  <c r="Q164" i="8"/>
  <c r="G164" i="8"/>
  <c r="F164" i="8"/>
  <c r="C164" i="8"/>
  <c r="Q163" i="8"/>
  <c r="G163" i="8"/>
  <c r="F163" i="8"/>
  <c r="C163" i="8"/>
  <c r="Q162" i="8"/>
  <c r="G162" i="8"/>
  <c r="F162" i="8"/>
  <c r="C162" i="8"/>
  <c r="Q161" i="8"/>
  <c r="G161" i="8"/>
  <c r="F161" i="8"/>
  <c r="C161" i="8"/>
  <c r="Q160" i="8"/>
  <c r="G160" i="8"/>
  <c r="F160" i="8"/>
  <c r="C160" i="8"/>
  <c r="Q159" i="8"/>
  <c r="G159" i="8"/>
  <c r="F159" i="8"/>
  <c r="C159" i="8"/>
  <c r="Q158" i="8"/>
  <c r="G158" i="8"/>
  <c r="F158" i="8"/>
  <c r="C158" i="8"/>
  <c r="Q157" i="8"/>
  <c r="G157" i="8"/>
  <c r="F157" i="8"/>
  <c r="C157" i="8"/>
  <c r="Q156" i="8"/>
  <c r="G156" i="8"/>
  <c r="F156" i="8"/>
  <c r="C156" i="8"/>
  <c r="Q155" i="8"/>
  <c r="G155" i="8"/>
  <c r="F155" i="8"/>
  <c r="C155" i="8"/>
  <c r="Q154" i="8"/>
  <c r="G154" i="8"/>
  <c r="F154" i="8"/>
  <c r="C154" i="8"/>
  <c r="Q153" i="8"/>
  <c r="G153" i="8"/>
  <c r="F153" i="8"/>
  <c r="C153" i="8"/>
  <c r="Q152" i="8"/>
  <c r="G152" i="8"/>
  <c r="F152" i="8"/>
  <c r="C152" i="8"/>
  <c r="Q151" i="8"/>
  <c r="G151" i="8"/>
  <c r="F151" i="8"/>
  <c r="C151" i="8"/>
  <c r="Q150" i="8"/>
  <c r="G150" i="8"/>
  <c r="F150" i="8"/>
  <c r="C150" i="8"/>
  <c r="Q149" i="8"/>
  <c r="G149" i="8"/>
  <c r="F149" i="8"/>
  <c r="C149" i="8"/>
  <c r="Q148" i="8"/>
  <c r="G148" i="8"/>
  <c r="F148" i="8"/>
  <c r="C148" i="8"/>
  <c r="Q147" i="8"/>
  <c r="G147" i="8"/>
  <c r="F147" i="8"/>
  <c r="C147" i="8"/>
  <c r="Q146" i="8"/>
  <c r="G146" i="8"/>
  <c r="F146" i="8"/>
  <c r="C146" i="8"/>
  <c r="Q145" i="8"/>
  <c r="G145" i="8"/>
  <c r="F145" i="8"/>
  <c r="C145" i="8"/>
  <c r="Q144" i="8"/>
  <c r="G144" i="8"/>
  <c r="F144" i="8"/>
  <c r="C144" i="8"/>
  <c r="Q143" i="8"/>
  <c r="G143" i="8"/>
  <c r="F143" i="8"/>
  <c r="C143" i="8"/>
  <c r="Q142" i="8"/>
  <c r="G142" i="8"/>
  <c r="F142" i="8"/>
  <c r="C142" i="8"/>
  <c r="Q141" i="8"/>
  <c r="G141" i="8"/>
  <c r="F141" i="8"/>
  <c r="C141" i="8"/>
  <c r="Q140" i="8"/>
  <c r="G140" i="8"/>
  <c r="F140" i="8"/>
  <c r="C140" i="8"/>
  <c r="Q139" i="8"/>
  <c r="G139" i="8"/>
  <c r="F139" i="8"/>
  <c r="C139" i="8"/>
  <c r="Q138" i="8"/>
  <c r="G138" i="8"/>
  <c r="F138" i="8"/>
  <c r="C138" i="8"/>
  <c r="Q137" i="8"/>
  <c r="G137" i="8"/>
  <c r="F137" i="8"/>
  <c r="C137" i="8"/>
  <c r="Q136" i="8"/>
  <c r="G136" i="8"/>
  <c r="F136" i="8"/>
  <c r="C136" i="8"/>
  <c r="Q135" i="8"/>
  <c r="G135" i="8"/>
  <c r="F135" i="8"/>
  <c r="C135" i="8"/>
  <c r="Q134" i="8"/>
  <c r="G134" i="8"/>
  <c r="F134" i="8"/>
  <c r="C134" i="8"/>
  <c r="Q133" i="8"/>
  <c r="G133" i="8"/>
  <c r="F133" i="8"/>
  <c r="C133" i="8"/>
  <c r="Q132" i="8"/>
  <c r="G132" i="8"/>
  <c r="F132" i="8"/>
  <c r="C132" i="8"/>
  <c r="Q131" i="8"/>
  <c r="G131" i="8"/>
  <c r="F131" i="8"/>
  <c r="C131" i="8"/>
  <c r="Q130" i="8"/>
  <c r="G130" i="8"/>
  <c r="F130" i="8"/>
  <c r="C130" i="8"/>
  <c r="Q129" i="8"/>
  <c r="G129" i="8"/>
  <c r="F129" i="8"/>
  <c r="C129" i="8"/>
  <c r="Q128" i="8"/>
  <c r="G128" i="8"/>
  <c r="F128" i="8"/>
  <c r="C128" i="8"/>
  <c r="Q127" i="8"/>
  <c r="G127" i="8"/>
  <c r="F127" i="8"/>
  <c r="C127" i="8"/>
  <c r="Q126" i="8"/>
  <c r="G126" i="8"/>
  <c r="F126" i="8"/>
  <c r="C126" i="8"/>
  <c r="Q125" i="8"/>
  <c r="G125" i="8"/>
  <c r="F125" i="8"/>
  <c r="C125" i="8"/>
  <c r="Q124" i="8"/>
  <c r="G124" i="8"/>
  <c r="F124" i="8"/>
  <c r="C124" i="8"/>
  <c r="Q123" i="8"/>
  <c r="G123" i="8"/>
  <c r="F123" i="8"/>
  <c r="C123" i="8"/>
  <c r="Q122" i="8"/>
  <c r="G122" i="8"/>
  <c r="F122" i="8"/>
  <c r="C122" i="8"/>
  <c r="Q121" i="8"/>
  <c r="G121" i="8"/>
  <c r="F121" i="8"/>
  <c r="C121" i="8"/>
  <c r="Q120" i="8"/>
  <c r="G120" i="8"/>
  <c r="F120" i="8"/>
  <c r="C120" i="8"/>
  <c r="Q119" i="8"/>
  <c r="G119" i="8"/>
  <c r="F119" i="8"/>
  <c r="C119" i="8"/>
  <c r="Q118" i="8"/>
  <c r="G118" i="8"/>
  <c r="F118" i="8"/>
  <c r="C118" i="8"/>
  <c r="Q117" i="8"/>
  <c r="G117" i="8"/>
  <c r="F117" i="8"/>
  <c r="C117" i="8"/>
  <c r="Q116" i="8"/>
  <c r="G116" i="8"/>
  <c r="F116" i="8"/>
  <c r="C116" i="8"/>
  <c r="Q115" i="8"/>
  <c r="G115" i="8"/>
  <c r="F115" i="8"/>
  <c r="C115" i="8"/>
  <c r="Q114" i="8"/>
  <c r="G114" i="8"/>
  <c r="F114" i="8"/>
  <c r="C114" i="8"/>
  <c r="Q113" i="8"/>
  <c r="G113" i="8"/>
  <c r="F113" i="8"/>
  <c r="C113" i="8"/>
  <c r="Q112" i="8"/>
  <c r="G112" i="8"/>
  <c r="F112" i="8"/>
  <c r="C112" i="8"/>
  <c r="Q111" i="8"/>
  <c r="G111" i="8"/>
  <c r="F111" i="8"/>
  <c r="C111" i="8"/>
  <c r="Q110" i="8"/>
  <c r="G110" i="8"/>
  <c r="F110" i="8"/>
  <c r="C110" i="8"/>
  <c r="Q109" i="8"/>
  <c r="G109" i="8"/>
  <c r="F109" i="8"/>
  <c r="C109" i="8"/>
  <c r="Q108" i="8"/>
  <c r="G108" i="8"/>
  <c r="F108" i="8"/>
  <c r="C108" i="8"/>
  <c r="Q107" i="8"/>
  <c r="G107" i="8"/>
  <c r="F107" i="8"/>
  <c r="C107" i="8"/>
  <c r="Q106" i="8"/>
  <c r="G106" i="8"/>
  <c r="F106" i="8"/>
  <c r="C106" i="8"/>
  <c r="Q105" i="8"/>
  <c r="G105" i="8"/>
  <c r="F105" i="8"/>
  <c r="C105" i="8"/>
  <c r="Q104" i="8"/>
  <c r="G104" i="8"/>
  <c r="F104" i="8"/>
  <c r="C104" i="8"/>
  <c r="Q103" i="8"/>
  <c r="G103" i="8"/>
  <c r="F103" i="8"/>
  <c r="C103" i="8"/>
  <c r="Q102" i="8"/>
  <c r="G102" i="8"/>
  <c r="F102" i="8"/>
  <c r="C102" i="8"/>
  <c r="Q101" i="8"/>
  <c r="G101" i="8"/>
  <c r="F101" i="8"/>
  <c r="C101" i="8"/>
  <c r="Q100" i="8"/>
  <c r="G100" i="8"/>
  <c r="F100" i="8"/>
  <c r="C100" i="8"/>
  <c r="Q99" i="8"/>
  <c r="G99" i="8"/>
  <c r="F99" i="8"/>
  <c r="C99" i="8"/>
  <c r="Q98" i="8"/>
  <c r="G98" i="8"/>
  <c r="F98" i="8"/>
  <c r="C98" i="8"/>
  <c r="Q97" i="8"/>
  <c r="G97" i="8"/>
  <c r="F97" i="8"/>
  <c r="C97" i="8"/>
  <c r="Q96" i="8"/>
  <c r="G96" i="8"/>
  <c r="F96" i="8"/>
  <c r="C96" i="8"/>
  <c r="Q95" i="8"/>
  <c r="G95" i="8"/>
  <c r="F95" i="8"/>
  <c r="C95" i="8"/>
  <c r="Q94" i="8"/>
  <c r="G94" i="8"/>
  <c r="F94" i="8"/>
  <c r="C94" i="8"/>
  <c r="Q93" i="8"/>
  <c r="G93" i="8"/>
  <c r="F93" i="8"/>
  <c r="C93" i="8"/>
  <c r="Q92" i="8"/>
  <c r="G92" i="8"/>
  <c r="F92" i="8"/>
  <c r="C92" i="8"/>
  <c r="Q91" i="8"/>
  <c r="G91" i="8"/>
  <c r="F91" i="8"/>
  <c r="C91" i="8"/>
  <c r="Q90" i="8"/>
  <c r="G90" i="8"/>
  <c r="F90" i="8"/>
  <c r="C90" i="8"/>
  <c r="Q89" i="8"/>
  <c r="G89" i="8"/>
  <c r="F89" i="8"/>
  <c r="C89" i="8"/>
  <c r="Q88" i="8"/>
  <c r="G88" i="8"/>
  <c r="F88" i="8"/>
  <c r="C88" i="8"/>
  <c r="Q87" i="8"/>
  <c r="G87" i="8"/>
  <c r="F87" i="8"/>
  <c r="C87" i="8"/>
  <c r="Q86" i="8"/>
  <c r="G86" i="8"/>
  <c r="F86" i="8"/>
  <c r="C86" i="8"/>
  <c r="Q85" i="8"/>
  <c r="G85" i="8"/>
  <c r="F85" i="8"/>
  <c r="C85" i="8"/>
  <c r="Q84" i="8"/>
  <c r="G84" i="8"/>
  <c r="F84" i="8"/>
  <c r="C84" i="8"/>
  <c r="Q83" i="8"/>
  <c r="G83" i="8"/>
  <c r="F83" i="8"/>
  <c r="C83" i="8"/>
  <c r="Q82" i="8"/>
  <c r="G82" i="8"/>
  <c r="F82" i="8"/>
  <c r="C82" i="8"/>
  <c r="Q81" i="8"/>
  <c r="G81" i="8"/>
  <c r="F81" i="8"/>
  <c r="C81" i="8"/>
  <c r="Q80" i="8"/>
  <c r="G80" i="8"/>
  <c r="F80" i="8"/>
  <c r="C80" i="8"/>
  <c r="Q79" i="8"/>
  <c r="G79" i="8"/>
  <c r="F79" i="8"/>
  <c r="C79" i="8"/>
  <c r="Q78" i="8"/>
  <c r="G78" i="8"/>
  <c r="F78" i="8"/>
  <c r="C78" i="8"/>
  <c r="Q77" i="8"/>
  <c r="G77" i="8"/>
  <c r="F77" i="8"/>
  <c r="C77" i="8"/>
  <c r="Q76" i="8"/>
  <c r="G76" i="8"/>
  <c r="F76" i="8"/>
  <c r="C76" i="8"/>
  <c r="Q75" i="8"/>
  <c r="G75" i="8"/>
  <c r="F75" i="8"/>
  <c r="C75" i="8"/>
  <c r="Q74" i="8"/>
  <c r="G74" i="8"/>
  <c r="F74" i="8"/>
  <c r="C74" i="8"/>
  <c r="Q73" i="8"/>
  <c r="G73" i="8"/>
  <c r="F73" i="8"/>
  <c r="C73" i="8"/>
  <c r="Q72" i="8"/>
  <c r="G72" i="8"/>
  <c r="F72" i="8"/>
  <c r="C72" i="8"/>
  <c r="Q71" i="8"/>
  <c r="G71" i="8"/>
  <c r="F71" i="8"/>
  <c r="C71" i="8"/>
  <c r="Q70" i="8"/>
  <c r="G70" i="8"/>
  <c r="F70" i="8"/>
  <c r="C70" i="8"/>
  <c r="Q69" i="8"/>
  <c r="G69" i="8"/>
  <c r="F69" i="8"/>
  <c r="C69" i="8"/>
  <c r="Q68" i="8"/>
  <c r="G68" i="8"/>
  <c r="F68" i="8"/>
  <c r="C68" i="8"/>
  <c r="Q67" i="8"/>
  <c r="G67" i="8"/>
  <c r="F67" i="8"/>
  <c r="C67" i="8"/>
  <c r="Q66" i="8"/>
  <c r="G66" i="8"/>
  <c r="F66" i="8"/>
  <c r="C66" i="8"/>
  <c r="Q65" i="8"/>
  <c r="G65" i="8"/>
  <c r="F65" i="8"/>
  <c r="C65" i="8"/>
  <c r="Q64" i="8"/>
  <c r="G64" i="8"/>
  <c r="F64" i="8"/>
  <c r="C64" i="8"/>
  <c r="Q63" i="8"/>
  <c r="G63" i="8"/>
  <c r="F63" i="8"/>
  <c r="C63" i="8"/>
  <c r="Q62" i="8"/>
  <c r="G62" i="8"/>
  <c r="F62" i="8"/>
  <c r="C62" i="8"/>
  <c r="Q61" i="8"/>
  <c r="G61" i="8"/>
  <c r="F61" i="8"/>
  <c r="C61" i="8"/>
  <c r="Q60" i="8"/>
  <c r="G60" i="8"/>
  <c r="F60" i="8"/>
  <c r="C60" i="8"/>
  <c r="Q59" i="8"/>
  <c r="G59" i="8"/>
  <c r="F59" i="8"/>
  <c r="C59" i="8"/>
  <c r="Q58" i="8"/>
  <c r="G58" i="8"/>
  <c r="F58" i="8"/>
  <c r="C58" i="8"/>
  <c r="Q57" i="8"/>
  <c r="G57" i="8"/>
  <c r="F57" i="8"/>
  <c r="C57" i="8"/>
  <c r="Q56" i="8"/>
  <c r="G56" i="8"/>
  <c r="F56" i="8"/>
  <c r="C56" i="8"/>
  <c r="Q55" i="8"/>
  <c r="G55" i="8"/>
  <c r="F55" i="8"/>
  <c r="C55" i="8"/>
  <c r="Q54" i="8"/>
  <c r="G54" i="8"/>
  <c r="F54" i="8"/>
  <c r="C54" i="8"/>
  <c r="Q53" i="8"/>
  <c r="G53" i="8"/>
  <c r="F53" i="8"/>
  <c r="C53" i="8"/>
  <c r="Q52" i="8"/>
  <c r="G52" i="8"/>
  <c r="F52" i="8"/>
  <c r="C52" i="8"/>
  <c r="Q51" i="8"/>
  <c r="G51" i="8"/>
  <c r="F51" i="8"/>
  <c r="C51" i="8"/>
  <c r="Q50" i="8"/>
  <c r="G50" i="8"/>
  <c r="F50" i="8"/>
  <c r="C50" i="8"/>
  <c r="Q49" i="8"/>
  <c r="G49" i="8"/>
  <c r="F49" i="8"/>
  <c r="C49" i="8"/>
  <c r="Q48" i="8"/>
  <c r="G48" i="8"/>
  <c r="F48" i="8"/>
  <c r="C48" i="8"/>
  <c r="Q47" i="8"/>
  <c r="G47" i="8"/>
  <c r="F47" i="8"/>
  <c r="C47" i="8"/>
  <c r="Q46" i="8"/>
  <c r="G46" i="8"/>
  <c r="F46" i="8"/>
  <c r="C46" i="8"/>
  <c r="Q45" i="8"/>
  <c r="G45" i="8"/>
  <c r="F45" i="8"/>
  <c r="C45" i="8"/>
  <c r="Q44" i="8"/>
  <c r="G44" i="8"/>
  <c r="F44" i="8"/>
  <c r="C44" i="8"/>
  <c r="Q43" i="8"/>
  <c r="G43" i="8"/>
  <c r="F43" i="8"/>
  <c r="C43" i="8"/>
  <c r="Q42" i="8"/>
  <c r="G42" i="8"/>
  <c r="F42" i="8"/>
  <c r="C42" i="8"/>
  <c r="Q41" i="8"/>
  <c r="G41" i="8"/>
  <c r="F41" i="8"/>
  <c r="C41" i="8"/>
  <c r="Q40" i="8"/>
  <c r="G40" i="8"/>
  <c r="F40" i="8"/>
  <c r="C40" i="8"/>
  <c r="Q39" i="8"/>
  <c r="G39" i="8"/>
  <c r="F39" i="8"/>
  <c r="C39" i="8"/>
  <c r="Q38" i="8"/>
  <c r="G38" i="8"/>
  <c r="F38" i="8"/>
  <c r="C38" i="8"/>
  <c r="Q37" i="8"/>
  <c r="G37" i="8"/>
  <c r="F37" i="8"/>
  <c r="C37" i="8"/>
  <c r="Q36" i="8"/>
  <c r="G36" i="8"/>
  <c r="F36" i="8"/>
  <c r="C36" i="8"/>
  <c r="Q35" i="8"/>
  <c r="G35" i="8"/>
  <c r="F35" i="8"/>
  <c r="C35" i="8"/>
  <c r="Q34" i="8"/>
  <c r="G34" i="8"/>
  <c r="F34" i="8"/>
  <c r="C34" i="8"/>
  <c r="Q33" i="8"/>
  <c r="G33" i="8"/>
  <c r="F33" i="8"/>
  <c r="C33" i="8"/>
  <c r="Q32" i="8"/>
  <c r="G32" i="8"/>
  <c r="F32" i="8"/>
  <c r="C32" i="8"/>
  <c r="Q31" i="8"/>
  <c r="G31" i="8"/>
  <c r="F31" i="8"/>
  <c r="C31" i="8"/>
  <c r="Q30" i="8"/>
  <c r="G30" i="8"/>
  <c r="F30" i="8"/>
  <c r="C30" i="8"/>
  <c r="Q29" i="8"/>
  <c r="G29" i="8"/>
  <c r="F29" i="8"/>
  <c r="C29" i="8"/>
  <c r="Q28" i="8"/>
  <c r="G28" i="8"/>
  <c r="N25" i="10" s="1"/>
  <c r="F28" i="8"/>
  <c r="C28" i="8"/>
  <c r="Q27" i="8"/>
  <c r="G27" i="8"/>
  <c r="F27" i="8"/>
  <c r="C27" i="8"/>
  <c r="Q26" i="8"/>
  <c r="G26" i="8"/>
  <c r="F26" i="8"/>
  <c r="C26" i="8"/>
  <c r="Q25" i="8"/>
  <c r="G25" i="8"/>
  <c r="E58" i="10" s="1"/>
  <c r="F25" i="8"/>
  <c r="C25" i="8"/>
  <c r="Q24" i="8"/>
  <c r="G24" i="8"/>
  <c r="F24" i="8"/>
  <c r="C24" i="8"/>
  <c r="Q23" i="8"/>
  <c r="G23" i="8"/>
  <c r="F23" i="8"/>
  <c r="C23" i="8"/>
  <c r="Q22" i="8"/>
  <c r="G22" i="8"/>
  <c r="F22" i="8"/>
  <c r="C22" i="8"/>
  <c r="Q21" i="8"/>
  <c r="G21" i="8"/>
  <c r="F21" i="8"/>
  <c r="C21" i="8"/>
  <c r="Q20" i="8"/>
  <c r="G20" i="8"/>
  <c r="F20" i="8"/>
  <c r="C20" i="8"/>
  <c r="Q19" i="8"/>
  <c r="G19" i="8"/>
  <c r="F19" i="8"/>
  <c r="C19" i="8"/>
  <c r="Q18" i="8"/>
  <c r="G18" i="8"/>
  <c r="F18" i="8"/>
  <c r="C18" i="8"/>
  <c r="Q17" i="8"/>
  <c r="G17" i="8"/>
  <c r="F17" i="8"/>
  <c r="C17" i="8"/>
  <c r="Q16" i="8"/>
  <c r="G16" i="8"/>
  <c r="F16" i="8"/>
  <c r="C16" i="8"/>
  <c r="Q15" i="8"/>
  <c r="G15" i="8"/>
  <c r="F15" i="8"/>
  <c r="C15" i="8"/>
  <c r="Q14" i="8"/>
  <c r="G14" i="8"/>
  <c r="F14" i="8"/>
  <c r="C14" i="8"/>
  <c r="Q13" i="8"/>
  <c r="G13" i="8"/>
  <c r="F13" i="8"/>
  <c r="C13" i="8"/>
  <c r="Q12" i="8"/>
  <c r="G12" i="8"/>
  <c r="N27" i="10" s="1"/>
  <c r="F12" i="8"/>
  <c r="C12" i="8"/>
  <c r="Q11" i="8"/>
  <c r="G11" i="8"/>
  <c r="F11" i="8"/>
  <c r="C11" i="8"/>
  <c r="Q10" i="8"/>
  <c r="G10" i="8"/>
  <c r="F10" i="8"/>
  <c r="C10" i="8"/>
  <c r="Q9" i="8"/>
  <c r="G9" i="8"/>
  <c r="F9" i="8"/>
  <c r="C9" i="8"/>
  <c r="Q8" i="8"/>
  <c r="G8" i="8"/>
  <c r="F8" i="8"/>
  <c r="C8" i="8"/>
  <c r="Q7" i="8"/>
  <c r="G7" i="8"/>
  <c r="F7" i="8"/>
  <c r="C7" i="8"/>
  <c r="Q6" i="8"/>
  <c r="G6" i="8"/>
  <c r="F6" i="8"/>
  <c r="C6" i="8"/>
  <c r="Q5" i="8"/>
  <c r="G5" i="8"/>
  <c r="F5" i="8"/>
  <c r="C5" i="8"/>
  <c r="Q4" i="8"/>
  <c r="G4" i="8"/>
  <c r="E56" i="10" s="1"/>
  <c r="F4" i="8"/>
  <c r="C4" i="8"/>
  <c r="Q3" i="8"/>
  <c r="G3" i="8"/>
  <c r="C57" i="10" s="1"/>
  <c r="D57" i="10" s="1"/>
  <c r="F3" i="8"/>
  <c r="C3" i="8"/>
  <c r="Q2" i="8"/>
  <c r="G2" i="8"/>
  <c r="C55" i="10" s="1"/>
  <c r="D55" i="10" s="1"/>
  <c r="F2" i="8"/>
  <c r="C2" i="8"/>
  <c r="P1001" i="7"/>
  <c r="I1001" i="7"/>
  <c r="P1000" i="7"/>
  <c r="I1000" i="7"/>
  <c r="P999" i="7"/>
  <c r="I999" i="7"/>
  <c r="P998" i="7"/>
  <c r="I998" i="7"/>
  <c r="P997" i="7"/>
  <c r="I997" i="7"/>
  <c r="P996" i="7"/>
  <c r="I996" i="7"/>
  <c r="P995" i="7"/>
  <c r="I995" i="7"/>
  <c r="P994" i="7"/>
  <c r="I994" i="7"/>
  <c r="P993" i="7"/>
  <c r="I993" i="7"/>
  <c r="P992" i="7"/>
  <c r="I992" i="7"/>
  <c r="P991" i="7"/>
  <c r="I991" i="7"/>
  <c r="P990" i="7"/>
  <c r="I990" i="7"/>
  <c r="P989" i="7"/>
  <c r="I989" i="7"/>
  <c r="P988" i="7"/>
  <c r="I988" i="7"/>
  <c r="P987" i="7"/>
  <c r="I987" i="7"/>
  <c r="P986" i="7"/>
  <c r="I986" i="7"/>
  <c r="P985" i="7"/>
  <c r="I985" i="7"/>
  <c r="P984" i="7"/>
  <c r="I984" i="7"/>
  <c r="P983" i="7"/>
  <c r="I983" i="7"/>
  <c r="P982" i="7"/>
  <c r="I982" i="7"/>
  <c r="P981" i="7"/>
  <c r="I981" i="7"/>
  <c r="P980" i="7"/>
  <c r="I980" i="7"/>
  <c r="P979" i="7"/>
  <c r="I979" i="7"/>
  <c r="P978" i="7"/>
  <c r="I978" i="7"/>
  <c r="P977" i="7"/>
  <c r="I977" i="7"/>
  <c r="P976" i="7"/>
  <c r="I976" i="7"/>
  <c r="P975" i="7"/>
  <c r="I975" i="7"/>
  <c r="P974" i="7"/>
  <c r="I974" i="7"/>
  <c r="P973" i="7"/>
  <c r="I973" i="7"/>
  <c r="P972" i="7"/>
  <c r="I972" i="7"/>
  <c r="P971" i="7"/>
  <c r="I971" i="7"/>
  <c r="P970" i="7"/>
  <c r="I970" i="7"/>
  <c r="P969" i="7"/>
  <c r="I969" i="7"/>
  <c r="P968" i="7"/>
  <c r="I968" i="7"/>
  <c r="P967" i="7"/>
  <c r="I967" i="7"/>
  <c r="P966" i="7"/>
  <c r="I966" i="7"/>
  <c r="P965" i="7"/>
  <c r="I965" i="7"/>
  <c r="P964" i="7"/>
  <c r="I964" i="7"/>
  <c r="P963" i="7"/>
  <c r="I963" i="7"/>
  <c r="P962" i="7"/>
  <c r="I962" i="7"/>
  <c r="P961" i="7"/>
  <c r="I961" i="7"/>
  <c r="P960" i="7"/>
  <c r="I960" i="7"/>
  <c r="P959" i="7"/>
  <c r="I959" i="7"/>
  <c r="P958" i="7"/>
  <c r="I958" i="7"/>
  <c r="P957" i="7"/>
  <c r="I957" i="7"/>
  <c r="P956" i="7"/>
  <c r="I956" i="7"/>
  <c r="P955" i="7"/>
  <c r="I955" i="7"/>
  <c r="P954" i="7"/>
  <c r="I954" i="7"/>
  <c r="P953" i="7"/>
  <c r="I953" i="7"/>
  <c r="P952" i="7"/>
  <c r="I952" i="7"/>
  <c r="P951" i="7"/>
  <c r="I951" i="7"/>
  <c r="P950" i="7"/>
  <c r="I950" i="7"/>
  <c r="P949" i="7"/>
  <c r="I949" i="7"/>
  <c r="P948" i="7"/>
  <c r="I948" i="7"/>
  <c r="P947" i="7"/>
  <c r="I947" i="7"/>
  <c r="P946" i="7"/>
  <c r="I946" i="7"/>
  <c r="P945" i="7"/>
  <c r="I945" i="7"/>
  <c r="P944" i="7"/>
  <c r="I944" i="7"/>
  <c r="P943" i="7"/>
  <c r="I943" i="7"/>
  <c r="P942" i="7"/>
  <c r="I942" i="7"/>
  <c r="P941" i="7"/>
  <c r="I941" i="7"/>
  <c r="P940" i="7"/>
  <c r="I940" i="7"/>
  <c r="P939" i="7"/>
  <c r="I939" i="7"/>
  <c r="P938" i="7"/>
  <c r="I938" i="7"/>
  <c r="P937" i="7"/>
  <c r="I937" i="7"/>
  <c r="P936" i="7"/>
  <c r="I936" i="7"/>
  <c r="P935" i="7"/>
  <c r="I935" i="7"/>
  <c r="P934" i="7"/>
  <c r="I934" i="7"/>
  <c r="P933" i="7"/>
  <c r="I933" i="7"/>
  <c r="P932" i="7"/>
  <c r="I932" i="7"/>
  <c r="P931" i="7"/>
  <c r="I931" i="7"/>
  <c r="P930" i="7"/>
  <c r="I930" i="7"/>
  <c r="P929" i="7"/>
  <c r="I929" i="7"/>
  <c r="P928" i="7"/>
  <c r="I928" i="7"/>
  <c r="P927" i="7"/>
  <c r="I927" i="7"/>
  <c r="P926" i="7"/>
  <c r="I926" i="7"/>
  <c r="P925" i="7"/>
  <c r="I925" i="7"/>
  <c r="P924" i="7"/>
  <c r="I924" i="7"/>
  <c r="P923" i="7"/>
  <c r="I923" i="7"/>
  <c r="P922" i="7"/>
  <c r="I922" i="7"/>
  <c r="P921" i="7"/>
  <c r="I921" i="7"/>
  <c r="P920" i="7"/>
  <c r="I920" i="7"/>
  <c r="P919" i="7"/>
  <c r="I919" i="7"/>
  <c r="P918" i="7"/>
  <c r="I918" i="7"/>
  <c r="P917" i="7"/>
  <c r="I917" i="7"/>
  <c r="P916" i="7"/>
  <c r="I916" i="7"/>
  <c r="P915" i="7"/>
  <c r="I915" i="7"/>
  <c r="P914" i="7"/>
  <c r="I914" i="7"/>
  <c r="P913" i="7"/>
  <c r="I913" i="7"/>
  <c r="P912" i="7"/>
  <c r="I912" i="7"/>
  <c r="P911" i="7"/>
  <c r="I911" i="7"/>
  <c r="P910" i="7"/>
  <c r="I910" i="7"/>
  <c r="P909" i="7"/>
  <c r="I909" i="7"/>
  <c r="P908" i="7"/>
  <c r="I908" i="7"/>
  <c r="P907" i="7"/>
  <c r="I907" i="7"/>
  <c r="P906" i="7"/>
  <c r="I906" i="7"/>
  <c r="P905" i="7"/>
  <c r="I905" i="7"/>
  <c r="P904" i="7"/>
  <c r="I904" i="7"/>
  <c r="P903" i="7"/>
  <c r="I903" i="7"/>
  <c r="P902" i="7"/>
  <c r="I902" i="7"/>
  <c r="P901" i="7"/>
  <c r="I901" i="7"/>
  <c r="P900" i="7"/>
  <c r="I900" i="7"/>
  <c r="P899" i="7"/>
  <c r="I899" i="7"/>
  <c r="P898" i="7"/>
  <c r="I898" i="7"/>
  <c r="P897" i="7"/>
  <c r="I897" i="7"/>
  <c r="P896" i="7"/>
  <c r="I896" i="7"/>
  <c r="P895" i="7"/>
  <c r="I895" i="7"/>
  <c r="P894" i="7"/>
  <c r="I894" i="7"/>
  <c r="P893" i="7"/>
  <c r="I893" i="7"/>
  <c r="P892" i="7"/>
  <c r="I892" i="7"/>
  <c r="P891" i="7"/>
  <c r="I891" i="7"/>
  <c r="P890" i="7"/>
  <c r="I890" i="7"/>
  <c r="P889" i="7"/>
  <c r="I889" i="7"/>
  <c r="P888" i="7"/>
  <c r="I888" i="7"/>
  <c r="P887" i="7"/>
  <c r="I887" i="7"/>
  <c r="P886" i="7"/>
  <c r="I886" i="7"/>
  <c r="P885" i="7"/>
  <c r="I885" i="7"/>
  <c r="P884" i="7"/>
  <c r="I884" i="7"/>
  <c r="P883" i="7"/>
  <c r="I883" i="7"/>
  <c r="P882" i="7"/>
  <c r="I882" i="7"/>
  <c r="P881" i="7"/>
  <c r="I881" i="7"/>
  <c r="P880" i="7"/>
  <c r="I880" i="7"/>
  <c r="P879" i="7"/>
  <c r="I879" i="7"/>
  <c r="P878" i="7"/>
  <c r="I878" i="7"/>
  <c r="P877" i="7"/>
  <c r="I877" i="7"/>
  <c r="P876" i="7"/>
  <c r="I876" i="7"/>
  <c r="P875" i="7"/>
  <c r="I875" i="7"/>
  <c r="P874" i="7"/>
  <c r="I874" i="7"/>
  <c r="P873" i="7"/>
  <c r="I873" i="7"/>
  <c r="P872" i="7"/>
  <c r="I872" i="7"/>
  <c r="P871" i="7"/>
  <c r="I871" i="7"/>
  <c r="P870" i="7"/>
  <c r="I870" i="7"/>
  <c r="P869" i="7"/>
  <c r="I869" i="7"/>
  <c r="P868" i="7"/>
  <c r="I868" i="7"/>
  <c r="P867" i="7"/>
  <c r="I867" i="7"/>
  <c r="P866" i="7"/>
  <c r="I866" i="7"/>
  <c r="P865" i="7"/>
  <c r="I865" i="7"/>
  <c r="P864" i="7"/>
  <c r="I864" i="7"/>
  <c r="P863" i="7"/>
  <c r="I863" i="7"/>
  <c r="P862" i="7"/>
  <c r="I862" i="7"/>
  <c r="P861" i="7"/>
  <c r="I861" i="7"/>
  <c r="P860" i="7"/>
  <c r="I860" i="7"/>
  <c r="P859" i="7"/>
  <c r="I859" i="7"/>
  <c r="P858" i="7"/>
  <c r="I858" i="7"/>
  <c r="P857" i="7"/>
  <c r="I857" i="7"/>
  <c r="P856" i="7"/>
  <c r="I856" i="7"/>
  <c r="P855" i="7"/>
  <c r="I855" i="7"/>
  <c r="P854" i="7"/>
  <c r="I854" i="7"/>
  <c r="P853" i="7"/>
  <c r="I853" i="7"/>
  <c r="P852" i="7"/>
  <c r="I852" i="7"/>
  <c r="P851" i="7"/>
  <c r="I851" i="7"/>
  <c r="P850" i="7"/>
  <c r="I850" i="7"/>
  <c r="P849" i="7"/>
  <c r="I849" i="7"/>
  <c r="P848" i="7"/>
  <c r="I848" i="7"/>
  <c r="P847" i="7"/>
  <c r="I847" i="7"/>
  <c r="P846" i="7"/>
  <c r="I846" i="7"/>
  <c r="P845" i="7"/>
  <c r="I845" i="7"/>
  <c r="P844" i="7"/>
  <c r="I844" i="7"/>
  <c r="P843" i="7"/>
  <c r="I843" i="7"/>
  <c r="P842" i="7"/>
  <c r="I842" i="7"/>
  <c r="P841" i="7"/>
  <c r="I841" i="7"/>
  <c r="P840" i="7"/>
  <c r="I840" i="7"/>
  <c r="P839" i="7"/>
  <c r="I839" i="7"/>
  <c r="P838" i="7"/>
  <c r="I838" i="7"/>
  <c r="P837" i="7"/>
  <c r="I837" i="7"/>
  <c r="P836" i="7"/>
  <c r="I836" i="7"/>
  <c r="P835" i="7"/>
  <c r="I835" i="7"/>
  <c r="P834" i="7"/>
  <c r="I834" i="7"/>
  <c r="P833" i="7"/>
  <c r="I833" i="7"/>
  <c r="P832" i="7"/>
  <c r="I832" i="7"/>
  <c r="P831" i="7"/>
  <c r="I831" i="7"/>
  <c r="P830" i="7"/>
  <c r="I830" i="7"/>
  <c r="P829" i="7"/>
  <c r="I829" i="7"/>
  <c r="P828" i="7"/>
  <c r="I828" i="7"/>
  <c r="P827" i="7"/>
  <c r="I827" i="7"/>
  <c r="P826" i="7"/>
  <c r="I826" i="7"/>
  <c r="P825" i="7"/>
  <c r="I825" i="7"/>
  <c r="P824" i="7"/>
  <c r="I824" i="7"/>
  <c r="P823" i="7"/>
  <c r="I823" i="7"/>
  <c r="P822" i="7"/>
  <c r="I822" i="7"/>
  <c r="P821" i="7"/>
  <c r="I821" i="7"/>
  <c r="P820" i="7"/>
  <c r="I820" i="7"/>
  <c r="P819" i="7"/>
  <c r="I819" i="7"/>
  <c r="P818" i="7"/>
  <c r="I818" i="7"/>
  <c r="P817" i="7"/>
  <c r="I817" i="7"/>
  <c r="P816" i="7"/>
  <c r="I816" i="7"/>
  <c r="P815" i="7"/>
  <c r="I815" i="7"/>
  <c r="P814" i="7"/>
  <c r="I814" i="7"/>
  <c r="P813" i="7"/>
  <c r="I813" i="7"/>
  <c r="P812" i="7"/>
  <c r="I812" i="7"/>
  <c r="P811" i="7"/>
  <c r="I811" i="7"/>
  <c r="P810" i="7"/>
  <c r="I810" i="7"/>
  <c r="P809" i="7"/>
  <c r="I809" i="7"/>
  <c r="P808" i="7"/>
  <c r="I808" i="7"/>
  <c r="P807" i="7"/>
  <c r="I807" i="7"/>
  <c r="P806" i="7"/>
  <c r="I806" i="7"/>
  <c r="P805" i="7"/>
  <c r="I805" i="7"/>
  <c r="P804" i="7"/>
  <c r="I804" i="7"/>
  <c r="P803" i="7"/>
  <c r="I803" i="7"/>
  <c r="P802" i="7"/>
  <c r="I802" i="7"/>
  <c r="P801" i="7"/>
  <c r="I801" i="7"/>
  <c r="P800" i="7"/>
  <c r="I800" i="7"/>
  <c r="P799" i="7"/>
  <c r="I799" i="7"/>
  <c r="P798" i="7"/>
  <c r="I798" i="7"/>
  <c r="P797" i="7"/>
  <c r="I797" i="7"/>
  <c r="P796" i="7"/>
  <c r="I796" i="7"/>
  <c r="P795" i="7"/>
  <c r="I795" i="7"/>
  <c r="P794" i="7"/>
  <c r="I794" i="7"/>
  <c r="P793" i="7"/>
  <c r="I793" i="7"/>
  <c r="P792" i="7"/>
  <c r="I792" i="7"/>
  <c r="P791" i="7"/>
  <c r="I791" i="7"/>
  <c r="P790" i="7"/>
  <c r="I790" i="7"/>
  <c r="P789" i="7"/>
  <c r="I789" i="7"/>
  <c r="P788" i="7"/>
  <c r="I788" i="7"/>
  <c r="P787" i="7"/>
  <c r="I787" i="7"/>
  <c r="P786" i="7"/>
  <c r="I786" i="7"/>
  <c r="P785" i="7"/>
  <c r="I785" i="7"/>
  <c r="P784" i="7"/>
  <c r="I784" i="7"/>
  <c r="P783" i="7"/>
  <c r="I783" i="7"/>
  <c r="P782" i="7"/>
  <c r="I782" i="7"/>
  <c r="P781" i="7"/>
  <c r="I781" i="7"/>
  <c r="P780" i="7"/>
  <c r="I780" i="7"/>
  <c r="P779" i="7"/>
  <c r="I779" i="7"/>
  <c r="P778" i="7"/>
  <c r="I778" i="7"/>
  <c r="P777" i="7"/>
  <c r="I777" i="7"/>
  <c r="P776" i="7"/>
  <c r="I776" i="7"/>
  <c r="P775" i="7"/>
  <c r="I775" i="7"/>
  <c r="P774" i="7"/>
  <c r="I774" i="7"/>
  <c r="P773" i="7"/>
  <c r="I773" i="7"/>
  <c r="P772" i="7"/>
  <c r="I772" i="7"/>
  <c r="P771" i="7"/>
  <c r="I771" i="7"/>
  <c r="P770" i="7"/>
  <c r="I770" i="7"/>
  <c r="P769" i="7"/>
  <c r="I769" i="7"/>
  <c r="P768" i="7"/>
  <c r="I768" i="7"/>
  <c r="P767" i="7"/>
  <c r="I767" i="7"/>
  <c r="P766" i="7"/>
  <c r="I766" i="7"/>
  <c r="P765" i="7"/>
  <c r="I765" i="7"/>
  <c r="P764" i="7"/>
  <c r="I764" i="7"/>
  <c r="P763" i="7"/>
  <c r="I763" i="7"/>
  <c r="P762" i="7"/>
  <c r="I762" i="7"/>
  <c r="P761" i="7"/>
  <c r="I761" i="7"/>
  <c r="P760" i="7"/>
  <c r="I760" i="7"/>
  <c r="P759" i="7"/>
  <c r="I759" i="7"/>
  <c r="P758" i="7"/>
  <c r="I758" i="7"/>
  <c r="P757" i="7"/>
  <c r="I757" i="7"/>
  <c r="P756" i="7"/>
  <c r="I756" i="7"/>
  <c r="P755" i="7"/>
  <c r="I755" i="7"/>
  <c r="P754" i="7"/>
  <c r="I754" i="7"/>
  <c r="P753" i="7"/>
  <c r="I753" i="7"/>
  <c r="P752" i="7"/>
  <c r="I752" i="7"/>
  <c r="P751" i="7"/>
  <c r="I751" i="7"/>
  <c r="P750" i="7"/>
  <c r="I750" i="7"/>
  <c r="P749" i="7"/>
  <c r="I749" i="7"/>
  <c r="P748" i="7"/>
  <c r="I748" i="7"/>
  <c r="P747" i="7"/>
  <c r="I747" i="7"/>
  <c r="P746" i="7"/>
  <c r="I746" i="7"/>
  <c r="P745" i="7"/>
  <c r="I745" i="7"/>
  <c r="P744" i="7"/>
  <c r="I744" i="7"/>
  <c r="P743" i="7"/>
  <c r="I743" i="7"/>
  <c r="P742" i="7"/>
  <c r="I742" i="7"/>
  <c r="P741" i="7"/>
  <c r="I741" i="7"/>
  <c r="P740" i="7"/>
  <c r="I740" i="7"/>
  <c r="P739" i="7"/>
  <c r="I739" i="7"/>
  <c r="P738" i="7"/>
  <c r="I738" i="7"/>
  <c r="P737" i="7"/>
  <c r="I737" i="7"/>
  <c r="P736" i="7"/>
  <c r="I736" i="7"/>
  <c r="P735" i="7"/>
  <c r="I735" i="7"/>
  <c r="P734" i="7"/>
  <c r="I734" i="7"/>
  <c r="P733" i="7"/>
  <c r="I733" i="7"/>
  <c r="P732" i="7"/>
  <c r="I732" i="7"/>
  <c r="P731" i="7"/>
  <c r="I731" i="7"/>
  <c r="P730" i="7"/>
  <c r="I730" i="7"/>
  <c r="P729" i="7"/>
  <c r="I729" i="7"/>
  <c r="P728" i="7"/>
  <c r="I728" i="7"/>
  <c r="P727" i="7"/>
  <c r="I727" i="7"/>
  <c r="P726" i="7"/>
  <c r="I726" i="7"/>
  <c r="P725" i="7"/>
  <c r="I725" i="7"/>
  <c r="P724" i="7"/>
  <c r="I724" i="7"/>
  <c r="P723" i="7"/>
  <c r="I723" i="7"/>
  <c r="P722" i="7"/>
  <c r="I722" i="7"/>
  <c r="P721" i="7"/>
  <c r="I721" i="7"/>
  <c r="P720" i="7"/>
  <c r="I720" i="7"/>
  <c r="P719" i="7"/>
  <c r="I719" i="7"/>
  <c r="P718" i="7"/>
  <c r="I718" i="7"/>
  <c r="P717" i="7"/>
  <c r="I717" i="7"/>
  <c r="P716" i="7"/>
  <c r="I716" i="7"/>
  <c r="P715" i="7"/>
  <c r="I715" i="7"/>
  <c r="P714" i="7"/>
  <c r="I714" i="7"/>
  <c r="P713" i="7"/>
  <c r="I713" i="7"/>
  <c r="P712" i="7"/>
  <c r="I712" i="7"/>
  <c r="P711" i="7"/>
  <c r="I711" i="7"/>
  <c r="P710" i="7"/>
  <c r="I710" i="7"/>
  <c r="P709" i="7"/>
  <c r="I709" i="7"/>
  <c r="P708" i="7"/>
  <c r="I708" i="7"/>
  <c r="P707" i="7"/>
  <c r="I707" i="7"/>
  <c r="P706" i="7"/>
  <c r="I706" i="7"/>
  <c r="P705" i="7"/>
  <c r="I705" i="7"/>
  <c r="P704" i="7"/>
  <c r="I704" i="7"/>
  <c r="P703" i="7"/>
  <c r="I703" i="7"/>
  <c r="P702" i="7"/>
  <c r="I702" i="7"/>
  <c r="P701" i="7"/>
  <c r="I701" i="7"/>
  <c r="P700" i="7"/>
  <c r="I700" i="7"/>
  <c r="P699" i="7"/>
  <c r="I699" i="7"/>
  <c r="P698" i="7"/>
  <c r="I698" i="7"/>
  <c r="P697" i="7"/>
  <c r="I697" i="7"/>
  <c r="P696" i="7"/>
  <c r="I696" i="7"/>
  <c r="P695" i="7"/>
  <c r="I695" i="7"/>
  <c r="P694" i="7"/>
  <c r="I694" i="7"/>
  <c r="P693" i="7"/>
  <c r="I693" i="7"/>
  <c r="P692" i="7"/>
  <c r="I692" i="7"/>
  <c r="P691" i="7"/>
  <c r="I691" i="7"/>
  <c r="P690" i="7"/>
  <c r="I690" i="7"/>
  <c r="P689" i="7"/>
  <c r="I689" i="7"/>
  <c r="P688" i="7"/>
  <c r="I688" i="7"/>
  <c r="P687" i="7"/>
  <c r="I687" i="7"/>
  <c r="P686" i="7"/>
  <c r="I686" i="7"/>
  <c r="P685" i="7"/>
  <c r="I685" i="7"/>
  <c r="P684" i="7"/>
  <c r="I684" i="7"/>
  <c r="P683" i="7"/>
  <c r="I683" i="7"/>
  <c r="P682" i="7"/>
  <c r="I682" i="7"/>
  <c r="P681" i="7"/>
  <c r="I681" i="7"/>
  <c r="P680" i="7"/>
  <c r="I680" i="7"/>
  <c r="P679" i="7"/>
  <c r="I679" i="7"/>
  <c r="P678" i="7"/>
  <c r="I678" i="7"/>
  <c r="P677" i="7"/>
  <c r="I677" i="7"/>
  <c r="P676" i="7"/>
  <c r="I676" i="7"/>
  <c r="P675" i="7"/>
  <c r="I675" i="7"/>
  <c r="P674" i="7"/>
  <c r="I674" i="7"/>
  <c r="P673" i="7"/>
  <c r="I673" i="7"/>
  <c r="P672" i="7"/>
  <c r="I672" i="7"/>
  <c r="P671" i="7"/>
  <c r="I671" i="7"/>
  <c r="P670" i="7"/>
  <c r="I670" i="7"/>
  <c r="P669" i="7"/>
  <c r="I669" i="7"/>
  <c r="P668" i="7"/>
  <c r="I668" i="7"/>
  <c r="P667" i="7"/>
  <c r="I667" i="7"/>
  <c r="P666" i="7"/>
  <c r="I666" i="7"/>
  <c r="P665" i="7"/>
  <c r="I665" i="7"/>
  <c r="P664" i="7"/>
  <c r="I664" i="7"/>
  <c r="P663" i="7"/>
  <c r="I663" i="7"/>
  <c r="P662" i="7"/>
  <c r="I662" i="7"/>
  <c r="P661" i="7"/>
  <c r="I661" i="7"/>
  <c r="P660" i="7"/>
  <c r="I660" i="7"/>
  <c r="P659" i="7"/>
  <c r="I659" i="7"/>
  <c r="P658" i="7"/>
  <c r="I658" i="7"/>
  <c r="P657" i="7"/>
  <c r="I657" i="7"/>
  <c r="P656" i="7"/>
  <c r="I656" i="7"/>
  <c r="P655" i="7"/>
  <c r="I655" i="7"/>
  <c r="P654" i="7"/>
  <c r="I654" i="7"/>
  <c r="P653" i="7"/>
  <c r="I653" i="7"/>
  <c r="P652" i="7"/>
  <c r="I652" i="7"/>
  <c r="P651" i="7"/>
  <c r="I651" i="7"/>
  <c r="P650" i="7"/>
  <c r="I650" i="7"/>
  <c r="P649" i="7"/>
  <c r="I649" i="7"/>
  <c r="P648" i="7"/>
  <c r="I648" i="7"/>
  <c r="P647" i="7"/>
  <c r="I647" i="7"/>
  <c r="P646" i="7"/>
  <c r="I646" i="7"/>
  <c r="P645" i="7"/>
  <c r="I645" i="7"/>
  <c r="P644" i="7"/>
  <c r="I644" i="7"/>
  <c r="P643" i="7"/>
  <c r="I643" i="7"/>
  <c r="P642" i="7"/>
  <c r="I642" i="7"/>
  <c r="P641" i="7"/>
  <c r="I641" i="7"/>
  <c r="P640" i="7"/>
  <c r="I640" i="7"/>
  <c r="P639" i="7"/>
  <c r="I639" i="7"/>
  <c r="P638" i="7"/>
  <c r="I638" i="7"/>
  <c r="P637" i="7"/>
  <c r="I637" i="7"/>
  <c r="P636" i="7"/>
  <c r="I636" i="7"/>
  <c r="P635" i="7"/>
  <c r="I635" i="7"/>
  <c r="P634" i="7"/>
  <c r="I634" i="7"/>
  <c r="P633" i="7"/>
  <c r="I633" i="7"/>
  <c r="P632" i="7"/>
  <c r="I632" i="7"/>
  <c r="P631" i="7"/>
  <c r="I631" i="7"/>
  <c r="P630" i="7"/>
  <c r="I630" i="7"/>
  <c r="P629" i="7"/>
  <c r="I629" i="7"/>
  <c r="P628" i="7"/>
  <c r="I628" i="7"/>
  <c r="P627" i="7"/>
  <c r="I627" i="7"/>
  <c r="P626" i="7"/>
  <c r="I626" i="7"/>
  <c r="P625" i="7"/>
  <c r="I625" i="7"/>
  <c r="P624" i="7"/>
  <c r="I624" i="7"/>
  <c r="P623" i="7"/>
  <c r="I623" i="7"/>
  <c r="P622" i="7"/>
  <c r="I622" i="7"/>
  <c r="P621" i="7"/>
  <c r="I621" i="7"/>
  <c r="P620" i="7"/>
  <c r="I620" i="7"/>
  <c r="P619" i="7"/>
  <c r="I619" i="7"/>
  <c r="P618" i="7"/>
  <c r="I618" i="7"/>
  <c r="P617" i="7"/>
  <c r="I617" i="7"/>
  <c r="P616" i="7"/>
  <c r="I616" i="7"/>
  <c r="P615" i="7"/>
  <c r="I615" i="7"/>
  <c r="P614" i="7"/>
  <c r="I614" i="7"/>
  <c r="P613" i="7"/>
  <c r="I613" i="7"/>
  <c r="P612" i="7"/>
  <c r="I612" i="7"/>
  <c r="P611" i="7"/>
  <c r="I611" i="7"/>
  <c r="P610" i="7"/>
  <c r="I610" i="7"/>
  <c r="P609" i="7"/>
  <c r="I609" i="7"/>
  <c r="P608" i="7"/>
  <c r="I608" i="7"/>
  <c r="P607" i="7"/>
  <c r="I607" i="7"/>
  <c r="P606" i="7"/>
  <c r="I606" i="7"/>
  <c r="P605" i="7"/>
  <c r="I605" i="7"/>
  <c r="P604" i="7"/>
  <c r="I604" i="7"/>
  <c r="P603" i="7"/>
  <c r="I603" i="7"/>
  <c r="P602" i="7"/>
  <c r="I602" i="7"/>
  <c r="P601" i="7"/>
  <c r="I601" i="7"/>
  <c r="P600" i="7"/>
  <c r="I600" i="7"/>
  <c r="P599" i="7"/>
  <c r="I599" i="7"/>
  <c r="P598" i="7"/>
  <c r="I598" i="7"/>
  <c r="P597" i="7"/>
  <c r="I597" i="7"/>
  <c r="P596" i="7"/>
  <c r="I596" i="7"/>
  <c r="P595" i="7"/>
  <c r="I595" i="7"/>
  <c r="P594" i="7"/>
  <c r="I594" i="7"/>
  <c r="P593" i="7"/>
  <c r="I593" i="7"/>
  <c r="P592" i="7"/>
  <c r="I592" i="7"/>
  <c r="P591" i="7"/>
  <c r="I591" i="7"/>
  <c r="P590" i="7"/>
  <c r="I590" i="7"/>
  <c r="P589" i="7"/>
  <c r="I589" i="7"/>
  <c r="P588" i="7"/>
  <c r="I588" i="7"/>
  <c r="P587" i="7"/>
  <c r="I587" i="7"/>
  <c r="P586" i="7"/>
  <c r="I586" i="7"/>
  <c r="P585" i="7"/>
  <c r="I585" i="7"/>
  <c r="P584" i="7"/>
  <c r="I584" i="7"/>
  <c r="P583" i="7"/>
  <c r="I583" i="7"/>
  <c r="P582" i="7"/>
  <c r="I582" i="7"/>
  <c r="P581" i="7"/>
  <c r="I581" i="7"/>
  <c r="P580" i="7"/>
  <c r="I580" i="7"/>
  <c r="P579" i="7"/>
  <c r="I579" i="7"/>
  <c r="P578" i="7"/>
  <c r="I578" i="7"/>
  <c r="P577" i="7"/>
  <c r="I577" i="7"/>
  <c r="P576" i="7"/>
  <c r="I576" i="7"/>
  <c r="P575" i="7"/>
  <c r="I575" i="7"/>
  <c r="P574" i="7"/>
  <c r="I574" i="7"/>
  <c r="P573" i="7"/>
  <c r="I573" i="7"/>
  <c r="P572" i="7"/>
  <c r="I572" i="7"/>
  <c r="P571" i="7"/>
  <c r="I571" i="7"/>
  <c r="P570" i="7"/>
  <c r="I570" i="7"/>
  <c r="P569" i="7"/>
  <c r="I569" i="7"/>
  <c r="P568" i="7"/>
  <c r="I568" i="7"/>
  <c r="P567" i="7"/>
  <c r="I567" i="7"/>
  <c r="P566" i="7"/>
  <c r="I566" i="7"/>
  <c r="P565" i="7"/>
  <c r="I565" i="7"/>
  <c r="P564" i="7"/>
  <c r="I564" i="7"/>
  <c r="P563" i="7"/>
  <c r="I563" i="7"/>
  <c r="P562" i="7"/>
  <c r="I562" i="7"/>
  <c r="P561" i="7"/>
  <c r="I561" i="7"/>
  <c r="P560" i="7"/>
  <c r="I560" i="7"/>
  <c r="P559" i="7"/>
  <c r="I559" i="7"/>
  <c r="P558" i="7"/>
  <c r="I558" i="7"/>
  <c r="P557" i="7"/>
  <c r="I557" i="7"/>
  <c r="P556" i="7"/>
  <c r="I556" i="7"/>
  <c r="P555" i="7"/>
  <c r="I555" i="7"/>
  <c r="P554" i="7"/>
  <c r="I554" i="7"/>
  <c r="P553" i="7"/>
  <c r="I553" i="7"/>
  <c r="P552" i="7"/>
  <c r="I552" i="7"/>
  <c r="P551" i="7"/>
  <c r="I551" i="7"/>
  <c r="P550" i="7"/>
  <c r="I550" i="7"/>
  <c r="P549" i="7"/>
  <c r="I549" i="7"/>
  <c r="P548" i="7"/>
  <c r="I548" i="7"/>
  <c r="P547" i="7"/>
  <c r="I547" i="7"/>
  <c r="P546" i="7"/>
  <c r="I546" i="7"/>
  <c r="P545" i="7"/>
  <c r="I545" i="7"/>
  <c r="P544" i="7"/>
  <c r="I544" i="7"/>
  <c r="P543" i="7"/>
  <c r="I543" i="7"/>
  <c r="P542" i="7"/>
  <c r="I542" i="7"/>
  <c r="P541" i="7"/>
  <c r="I541" i="7"/>
  <c r="P540" i="7"/>
  <c r="I540" i="7"/>
  <c r="P539" i="7"/>
  <c r="I539" i="7"/>
  <c r="P538" i="7"/>
  <c r="I538" i="7"/>
  <c r="P537" i="7"/>
  <c r="I537" i="7"/>
  <c r="P536" i="7"/>
  <c r="I536" i="7"/>
  <c r="P535" i="7"/>
  <c r="I535" i="7"/>
  <c r="P534" i="7"/>
  <c r="I534" i="7"/>
  <c r="P533" i="7"/>
  <c r="I533" i="7"/>
  <c r="P532" i="7"/>
  <c r="I532" i="7"/>
  <c r="P531" i="7"/>
  <c r="I531" i="7"/>
  <c r="P530" i="7"/>
  <c r="I530" i="7"/>
  <c r="P529" i="7"/>
  <c r="I529" i="7"/>
  <c r="P528" i="7"/>
  <c r="I528" i="7"/>
  <c r="P527" i="7"/>
  <c r="I527" i="7"/>
  <c r="P526" i="7"/>
  <c r="I526" i="7"/>
  <c r="P525" i="7"/>
  <c r="I525" i="7"/>
  <c r="P524" i="7"/>
  <c r="I524" i="7"/>
  <c r="P523" i="7"/>
  <c r="I523" i="7"/>
  <c r="P522" i="7"/>
  <c r="I522" i="7"/>
  <c r="P521" i="7"/>
  <c r="I521" i="7"/>
  <c r="P520" i="7"/>
  <c r="I520" i="7"/>
  <c r="P519" i="7"/>
  <c r="I519" i="7"/>
  <c r="P518" i="7"/>
  <c r="I518" i="7"/>
  <c r="P517" i="7"/>
  <c r="I517" i="7"/>
  <c r="P516" i="7"/>
  <c r="I516" i="7"/>
  <c r="P515" i="7"/>
  <c r="I515" i="7"/>
  <c r="P514" i="7"/>
  <c r="I514" i="7"/>
  <c r="P513" i="7"/>
  <c r="I513" i="7"/>
  <c r="P512" i="7"/>
  <c r="I512" i="7"/>
  <c r="P511" i="7"/>
  <c r="I511" i="7"/>
  <c r="P510" i="7"/>
  <c r="I510" i="7"/>
  <c r="P509" i="7"/>
  <c r="I509" i="7"/>
  <c r="P508" i="7"/>
  <c r="I508" i="7"/>
  <c r="P507" i="7"/>
  <c r="I507" i="7"/>
  <c r="P506" i="7"/>
  <c r="I506" i="7"/>
  <c r="P505" i="7"/>
  <c r="I505" i="7"/>
  <c r="P504" i="7"/>
  <c r="I504" i="7"/>
  <c r="P503" i="7"/>
  <c r="I503" i="7"/>
  <c r="P502" i="7"/>
  <c r="I502" i="7"/>
  <c r="P501" i="7"/>
  <c r="I501" i="7"/>
  <c r="P500" i="7"/>
  <c r="I500" i="7"/>
  <c r="P499" i="7"/>
  <c r="I499" i="7"/>
  <c r="P498" i="7"/>
  <c r="I498" i="7"/>
  <c r="P497" i="7"/>
  <c r="I497" i="7"/>
  <c r="P496" i="7"/>
  <c r="I496" i="7"/>
  <c r="P495" i="7"/>
  <c r="I495" i="7"/>
  <c r="P494" i="7"/>
  <c r="I494" i="7"/>
  <c r="P493" i="7"/>
  <c r="I493" i="7"/>
  <c r="P492" i="7"/>
  <c r="I492" i="7"/>
  <c r="P491" i="7"/>
  <c r="I491" i="7"/>
  <c r="P490" i="7"/>
  <c r="I490" i="7"/>
  <c r="P489" i="7"/>
  <c r="I489" i="7"/>
  <c r="P488" i="7"/>
  <c r="I488" i="7"/>
  <c r="P487" i="7"/>
  <c r="I487" i="7"/>
  <c r="P486" i="7"/>
  <c r="I486" i="7"/>
  <c r="P485" i="7"/>
  <c r="I485" i="7"/>
  <c r="P484" i="7"/>
  <c r="I484" i="7"/>
  <c r="P483" i="7"/>
  <c r="I483" i="7"/>
  <c r="P482" i="7"/>
  <c r="I482" i="7"/>
  <c r="P481" i="7"/>
  <c r="I481" i="7"/>
  <c r="P480" i="7"/>
  <c r="I480" i="7"/>
  <c r="P479" i="7"/>
  <c r="I479" i="7"/>
  <c r="P478" i="7"/>
  <c r="I478" i="7"/>
  <c r="P477" i="7"/>
  <c r="I477" i="7"/>
  <c r="P476" i="7"/>
  <c r="I476" i="7"/>
  <c r="P475" i="7"/>
  <c r="I475" i="7"/>
  <c r="P474" i="7"/>
  <c r="I474" i="7"/>
  <c r="P473" i="7"/>
  <c r="I473" i="7"/>
  <c r="P472" i="7"/>
  <c r="I472" i="7"/>
  <c r="P471" i="7"/>
  <c r="I471" i="7"/>
  <c r="P470" i="7"/>
  <c r="I470" i="7"/>
  <c r="P469" i="7"/>
  <c r="I469" i="7"/>
  <c r="P468" i="7"/>
  <c r="I468" i="7"/>
  <c r="P467" i="7"/>
  <c r="I467" i="7"/>
  <c r="P466" i="7"/>
  <c r="I466" i="7"/>
  <c r="P465" i="7"/>
  <c r="I465" i="7"/>
  <c r="P464" i="7"/>
  <c r="I464" i="7"/>
  <c r="P463" i="7"/>
  <c r="I463" i="7"/>
  <c r="P462" i="7"/>
  <c r="I462" i="7"/>
  <c r="P461" i="7"/>
  <c r="I461" i="7"/>
  <c r="P460" i="7"/>
  <c r="I460" i="7"/>
  <c r="P459" i="7"/>
  <c r="I459" i="7"/>
  <c r="P458" i="7"/>
  <c r="I458" i="7"/>
  <c r="P457" i="7"/>
  <c r="I457" i="7"/>
  <c r="P456" i="7"/>
  <c r="I456" i="7"/>
  <c r="P455" i="7"/>
  <c r="I455" i="7"/>
  <c r="P454" i="7"/>
  <c r="I454" i="7"/>
  <c r="P453" i="7"/>
  <c r="I453" i="7"/>
  <c r="P452" i="7"/>
  <c r="I452" i="7"/>
  <c r="P451" i="7"/>
  <c r="I451" i="7"/>
  <c r="P450" i="7"/>
  <c r="I450" i="7"/>
  <c r="P449" i="7"/>
  <c r="I449" i="7"/>
  <c r="P448" i="7"/>
  <c r="I448" i="7"/>
  <c r="P447" i="7"/>
  <c r="I447" i="7"/>
  <c r="P446" i="7"/>
  <c r="I446" i="7"/>
  <c r="P445" i="7"/>
  <c r="I445" i="7"/>
  <c r="P444" i="7"/>
  <c r="I444" i="7"/>
  <c r="P443" i="7"/>
  <c r="I443" i="7"/>
  <c r="P442" i="7"/>
  <c r="I442" i="7"/>
  <c r="P441" i="7"/>
  <c r="I441" i="7"/>
  <c r="P440" i="7"/>
  <c r="I440" i="7"/>
  <c r="P439" i="7"/>
  <c r="I439" i="7"/>
  <c r="P438" i="7"/>
  <c r="I438" i="7"/>
  <c r="P437" i="7"/>
  <c r="I437" i="7"/>
  <c r="P436" i="7"/>
  <c r="I436" i="7"/>
  <c r="P435" i="7"/>
  <c r="I435" i="7"/>
  <c r="P434" i="7"/>
  <c r="I434" i="7"/>
  <c r="P433" i="7"/>
  <c r="I433" i="7"/>
  <c r="P432" i="7"/>
  <c r="I432" i="7"/>
  <c r="P431" i="7"/>
  <c r="I431" i="7"/>
  <c r="P430" i="7"/>
  <c r="I430" i="7"/>
  <c r="P429" i="7"/>
  <c r="I429" i="7"/>
  <c r="P428" i="7"/>
  <c r="I428" i="7"/>
  <c r="P427" i="7"/>
  <c r="I427" i="7"/>
  <c r="P426" i="7"/>
  <c r="I426" i="7"/>
  <c r="P425" i="7"/>
  <c r="I425" i="7"/>
  <c r="P424" i="7"/>
  <c r="I424" i="7"/>
  <c r="P423" i="7"/>
  <c r="I423" i="7"/>
  <c r="P422" i="7"/>
  <c r="I422" i="7"/>
  <c r="P421" i="7"/>
  <c r="I421" i="7"/>
  <c r="P420" i="7"/>
  <c r="I420" i="7"/>
  <c r="P419" i="7"/>
  <c r="I419" i="7"/>
  <c r="P418" i="7"/>
  <c r="I418" i="7"/>
  <c r="P417" i="7"/>
  <c r="I417" i="7"/>
  <c r="P416" i="7"/>
  <c r="I416" i="7"/>
  <c r="P415" i="7"/>
  <c r="I415" i="7"/>
  <c r="P414" i="7"/>
  <c r="I414" i="7"/>
  <c r="P413" i="7"/>
  <c r="I413" i="7"/>
  <c r="P412" i="7"/>
  <c r="I412" i="7"/>
  <c r="P411" i="7"/>
  <c r="I411" i="7"/>
  <c r="P410" i="7"/>
  <c r="I410" i="7"/>
  <c r="P409" i="7"/>
  <c r="I409" i="7"/>
  <c r="P408" i="7"/>
  <c r="I408" i="7"/>
  <c r="P407" i="7"/>
  <c r="I407" i="7"/>
  <c r="P406" i="7"/>
  <c r="I406" i="7"/>
  <c r="P405" i="7"/>
  <c r="I405" i="7"/>
  <c r="P404" i="7"/>
  <c r="I404" i="7"/>
  <c r="P403" i="7"/>
  <c r="I403" i="7"/>
  <c r="P402" i="7"/>
  <c r="I402" i="7"/>
  <c r="P401" i="7"/>
  <c r="I401" i="7"/>
  <c r="P400" i="7"/>
  <c r="I400" i="7"/>
  <c r="P399" i="7"/>
  <c r="I399" i="7"/>
  <c r="P398" i="7"/>
  <c r="I398" i="7"/>
  <c r="P397" i="7"/>
  <c r="I397" i="7"/>
  <c r="P396" i="7"/>
  <c r="I396" i="7"/>
  <c r="P395" i="7"/>
  <c r="I395" i="7"/>
  <c r="P394" i="7"/>
  <c r="I394" i="7"/>
  <c r="P393" i="7"/>
  <c r="I393" i="7"/>
  <c r="P392" i="7"/>
  <c r="I392" i="7"/>
  <c r="P391" i="7"/>
  <c r="I391" i="7"/>
  <c r="P390" i="7"/>
  <c r="I390" i="7"/>
  <c r="P389" i="7"/>
  <c r="I389" i="7"/>
  <c r="P388" i="7"/>
  <c r="I388" i="7"/>
  <c r="P387" i="7"/>
  <c r="I387" i="7"/>
  <c r="P386" i="7"/>
  <c r="I386" i="7"/>
  <c r="P385" i="7"/>
  <c r="I385" i="7"/>
  <c r="P384" i="7"/>
  <c r="I384" i="7"/>
  <c r="P383" i="7"/>
  <c r="I383" i="7"/>
  <c r="P382" i="7"/>
  <c r="I382" i="7"/>
  <c r="P381" i="7"/>
  <c r="I381" i="7"/>
  <c r="P380" i="7"/>
  <c r="I380" i="7"/>
  <c r="P379" i="7"/>
  <c r="I379" i="7"/>
  <c r="P378" i="7"/>
  <c r="I378" i="7"/>
  <c r="P377" i="7"/>
  <c r="I377" i="7"/>
  <c r="P376" i="7"/>
  <c r="I376" i="7"/>
  <c r="P375" i="7"/>
  <c r="I375" i="7"/>
  <c r="P374" i="7"/>
  <c r="I374" i="7"/>
  <c r="P373" i="7"/>
  <c r="I373" i="7"/>
  <c r="P372" i="7"/>
  <c r="I372" i="7"/>
  <c r="P371" i="7"/>
  <c r="I371" i="7"/>
  <c r="P370" i="7"/>
  <c r="I370" i="7"/>
  <c r="P369" i="7"/>
  <c r="I369" i="7"/>
  <c r="P368" i="7"/>
  <c r="I368" i="7"/>
  <c r="P367" i="7"/>
  <c r="I367" i="7"/>
  <c r="P366" i="7"/>
  <c r="I366" i="7"/>
  <c r="P365" i="7"/>
  <c r="I365" i="7"/>
  <c r="P364" i="7"/>
  <c r="I364" i="7"/>
  <c r="P363" i="7"/>
  <c r="I363" i="7"/>
  <c r="P362" i="7"/>
  <c r="I362" i="7"/>
  <c r="P361" i="7"/>
  <c r="I361" i="7"/>
  <c r="P360" i="7"/>
  <c r="I360" i="7"/>
  <c r="P359" i="7"/>
  <c r="I359" i="7"/>
  <c r="P358" i="7"/>
  <c r="I358" i="7"/>
  <c r="P357" i="7"/>
  <c r="I357" i="7"/>
  <c r="P356" i="7"/>
  <c r="I356" i="7"/>
  <c r="P355" i="7"/>
  <c r="I355" i="7"/>
  <c r="P354" i="7"/>
  <c r="I354" i="7"/>
  <c r="P353" i="7"/>
  <c r="I353" i="7"/>
  <c r="P352" i="7"/>
  <c r="I352" i="7"/>
  <c r="P351" i="7"/>
  <c r="I351" i="7"/>
  <c r="P350" i="7"/>
  <c r="I350" i="7"/>
  <c r="P349" i="7"/>
  <c r="I349" i="7"/>
  <c r="P348" i="7"/>
  <c r="I348" i="7"/>
  <c r="P347" i="7"/>
  <c r="I347" i="7"/>
  <c r="P346" i="7"/>
  <c r="I346" i="7"/>
  <c r="P345" i="7"/>
  <c r="I345" i="7"/>
  <c r="P344" i="7"/>
  <c r="I344" i="7"/>
  <c r="P343" i="7"/>
  <c r="I343" i="7"/>
  <c r="P342" i="7"/>
  <c r="I342" i="7"/>
  <c r="P341" i="7"/>
  <c r="I341" i="7"/>
  <c r="P340" i="7"/>
  <c r="I340" i="7"/>
  <c r="P339" i="7"/>
  <c r="I339" i="7"/>
  <c r="P338" i="7"/>
  <c r="I338" i="7"/>
  <c r="P337" i="7"/>
  <c r="I337" i="7"/>
  <c r="P336" i="7"/>
  <c r="I336" i="7"/>
  <c r="P335" i="7"/>
  <c r="I335" i="7"/>
  <c r="P334" i="7"/>
  <c r="I334" i="7"/>
  <c r="P333" i="7"/>
  <c r="I333" i="7"/>
  <c r="P332" i="7"/>
  <c r="I332" i="7"/>
  <c r="P331" i="7"/>
  <c r="I331" i="7"/>
  <c r="P330" i="7"/>
  <c r="I330" i="7"/>
  <c r="P329" i="7"/>
  <c r="I329" i="7"/>
  <c r="P328" i="7"/>
  <c r="I328" i="7"/>
  <c r="P327" i="7"/>
  <c r="I327" i="7"/>
  <c r="P326" i="7"/>
  <c r="I326" i="7"/>
  <c r="P325" i="7"/>
  <c r="I325" i="7"/>
  <c r="P324" i="7"/>
  <c r="I324" i="7"/>
  <c r="P323" i="7"/>
  <c r="I323" i="7"/>
  <c r="P322" i="7"/>
  <c r="I322" i="7"/>
  <c r="P321" i="7"/>
  <c r="I321" i="7"/>
  <c r="P320" i="7"/>
  <c r="I320" i="7"/>
  <c r="P319" i="7"/>
  <c r="I319" i="7"/>
  <c r="P318" i="7"/>
  <c r="I318" i="7"/>
  <c r="P317" i="7"/>
  <c r="I317" i="7"/>
  <c r="P316" i="7"/>
  <c r="I316" i="7"/>
  <c r="P315" i="7"/>
  <c r="I315" i="7"/>
  <c r="P314" i="7"/>
  <c r="I314" i="7"/>
  <c r="P313" i="7"/>
  <c r="I313" i="7"/>
  <c r="P312" i="7"/>
  <c r="I312" i="7"/>
  <c r="P311" i="7"/>
  <c r="I311" i="7"/>
  <c r="P310" i="7"/>
  <c r="I310" i="7"/>
  <c r="P309" i="7"/>
  <c r="I309" i="7"/>
  <c r="P308" i="7"/>
  <c r="I308" i="7"/>
  <c r="P307" i="7"/>
  <c r="I307" i="7"/>
  <c r="P306" i="7"/>
  <c r="I306" i="7"/>
  <c r="P305" i="7"/>
  <c r="I305" i="7"/>
  <c r="P304" i="7"/>
  <c r="I304" i="7"/>
  <c r="P303" i="7"/>
  <c r="I303" i="7"/>
  <c r="P302" i="7"/>
  <c r="I302" i="7"/>
  <c r="P301" i="7"/>
  <c r="I301" i="7"/>
  <c r="P300" i="7"/>
  <c r="I300" i="7"/>
  <c r="P299" i="7"/>
  <c r="I299" i="7"/>
  <c r="P298" i="7"/>
  <c r="I298" i="7"/>
  <c r="P297" i="7"/>
  <c r="I297" i="7"/>
  <c r="P296" i="7"/>
  <c r="I296" i="7"/>
  <c r="P295" i="7"/>
  <c r="I295" i="7"/>
  <c r="P294" i="7"/>
  <c r="I294" i="7"/>
  <c r="P293" i="7"/>
  <c r="I293" i="7"/>
  <c r="P292" i="7"/>
  <c r="I292" i="7"/>
  <c r="P291" i="7"/>
  <c r="I291" i="7"/>
  <c r="P290" i="7"/>
  <c r="I290" i="7"/>
  <c r="P289" i="7"/>
  <c r="I289" i="7"/>
  <c r="P288" i="7"/>
  <c r="I288" i="7"/>
  <c r="P287" i="7"/>
  <c r="I287" i="7"/>
  <c r="P286" i="7"/>
  <c r="I286" i="7"/>
  <c r="P285" i="7"/>
  <c r="I285" i="7"/>
  <c r="P284" i="7"/>
  <c r="I284" i="7"/>
  <c r="P283" i="7"/>
  <c r="I283" i="7"/>
  <c r="P282" i="7"/>
  <c r="I282" i="7"/>
  <c r="P281" i="7"/>
  <c r="I281" i="7"/>
  <c r="P280" i="7"/>
  <c r="I280" i="7"/>
  <c r="P279" i="7"/>
  <c r="I279" i="7"/>
  <c r="P278" i="7"/>
  <c r="I278" i="7"/>
  <c r="P277" i="7"/>
  <c r="I277" i="7"/>
  <c r="P276" i="7"/>
  <c r="I276" i="7"/>
  <c r="P275" i="7"/>
  <c r="I275" i="7"/>
  <c r="P274" i="7"/>
  <c r="I274" i="7"/>
  <c r="P273" i="7"/>
  <c r="I273" i="7"/>
  <c r="P272" i="7"/>
  <c r="I272" i="7"/>
  <c r="P271" i="7"/>
  <c r="I271" i="7"/>
  <c r="P270" i="7"/>
  <c r="I270" i="7"/>
  <c r="P269" i="7"/>
  <c r="I269" i="7"/>
  <c r="P268" i="7"/>
  <c r="I268" i="7"/>
  <c r="P267" i="7"/>
  <c r="I267" i="7"/>
  <c r="P266" i="7"/>
  <c r="I266" i="7"/>
  <c r="P265" i="7"/>
  <c r="I265" i="7"/>
  <c r="P264" i="7"/>
  <c r="I264" i="7"/>
  <c r="P263" i="7"/>
  <c r="I263" i="7"/>
  <c r="P262" i="7"/>
  <c r="I262" i="7"/>
  <c r="P261" i="7"/>
  <c r="I261" i="7"/>
  <c r="P260" i="7"/>
  <c r="I260" i="7"/>
  <c r="P259" i="7"/>
  <c r="I259" i="7"/>
  <c r="P258" i="7"/>
  <c r="I258" i="7"/>
  <c r="P257" i="7"/>
  <c r="I257" i="7"/>
  <c r="P256" i="7"/>
  <c r="I256" i="7"/>
  <c r="P255" i="7"/>
  <c r="I255" i="7"/>
  <c r="P254" i="7"/>
  <c r="I254" i="7"/>
  <c r="P253" i="7"/>
  <c r="I253" i="7"/>
  <c r="P252" i="7"/>
  <c r="I252" i="7"/>
  <c r="P251" i="7"/>
  <c r="I251" i="7"/>
  <c r="P250" i="7"/>
  <c r="I250" i="7"/>
  <c r="P249" i="7"/>
  <c r="I249" i="7"/>
  <c r="P248" i="7"/>
  <c r="I248" i="7"/>
  <c r="P247" i="7"/>
  <c r="I247" i="7"/>
  <c r="P246" i="7"/>
  <c r="I246" i="7"/>
  <c r="P245" i="7"/>
  <c r="I245" i="7"/>
  <c r="P244" i="7"/>
  <c r="I244" i="7"/>
  <c r="P243" i="7"/>
  <c r="I243" i="7"/>
  <c r="P242" i="7"/>
  <c r="I242" i="7"/>
  <c r="P241" i="7"/>
  <c r="I241" i="7"/>
  <c r="P240" i="7"/>
  <c r="I240" i="7"/>
  <c r="P239" i="7"/>
  <c r="I239" i="7"/>
  <c r="P238" i="7"/>
  <c r="I238" i="7"/>
  <c r="P237" i="7"/>
  <c r="I237" i="7"/>
  <c r="P236" i="7"/>
  <c r="I236" i="7"/>
  <c r="P235" i="7"/>
  <c r="I235" i="7"/>
  <c r="P234" i="7"/>
  <c r="I234" i="7"/>
  <c r="P233" i="7"/>
  <c r="I233" i="7"/>
  <c r="P232" i="7"/>
  <c r="I232" i="7"/>
  <c r="P231" i="7"/>
  <c r="I231" i="7"/>
  <c r="P230" i="7"/>
  <c r="I230" i="7"/>
  <c r="P229" i="7"/>
  <c r="I229" i="7"/>
  <c r="P228" i="7"/>
  <c r="I228" i="7"/>
  <c r="P227" i="7"/>
  <c r="I227" i="7"/>
  <c r="P226" i="7"/>
  <c r="I226" i="7"/>
  <c r="P225" i="7"/>
  <c r="I225" i="7"/>
  <c r="P224" i="7"/>
  <c r="I224" i="7"/>
  <c r="P223" i="7"/>
  <c r="I223" i="7"/>
  <c r="P222" i="7"/>
  <c r="I222" i="7"/>
  <c r="P221" i="7"/>
  <c r="I221" i="7"/>
  <c r="P220" i="7"/>
  <c r="I220" i="7"/>
  <c r="P219" i="7"/>
  <c r="I219" i="7"/>
  <c r="P218" i="7"/>
  <c r="I218" i="7"/>
  <c r="P217" i="7"/>
  <c r="I217" i="7"/>
  <c r="P216" i="7"/>
  <c r="I216" i="7"/>
  <c r="P215" i="7"/>
  <c r="I215" i="7"/>
  <c r="P214" i="7"/>
  <c r="I214" i="7"/>
  <c r="P213" i="7"/>
  <c r="I213" i="7"/>
  <c r="P212" i="7"/>
  <c r="I212" i="7"/>
  <c r="P211" i="7"/>
  <c r="I211" i="7"/>
  <c r="P210" i="7"/>
  <c r="I210" i="7"/>
  <c r="P209" i="7"/>
  <c r="I209" i="7"/>
  <c r="P208" i="7"/>
  <c r="I208" i="7"/>
  <c r="P207" i="7"/>
  <c r="I207" i="7"/>
  <c r="P206" i="7"/>
  <c r="I206" i="7"/>
  <c r="P205" i="7"/>
  <c r="I205" i="7"/>
  <c r="P204" i="7"/>
  <c r="I204" i="7"/>
  <c r="P203" i="7"/>
  <c r="I203" i="7"/>
  <c r="P202" i="7"/>
  <c r="I202" i="7"/>
  <c r="P201" i="7"/>
  <c r="I201" i="7"/>
  <c r="P200" i="7"/>
  <c r="I200" i="7"/>
  <c r="P199" i="7"/>
  <c r="I199" i="7"/>
  <c r="P198" i="7"/>
  <c r="I198" i="7"/>
  <c r="P197" i="7"/>
  <c r="I197" i="7"/>
  <c r="P196" i="7"/>
  <c r="I196" i="7"/>
  <c r="P195" i="7"/>
  <c r="I195" i="7"/>
  <c r="P194" i="7"/>
  <c r="I194" i="7"/>
  <c r="P193" i="7"/>
  <c r="I193" i="7"/>
  <c r="P192" i="7"/>
  <c r="I192" i="7"/>
  <c r="P191" i="7"/>
  <c r="I191" i="7"/>
  <c r="P190" i="7"/>
  <c r="I190" i="7"/>
  <c r="P189" i="7"/>
  <c r="I189" i="7"/>
  <c r="P188" i="7"/>
  <c r="I188" i="7"/>
  <c r="P187" i="7"/>
  <c r="I187" i="7"/>
  <c r="P186" i="7"/>
  <c r="I186" i="7"/>
  <c r="P185" i="7"/>
  <c r="I185" i="7"/>
  <c r="P184" i="7"/>
  <c r="I184" i="7"/>
  <c r="P183" i="7"/>
  <c r="I183" i="7"/>
  <c r="P182" i="7"/>
  <c r="I182" i="7"/>
  <c r="P181" i="7"/>
  <c r="I181" i="7"/>
  <c r="P180" i="7"/>
  <c r="I180" i="7"/>
  <c r="P179" i="7"/>
  <c r="I179" i="7"/>
  <c r="P178" i="7"/>
  <c r="I178" i="7"/>
  <c r="P177" i="7"/>
  <c r="I177" i="7"/>
  <c r="P176" i="7"/>
  <c r="I176" i="7"/>
  <c r="P175" i="7"/>
  <c r="I175" i="7"/>
  <c r="P174" i="7"/>
  <c r="I174" i="7"/>
  <c r="P173" i="7"/>
  <c r="I173" i="7"/>
  <c r="P172" i="7"/>
  <c r="I172" i="7"/>
  <c r="P171" i="7"/>
  <c r="I171" i="7"/>
  <c r="P170" i="7"/>
  <c r="I170" i="7"/>
  <c r="P169" i="7"/>
  <c r="I169" i="7"/>
  <c r="P168" i="7"/>
  <c r="I168" i="7"/>
  <c r="P167" i="7"/>
  <c r="I167" i="7"/>
  <c r="P166" i="7"/>
  <c r="I166" i="7"/>
  <c r="P165" i="7"/>
  <c r="I165" i="7"/>
  <c r="P164" i="7"/>
  <c r="I164" i="7"/>
  <c r="P163" i="7"/>
  <c r="I163" i="7"/>
  <c r="P162" i="7"/>
  <c r="I162" i="7"/>
  <c r="P161" i="7"/>
  <c r="I161" i="7"/>
  <c r="P160" i="7"/>
  <c r="I160" i="7"/>
  <c r="P159" i="7"/>
  <c r="I159" i="7"/>
  <c r="P158" i="7"/>
  <c r="I158" i="7"/>
  <c r="P157" i="7"/>
  <c r="I157" i="7"/>
  <c r="P156" i="7"/>
  <c r="I156" i="7"/>
  <c r="P155" i="7"/>
  <c r="I155" i="7"/>
  <c r="P154" i="7"/>
  <c r="I154" i="7"/>
  <c r="P153" i="7"/>
  <c r="I153" i="7"/>
  <c r="P152" i="7"/>
  <c r="I152" i="7"/>
  <c r="P151" i="7"/>
  <c r="I151" i="7"/>
  <c r="P150" i="7"/>
  <c r="I150" i="7"/>
  <c r="P149" i="7"/>
  <c r="I149" i="7"/>
  <c r="P148" i="7"/>
  <c r="I148" i="7"/>
  <c r="P147" i="7"/>
  <c r="I147" i="7"/>
  <c r="P146" i="7"/>
  <c r="I146" i="7"/>
  <c r="P145" i="7"/>
  <c r="I145" i="7"/>
  <c r="P144" i="7"/>
  <c r="I144" i="7"/>
  <c r="P143" i="7"/>
  <c r="I143" i="7"/>
  <c r="P142" i="7"/>
  <c r="I142" i="7"/>
  <c r="P141" i="7"/>
  <c r="I141" i="7"/>
  <c r="P140" i="7"/>
  <c r="I140" i="7"/>
  <c r="P139" i="7"/>
  <c r="I139" i="7"/>
  <c r="P138" i="7"/>
  <c r="I138" i="7"/>
  <c r="P137" i="7"/>
  <c r="I137" i="7"/>
  <c r="P136" i="7"/>
  <c r="I136" i="7"/>
  <c r="P135" i="7"/>
  <c r="I135" i="7"/>
  <c r="P134" i="7"/>
  <c r="I134" i="7"/>
  <c r="P133" i="7"/>
  <c r="I133" i="7"/>
  <c r="P132" i="7"/>
  <c r="I132" i="7"/>
  <c r="P131" i="7"/>
  <c r="I131" i="7"/>
  <c r="P130" i="7"/>
  <c r="I130" i="7"/>
  <c r="P129" i="7"/>
  <c r="I129" i="7"/>
  <c r="P128" i="7"/>
  <c r="I128" i="7"/>
  <c r="P127" i="7"/>
  <c r="I127" i="7"/>
  <c r="P126" i="7"/>
  <c r="I126" i="7"/>
  <c r="P125" i="7"/>
  <c r="I125" i="7"/>
  <c r="P124" i="7"/>
  <c r="I124" i="7"/>
  <c r="P123" i="7"/>
  <c r="I123" i="7"/>
  <c r="P122" i="7"/>
  <c r="I122" i="7"/>
  <c r="P121" i="7"/>
  <c r="I121" i="7"/>
  <c r="P120" i="7"/>
  <c r="I120" i="7"/>
  <c r="P119" i="7"/>
  <c r="I119" i="7"/>
  <c r="P118" i="7"/>
  <c r="I118" i="7"/>
  <c r="P117" i="7"/>
  <c r="I117" i="7"/>
  <c r="P116" i="7"/>
  <c r="I116" i="7"/>
  <c r="P115" i="7"/>
  <c r="I115" i="7"/>
  <c r="P114" i="7"/>
  <c r="I114" i="7"/>
  <c r="P113" i="7"/>
  <c r="I113" i="7"/>
  <c r="P112" i="7"/>
  <c r="I112" i="7"/>
  <c r="P111" i="7"/>
  <c r="I111" i="7"/>
  <c r="P110" i="7"/>
  <c r="I110" i="7"/>
  <c r="P109" i="7"/>
  <c r="I109" i="7"/>
  <c r="P108" i="7"/>
  <c r="I108" i="7"/>
  <c r="P107" i="7"/>
  <c r="I107" i="7"/>
  <c r="P106" i="7"/>
  <c r="I106" i="7"/>
  <c r="P105" i="7"/>
  <c r="I105" i="7"/>
  <c r="P104" i="7"/>
  <c r="I104" i="7"/>
  <c r="P103" i="7"/>
  <c r="I103" i="7"/>
  <c r="P102" i="7"/>
  <c r="I102" i="7"/>
  <c r="P101" i="7"/>
  <c r="I101" i="7"/>
  <c r="P100" i="7"/>
  <c r="I100" i="7"/>
  <c r="P99" i="7"/>
  <c r="I99" i="7"/>
  <c r="P98" i="7"/>
  <c r="I98" i="7"/>
  <c r="P97" i="7"/>
  <c r="I97" i="7"/>
  <c r="P96" i="7"/>
  <c r="I96" i="7"/>
  <c r="P95" i="7"/>
  <c r="I95" i="7"/>
  <c r="P94" i="7"/>
  <c r="I94" i="7"/>
  <c r="P93" i="7"/>
  <c r="I93" i="7"/>
  <c r="P92" i="7"/>
  <c r="I92" i="7"/>
  <c r="P91" i="7"/>
  <c r="I91" i="7"/>
  <c r="P90" i="7"/>
  <c r="I90" i="7"/>
  <c r="P89" i="7"/>
  <c r="I89" i="7"/>
  <c r="P88" i="7"/>
  <c r="I88" i="7"/>
  <c r="P87" i="7"/>
  <c r="I87" i="7"/>
  <c r="P86" i="7"/>
  <c r="I86" i="7"/>
  <c r="P85" i="7"/>
  <c r="I85" i="7"/>
  <c r="P84" i="7"/>
  <c r="I84" i="7"/>
  <c r="P83" i="7"/>
  <c r="I83" i="7"/>
  <c r="P82" i="7"/>
  <c r="I82" i="7"/>
  <c r="P81" i="7"/>
  <c r="I81" i="7"/>
  <c r="P80" i="7"/>
  <c r="I80" i="7"/>
  <c r="P79" i="7"/>
  <c r="I79" i="7"/>
  <c r="P78" i="7"/>
  <c r="I78" i="7"/>
  <c r="P77" i="7"/>
  <c r="I77" i="7"/>
  <c r="P76" i="7"/>
  <c r="I76" i="7"/>
  <c r="P75" i="7"/>
  <c r="I75" i="7"/>
  <c r="P74" i="7"/>
  <c r="I74" i="7"/>
  <c r="P73" i="7"/>
  <c r="I73" i="7"/>
  <c r="P72" i="7"/>
  <c r="I72" i="7"/>
  <c r="P71" i="7"/>
  <c r="I71" i="7"/>
  <c r="P70" i="7"/>
  <c r="I70" i="7"/>
  <c r="P69" i="7"/>
  <c r="I69" i="7"/>
  <c r="P68" i="7"/>
  <c r="I68" i="7"/>
  <c r="P67" i="7"/>
  <c r="I67" i="7"/>
  <c r="P66" i="7"/>
  <c r="I66" i="7"/>
  <c r="P65" i="7"/>
  <c r="I65" i="7"/>
  <c r="P64" i="7"/>
  <c r="I64" i="7"/>
  <c r="P63" i="7"/>
  <c r="I63" i="7"/>
  <c r="P62" i="7"/>
  <c r="I62" i="7"/>
  <c r="P61" i="7"/>
  <c r="I61" i="7"/>
  <c r="P60" i="7"/>
  <c r="I60" i="7"/>
  <c r="P59" i="7"/>
  <c r="I59" i="7"/>
  <c r="P58" i="7"/>
  <c r="I58" i="7"/>
  <c r="P57" i="7"/>
  <c r="I57" i="7"/>
  <c r="P56" i="7"/>
  <c r="I56" i="7"/>
  <c r="P55" i="7"/>
  <c r="I55" i="7"/>
  <c r="P54" i="7"/>
  <c r="I54" i="7"/>
  <c r="P53" i="7"/>
  <c r="I53" i="7"/>
  <c r="P52" i="7"/>
  <c r="I52" i="7"/>
  <c r="P51" i="7"/>
  <c r="I51" i="7"/>
  <c r="P50" i="7"/>
  <c r="I50" i="7"/>
  <c r="P49" i="7"/>
  <c r="I49" i="7"/>
  <c r="P48" i="7"/>
  <c r="I48" i="7"/>
  <c r="P47" i="7"/>
  <c r="I47" i="7"/>
  <c r="P46" i="7"/>
  <c r="I46" i="7"/>
  <c r="P45" i="7"/>
  <c r="I45" i="7"/>
  <c r="P44" i="7"/>
  <c r="I44" i="7"/>
  <c r="P43" i="7"/>
  <c r="I43" i="7"/>
  <c r="P42" i="7"/>
  <c r="I42" i="7"/>
  <c r="P41" i="7"/>
  <c r="I41" i="7"/>
  <c r="P40" i="7"/>
  <c r="I40" i="7"/>
  <c r="P39" i="7"/>
  <c r="I39" i="7"/>
  <c r="P38" i="7"/>
  <c r="I38" i="7"/>
  <c r="P37" i="7"/>
  <c r="I37" i="7"/>
  <c r="P36" i="7"/>
  <c r="I36" i="7"/>
  <c r="P35" i="7"/>
  <c r="I35" i="7"/>
  <c r="P34" i="7"/>
  <c r="I34" i="7"/>
  <c r="P33" i="7"/>
  <c r="I33" i="7"/>
  <c r="P32" i="7"/>
  <c r="I32" i="7"/>
  <c r="P31" i="7"/>
  <c r="I31" i="7"/>
  <c r="P30" i="7"/>
  <c r="I30" i="7"/>
  <c r="P29" i="7"/>
  <c r="I29" i="7"/>
  <c r="P28" i="7"/>
  <c r="I28" i="7"/>
  <c r="P27" i="7"/>
  <c r="I27" i="7"/>
  <c r="P26" i="7"/>
  <c r="I26" i="7"/>
  <c r="P25" i="7"/>
  <c r="I25" i="7"/>
  <c r="P24" i="7"/>
  <c r="I24" i="7"/>
  <c r="P23" i="7"/>
  <c r="I23" i="7"/>
  <c r="P22" i="7"/>
  <c r="I22" i="7"/>
  <c r="P21" i="7"/>
  <c r="I21" i="7"/>
  <c r="P20" i="7"/>
  <c r="I20" i="7"/>
  <c r="P19" i="7"/>
  <c r="I19" i="7"/>
  <c r="P18" i="7"/>
  <c r="I18" i="7"/>
  <c r="P17" i="7"/>
  <c r="I17" i="7"/>
  <c r="P16" i="7"/>
  <c r="I16" i="7"/>
  <c r="P15" i="7"/>
  <c r="I15" i="7"/>
  <c r="P14" i="7"/>
  <c r="I14" i="7"/>
  <c r="P13" i="7"/>
  <c r="I13" i="7"/>
  <c r="P12" i="7"/>
  <c r="I12" i="7"/>
  <c r="P11" i="7"/>
  <c r="I11" i="7"/>
  <c r="P10" i="7"/>
  <c r="I10" i="7"/>
  <c r="P9" i="7"/>
  <c r="I9" i="7"/>
  <c r="P8" i="7"/>
  <c r="I8" i="7"/>
  <c r="P7" i="7"/>
  <c r="I7" i="7"/>
  <c r="P6" i="7"/>
  <c r="I6" i="7"/>
  <c r="P5" i="7"/>
  <c r="I5" i="7"/>
  <c r="P4" i="7"/>
  <c r="I4" i="7"/>
  <c r="P3" i="7"/>
  <c r="I3" i="7"/>
  <c r="P2" i="7"/>
  <c r="I2" i="7"/>
  <c r="AF10" i="21"/>
  <c r="AF8" i="21"/>
  <c r="AF7" i="21"/>
  <c r="AF6" i="21"/>
  <c r="K84" i="20"/>
  <c r="K83" i="20"/>
  <c r="K82" i="20"/>
  <c r="K81" i="20"/>
  <c r="H86" i="20"/>
  <c r="H85" i="20"/>
  <c r="H84" i="20"/>
  <c r="H83" i="20"/>
  <c r="H82" i="20"/>
  <c r="H81" i="20"/>
  <c r="B85" i="20"/>
  <c r="AF3" i="21"/>
  <c r="AF2" i="21"/>
  <c r="AF5" i="21"/>
  <c r="U86" i="20"/>
  <c r="U84" i="20"/>
  <c r="U82" i="20"/>
  <c r="E84" i="20"/>
  <c r="B81" i="20"/>
  <c r="S86" i="20"/>
  <c r="S84" i="20"/>
  <c r="S82" i="20"/>
  <c r="E83" i="20"/>
  <c r="B84" i="20"/>
  <c r="U85" i="20"/>
  <c r="U83" i="20"/>
  <c r="U81" i="20"/>
  <c r="E86" i="20"/>
  <c r="E82" i="20"/>
  <c r="B83" i="20"/>
  <c r="S85" i="20"/>
  <c r="S83" i="20"/>
  <c r="S81" i="20"/>
  <c r="E85" i="20"/>
  <c r="E81" i="20"/>
  <c r="B82" i="20"/>
  <c r="AF4" i="21"/>
  <c r="N81" i="20"/>
  <c r="M82" i="20" l="1"/>
  <c r="K9" i="10"/>
  <c r="K11" i="10"/>
  <c r="K13" i="10"/>
  <c r="K15" i="10"/>
  <c r="K17" i="10"/>
  <c r="M25" i="10"/>
  <c r="M27" i="10"/>
  <c r="M29" i="10"/>
  <c r="K8" i="10"/>
  <c r="K10" i="10"/>
  <c r="K12" i="10"/>
  <c r="AF9" i="21"/>
  <c r="P81" i="20"/>
  <c r="K14" i="10"/>
  <c r="K16" i="10"/>
  <c r="K18" i="10"/>
  <c r="M26" i="10"/>
  <c r="Z81" i="20"/>
  <c r="Y84" i="20"/>
  <c r="Z85" i="20"/>
  <c r="Y83" i="20"/>
  <c r="Z84" i="20"/>
  <c r="AA84" i="20" s="1"/>
  <c r="E49" i="10"/>
  <c r="Y82" i="20"/>
  <c r="Z83" i="20"/>
  <c r="AA83" i="20" s="1"/>
  <c r="G57" i="10"/>
  <c r="Y81" i="20"/>
  <c r="Z82" i="20"/>
  <c r="AA82" i="20" s="1"/>
  <c r="Y85" i="20"/>
  <c r="T81" i="20"/>
  <c r="T82" i="20"/>
  <c r="T83" i="20"/>
  <c r="T84" i="20"/>
  <c r="T85" i="20"/>
  <c r="T86" i="20"/>
  <c r="G37" i="10"/>
  <c r="G40" i="10"/>
  <c r="G69" i="10"/>
  <c r="G76" i="10"/>
  <c r="G79" i="10"/>
  <c r="B19" i="10"/>
  <c r="F13" i="10"/>
  <c r="G14" i="10"/>
  <c r="F15" i="10"/>
  <c r="G16" i="10"/>
  <c r="F17" i="10"/>
  <c r="G18" i="10"/>
  <c r="F28" i="10"/>
  <c r="D37" i="10"/>
  <c r="D39" i="10"/>
  <c r="D48" i="10"/>
  <c r="G64" i="10"/>
  <c r="G66" i="10"/>
  <c r="G73" i="10"/>
  <c r="H15" i="10"/>
  <c r="G35" i="10"/>
  <c r="G39" i="10"/>
  <c r="C19" i="10"/>
  <c r="G19" i="10" s="1"/>
  <c r="F25" i="10"/>
  <c r="G65" i="10"/>
  <c r="G70" i="10"/>
  <c r="F19" i="10"/>
  <c r="K19" i="10"/>
  <c r="H19" i="10"/>
  <c r="F7" i="10"/>
  <c r="H14" i="10"/>
  <c r="H16" i="10"/>
  <c r="H18" i="10"/>
  <c r="H25" i="10"/>
  <c r="I25" i="10" s="1"/>
  <c r="J26" i="10"/>
  <c r="N26" i="10"/>
  <c r="H27" i="10"/>
  <c r="I27" i="10" s="1"/>
  <c r="J28" i="10"/>
  <c r="N28" i="10"/>
  <c r="H29" i="10"/>
  <c r="I29" i="10" s="1"/>
  <c r="H37" i="10"/>
  <c r="H64" i="10"/>
  <c r="J64" i="10" s="1"/>
  <c r="H68" i="10"/>
  <c r="J68" i="10" s="1"/>
  <c r="H72" i="10"/>
  <c r="J72" i="10" s="1"/>
  <c r="H76" i="10"/>
  <c r="J76" i="10" s="1"/>
  <c r="G7" i="10"/>
  <c r="K7" i="10"/>
  <c r="G9" i="10"/>
  <c r="G11" i="10"/>
  <c r="G13" i="10"/>
  <c r="G17" i="10"/>
  <c r="H36" i="10"/>
  <c r="H40" i="10"/>
  <c r="E46" i="10"/>
  <c r="E47" i="10"/>
  <c r="E48" i="10"/>
  <c r="E55" i="10"/>
  <c r="F55" i="10" s="1"/>
  <c r="C56" i="10"/>
  <c r="D56" i="10" s="1"/>
  <c r="G56" i="10"/>
  <c r="E57" i="10"/>
  <c r="F57" i="10" s="1"/>
  <c r="C58" i="10"/>
  <c r="D58" i="10" s="1"/>
  <c r="G58" i="10"/>
  <c r="H65" i="10"/>
  <c r="J65" i="10" s="1"/>
  <c r="H69" i="10"/>
  <c r="J69" i="10" s="1"/>
  <c r="H73" i="10"/>
  <c r="J73" i="10" s="1"/>
  <c r="H77" i="10"/>
  <c r="J77" i="10" s="1"/>
  <c r="H7" i="10"/>
  <c r="J25" i="10"/>
  <c r="H26" i="10"/>
  <c r="I26" i="10" s="1"/>
  <c r="J27" i="10"/>
  <c r="H28" i="10"/>
  <c r="I28" i="10" s="1"/>
  <c r="J29" i="10"/>
  <c r="N29" i="10"/>
  <c r="O29" i="10" s="1"/>
  <c r="H35" i="10"/>
  <c r="H39" i="10"/>
  <c r="H66" i="10"/>
  <c r="J66" i="10" s="1"/>
  <c r="H70" i="10"/>
  <c r="J70" i="10" s="1"/>
  <c r="H74" i="10"/>
  <c r="J74" i="10" s="1"/>
  <c r="H78" i="10"/>
  <c r="J78" i="10" s="1"/>
  <c r="G55" i="10"/>
  <c r="H67" i="10"/>
  <c r="J67" i="10" s="1"/>
  <c r="H71" i="10"/>
  <c r="J71" i="10" s="1"/>
  <c r="M83" i="20" l="1"/>
  <c r="O82" i="20"/>
  <c r="AA85" i="20"/>
  <c r="AA81" i="20"/>
  <c r="F58" i="10"/>
  <c r="O26" i="10"/>
  <c r="O27" i="10"/>
  <c r="O28" i="10"/>
  <c r="F56" i="10"/>
  <c r="O25" i="10"/>
  <c r="N82" i="20"/>
  <c r="P82" i="20" l="1"/>
  <c r="M84" i="20"/>
  <c r="O83" i="20"/>
  <c r="N83" i="20"/>
  <c r="P83" i="20" l="1"/>
  <c r="M85" i="20"/>
  <c r="O84" i="20"/>
  <c r="N84" i="20"/>
  <c r="P84" i="20" l="1"/>
  <c r="O85" i="20"/>
  <c r="M86" i="20"/>
  <c r="N85" i="20"/>
  <c r="P85" i="20" l="1"/>
  <c r="M87" i="20"/>
  <c r="O86" i="20"/>
  <c r="N86" i="20"/>
  <c r="P86" i="20" l="1"/>
  <c r="M88" i="20"/>
  <c r="O87" i="20"/>
  <c r="N87" i="20"/>
  <c r="P87" i="20" l="1"/>
  <c r="M89" i="20"/>
  <c r="O88" i="20"/>
  <c r="N88" i="20"/>
  <c r="P88" i="20" l="1"/>
  <c r="O89" i="20"/>
  <c r="M90" i="20"/>
  <c r="N89" i="20"/>
  <c r="P89" i="20" l="1"/>
  <c r="M91" i="20"/>
  <c r="O90" i="20"/>
  <c r="N90" i="20"/>
  <c r="P90" i="20" l="1"/>
  <c r="M92" i="20"/>
  <c r="O91" i="20"/>
  <c r="N91" i="20"/>
  <c r="P91" i="20" l="1"/>
  <c r="O92" i="20"/>
  <c r="N92" i="20"/>
  <c r="P92" i="20" l="1"/>
</calcChain>
</file>

<file path=xl/sharedStrings.xml><?xml version="1.0" encoding="utf-8"?>
<sst xmlns="http://schemas.openxmlformats.org/spreadsheetml/2006/main" count="36477" uniqueCount="3020">
  <si>
    <t>Total Leads</t>
  </si>
  <si>
    <t>Opportunities</t>
  </si>
  <si>
    <t>Won</t>
  </si>
  <si>
    <t>Qualification Rate</t>
  </si>
  <si>
    <t>Opportunity Rate</t>
  </si>
  <si>
    <t>Win Rate</t>
  </si>
  <si>
    <t>Won Customers</t>
  </si>
  <si>
    <t>Activated</t>
  </si>
  <si>
    <t>Activation Rate</t>
  </si>
  <si>
    <t>Avg Days to Activation</t>
  </si>
  <si>
    <t>Completed Revenue</t>
  </si>
  <si>
    <t>Revenue Target</t>
  </si>
  <si>
    <t>Revenue Attainment</t>
  </si>
  <si>
    <t>Churn Rate</t>
  </si>
  <si>
    <t>Leads</t>
  </si>
  <si>
    <t>Qualified</t>
  </si>
  <si>
    <t>Month</t>
  </si>
  <si>
    <t>Market</t>
  </si>
  <si>
    <t>Czech Republic</t>
  </si>
  <si>
    <t>France</t>
  </si>
  <si>
    <t>Germany</t>
  </si>
  <si>
    <t>Netherlands</t>
  </si>
  <si>
    <t>United Kingdom</t>
  </si>
  <si>
    <t>Channel</t>
  </si>
  <si>
    <t>Digital</t>
  </si>
  <si>
    <t>Direct Sales</t>
  </si>
  <si>
    <t>Partner</t>
  </si>
  <si>
    <t>Referral</t>
  </si>
  <si>
    <t>Telesales</t>
  </si>
  <si>
    <t>Lead_ID</t>
  </si>
  <si>
    <t>Created_Date</t>
  </si>
  <si>
    <t>Lead_Status</t>
  </si>
  <si>
    <t>Expected_Monthly_Revenue_EUR</t>
  </si>
  <si>
    <t>Activation_Date</t>
  </si>
  <si>
    <t>Customer_Status</t>
  </si>
  <si>
    <t>Revenue_EUR</t>
  </si>
  <si>
    <t>Targets</t>
  </si>
  <si>
    <t>Revenue_Target_EUR</t>
  </si>
  <si>
    <t>Target Attainment</t>
  </si>
  <si>
    <t>Sales_Rep_ID</t>
  </si>
  <si>
    <t>Won_Date</t>
  </si>
  <si>
    <t>Customer_ID</t>
  </si>
  <si>
    <t>Customer_Segment</t>
  </si>
  <si>
    <t>Transaction_ID</t>
  </si>
  <si>
    <t>LEAD00191</t>
  </si>
  <si>
    <t>LEAD00312</t>
  </si>
  <si>
    <t>LEAD00056</t>
  </si>
  <si>
    <t>LEAD00373</t>
  </si>
  <si>
    <t>LEAD00269</t>
  </si>
  <si>
    <t>LEAD00049</t>
  </si>
  <si>
    <t>LEAD00933</t>
  </si>
  <si>
    <t>LEAD00271</t>
  </si>
  <si>
    <t>LEAD00205</t>
  </si>
  <si>
    <t>LEAD00257</t>
  </si>
  <si>
    <t>LEAD00286</t>
  </si>
  <si>
    <t>LEAD00467</t>
  </si>
  <si>
    <t>LEAD00494</t>
  </si>
  <si>
    <t>LEAD00582</t>
  </si>
  <si>
    <t>LEAD00759</t>
  </si>
  <si>
    <t>LEAD00832</t>
  </si>
  <si>
    <t>LEAD00872</t>
  </si>
  <si>
    <t>LEAD00973</t>
  </si>
  <si>
    <t>LEAD00093</t>
  </si>
  <si>
    <t>LEAD00258</t>
  </si>
  <si>
    <t>LEAD00745</t>
  </si>
  <si>
    <t>LEAD00821</t>
  </si>
  <si>
    <t>LEAD00830</t>
  </si>
  <si>
    <t>LEAD00945</t>
  </si>
  <si>
    <t>LEAD00129</t>
  </si>
  <si>
    <t>LEAD00497</t>
  </si>
  <si>
    <t>LEAD00761</t>
  </si>
  <si>
    <t>LEAD00705</t>
  </si>
  <si>
    <t>LEAD00720</t>
  </si>
  <si>
    <t>LEAD00728</t>
  </si>
  <si>
    <t>LEAD00888</t>
  </si>
  <si>
    <t>LEAD00959</t>
  </si>
  <si>
    <t>CUST00020</t>
  </si>
  <si>
    <t>CUST00197</t>
  </si>
  <si>
    <t>CUST00166</t>
  </si>
  <si>
    <t>CUST00086</t>
  </si>
  <si>
    <t>CUST00215</t>
  </si>
  <si>
    <t>CUST00006</t>
  </si>
  <si>
    <t>CUST00021</t>
  </si>
  <si>
    <t>CUST00102</t>
  </si>
  <si>
    <t>CUST00128</t>
  </si>
  <si>
    <t>CUST00024</t>
  </si>
  <si>
    <t>CUST00030</t>
  </si>
  <si>
    <t>CUST00052</t>
  </si>
  <si>
    <t>CUST00067</t>
  </si>
  <si>
    <t>CUST00126</t>
  </si>
  <si>
    <t>CUST00148</t>
  </si>
  <si>
    <t>CUST00180</t>
  </si>
  <si>
    <t>CUST00202</t>
  </si>
  <si>
    <t>CUST00013</t>
  </si>
  <si>
    <t>CUST00061</t>
  </si>
  <si>
    <t>CUST00190</t>
  </si>
  <si>
    <t>CUST00041</t>
  </si>
  <si>
    <t>CUST00050</t>
  </si>
  <si>
    <t>CUST00053</t>
  </si>
  <si>
    <t>CUST00135</t>
  </si>
  <si>
    <t>CUST00174</t>
  </si>
  <si>
    <t>CUST00044</t>
  </si>
  <si>
    <t>Churn_Date</t>
  </si>
  <si>
    <t>CUST00105</t>
  </si>
  <si>
    <t>CUST00186</t>
  </si>
  <si>
    <t>TXN0000268</t>
  </si>
  <si>
    <t>TXN0000464</t>
  </si>
  <si>
    <t>TXN0000526</t>
  </si>
  <si>
    <t>TXN0000606</t>
  </si>
  <si>
    <t>TXN0000676</t>
  </si>
  <si>
    <t>TXN0000788</t>
  </si>
  <si>
    <t>TXN0001021</t>
  </si>
  <si>
    <t>TXN0001168</t>
  </si>
  <si>
    <t>TXN0001331</t>
  </si>
  <si>
    <t>TXN0001399</t>
  </si>
  <si>
    <t>TXN0000074</t>
  </si>
  <si>
    <t>TXN0000322</t>
  </si>
  <si>
    <t>TXN0000478</t>
  </si>
  <si>
    <t>TXN0000648</t>
  </si>
  <si>
    <t>TXN0000799</t>
  </si>
  <si>
    <t>TXN0000964</t>
  </si>
  <si>
    <t>TXN0001277</t>
  </si>
  <si>
    <t>TXN0001417</t>
  </si>
  <si>
    <t>TXN0000113</t>
  </si>
  <si>
    <t>TXN0000311</t>
  </si>
  <si>
    <t>TXN0000580</t>
  </si>
  <si>
    <t>TXN0001057</t>
  </si>
  <si>
    <t>TXN0001520</t>
  </si>
  <si>
    <t>TXN0001608</t>
  </si>
  <si>
    <t>TXN0000226</t>
  </si>
  <si>
    <t>TXN0000341</t>
  </si>
  <si>
    <t>TXN0000748</t>
  </si>
  <si>
    <t>TXN0000929</t>
  </si>
  <si>
    <t>TXN0001163</t>
  </si>
  <si>
    <t>TXN0000212</t>
  </si>
  <si>
    <t>Gross_Value_EUR</t>
  </si>
  <si>
    <t>TXN0000637</t>
  </si>
  <si>
    <t>TXN0000925</t>
  </si>
  <si>
    <t>TXN0001598</t>
  </si>
  <si>
    <t>Created_Month</t>
  </si>
  <si>
    <t>Product</t>
  </si>
  <si>
    <t>Company_Size</t>
  </si>
  <si>
    <t>Rep_Valid</t>
  </si>
  <si>
    <t>Qualified_Flag</t>
  </si>
  <si>
    <t>Qualified_Date</t>
  </si>
  <si>
    <t>Opportunity_Date</t>
  </si>
  <si>
    <t>Lost_Date</t>
  </si>
  <si>
    <t>Won_Duration_Valid</t>
  </si>
  <si>
    <t>LEAD00001</t>
  </si>
  <si>
    <t>Fuel Card</t>
  </si>
  <si>
    <t>Enterprise</t>
  </si>
  <si>
    <t>REP004</t>
  </si>
  <si>
    <t>Lost</t>
  </si>
  <si>
    <t>Yes</t>
  </si>
  <si>
    <t>LEAD00002</t>
  </si>
  <si>
    <t>Toll Solution</t>
  </si>
  <si>
    <t>SME</t>
  </si>
  <si>
    <t>REP012</t>
  </si>
  <si>
    <t>Opportunity</t>
  </si>
  <si>
    <t>LEAD00003</t>
  </si>
  <si>
    <t>Fleet Expense Card</t>
  </si>
  <si>
    <t>Mid-Market</t>
  </si>
  <si>
    <t>REP008</t>
  </si>
  <si>
    <t>No</t>
  </si>
  <si>
    <t>LEAD00004</t>
  </si>
  <si>
    <t>REP006</t>
  </si>
  <si>
    <t>LEAD00005</t>
  </si>
  <si>
    <t>REP001</t>
  </si>
  <si>
    <t>LEAD00006</t>
  </si>
  <si>
    <t>LEAD00007</t>
  </si>
  <si>
    <t>REP005</t>
  </si>
  <si>
    <t>LEAD00008</t>
  </si>
  <si>
    <t>LEAD00009</t>
  </si>
  <si>
    <t>LEAD00010</t>
  </si>
  <si>
    <t>LEAD00011</t>
  </si>
  <si>
    <t>LEAD00012</t>
  </si>
  <si>
    <t>REP009</t>
  </si>
  <si>
    <t>LEAD00013</t>
  </si>
  <si>
    <t>LEAD00014</t>
  </si>
  <si>
    <t>REP015</t>
  </si>
  <si>
    <t>LEAD00015</t>
  </si>
  <si>
    <t>LEAD00016</t>
  </si>
  <si>
    <t>LEAD00017</t>
  </si>
  <si>
    <t>REP007</t>
  </si>
  <si>
    <t>LEAD00018</t>
  </si>
  <si>
    <t>LEAD00019</t>
  </si>
  <si>
    <t>EV Charge Card</t>
  </si>
  <si>
    <t>LEAD00020</t>
  </si>
  <si>
    <t>LEAD00021</t>
  </si>
  <si>
    <t>REP002</t>
  </si>
  <si>
    <t>New</t>
  </si>
  <si>
    <t>LEAD00022</t>
  </si>
  <si>
    <t>REP003</t>
  </si>
  <si>
    <t>LEAD00023</t>
  </si>
  <si>
    <t>LEAD00024</t>
  </si>
  <si>
    <t>LEAD00025</t>
  </si>
  <si>
    <t>LEAD00026</t>
  </si>
  <si>
    <t>LEAD00027</t>
  </si>
  <si>
    <t>LEAD00028</t>
  </si>
  <si>
    <t>LEAD00029</t>
  </si>
  <si>
    <t>LEAD00030</t>
  </si>
  <si>
    <t>REP011</t>
  </si>
  <si>
    <t>LEAD00031</t>
  </si>
  <si>
    <t>LEAD00032</t>
  </si>
  <si>
    <t>LEAD00033</t>
  </si>
  <si>
    <t>LEAD00034</t>
  </si>
  <si>
    <t>LEAD00035</t>
  </si>
  <si>
    <t>REP013</t>
  </si>
  <si>
    <t>LEAD00036</t>
  </si>
  <si>
    <t>LEAD00037</t>
  </si>
  <si>
    <t>REP014</t>
  </si>
  <si>
    <t>LEAD00038</t>
  </si>
  <si>
    <t>LEAD00039</t>
  </si>
  <si>
    <t>LEAD00040</t>
  </si>
  <si>
    <t>LEAD00041</t>
  </si>
  <si>
    <t>LEAD00042</t>
  </si>
  <si>
    <t>LEAD00043</t>
  </si>
  <si>
    <t>LEAD00044</t>
  </si>
  <si>
    <t>LEAD00045</t>
  </si>
  <si>
    <t>LEAD00046</t>
  </si>
  <si>
    <t>LEAD00047</t>
  </si>
  <si>
    <t>LEAD00048</t>
  </si>
  <si>
    <t>LEAD00050</t>
  </si>
  <si>
    <t>LEAD00051</t>
  </si>
  <si>
    <t>LEAD00052</t>
  </si>
  <si>
    <t>LEAD00053</t>
  </si>
  <si>
    <t>LEAD00054</t>
  </si>
  <si>
    <t>LEAD00055</t>
  </si>
  <si>
    <t>LEAD00057</t>
  </si>
  <si>
    <t>LEAD00058</t>
  </si>
  <si>
    <t>LEAD00059</t>
  </si>
  <si>
    <t>LEAD00060</t>
  </si>
  <si>
    <t>LEAD00061</t>
  </si>
  <si>
    <t>LEAD00062</t>
  </si>
  <si>
    <t>LEAD00063</t>
  </si>
  <si>
    <t>LEAD00064</t>
  </si>
  <si>
    <t>LEAD00065</t>
  </si>
  <si>
    <t>LEAD00066</t>
  </si>
  <si>
    <t>LEAD00067</t>
  </si>
  <si>
    <t>LEAD00068</t>
  </si>
  <si>
    <t>LEAD00069</t>
  </si>
  <si>
    <t>LEAD00070</t>
  </si>
  <si>
    <t>LEAD00071</t>
  </si>
  <si>
    <t>LEAD00072</t>
  </si>
  <si>
    <t>LEAD00073</t>
  </si>
  <si>
    <t>LEAD00074</t>
  </si>
  <si>
    <t>LEAD00075</t>
  </si>
  <si>
    <t>LEAD00076</t>
  </si>
  <si>
    <t>LEAD00077</t>
  </si>
  <si>
    <t>LEAD00078</t>
  </si>
  <si>
    <t>LEAD00079</t>
  </si>
  <si>
    <t>REP010</t>
  </si>
  <si>
    <t>LEAD00080</t>
  </si>
  <si>
    <t>LEAD00081</t>
  </si>
  <si>
    <t>LEAD00082</t>
  </si>
  <si>
    <t>LEAD00083</t>
  </si>
  <si>
    <t>LEAD00084</t>
  </si>
  <si>
    <t>LEAD00085</t>
  </si>
  <si>
    <t>LEAD00086</t>
  </si>
  <si>
    <t>LEAD00087</t>
  </si>
  <si>
    <t>LEAD00088</t>
  </si>
  <si>
    <t>LEAD00089</t>
  </si>
  <si>
    <t>LEAD00090</t>
  </si>
  <si>
    <t>LEAD00091</t>
  </si>
  <si>
    <t>LEAD00092</t>
  </si>
  <si>
    <t>REP999</t>
  </si>
  <si>
    <t>LEAD00094</t>
  </si>
  <si>
    <t>LEAD00095</t>
  </si>
  <si>
    <t>LEAD00096</t>
  </si>
  <si>
    <t>LEAD00097</t>
  </si>
  <si>
    <t>LEAD00098</t>
  </si>
  <si>
    <t>LEAD00099</t>
  </si>
  <si>
    <t>LEAD00100</t>
  </si>
  <si>
    <t>LEAD00101</t>
  </si>
  <si>
    <t>LEAD00102</t>
  </si>
  <si>
    <t>LEAD00103</t>
  </si>
  <si>
    <t>LEAD00104</t>
  </si>
  <si>
    <t>LEAD00105</t>
  </si>
  <si>
    <t>LEAD00106</t>
  </si>
  <si>
    <t>LEAD00107</t>
  </si>
  <si>
    <t>LEAD00108</t>
  </si>
  <si>
    <t>LEAD00109</t>
  </si>
  <si>
    <t>LEAD00110</t>
  </si>
  <si>
    <t>LEAD00111</t>
  </si>
  <si>
    <t>LEAD00112</t>
  </si>
  <si>
    <t>LEAD00113</t>
  </si>
  <si>
    <t>LEAD00114</t>
  </si>
  <si>
    <t>LEAD00115</t>
  </si>
  <si>
    <t>LEAD00116</t>
  </si>
  <si>
    <t>LEAD00117</t>
  </si>
  <si>
    <t>LEAD00118</t>
  </si>
  <si>
    <t>LEAD00119</t>
  </si>
  <si>
    <t>LEAD00120</t>
  </si>
  <si>
    <t>LEAD00121</t>
  </si>
  <si>
    <t>LEAD00122</t>
  </si>
  <si>
    <t>LEAD00123</t>
  </si>
  <si>
    <t>LEAD00124</t>
  </si>
  <si>
    <t>LEAD00125</t>
  </si>
  <si>
    <t>LEAD00126</t>
  </si>
  <si>
    <t>LEAD00127</t>
  </si>
  <si>
    <t>LEAD00128</t>
  </si>
  <si>
    <t>LEAD00130</t>
  </si>
  <si>
    <t>LEAD00131</t>
  </si>
  <si>
    <t>LEAD00132</t>
  </si>
  <si>
    <t>LEAD00133</t>
  </si>
  <si>
    <t>LEAD00134</t>
  </si>
  <si>
    <t>LEAD00135</t>
  </si>
  <si>
    <t>LEAD00136</t>
  </si>
  <si>
    <t>LEAD00137</t>
  </si>
  <si>
    <t>LEAD00138</t>
  </si>
  <si>
    <t>LEAD00139</t>
  </si>
  <si>
    <t>LEAD00140</t>
  </si>
  <si>
    <t>LEAD00141</t>
  </si>
  <si>
    <t>LEAD00142</t>
  </si>
  <si>
    <t>LEAD00143</t>
  </si>
  <si>
    <t>LEAD00144</t>
  </si>
  <si>
    <t>LEAD00145</t>
  </si>
  <si>
    <t>LEAD00146</t>
  </si>
  <si>
    <t>LEAD00147</t>
  </si>
  <si>
    <t>LEAD00148</t>
  </si>
  <si>
    <t>LEAD00149</t>
  </si>
  <si>
    <t>LEAD00150</t>
  </si>
  <si>
    <t>LEAD00151</t>
  </si>
  <si>
    <t>LEAD00152</t>
  </si>
  <si>
    <t>LEAD00153</t>
  </si>
  <si>
    <t>LEAD00154</t>
  </si>
  <si>
    <t>LEAD00155</t>
  </si>
  <si>
    <t>LEAD00156</t>
  </si>
  <si>
    <t>LEAD00157</t>
  </si>
  <si>
    <t>LEAD00158</t>
  </si>
  <si>
    <t>LEAD00159</t>
  </si>
  <si>
    <t>LEAD00160</t>
  </si>
  <si>
    <t>LEAD00161</t>
  </si>
  <si>
    <t>LEAD00162</t>
  </si>
  <si>
    <t>LEAD00163</t>
  </si>
  <si>
    <t>LEAD00164</t>
  </si>
  <si>
    <t>LEAD00165</t>
  </si>
  <si>
    <t>LEAD00166</t>
  </si>
  <si>
    <t>LEAD00167</t>
  </si>
  <si>
    <t>LEAD00168</t>
  </si>
  <si>
    <t>LEAD00169</t>
  </si>
  <si>
    <t>LEAD00170</t>
  </si>
  <si>
    <t>LEAD00171</t>
  </si>
  <si>
    <t>LEAD00172</t>
  </si>
  <si>
    <t>LEAD00173</t>
  </si>
  <si>
    <t>LEAD00174</t>
  </si>
  <si>
    <t>LEAD00175</t>
  </si>
  <si>
    <t>LEAD00176</t>
  </si>
  <si>
    <t>LEAD00177</t>
  </si>
  <si>
    <t>LEAD00178</t>
  </si>
  <si>
    <t>LEAD00179</t>
  </si>
  <si>
    <t>LEAD00180</t>
  </si>
  <si>
    <t>LEAD00181</t>
  </si>
  <si>
    <t>LEAD00182</t>
  </si>
  <si>
    <t>LEAD00183</t>
  </si>
  <si>
    <t>LEAD00184</t>
  </si>
  <si>
    <t>LEAD00185</t>
  </si>
  <si>
    <t>LEAD00186</t>
  </si>
  <si>
    <t>LEAD00187</t>
  </si>
  <si>
    <t>LEAD00188</t>
  </si>
  <si>
    <t>LEAD00189</t>
  </si>
  <si>
    <t>LEAD00190</t>
  </si>
  <si>
    <t>LEAD00192</t>
  </si>
  <si>
    <t>LEAD00193</t>
  </si>
  <si>
    <t>LEAD00194</t>
  </si>
  <si>
    <t>LEAD00195</t>
  </si>
  <si>
    <t>LEAD00196</t>
  </si>
  <si>
    <t>LEAD00197</t>
  </si>
  <si>
    <t>LEAD00198</t>
  </si>
  <si>
    <t>LEAD00199</t>
  </si>
  <si>
    <t>LEAD00200</t>
  </si>
  <si>
    <t>LEAD00201</t>
  </si>
  <si>
    <t>LEAD00202</t>
  </si>
  <si>
    <t>LEAD00203</t>
  </si>
  <si>
    <t>LEAD00204</t>
  </si>
  <si>
    <t>Unknown</t>
  </si>
  <si>
    <t>LEAD00206</t>
  </si>
  <si>
    <t>LEAD00207</t>
  </si>
  <si>
    <t>LEAD00208</t>
  </si>
  <si>
    <t>LEAD00209</t>
  </si>
  <si>
    <t>LEAD00210</t>
  </si>
  <si>
    <t>LEAD00211</t>
  </si>
  <si>
    <t>LEAD00212</t>
  </si>
  <si>
    <t>LEAD00213</t>
  </si>
  <si>
    <t>LEAD00214</t>
  </si>
  <si>
    <t>LEAD00215</t>
  </si>
  <si>
    <t>LEAD00216</t>
  </si>
  <si>
    <t>LEAD00217</t>
  </si>
  <si>
    <t>LEAD00218</t>
  </si>
  <si>
    <t>LEAD00219</t>
  </si>
  <si>
    <t>LEAD00220</t>
  </si>
  <si>
    <t>LEAD00221</t>
  </si>
  <si>
    <t>LEAD00222</t>
  </si>
  <si>
    <t>LEAD00223</t>
  </si>
  <si>
    <t>LEAD00224</t>
  </si>
  <si>
    <t>LEAD00225</t>
  </si>
  <si>
    <t>LEAD00226</t>
  </si>
  <si>
    <t>LEAD00227</t>
  </si>
  <si>
    <t>LEAD00228</t>
  </si>
  <si>
    <t>LEAD00229</t>
  </si>
  <si>
    <t>LEAD00230</t>
  </si>
  <si>
    <t>LEAD00231</t>
  </si>
  <si>
    <t>LEAD00232</t>
  </si>
  <si>
    <t>LEAD00233</t>
  </si>
  <si>
    <t>LEAD00234</t>
  </si>
  <si>
    <t>LEAD00235</t>
  </si>
  <si>
    <t>LEAD00236</t>
  </si>
  <si>
    <t>LEAD00237</t>
  </si>
  <si>
    <t>LEAD00238</t>
  </si>
  <si>
    <t>LEAD00239</t>
  </si>
  <si>
    <t>LEAD00240</t>
  </si>
  <si>
    <t>LEAD00241</t>
  </si>
  <si>
    <t>LEAD00242</t>
  </si>
  <si>
    <t>LEAD00243</t>
  </si>
  <si>
    <t>LEAD00244</t>
  </si>
  <si>
    <t>LEAD00245</t>
  </si>
  <si>
    <t>LEAD00246</t>
  </si>
  <si>
    <t>LEAD00247</t>
  </si>
  <si>
    <t>LEAD00248</t>
  </si>
  <si>
    <t>LEAD00249</t>
  </si>
  <si>
    <t>LEAD00250</t>
  </si>
  <si>
    <t>LEAD00251</t>
  </si>
  <si>
    <t>LEAD00252</t>
  </si>
  <si>
    <t>LEAD00253</t>
  </si>
  <si>
    <t>LEAD00254</t>
  </si>
  <si>
    <t>LEAD00255</t>
  </si>
  <si>
    <t>LEAD00256</t>
  </si>
  <si>
    <t>LEAD00259</t>
  </si>
  <si>
    <t>LEAD00260</t>
  </si>
  <si>
    <t>LEAD00261</t>
  </si>
  <si>
    <t>LEAD00262</t>
  </si>
  <si>
    <t>LEAD00263</t>
  </si>
  <si>
    <t>LEAD00264</t>
  </si>
  <si>
    <t>LEAD00265</t>
  </si>
  <si>
    <t>LEAD00266</t>
  </si>
  <si>
    <t>LEAD00267</t>
  </si>
  <si>
    <t>LEAD00268</t>
  </si>
  <si>
    <t>LEAD00270</t>
  </si>
  <si>
    <t>LEAD00272</t>
  </si>
  <si>
    <t>LEAD00273</t>
  </si>
  <si>
    <t>LEAD00274</t>
  </si>
  <si>
    <t>LEAD00275</t>
  </si>
  <si>
    <t>LEAD00276</t>
  </si>
  <si>
    <t>LEAD00277</t>
  </si>
  <si>
    <t>LEAD00278</t>
  </si>
  <si>
    <t>LEAD00279</t>
  </si>
  <si>
    <t>LEAD00280</t>
  </si>
  <si>
    <t>LEAD00281</t>
  </si>
  <si>
    <t>LEAD00282</t>
  </si>
  <si>
    <t>LEAD00283</t>
  </si>
  <si>
    <t>LEAD00284</t>
  </si>
  <si>
    <t>LEAD00285</t>
  </si>
  <si>
    <t>LEAD00287</t>
  </si>
  <si>
    <t>LEAD00288</t>
  </si>
  <si>
    <t>LEAD00289</t>
  </si>
  <si>
    <t>LEAD00290</t>
  </si>
  <si>
    <t>LEAD00291</t>
  </si>
  <si>
    <t>LEAD00292</t>
  </si>
  <si>
    <t>LEAD00293</t>
  </si>
  <si>
    <t>LEAD00294</t>
  </si>
  <si>
    <t>LEAD00295</t>
  </si>
  <si>
    <t>LEAD00296</t>
  </si>
  <si>
    <t>LEAD00297</t>
  </si>
  <si>
    <t>LEAD00298</t>
  </si>
  <si>
    <t>LEAD00299</t>
  </si>
  <si>
    <t>LEAD00300</t>
  </si>
  <si>
    <t>LEAD00301</t>
  </si>
  <si>
    <t>LEAD00302</t>
  </si>
  <si>
    <t>LEAD00303</t>
  </si>
  <si>
    <t>LEAD00304</t>
  </si>
  <si>
    <t>LEAD00305</t>
  </si>
  <si>
    <t>LEAD00306</t>
  </si>
  <si>
    <t>LEAD00307</t>
  </si>
  <si>
    <t>LEAD00308</t>
  </si>
  <si>
    <t>LEAD00309</t>
  </si>
  <si>
    <t>LEAD00310</t>
  </si>
  <si>
    <t>LEAD00311</t>
  </si>
  <si>
    <t>LEAD00313</t>
  </si>
  <si>
    <t>LEAD00314</t>
  </si>
  <si>
    <t>LEAD00315</t>
  </si>
  <si>
    <t>LEAD00316</t>
  </si>
  <si>
    <t>LEAD00317</t>
  </si>
  <si>
    <t>LEAD00318</t>
  </si>
  <si>
    <t>LEAD00319</t>
  </si>
  <si>
    <t>LEAD00320</t>
  </si>
  <si>
    <t>LEAD00321</t>
  </si>
  <si>
    <t>LEAD00322</t>
  </si>
  <si>
    <t>LEAD00323</t>
  </si>
  <si>
    <t>LEAD00324</t>
  </si>
  <si>
    <t>LEAD00325</t>
  </si>
  <si>
    <t>LEAD00326</t>
  </si>
  <si>
    <t>LEAD00327</t>
  </si>
  <si>
    <t>LEAD00328</t>
  </si>
  <si>
    <t>LEAD00329</t>
  </si>
  <si>
    <t>LEAD00330</t>
  </si>
  <si>
    <t>LEAD00331</t>
  </si>
  <si>
    <t>LEAD00332</t>
  </si>
  <si>
    <t>LEAD00333</t>
  </si>
  <si>
    <t>LEAD00334</t>
  </si>
  <si>
    <t>LEAD00335</t>
  </si>
  <si>
    <t>LEAD00336</t>
  </si>
  <si>
    <t>LEAD00337</t>
  </si>
  <si>
    <t>LEAD00338</t>
  </si>
  <si>
    <t>LEAD00339</t>
  </si>
  <si>
    <t>LEAD00340</t>
  </si>
  <si>
    <t>LEAD00341</t>
  </si>
  <si>
    <t>LEAD00342</t>
  </si>
  <si>
    <t>LEAD00343</t>
  </si>
  <si>
    <t>LEAD00344</t>
  </si>
  <si>
    <t>LEAD00345</t>
  </si>
  <si>
    <t>LEAD00346</t>
  </si>
  <si>
    <t>LEAD00347</t>
  </si>
  <si>
    <t>LEAD00348</t>
  </si>
  <si>
    <t>LEAD00349</t>
  </si>
  <si>
    <t>LEAD00350</t>
  </si>
  <si>
    <t>LEAD00351</t>
  </si>
  <si>
    <t>LEAD00352</t>
  </si>
  <si>
    <t>LEAD00353</t>
  </si>
  <si>
    <t>LEAD00354</t>
  </si>
  <si>
    <t>LEAD00355</t>
  </si>
  <si>
    <t>LEAD00356</t>
  </si>
  <si>
    <t>LEAD00357</t>
  </si>
  <si>
    <t>LEAD00358</t>
  </si>
  <si>
    <t>LEAD00359</t>
  </si>
  <si>
    <t>LEAD00360</t>
  </si>
  <si>
    <t>LEAD00361</t>
  </si>
  <si>
    <t>LEAD00362</t>
  </si>
  <si>
    <t>LEAD00363</t>
  </si>
  <si>
    <t>LEAD00364</t>
  </si>
  <si>
    <t>LEAD00365</t>
  </si>
  <si>
    <t>LEAD00366</t>
  </si>
  <si>
    <t>LEAD00367</t>
  </si>
  <si>
    <t>LEAD00368</t>
  </si>
  <si>
    <t>LEAD00369</t>
  </si>
  <si>
    <t>LEAD00370</t>
  </si>
  <si>
    <t>LEAD00371</t>
  </si>
  <si>
    <t>LEAD00372</t>
  </si>
  <si>
    <t>LEAD00374</t>
  </si>
  <si>
    <t>LEAD00375</t>
  </si>
  <si>
    <t>LEAD00376</t>
  </si>
  <si>
    <t>LEAD00377</t>
  </si>
  <si>
    <t>LEAD00378</t>
  </si>
  <si>
    <t>LEAD00379</t>
  </si>
  <si>
    <t>LEAD00380</t>
  </si>
  <si>
    <t>LEAD00381</t>
  </si>
  <si>
    <t>LEAD00382</t>
  </si>
  <si>
    <t>LEAD00383</t>
  </si>
  <si>
    <t>LEAD00384</t>
  </si>
  <si>
    <t>LEAD00385</t>
  </si>
  <si>
    <t>LEAD00386</t>
  </si>
  <si>
    <t>LEAD00387</t>
  </si>
  <si>
    <t>LEAD00388</t>
  </si>
  <si>
    <t>LEAD00389</t>
  </si>
  <si>
    <t>LEAD00390</t>
  </si>
  <si>
    <t>LEAD00391</t>
  </si>
  <si>
    <t>LEAD00392</t>
  </si>
  <si>
    <t>LEAD00393</t>
  </si>
  <si>
    <t>LEAD00394</t>
  </si>
  <si>
    <t>LEAD00395</t>
  </si>
  <si>
    <t>LEAD00396</t>
  </si>
  <si>
    <t>LEAD00397</t>
  </si>
  <si>
    <t>LEAD00398</t>
  </si>
  <si>
    <t>LEAD00399</t>
  </si>
  <si>
    <t>LEAD00400</t>
  </si>
  <si>
    <t>LEAD00401</t>
  </si>
  <si>
    <t>LEAD00402</t>
  </si>
  <si>
    <t>LEAD00403</t>
  </si>
  <si>
    <t>LEAD00404</t>
  </si>
  <si>
    <t>LEAD00405</t>
  </si>
  <si>
    <t>LEAD00406</t>
  </si>
  <si>
    <t>LEAD00407</t>
  </si>
  <si>
    <t>LEAD00408</t>
  </si>
  <si>
    <t>LEAD00409</t>
  </si>
  <si>
    <t>LEAD00410</t>
  </si>
  <si>
    <t>LEAD00411</t>
  </si>
  <si>
    <t>LEAD00412</t>
  </si>
  <si>
    <t>LEAD00413</t>
  </si>
  <si>
    <t>LEAD00414</t>
  </si>
  <si>
    <t>LEAD00415</t>
  </si>
  <si>
    <t>LEAD00416</t>
  </si>
  <si>
    <t>LEAD00417</t>
  </si>
  <si>
    <t>LEAD00418</t>
  </si>
  <si>
    <t>LEAD00419</t>
  </si>
  <si>
    <t>LEAD00420</t>
  </si>
  <si>
    <t>LEAD00421</t>
  </si>
  <si>
    <t>LEAD00422</t>
  </si>
  <si>
    <t>LEAD00423</t>
  </si>
  <si>
    <t>LEAD00424</t>
  </si>
  <si>
    <t>LEAD00425</t>
  </si>
  <si>
    <t>LEAD00426</t>
  </si>
  <si>
    <t>LEAD00427</t>
  </si>
  <si>
    <t>LEAD00428</t>
  </si>
  <si>
    <t>LEAD00429</t>
  </si>
  <si>
    <t>LEAD00430</t>
  </si>
  <si>
    <t>LEAD00431</t>
  </si>
  <si>
    <t>LEAD00432</t>
  </si>
  <si>
    <t>LEAD00433</t>
  </si>
  <si>
    <t>LEAD00434</t>
  </si>
  <si>
    <t>LEAD00435</t>
  </si>
  <si>
    <t>LEAD00436</t>
  </si>
  <si>
    <t>LEAD00437</t>
  </si>
  <si>
    <t>LEAD00438</t>
  </si>
  <si>
    <t>LEAD00439</t>
  </si>
  <si>
    <t>LEAD00440</t>
  </si>
  <si>
    <t>LEAD00441</t>
  </si>
  <si>
    <t>LEAD00442</t>
  </si>
  <si>
    <t>LEAD00443</t>
  </si>
  <si>
    <t>LEAD00444</t>
  </si>
  <si>
    <t>LEAD00445</t>
  </si>
  <si>
    <t>LEAD00446</t>
  </si>
  <si>
    <t>LEAD00447</t>
  </si>
  <si>
    <t>LEAD00448</t>
  </si>
  <si>
    <t>LEAD00449</t>
  </si>
  <si>
    <t>LEAD00450</t>
  </si>
  <si>
    <t>LEAD00451</t>
  </si>
  <si>
    <t>LEAD00452</t>
  </si>
  <si>
    <t>LEAD00453</t>
  </si>
  <si>
    <t>LEAD00454</t>
  </si>
  <si>
    <t>LEAD00455</t>
  </si>
  <si>
    <t>LEAD00456</t>
  </si>
  <si>
    <t>LEAD00457</t>
  </si>
  <si>
    <t>LEAD00458</t>
  </si>
  <si>
    <t>LEAD00459</t>
  </si>
  <si>
    <t>LEAD00460</t>
  </si>
  <si>
    <t>LEAD00461</t>
  </si>
  <si>
    <t>LEAD00462</t>
  </si>
  <si>
    <t>LEAD00463</t>
  </si>
  <si>
    <t>LEAD00464</t>
  </si>
  <si>
    <t>LEAD00465</t>
  </si>
  <si>
    <t>LEAD00466</t>
  </si>
  <si>
    <t>LEAD00468</t>
  </si>
  <si>
    <t>LEAD00469</t>
  </si>
  <si>
    <t>LEAD00470</t>
  </si>
  <si>
    <t>LEAD00471</t>
  </si>
  <si>
    <t>LEAD00472</t>
  </si>
  <si>
    <t>LEAD00473</t>
  </si>
  <si>
    <t>LEAD00474</t>
  </si>
  <si>
    <t>LEAD00475</t>
  </si>
  <si>
    <t>LEAD00476</t>
  </si>
  <si>
    <t>LEAD00477</t>
  </si>
  <si>
    <t>LEAD00478</t>
  </si>
  <si>
    <t>LEAD00479</t>
  </si>
  <si>
    <t>LEAD00480</t>
  </si>
  <si>
    <t>LEAD00481</t>
  </si>
  <si>
    <t>LEAD00482</t>
  </si>
  <si>
    <t>LEAD00483</t>
  </si>
  <si>
    <t>LEAD00484</t>
  </si>
  <si>
    <t>LEAD00485</t>
  </si>
  <si>
    <t>LEAD00486</t>
  </si>
  <si>
    <t>LEAD00487</t>
  </si>
  <si>
    <t>LEAD00488</t>
  </si>
  <si>
    <t>LEAD00489</t>
  </si>
  <si>
    <t>LEAD00490</t>
  </si>
  <si>
    <t>LEAD00491</t>
  </si>
  <si>
    <t>LEAD00492</t>
  </si>
  <si>
    <t>LEAD00493</t>
  </si>
  <si>
    <t>LEAD00495</t>
  </si>
  <si>
    <t>LEAD00496</t>
  </si>
  <si>
    <t>LEAD00498</t>
  </si>
  <si>
    <t>LEAD00499</t>
  </si>
  <si>
    <t>LEAD00500</t>
  </si>
  <si>
    <t>LEAD00501</t>
  </si>
  <si>
    <t>LEAD00502</t>
  </si>
  <si>
    <t>LEAD00503</t>
  </si>
  <si>
    <t>LEAD00504</t>
  </si>
  <si>
    <t>LEAD00505</t>
  </si>
  <si>
    <t>LEAD00506</t>
  </si>
  <si>
    <t>LEAD00507</t>
  </si>
  <si>
    <t>LEAD00508</t>
  </si>
  <si>
    <t>LEAD00509</t>
  </si>
  <si>
    <t>LEAD00510</t>
  </si>
  <si>
    <t>LEAD00511</t>
  </si>
  <si>
    <t>LEAD00512</t>
  </si>
  <si>
    <t>LEAD00513</t>
  </si>
  <si>
    <t>LEAD00514</t>
  </si>
  <si>
    <t>LEAD00515</t>
  </si>
  <si>
    <t>LEAD00516</t>
  </si>
  <si>
    <t>LEAD00517</t>
  </si>
  <si>
    <t>LEAD00518</t>
  </si>
  <si>
    <t>LEAD00519</t>
  </si>
  <si>
    <t>LEAD00520</t>
  </si>
  <si>
    <t>LEAD00521</t>
  </si>
  <si>
    <t>LEAD00522</t>
  </si>
  <si>
    <t>LEAD00523</t>
  </si>
  <si>
    <t>LEAD00524</t>
  </si>
  <si>
    <t>LEAD00525</t>
  </si>
  <si>
    <t>LEAD00526</t>
  </si>
  <si>
    <t>LEAD00527</t>
  </si>
  <si>
    <t>LEAD00528</t>
  </si>
  <si>
    <t>LEAD00529</t>
  </si>
  <si>
    <t>LEAD00530</t>
  </si>
  <si>
    <t>LEAD00531</t>
  </si>
  <si>
    <t>LEAD00532</t>
  </si>
  <si>
    <t>LEAD00533</t>
  </si>
  <si>
    <t>LEAD00534</t>
  </si>
  <si>
    <t>LEAD00535</t>
  </si>
  <si>
    <t>LEAD00536</t>
  </si>
  <si>
    <t>LEAD00537</t>
  </si>
  <si>
    <t>LEAD00538</t>
  </si>
  <si>
    <t>LEAD00539</t>
  </si>
  <si>
    <t>LEAD00540</t>
  </si>
  <si>
    <t>LEAD00541</t>
  </si>
  <si>
    <t>LEAD00542</t>
  </si>
  <si>
    <t>LEAD00543</t>
  </si>
  <si>
    <t>LEAD00544</t>
  </si>
  <si>
    <t>LEAD00545</t>
  </si>
  <si>
    <t>LEAD00546</t>
  </si>
  <si>
    <t>LEAD00547</t>
  </si>
  <si>
    <t>LEAD00548</t>
  </si>
  <si>
    <t>LEAD00549</t>
  </si>
  <si>
    <t>LEAD00550</t>
  </si>
  <si>
    <t>LEAD00551</t>
  </si>
  <si>
    <t>LEAD00552</t>
  </si>
  <si>
    <t>LEAD00553</t>
  </si>
  <si>
    <t>LEAD00554</t>
  </si>
  <si>
    <t>LEAD00555</t>
  </si>
  <si>
    <t>LEAD00556</t>
  </si>
  <si>
    <t>LEAD00557</t>
  </si>
  <si>
    <t>LEAD00558</t>
  </si>
  <si>
    <t>LEAD00559</t>
  </si>
  <si>
    <t>LEAD00560</t>
  </si>
  <si>
    <t>LEAD00561</t>
  </si>
  <si>
    <t>LEAD00562</t>
  </si>
  <si>
    <t>LEAD00563</t>
  </si>
  <si>
    <t>LEAD00564</t>
  </si>
  <si>
    <t>LEAD00565</t>
  </si>
  <si>
    <t>LEAD00566</t>
  </si>
  <si>
    <t>LEAD00567</t>
  </si>
  <si>
    <t>LEAD00568</t>
  </si>
  <si>
    <t>LEAD00569</t>
  </si>
  <si>
    <t>LEAD00570</t>
  </si>
  <si>
    <t>LEAD00571</t>
  </si>
  <si>
    <t>LEAD00572</t>
  </si>
  <si>
    <t>LEAD00573</t>
  </si>
  <si>
    <t>LEAD00574</t>
  </si>
  <si>
    <t>LEAD00575</t>
  </si>
  <si>
    <t>LEAD00576</t>
  </si>
  <si>
    <t>LEAD00577</t>
  </si>
  <si>
    <t>LEAD00578</t>
  </si>
  <si>
    <t>LEAD00579</t>
  </si>
  <si>
    <t>LEAD00580</t>
  </si>
  <si>
    <t>LEAD00581</t>
  </si>
  <si>
    <t>LEAD00583</t>
  </si>
  <si>
    <t>LEAD00584</t>
  </si>
  <si>
    <t>LEAD00585</t>
  </si>
  <si>
    <t>LEAD00586</t>
  </si>
  <si>
    <t>LEAD00587</t>
  </si>
  <si>
    <t>LEAD00588</t>
  </si>
  <si>
    <t>LEAD00589</t>
  </si>
  <si>
    <t>LEAD00590</t>
  </si>
  <si>
    <t>LEAD00591</t>
  </si>
  <si>
    <t>LEAD00592</t>
  </si>
  <si>
    <t>LEAD00593</t>
  </si>
  <si>
    <t>LEAD00594</t>
  </si>
  <si>
    <t>LEAD00595</t>
  </si>
  <si>
    <t>LEAD00596</t>
  </si>
  <si>
    <t>LEAD00597</t>
  </si>
  <si>
    <t>LEAD00598</t>
  </si>
  <si>
    <t>LEAD00599</t>
  </si>
  <si>
    <t>LEAD00600</t>
  </si>
  <si>
    <t>LEAD00601</t>
  </si>
  <si>
    <t>LEAD00602</t>
  </si>
  <si>
    <t>LEAD00603</t>
  </si>
  <si>
    <t>LEAD00604</t>
  </si>
  <si>
    <t>LEAD00605</t>
  </si>
  <si>
    <t>LEAD00606</t>
  </si>
  <si>
    <t>LEAD00607</t>
  </si>
  <si>
    <t>LEAD00608</t>
  </si>
  <si>
    <t>LEAD00609</t>
  </si>
  <si>
    <t>LEAD00610</t>
  </si>
  <si>
    <t>LEAD00611</t>
  </si>
  <si>
    <t>LEAD00612</t>
  </si>
  <si>
    <t>LEAD00613</t>
  </si>
  <si>
    <t>LEAD00614</t>
  </si>
  <si>
    <t>LEAD00615</t>
  </si>
  <si>
    <t>LEAD00616</t>
  </si>
  <si>
    <t>LEAD00617</t>
  </si>
  <si>
    <t>LEAD00618</t>
  </si>
  <si>
    <t>LEAD00619</t>
  </si>
  <si>
    <t>LEAD00620</t>
  </si>
  <si>
    <t>LEAD00621</t>
  </si>
  <si>
    <t>LEAD00622</t>
  </si>
  <si>
    <t>LEAD00623</t>
  </si>
  <si>
    <t>LEAD00624</t>
  </si>
  <si>
    <t>LEAD00625</t>
  </si>
  <si>
    <t>LEAD00626</t>
  </si>
  <si>
    <t>LEAD00627</t>
  </si>
  <si>
    <t>LEAD00628</t>
  </si>
  <si>
    <t>LEAD00629</t>
  </si>
  <si>
    <t>LEAD00630</t>
  </si>
  <si>
    <t>LEAD00631</t>
  </si>
  <si>
    <t>LEAD00632</t>
  </si>
  <si>
    <t>LEAD00633</t>
  </si>
  <si>
    <t>LEAD00634</t>
  </si>
  <si>
    <t>LEAD00635</t>
  </si>
  <si>
    <t>LEAD00636</t>
  </si>
  <si>
    <t>LEAD00637</t>
  </si>
  <si>
    <t>LEAD00638</t>
  </si>
  <si>
    <t>LEAD00639</t>
  </si>
  <si>
    <t>LEAD00640</t>
  </si>
  <si>
    <t>LEAD00641</t>
  </si>
  <si>
    <t>LEAD00642</t>
  </si>
  <si>
    <t>LEAD00643</t>
  </si>
  <si>
    <t>LEAD00644</t>
  </si>
  <si>
    <t>LEAD00645</t>
  </si>
  <si>
    <t>LEAD00646</t>
  </si>
  <si>
    <t>LEAD00647</t>
  </si>
  <si>
    <t>LEAD00648</t>
  </si>
  <si>
    <t>LEAD00649</t>
  </si>
  <si>
    <t>LEAD00650</t>
  </si>
  <si>
    <t>LEAD00651</t>
  </si>
  <si>
    <t>LEAD00652</t>
  </si>
  <si>
    <t>LEAD00653</t>
  </si>
  <si>
    <t>LEAD00654</t>
  </si>
  <si>
    <t>LEAD00655</t>
  </si>
  <si>
    <t>LEAD00656</t>
  </si>
  <si>
    <t>LEAD00657</t>
  </si>
  <si>
    <t>LEAD00658</t>
  </si>
  <si>
    <t>LEAD00659</t>
  </si>
  <si>
    <t>LEAD00660</t>
  </si>
  <si>
    <t>LEAD00661</t>
  </si>
  <si>
    <t>LEAD00662</t>
  </si>
  <si>
    <t>LEAD00663</t>
  </si>
  <si>
    <t>LEAD00664</t>
  </si>
  <si>
    <t>LEAD00665</t>
  </si>
  <si>
    <t>LEAD00666</t>
  </si>
  <si>
    <t>LEAD00667</t>
  </si>
  <si>
    <t>LEAD00668</t>
  </si>
  <si>
    <t>LEAD00669</t>
  </si>
  <si>
    <t>LEAD00670</t>
  </si>
  <si>
    <t>LEAD00671</t>
  </si>
  <si>
    <t>LEAD00672</t>
  </si>
  <si>
    <t>LEAD00673</t>
  </si>
  <si>
    <t>LEAD00674</t>
  </si>
  <si>
    <t>LEAD00675</t>
  </si>
  <si>
    <t>LEAD00676</t>
  </si>
  <si>
    <t>LEAD00677</t>
  </si>
  <si>
    <t>LEAD00678</t>
  </si>
  <si>
    <t>LEAD00679</t>
  </si>
  <si>
    <t>LEAD00680</t>
  </si>
  <si>
    <t>LEAD00681</t>
  </si>
  <si>
    <t>LEAD00682</t>
  </si>
  <si>
    <t>LEAD00683</t>
  </si>
  <si>
    <t>LEAD00684</t>
  </si>
  <si>
    <t>LEAD00685</t>
  </si>
  <si>
    <t>LEAD00686</t>
  </si>
  <si>
    <t>LEAD00687</t>
  </si>
  <si>
    <t>LEAD00688</t>
  </si>
  <si>
    <t>LEAD00689</t>
  </si>
  <si>
    <t>LEAD00690</t>
  </si>
  <si>
    <t>LEAD00691</t>
  </si>
  <si>
    <t>LEAD00692</t>
  </si>
  <si>
    <t>LEAD00693</t>
  </si>
  <si>
    <t>LEAD00694</t>
  </si>
  <si>
    <t>LEAD00695</t>
  </si>
  <si>
    <t>LEAD00696</t>
  </si>
  <si>
    <t>LEAD00697</t>
  </si>
  <si>
    <t>LEAD00698</t>
  </si>
  <si>
    <t>LEAD00699</t>
  </si>
  <si>
    <t>LEAD00700</t>
  </si>
  <si>
    <t>LEAD00701</t>
  </si>
  <si>
    <t>LEAD00702</t>
  </si>
  <si>
    <t>LEAD00703</t>
  </si>
  <si>
    <t>LEAD00704</t>
  </si>
  <si>
    <t>LEAD00706</t>
  </si>
  <si>
    <t>LEAD00707</t>
  </si>
  <si>
    <t>LEAD00708</t>
  </si>
  <si>
    <t>LEAD00709</t>
  </si>
  <si>
    <t>LEAD00710</t>
  </si>
  <si>
    <t>LEAD00711</t>
  </si>
  <si>
    <t>LEAD00712</t>
  </si>
  <si>
    <t>LEAD00713</t>
  </si>
  <si>
    <t>LEAD00714</t>
  </si>
  <si>
    <t>LEAD00715</t>
  </si>
  <si>
    <t>LEAD00716</t>
  </si>
  <si>
    <t>LEAD00717</t>
  </si>
  <si>
    <t>LEAD00718</t>
  </si>
  <si>
    <t>LEAD00719</t>
  </si>
  <si>
    <t>LEAD00721</t>
  </si>
  <si>
    <t>LEAD00722</t>
  </si>
  <si>
    <t>LEAD00723</t>
  </si>
  <si>
    <t>LEAD00724</t>
  </si>
  <si>
    <t>LEAD00725</t>
  </si>
  <si>
    <t>LEAD00726</t>
  </si>
  <si>
    <t>LEAD00727</t>
  </si>
  <si>
    <t>LEAD00729</t>
  </si>
  <si>
    <t>LEAD00730</t>
  </si>
  <si>
    <t>LEAD00731</t>
  </si>
  <si>
    <t>LEAD00732</t>
  </si>
  <si>
    <t>LEAD00733</t>
  </si>
  <si>
    <t>LEAD00734</t>
  </si>
  <si>
    <t>LEAD00735</t>
  </si>
  <si>
    <t>LEAD00736</t>
  </si>
  <si>
    <t>LEAD00737</t>
  </si>
  <si>
    <t>LEAD00738</t>
  </si>
  <si>
    <t>LEAD00739</t>
  </si>
  <si>
    <t>LEAD00740</t>
  </si>
  <si>
    <t>LEAD00741</t>
  </si>
  <si>
    <t>LEAD00742</t>
  </si>
  <si>
    <t>LEAD00743</t>
  </si>
  <si>
    <t>LEAD00744</t>
  </si>
  <si>
    <t>LEAD00746</t>
  </si>
  <si>
    <t>LEAD00747</t>
  </si>
  <si>
    <t>LEAD00748</t>
  </si>
  <si>
    <t>LEAD00749</t>
  </si>
  <si>
    <t>LEAD00750</t>
  </si>
  <si>
    <t>LEAD00751</t>
  </si>
  <si>
    <t>LEAD00752</t>
  </si>
  <si>
    <t>LEAD00753</t>
  </si>
  <si>
    <t>LEAD00754</t>
  </si>
  <si>
    <t>LEAD00755</t>
  </si>
  <si>
    <t>LEAD00756</t>
  </si>
  <si>
    <t>LEAD00757</t>
  </si>
  <si>
    <t>LEAD00758</t>
  </si>
  <si>
    <t>LEAD00760</t>
  </si>
  <si>
    <t>LEAD00762</t>
  </si>
  <si>
    <t>LEAD00763</t>
  </si>
  <si>
    <t>LEAD00764</t>
  </si>
  <si>
    <t>LEAD00765</t>
  </si>
  <si>
    <t>LEAD00766</t>
  </si>
  <si>
    <t>LEAD00767</t>
  </si>
  <si>
    <t>LEAD00768</t>
  </si>
  <si>
    <t>LEAD00769</t>
  </si>
  <si>
    <t>LEAD00770</t>
  </si>
  <si>
    <t>LEAD00771</t>
  </si>
  <si>
    <t>LEAD00772</t>
  </si>
  <si>
    <t>LEAD00773</t>
  </si>
  <si>
    <t>LEAD00774</t>
  </si>
  <si>
    <t>LEAD00775</t>
  </si>
  <si>
    <t>LEAD00776</t>
  </si>
  <si>
    <t>LEAD00777</t>
  </si>
  <si>
    <t>LEAD00778</t>
  </si>
  <si>
    <t>LEAD00779</t>
  </si>
  <si>
    <t>LEAD00780</t>
  </si>
  <si>
    <t>LEAD00781</t>
  </si>
  <si>
    <t>LEAD00782</t>
  </si>
  <si>
    <t>LEAD00783</t>
  </si>
  <si>
    <t>LEAD00784</t>
  </si>
  <si>
    <t>LEAD00785</t>
  </si>
  <si>
    <t>LEAD00786</t>
  </si>
  <si>
    <t>LEAD00787</t>
  </si>
  <si>
    <t>LEAD00788</t>
  </si>
  <si>
    <t>LEAD00789</t>
  </si>
  <si>
    <t>LEAD00790</t>
  </si>
  <si>
    <t>LEAD00791</t>
  </si>
  <si>
    <t>LEAD00792</t>
  </si>
  <si>
    <t>LEAD00793</t>
  </si>
  <si>
    <t>LEAD00794</t>
  </si>
  <si>
    <t>LEAD00795</t>
  </si>
  <si>
    <t>LEAD00796</t>
  </si>
  <si>
    <t>LEAD00797</t>
  </si>
  <si>
    <t>LEAD00798</t>
  </si>
  <si>
    <t>LEAD00799</t>
  </si>
  <si>
    <t>LEAD00800</t>
  </si>
  <si>
    <t>LEAD00801</t>
  </si>
  <si>
    <t>LEAD00802</t>
  </si>
  <si>
    <t>LEAD00803</t>
  </si>
  <si>
    <t>LEAD00804</t>
  </si>
  <si>
    <t>LEAD00805</t>
  </si>
  <si>
    <t>LEAD00806</t>
  </si>
  <si>
    <t>LEAD00807</t>
  </si>
  <si>
    <t>LEAD00808</t>
  </si>
  <si>
    <t>LEAD00809</t>
  </si>
  <si>
    <t>LEAD00810</t>
  </si>
  <si>
    <t>LEAD00811</t>
  </si>
  <si>
    <t>LEAD00812</t>
  </si>
  <si>
    <t>LEAD00813</t>
  </si>
  <si>
    <t>LEAD00814</t>
  </si>
  <si>
    <t>LEAD00815</t>
  </si>
  <si>
    <t>LEAD00816</t>
  </si>
  <si>
    <t>LEAD00817</t>
  </si>
  <si>
    <t>LEAD00818</t>
  </si>
  <si>
    <t>LEAD00819</t>
  </si>
  <si>
    <t>LEAD00820</t>
  </si>
  <si>
    <t>LEAD00822</t>
  </si>
  <si>
    <t>LEAD00823</t>
  </si>
  <si>
    <t>LEAD00824</t>
  </si>
  <si>
    <t>LEAD00825</t>
  </si>
  <si>
    <t>LEAD00826</t>
  </si>
  <si>
    <t>LEAD00827</t>
  </si>
  <si>
    <t>LEAD00828</t>
  </si>
  <si>
    <t>LEAD00829</t>
  </si>
  <si>
    <t>LEAD00831</t>
  </si>
  <si>
    <t>LEAD00833</t>
  </si>
  <si>
    <t>LEAD00834</t>
  </si>
  <si>
    <t>LEAD00835</t>
  </si>
  <si>
    <t>LEAD00836</t>
  </si>
  <si>
    <t>LEAD00837</t>
  </si>
  <si>
    <t>LEAD00838</t>
  </si>
  <si>
    <t>LEAD00839</t>
  </si>
  <si>
    <t>LEAD00840</t>
  </si>
  <si>
    <t>LEAD00841</t>
  </si>
  <si>
    <t>LEAD00842</t>
  </si>
  <si>
    <t>LEAD00843</t>
  </si>
  <si>
    <t>LEAD00844</t>
  </si>
  <si>
    <t>LEAD00845</t>
  </si>
  <si>
    <t>LEAD00846</t>
  </si>
  <si>
    <t>LEAD00847</t>
  </si>
  <si>
    <t>LEAD00848</t>
  </si>
  <si>
    <t>LEAD00849</t>
  </si>
  <si>
    <t>LEAD00850</t>
  </si>
  <si>
    <t>LEAD00851</t>
  </si>
  <si>
    <t>LEAD00852</t>
  </si>
  <si>
    <t>LEAD00853</t>
  </si>
  <si>
    <t>LEAD00854</t>
  </si>
  <si>
    <t>LEAD00855</t>
  </si>
  <si>
    <t>LEAD00856</t>
  </si>
  <si>
    <t>LEAD00857</t>
  </si>
  <si>
    <t>LEAD00858</t>
  </si>
  <si>
    <t>LEAD00859</t>
  </si>
  <si>
    <t>LEAD00860</t>
  </si>
  <si>
    <t>LEAD00861</t>
  </si>
  <si>
    <t>LEAD00862</t>
  </si>
  <si>
    <t>LEAD00863</t>
  </si>
  <si>
    <t>LEAD00864</t>
  </si>
  <si>
    <t>LEAD00865</t>
  </si>
  <si>
    <t>LEAD00866</t>
  </si>
  <si>
    <t>LEAD00867</t>
  </si>
  <si>
    <t>LEAD00868</t>
  </si>
  <si>
    <t>LEAD00869</t>
  </si>
  <si>
    <t>LEAD00870</t>
  </si>
  <si>
    <t>LEAD00871</t>
  </si>
  <si>
    <t>LEAD00873</t>
  </si>
  <si>
    <t>LEAD00874</t>
  </si>
  <si>
    <t>LEAD00875</t>
  </si>
  <si>
    <t>LEAD00876</t>
  </si>
  <si>
    <t>LEAD00877</t>
  </si>
  <si>
    <t>LEAD00878</t>
  </si>
  <si>
    <t>LEAD00879</t>
  </si>
  <si>
    <t>LEAD00880</t>
  </si>
  <si>
    <t>LEAD00881</t>
  </si>
  <si>
    <t>LEAD00882</t>
  </si>
  <si>
    <t>LEAD00883</t>
  </si>
  <si>
    <t>LEAD00884</t>
  </si>
  <si>
    <t>LEAD00885</t>
  </si>
  <si>
    <t>LEAD00886</t>
  </si>
  <si>
    <t>LEAD00887</t>
  </si>
  <si>
    <t>LEAD00889</t>
  </si>
  <si>
    <t>LEAD00890</t>
  </si>
  <si>
    <t>LEAD00891</t>
  </si>
  <si>
    <t>LEAD00892</t>
  </si>
  <si>
    <t>LEAD00893</t>
  </si>
  <si>
    <t>LEAD00894</t>
  </si>
  <si>
    <t>LEAD00895</t>
  </si>
  <si>
    <t>LEAD00896</t>
  </si>
  <si>
    <t>LEAD00897</t>
  </si>
  <si>
    <t>LEAD00898</t>
  </si>
  <si>
    <t>LEAD00899</t>
  </si>
  <si>
    <t>LEAD00900</t>
  </si>
  <si>
    <t>LEAD00901</t>
  </si>
  <si>
    <t>LEAD00902</t>
  </si>
  <si>
    <t>LEAD00903</t>
  </si>
  <si>
    <t>LEAD00904</t>
  </si>
  <si>
    <t>LEAD00905</t>
  </si>
  <si>
    <t>LEAD00906</t>
  </si>
  <si>
    <t>LEAD00907</t>
  </si>
  <si>
    <t>LEAD00908</t>
  </si>
  <si>
    <t>LEAD00909</t>
  </si>
  <si>
    <t>LEAD00910</t>
  </si>
  <si>
    <t>LEAD00911</t>
  </si>
  <si>
    <t>LEAD00912</t>
  </si>
  <si>
    <t>LEAD00913</t>
  </si>
  <si>
    <t>LEAD00914</t>
  </si>
  <si>
    <t>LEAD00915</t>
  </si>
  <si>
    <t>LEAD00916</t>
  </si>
  <si>
    <t>LEAD00917</t>
  </si>
  <si>
    <t>LEAD00918</t>
  </si>
  <si>
    <t>LEAD00919</t>
  </si>
  <si>
    <t>LEAD00920</t>
  </si>
  <si>
    <t>LEAD00921</t>
  </si>
  <si>
    <t>LEAD00922</t>
  </si>
  <si>
    <t>LEAD00923</t>
  </si>
  <si>
    <t>LEAD00924</t>
  </si>
  <si>
    <t>LEAD00925</t>
  </si>
  <si>
    <t>LEAD00926</t>
  </si>
  <si>
    <t>LEAD00927</t>
  </si>
  <si>
    <t>LEAD00928</t>
  </si>
  <si>
    <t>LEAD00929</t>
  </si>
  <si>
    <t>LEAD00930</t>
  </si>
  <si>
    <t>LEAD00931</t>
  </si>
  <si>
    <t>LEAD00932</t>
  </si>
  <si>
    <t>LEAD00934</t>
  </si>
  <si>
    <t>LEAD00935</t>
  </si>
  <si>
    <t>LEAD00936</t>
  </si>
  <si>
    <t>LEAD00937</t>
  </si>
  <si>
    <t>LEAD00938</t>
  </si>
  <si>
    <t>LEAD00939</t>
  </si>
  <si>
    <t>LEAD00940</t>
  </si>
  <si>
    <t>LEAD00941</t>
  </si>
  <si>
    <t>LEAD00942</t>
  </si>
  <si>
    <t>LEAD00943</t>
  </si>
  <si>
    <t>LEAD00944</t>
  </si>
  <si>
    <t>LEAD00946</t>
  </si>
  <si>
    <t>LEAD00947</t>
  </si>
  <si>
    <t>LEAD00948</t>
  </si>
  <si>
    <t>LEAD00949</t>
  </si>
  <si>
    <t>LEAD00950</t>
  </si>
  <si>
    <t>LEAD00951</t>
  </si>
  <si>
    <t>LEAD00952</t>
  </si>
  <si>
    <t>LEAD00953</t>
  </si>
  <si>
    <t>LEAD00954</t>
  </si>
  <si>
    <t>LEAD00955</t>
  </si>
  <si>
    <t>LEAD00956</t>
  </si>
  <si>
    <t>LEAD00957</t>
  </si>
  <si>
    <t>LEAD00958</t>
  </si>
  <si>
    <t>LEAD00960</t>
  </si>
  <si>
    <t>LEAD00961</t>
  </si>
  <si>
    <t>LEAD00962</t>
  </si>
  <si>
    <t>LEAD00963</t>
  </si>
  <si>
    <t>LEAD00964</t>
  </si>
  <si>
    <t>LEAD00965</t>
  </si>
  <si>
    <t>LEAD00966</t>
  </si>
  <si>
    <t>LEAD00967</t>
  </si>
  <si>
    <t>LEAD00968</t>
  </si>
  <si>
    <t>LEAD00969</t>
  </si>
  <si>
    <t>LEAD00970</t>
  </si>
  <si>
    <t>LEAD00971</t>
  </si>
  <si>
    <t>LEAD00972</t>
  </si>
  <si>
    <t>LEAD00974</t>
  </si>
  <si>
    <t>LEAD00975</t>
  </si>
  <si>
    <t>LEAD00976</t>
  </si>
  <si>
    <t>LEAD00977</t>
  </si>
  <si>
    <t>LEAD00978</t>
  </si>
  <si>
    <t>LEAD00979</t>
  </si>
  <si>
    <t>LEAD00980</t>
  </si>
  <si>
    <t>LEAD00981</t>
  </si>
  <si>
    <t>LEAD00982</t>
  </si>
  <si>
    <t>LEAD00983</t>
  </si>
  <si>
    <t>LEAD00984</t>
  </si>
  <si>
    <t>LEAD00985</t>
  </si>
  <si>
    <t>LEAD00986</t>
  </si>
  <si>
    <t>LEAD00987</t>
  </si>
  <si>
    <t>LEAD00988</t>
  </si>
  <si>
    <t>LEAD00989</t>
  </si>
  <si>
    <t>LEAD00990</t>
  </si>
  <si>
    <t>LEAD00991</t>
  </si>
  <si>
    <t>LEAD00992</t>
  </si>
  <si>
    <t>LEAD00993</t>
  </si>
  <si>
    <t>LEAD00994</t>
  </si>
  <si>
    <t>LEAD00995</t>
  </si>
  <si>
    <t>LEAD00996</t>
  </si>
  <si>
    <t>LEAD00997</t>
  </si>
  <si>
    <t>LEAD00998</t>
  </si>
  <si>
    <t>LEAD00999</t>
  </si>
  <si>
    <t>LEAD01000</t>
  </si>
  <si>
    <t>Lead_Match_Valid</t>
  </si>
  <si>
    <t>Activation_Duration_Valid</t>
  </si>
  <si>
    <t>Activated_Flag</t>
  </si>
  <si>
    <t>Customer_Status_Clean</t>
  </si>
  <si>
    <t>Days_To_Activation</t>
  </si>
  <si>
    <t>CUST00001</t>
  </si>
  <si>
    <t>Active</t>
  </si>
  <si>
    <t>CUST00002</t>
  </si>
  <si>
    <t>CUST00003</t>
  </si>
  <si>
    <t>CUST00004</t>
  </si>
  <si>
    <t>Churned</t>
  </si>
  <si>
    <t>CUST00005</t>
  </si>
  <si>
    <t>LEAD99999</t>
  </si>
  <si>
    <t>CUST00007</t>
  </si>
  <si>
    <t>CUST00008</t>
  </si>
  <si>
    <t>Not Activated</t>
  </si>
  <si>
    <t>CUST00009</t>
  </si>
  <si>
    <t>CUST00010</t>
  </si>
  <si>
    <t>CUST00011</t>
  </si>
  <si>
    <t>CUST00012</t>
  </si>
  <si>
    <t>CUST00014</t>
  </si>
  <si>
    <t>CUST00015</t>
  </si>
  <si>
    <t>CUST00016</t>
  </si>
  <si>
    <t>CUST00017</t>
  </si>
  <si>
    <t>CUST00018</t>
  </si>
  <si>
    <t>CUST00019</t>
  </si>
  <si>
    <t>CUST00022</t>
  </si>
  <si>
    <t>CUST00023</t>
  </si>
  <si>
    <t>Unclassified</t>
  </si>
  <si>
    <t>CUST00025</t>
  </si>
  <si>
    <t>CUST00026</t>
  </si>
  <si>
    <t>CUST00027</t>
  </si>
  <si>
    <t>CUST00028</t>
  </si>
  <si>
    <t>CUST00029</t>
  </si>
  <si>
    <t>CUST00031</t>
  </si>
  <si>
    <t>CUST00032</t>
  </si>
  <si>
    <t>CUST00033</t>
  </si>
  <si>
    <t>CUST00034</t>
  </si>
  <si>
    <t>CUST00035</t>
  </si>
  <si>
    <t>CUST00036</t>
  </si>
  <si>
    <t>CUST00037</t>
  </si>
  <si>
    <t>CUST00038</t>
  </si>
  <si>
    <t>CUST00039</t>
  </si>
  <si>
    <t>CUST00040</t>
  </si>
  <si>
    <t>Not Activated (data issue)</t>
  </si>
  <si>
    <t>CUST00042</t>
  </si>
  <si>
    <t>CUST00043</t>
  </si>
  <si>
    <t>CUST00045</t>
  </si>
  <si>
    <t>CUST00046</t>
  </si>
  <si>
    <t>CUST00047</t>
  </si>
  <si>
    <t>CUST00048</t>
  </si>
  <si>
    <t>CUST00049</t>
  </si>
  <si>
    <t>CUST00051</t>
  </si>
  <si>
    <t>CUST00054</t>
  </si>
  <si>
    <t>CUST00055</t>
  </si>
  <si>
    <t>CUST00056</t>
  </si>
  <si>
    <t>CUST00057</t>
  </si>
  <si>
    <t>CUST00058</t>
  </si>
  <si>
    <t>CUST00059</t>
  </si>
  <si>
    <t>CUST00060</t>
  </si>
  <si>
    <t>CUST00062</t>
  </si>
  <si>
    <t>CUST00063</t>
  </si>
  <si>
    <t>CUST00064</t>
  </si>
  <si>
    <t>CUST00065</t>
  </si>
  <si>
    <t>CUST00066</t>
  </si>
  <si>
    <t>CUST00068</t>
  </si>
  <si>
    <t>CUST00069</t>
  </si>
  <si>
    <t>CUST00070</t>
  </si>
  <si>
    <t>CUST00071</t>
  </si>
  <si>
    <t>CUST00072</t>
  </si>
  <si>
    <t>CUST00073</t>
  </si>
  <si>
    <t>CUST00074</t>
  </si>
  <si>
    <t>CUST00075</t>
  </si>
  <si>
    <t>CUST00076</t>
  </si>
  <si>
    <t>CUST00077</t>
  </si>
  <si>
    <t>CUST00078</t>
  </si>
  <si>
    <t>CUST00079</t>
  </si>
  <si>
    <t>CUST00080</t>
  </si>
  <si>
    <t>CUST00081</t>
  </si>
  <si>
    <t>CUST00082</t>
  </si>
  <si>
    <t>CUST00083</t>
  </si>
  <si>
    <t>CUST00084</t>
  </si>
  <si>
    <t>CUST00085</t>
  </si>
  <si>
    <t>CUST00087</t>
  </si>
  <si>
    <t>CUST00088</t>
  </si>
  <si>
    <t>CUST00089</t>
  </si>
  <si>
    <t>CUST00090</t>
  </si>
  <si>
    <t>CUST00091</t>
  </si>
  <si>
    <t>CUST00092</t>
  </si>
  <si>
    <t>CUST00093</t>
  </si>
  <si>
    <t>CUST00094</t>
  </si>
  <si>
    <t>CUST00095</t>
  </si>
  <si>
    <t>CUST00096</t>
  </si>
  <si>
    <t>CUST00097</t>
  </si>
  <si>
    <t>CUST00098</t>
  </si>
  <si>
    <t>CUST00099</t>
  </si>
  <si>
    <t>CUST00100</t>
  </si>
  <si>
    <t>CUST00101</t>
  </si>
  <si>
    <t>CUST00103</t>
  </si>
  <si>
    <t>CUST00104</t>
  </si>
  <si>
    <t>CUST00106</t>
  </si>
  <si>
    <t>CUST00107</t>
  </si>
  <si>
    <t>CUST00108</t>
  </si>
  <si>
    <t>CUST00109</t>
  </si>
  <si>
    <t>CUST00110</t>
  </si>
  <si>
    <t>CUST00111</t>
  </si>
  <si>
    <t>CUST00112</t>
  </si>
  <si>
    <t>CUST00113</t>
  </si>
  <si>
    <t>CUST00114</t>
  </si>
  <si>
    <t>CUST00115</t>
  </si>
  <si>
    <t>CUST00116</t>
  </si>
  <si>
    <t>CUST00117</t>
  </si>
  <si>
    <t>CUST00118</t>
  </si>
  <si>
    <t>CUST00119</t>
  </si>
  <si>
    <t>CUST00120</t>
  </si>
  <si>
    <t>CUST00121</t>
  </si>
  <si>
    <t>CUST00122</t>
  </si>
  <si>
    <t>CUST00123</t>
  </si>
  <si>
    <t>CUST00124</t>
  </si>
  <si>
    <t>CUST00125</t>
  </si>
  <si>
    <t>CUST00127</t>
  </si>
  <si>
    <t>CUST00129</t>
  </si>
  <si>
    <t>CUST00130</t>
  </si>
  <si>
    <t>CUST00131</t>
  </si>
  <si>
    <t>CUST00132</t>
  </si>
  <si>
    <t>CUST00133</t>
  </si>
  <si>
    <t>CUST00134</t>
  </si>
  <si>
    <t>CUST00136</t>
  </si>
  <si>
    <t>CUST00137</t>
  </si>
  <si>
    <t>CUST00138</t>
  </si>
  <si>
    <t>CUST00139</t>
  </si>
  <si>
    <t>CUST00140</t>
  </si>
  <si>
    <t>CUST00141</t>
  </si>
  <si>
    <t>CUST00142</t>
  </si>
  <si>
    <t>CUST00143</t>
  </si>
  <si>
    <t>CUST00144</t>
  </si>
  <si>
    <t>CUST00145</t>
  </si>
  <si>
    <t>CUST00146</t>
  </si>
  <si>
    <t>CUST00147</t>
  </si>
  <si>
    <t>CUST00149</t>
  </si>
  <si>
    <t>CUST00150</t>
  </si>
  <si>
    <t>CUST00151</t>
  </si>
  <si>
    <t>CUST00152</t>
  </si>
  <si>
    <t>CUST00153</t>
  </si>
  <si>
    <t>CUST00154</t>
  </si>
  <si>
    <t>CUST00155</t>
  </si>
  <si>
    <t>CUST00156</t>
  </si>
  <si>
    <t>CUST00157</t>
  </si>
  <si>
    <t>CUST00158</t>
  </si>
  <si>
    <t>CUST00159</t>
  </si>
  <si>
    <t>CUST00160</t>
  </si>
  <si>
    <t>CUST00161</t>
  </si>
  <si>
    <t>CUST00162</t>
  </si>
  <si>
    <t>CUST00163</t>
  </si>
  <si>
    <t>CUST00164</t>
  </si>
  <si>
    <t>CUST00165</t>
  </si>
  <si>
    <t>CUST00167</t>
  </si>
  <si>
    <t>CUST00168</t>
  </si>
  <si>
    <t>CUST00169</t>
  </si>
  <si>
    <t>CUST00170</t>
  </si>
  <si>
    <t>CUST00171</t>
  </si>
  <si>
    <t>CUST00172</t>
  </si>
  <si>
    <t>CUST00173</t>
  </si>
  <si>
    <t>CUST00175</t>
  </si>
  <si>
    <t>CUST00176</t>
  </si>
  <si>
    <t>CUST00177</t>
  </si>
  <si>
    <t>CUST00178</t>
  </si>
  <si>
    <t>CUST00179</t>
  </si>
  <si>
    <t>CUST00181</t>
  </si>
  <si>
    <t>CUST00182</t>
  </si>
  <si>
    <t>CUST00183</t>
  </si>
  <si>
    <t>CUST00184</t>
  </si>
  <si>
    <t>CUST00185</t>
  </si>
  <si>
    <t>CUST00187</t>
  </si>
  <si>
    <t>CUST00188</t>
  </si>
  <si>
    <t>CUST00189</t>
  </si>
  <si>
    <t>CUST00191</t>
  </si>
  <si>
    <t>CUST00192</t>
  </si>
  <si>
    <t>CUST00193</t>
  </si>
  <si>
    <t>CUST00194</t>
  </si>
  <si>
    <t>CUST00195</t>
  </si>
  <si>
    <t>CUST00196</t>
  </si>
  <si>
    <t>CUST00198</t>
  </si>
  <si>
    <t>CUST00199</t>
  </si>
  <si>
    <t>CUST00200</t>
  </si>
  <si>
    <t>CUST00201</t>
  </si>
  <si>
    <t>CUST00203</t>
  </si>
  <si>
    <t>CUST00204</t>
  </si>
  <si>
    <t>CUST00205</t>
  </si>
  <si>
    <t>CUST00206</t>
  </si>
  <si>
    <t>CUST00207</t>
  </si>
  <si>
    <t>CUST00208</t>
  </si>
  <si>
    <t>CUST00209</t>
  </si>
  <si>
    <t>CUST00210</t>
  </si>
  <si>
    <t>CUST00211</t>
  </si>
  <si>
    <t>CUST00212</t>
  </si>
  <si>
    <t>CUST00213</t>
  </si>
  <si>
    <t>CUST00214</t>
  </si>
  <si>
    <t>CUST00216</t>
  </si>
  <si>
    <t>CUST00217</t>
  </si>
  <si>
    <t>CUST00218</t>
  </si>
  <si>
    <t>CUST00219</t>
  </si>
  <si>
    <t>CUST00220</t>
  </si>
  <si>
    <t>Customer_Match_Valid</t>
  </si>
  <si>
    <t>Transaction_Date</t>
  </si>
  <si>
    <t>Transaction_Month</t>
  </si>
  <si>
    <t>Transaction_Type</t>
  </si>
  <si>
    <t>Revenue_Valid</t>
  </si>
  <si>
    <t>Transaction_Status</t>
  </si>
  <si>
    <t>Revenue_Usable</t>
  </si>
  <si>
    <t>Rep_ID_via_Customer</t>
  </si>
  <si>
    <t>Channel_via_Customer</t>
  </si>
  <si>
    <t>Product_via_Customer</t>
  </si>
  <si>
    <t>Segment_via_Customer</t>
  </si>
  <si>
    <t>TXN0000001</t>
  </si>
  <si>
    <t>Fuel</t>
  </si>
  <si>
    <t>Completed</t>
  </si>
  <si>
    <t>TXN0000002</t>
  </si>
  <si>
    <t>TXN0000003</t>
  </si>
  <si>
    <t>TXN0000004</t>
  </si>
  <si>
    <t>TXN0000005</t>
  </si>
  <si>
    <t>TXN0000006</t>
  </si>
  <si>
    <t>TXN0000007</t>
  </si>
  <si>
    <t>TXN0000008</t>
  </si>
  <si>
    <t>TXN0000009</t>
  </si>
  <si>
    <t>TXN0000010</t>
  </si>
  <si>
    <t>TXN0000011</t>
  </si>
  <si>
    <t>TXN0000012</t>
  </si>
  <si>
    <t>Toll</t>
  </si>
  <si>
    <t>TXN0000013</t>
  </si>
  <si>
    <t>TXN0000014</t>
  </si>
  <si>
    <t>TXN0000015</t>
  </si>
  <si>
    <t>TXN0000016</t>
  </si>
  <si>
    <t>TXN0000017</t>
  </si>
  <si>
    <t>TXN0000018</t>
  </si>
  <si>
    <t>TXN0000019</t>
  </si>
  <si>
    <t>TXN0000020</t>
  </si>
  <si>
    <t>TXN0000021</t>
  </si>
  <si>
    <t>TXN0000022</t>
  </si>
  <si>
    <t>TXN0000023</t>
  </si>
  <si>
    <t>TXN0000024</t>
  </si>
  <si>
    <t>TXN0000025</t>
  </si>
  <si>
    <t>TXN0000026</t>
  </si>
  <si>
    <t>TXN0000027</t>
  </si>
  <si>
    <t>TXN0000028</t>
  </si>
  <si>
    <t>TXN0000029</t>
  </si>
  <si>
    <t>TXN0000030</t>
  </si>
  <si>
    <t>TXN0000031</t>
  </si>
  <si>
    <t>TXN0000032</t>
  </si>
  <si>
    <t>TXN0000033</t>
  </si>
  <si>
    <t>TXN0000034</t>
  </si>
  <si>
    <t>TXN0000035</t>
  </si>
  <si>
    <t>TXN0000036</t>
  </si>
  <si>
    <t>TXN0000037</t>
  </si>
  <si>
    <t>TXN0000038</t>
  </si>
  <si>
    <t>TXN0000039</t>
  </si>
  <si>
    <t>TXN0000040</t>
  </si>
  <si>
    <t>TXN0000041</t>
  </si>
  <si>
    <t>TXN0000042</t>
  </si>
  <si>
    <t>TXN0000043</t>
  </si>
  <si>
    <t>TXN0000044</t>
  </si>
  <si>
    <t>TXN0000045</t>
  </si>
  <si>
    <t>TXN0000046</t>
  </si>
  <si>
    <t>Cancelled</t>
  </si>
  <si>
    <t>TXN0000047</t>
  </si>
  <si>
    <t>TXN0000048</t>
  </si>
  <si>
    <t>TXN0000049</t>
  </si>
  <si>
    <t>TXN0000050</t>
  </si>
  <si>
    <t>TXN0000051</t>
  </si>
  <si>
    <t>TXN0000052</t>
  </si>
  <si>
    <t>TXN0000053</t>
  </si>
  <si>
    <t>TXN0000054</t>
  </si>
  <si>
    <t>TXN0000055</t>
  </si>
  <si>
    <t>TXN0000056</t>
  </si>
  <si>
    <t>TXN0000057</t>
  </si>
  <si>
    <t>TXN0000058</t>
  </si>
  <si>
    <t>TXN0000059</t>
  </si>
  <si>
    <t>TXN0000060</t>
  </si>
  <si>
    <t>EV Charging</t>
  </si>
  <si>
    <t>TXN0000061</t>
  </si>
  <si>
    <t>TXN0000062</t>
  </si>
  <si>
    <t>TXN0000063</t>
  </si>
  <si>
    <t>TXN0000064</t>
  </si>
  <si>
    <t>TXN0000065</t>
  </si>
  <si>
    <t>TXN0000066</t>
  </si>
  <si>
    <t>TXN0000067</t>
  </si>
  <si>
    <t>TXN0000068</t>
  </si>
  <si>
    <t>TXN0000069</t>
  </si>
  <si>
    <t>TXN0000070</t>
  </si>
  <si>
    <t>TXN0000071</t>
  </si>
  <si>
    <t>TXN0000072</t>
  </si>
  <si>
    <t>TXN0000073</t>
  </si>
  <si>
    <t>CUST99999</t>
  </si>
  <si>
    <t>TXN0000075</t>
  </si>
  <si>
    <t>TXN0000076</t>
  </si>
  <si>
    <t>TXN0000077</t>
  </si>
  <si>
    <t>TXN0000078</t>
  </si>
  <si>
    <t>TXN0000079</t>
  </si>
  <si>
    <t>TXN0000080</t>
  </si>
  <si>
    <t>TXN0000081</t>
  </si>
  <si>
    <t>TXN0000082</t>
  </si>
  <si>
    <t>TXN0000083</t>
  </si>
  <si>
    <t>TXN0000084</t>
  </si>
  <si>
    <t>TXN0000085</t>
  </si>
  <si>
    <t>TXN0000086</t>
  </si>
  <si>
    <t>TXN0000087</t>
  </si>
  <si>
    <t>TXN0000088</t>
  </si>
  <si>
    <t>TXN0000089</t>
  </si>
  <si>
    <t>TXN0000090</t>
  </si>
  <si>
    <t>TXN0000091</t>
  </si>
  <si>
    <t>TXN0000092</t>
  </si>
  <si>
    <t>TXN0000093</t>
  </si>
  <si>
    <t>TXN0000094</t>
  </si>
  <si>
    <t>TXN0000095</t>
  </si>
  <si>
    <t>TXN0000096</t>
  </si>
  <si>
    <t>TXN0000097</t>
  </si>
  <si>
    <t>TXN0000098</t>
  </si>
  <si>
    <t>TXN0000099</t>
  </si>
  <si>
    <t>TXN0000100</t>
  </si>
  <si>
    <t>TXN0000101</t>
  </si>
  <si>
    <t>TXN0000102</t>
  </si>
  <si>
    <t>TXN0000103</t>
  </si>
  <si>
    <t>TXN0000104</t>
  </si>
  <si>
    <t>TXN0000105</t>
  </si>
  <si>
    <t>TXN0000106</t>
  </si>
  <si>
    <t>TXN0000107</t>
  </si>
  <si>
    <t>TXN0000108</t>
  </si>
  <si>
    <t>TXN0000109</t>
  </si>
  <si>
    <t>TXN0000110</t>
  </si>
  <si>
    <t>TXN0000111</t>
  </si>
  <si>
    <t>TXN0000112</t>
  </si>
  <si>
    <t>TXN0000114</t>
  </si>
  <si>
    <t>TXN0000115</t>
  </si>
  <si>
    <t>TXN0000116</t>
  </si>
  <si>
    <t>Parking</t>
  </si>
  <si>
    <t>TXN0000117</t>
  </si>
  <si>
    <t>Lodging</t>
  </si>
  <si>
    <t>TXN0000118</t>
  </si>
  <si>
    <t>TXN0000119</t>
  </si>
  <si>
    <t>TXN0000120</t>
  </si>
  <si>
    <t>TXN0000121</t>
  </si>
  <si>
    <t>TXN0000122</t>
  </si>
  <si>
    <t>TXN0000123</t>
  </si>
  <si>
    <t>TXN0000124</t>
  </si>
  <si>
    <t>TXN0000125</t>
  </si>
  <si>
    <t>TXN0000126</t>
  </si>
  <si>
    <t>TXN0000127</t>
  </si>
  <si>
    <t>TXN0000128</t>
  </si>
  <si>
    <t>TXN0000129</t>
  </si>
  <si>
    <t>TXN0000130</t>
  </si>
  <si>
    <t>TXN0000131</t>
  </si>
  <si>
    <t>TXN0000132</t>
  </si>
  <si>
    <t>TXN0000133</t>
  </si>
  <si>
    <t>TXN0000134</t>
  </si>
  <si>
    <t>TXN0000135</t>
  </si>
  <si>
    <t>TXN0000136</t>
  </si>
  <si>
    <t>TXN0000137</t>
  </si>
  <si>
    <t>TXN0000138</t>
  </si>
  <si>
    <t>TXN0000139</t>
  </si>
  <si>
    <t>TXN0000140</t>
  </si>
  <si>
    <t>TXN0000141</t>
  </si>
  <si>
    <t>TXN0000142</t>
  </si>
  <si>
    <t>TXN0000143</t>
  </si>
  <si>
    <t>TXN0000144</t>
  </si>
  <si>
    <t>TXN0000145</t>
  </si>
  <si>
    <t>TXN0000146</t>
  </si>
  <si>
    <t>TXN0000147</t>
  </si>
  <si>
    <t>TXN0000148</t>
  </si>
  <si>
    <t>TXN0000149</t>
  </si>
  <si>
    <t>TXN0000150</t>
  </si>
  <si>
    <t>TXN0000151</t>
  </si>
  <si>
    <t>TXN0000152</t>
  </si>
  <si>
    <t>TXN0000153</t>
  </si>
  <si>
    <t>TXN0000154</t>
  </si>
  <si>
    <t>TXN0000155</t>
  </si>
  <si>
    <t>TXN0000156</t>
  </si>
  <si>
    <t>TXN0000157</t>
  </si>
  <si>
    <t>TXN0000158</t>
  </si>
  <si>
    <t>TXN0000159</t>
  </si>
  <si>
    <t>TXN0000160</t>
  </si>
  <si>
    <t>TXN0000161</t>
  </si>
  <si>
    <t>TXN0000162</t>
  </si>
  <si>
    <t>TXN0000163</t>
  </si>
  <si>
    <t>TXN0000164</t>
  </si>
  <si>
    <t>TXN0000165</t>
  </si>
  <si>
    <t>TXN0000166</t>
  </si>
  <si>
    <t>TXN0000167</t>
  </si>
  <si>
    <t>TXN0000168</t>
  </si>
  <si>
    <t>TXN0000169</t>
  </si>
  <si>
    <t>TXN0000170</t>
  </si>
  <si>
    <t>TXN0000171</t>
  </si>
  <si>
    <t>TXN0000172</t>
  </si>
  <si>
    <t>TXN0000173</t>
  </si>
  <si>
    <t>TXN0000174</t>
  </si>
  <si>
    <t>TXN0000175</t>
  </si>
  <si>
    <t>TXN0000176</t>
  </si>
  <si>
    <t>TXN0000177</t>
  </si>
  <si>
    <t>TXN0000178</t>
  </si>
  <si>
    <t>TXN0000179</t>
  </si>
  <si>
    <t>TXN0000180</t>
  </si>
  <si>
    <t>TXN0000181</t>
  </si>
  <si>
    <t>TXN0000182</t>
  </si>
  <si>
    <t>TXN0000183</t>
  </si>
  <si>
    <t>TXN0000184</t>
  </si>
  <si>
    <t>TXN0000185</t>
  </si>
  <si>
    <t>TXN0000186</t>
  </si>
  <si>
    <t>TXN0000187</t>
  </si>
  <si>
    <t>TXN0000188</t>
  </si>
  <si>
    <t>TXN0000189</t>
  </si>
  <si>
    <t>TXN0000190</t>
  </si>
  <si>
    <t>TXN0000191</t>
  </si>
  <si>
    <t>TXN0000192</t>
  </si>
  <si>
    <t>TXN0000193</t>
  </si>
  <si>
    <t>TXN0000194</t>
  </si>
  <si>
    <t>TXN0000195</t>
  </si>
  <si>
    <t>TXN0000196</t>
  </si>
  <si>
    <t>TXN0000197</t>
  </si>
  <si>
    <t>TXN0000198</t>
  </si>
  <si>
    <t>TXN0000199</t>
  </si>
  <si>
    <t>TXN0000200</t>
  </si>
  <si>
    <t>TXN0000201</t>
  </si>
  <si>
    <t>TXN0000202</t>
  </si>
  <si>
    <t>TXN0000203</t>
  </si>
  <si>
    <t>TXN0000204</t>
  </si>
  <si>
    <t>TXN0000205</t>
  </si>
  <si>
    <t>TXN0000206</t>
  </si>
  <si>
    <t>TXN0000207</t>
  </si>
  <si>
    <t>TXN0000208</t>
  </si>
  <si>
    <t>TXN0000209</t>
  </si>
  <si>
    <t>TXN0000210</t>
  </si>
  <si>
    <t>TXN0000211</t>
  </si>
  <si>
    <t>TXN0000213</t>
  </si>
  <si>
    <t>TXN0000214</t>
  </si>
  <si>
    <t>TXN0000215</t>
  </si>
  <si>
    <t>TXN0000216</t>
  </si>
  <si>
    <t>TXN0000217</t>
  </si>
  <si>
    <t>TXN0000218</t>
  </si>
  <si>
    <t>TXN0000219</t>
  </si>
  <si>
    <t>TXN0000220</t>
  </si>
  <si>
    <t>TXN0000221</t>
  </si>
  <si>
    <t>TXN0000222</t>
  </si>
  <si>
    <t>TXN0000223</t>
  </si>
  <si>
    <t>TXN0000224</t>
  </si>
  <si>
    <t>TXN0000225</t>
  </si>
  <si>
    <t>TXN0000227</t>
  </si>
  <si>
    <t>TXN0000228</t>
  </si>
  <si>
    <t>TXN0000229</t>
  </si>
  <si>
    <t>TXN0000230</t>
  </si>
  <si>
    <t>TXN0000231</t>
  </si>
  <si>
    <t>TXN0000232</t>
  </si>
  <si>
    <t>TXN0000233</t>
  </si>
  <si>
    <t>TXN0000234</t>
  </si>
  <si>
    <t>TXN0000235</t>
  </si>
  <si>
    <t>TXN0000236</t>
  </si>
  <si>
    <t>TXN0000237</t>
  </si>
  <si>
    <t>TXN0000238</t>
  </si>
  <si>
    <t>TXN0000239</t>
  </si>
  <si>
    <t>TXN0000240</t>
  </si>
  <si>
    <t>TXN0000241</t>
  </si>
  <si>
    <t>TXN0000242</t>
  </si>
  <si>
    <t>TXN0000243</t>
  </si>
  <si>
    <t>TXN0000244</t>
  </si>
  <si>
    <t>TXN0000245</t>
  </si>
  <si>
    <t>TXN0000246</t>
  </si>
  <si>
    <t>TXN0000247</t>
  </si>
  <si>
    <t>TXN0000248</t>
  </si>
  <si>
    <t>TXN0000249</t>
  </si>
  <si>
    <t>TXN0000250</t>
  </si>
  <si>
    <t>TXN0000251</t>
  </si>
  <si>
    <t>TXN0000252</t>
  </si>
  <si>
    <t>TXN0000253</t>
  </si>
  <si>
    <t>TXN0000254</t>
  </si>
  <si>
    <t>TXN0000255</t>
  </si>
  <si>
    <t>TXN0000256</t>
  </si>
  <si>
    <t>TXN0000257</t>
  </si>
  <si>
    <t>TXN0000258</t>
  </si>
  <si>
    <t>TXN0000259</t>
  </si>
  <si>
    <t>TXN0000260</t>
  </si>
  <si>
    <t>TXN0000261</t>
  </si>
  <si>
    <t>TXN0000262</t>
  </si>
  <si>
    <t>TXN0000263</t>
  </si>
  <si>
    <t>TXN0000264</t>
  </si>
  <si>
    <t>TXN0000265</t>
  </si>
  <si>
    <t>TXN0000266</t>
  </si>
  <si>
    <t>TXN0000267</t>
  </si>
  <si>
    <t>TXN0000269</t>
  </si>
  <si>
    <t>TXN0000270</t>
  </si>
  <si>
    <t>TXN0000271</t>
  </si>
  <si>
    <t>TXN0000272</t>
  </si>
  <si>
    <t>TXN0000273</t>
  </si>
  <si>
    <t>TXN0000274</t>
  </si>
  <si>
    <t>TXN0000275</t>
  </si>
  <si>
    <t>TXN0000276</t>
  </si>
  <si>
    <t>TXN0000277</t>
  </si>
  <si>
    <t>TXN0000278</t>
  </si>
  <si>
    <t>TXN0000279</t>
  </si>
  <si>
    <t>TXN0000280</t>
  </si>
  <si>
    <t>TXN0000281</t>
  </si>
  <si>
    <t>TXN0000282</t>
  </si>
  <si>
    <t>TXN0000283</t>
  </si>
  <si>
    <t>TXN0000284</t>
  </si>
  <si>
    <t>TXN0000285</t>
  </si>
  <si>
    <t>TXN0000286</t>
  </si>
  <si>
    <t>TXN0000287</t>
  </si>
  <si>
    <t>TXN0000288</t>
  </si>
  <si>
    <t>TXN0000289</t>
  </si>
  <si>
    <t>TXN0000290</t>
  </si>
  <si>
    <t>TXN0000291</t>
  </si>
  <si>
    <t>TXN0000292</t>
  </si>
  <si>
    <t>TXN0000293</t>
  </si>
  <si>
    <t>TXN0000294</t>
  </si>
  <si>
    <t>TXN0000295</t>
  </si>
  <si>
    <t>TXN0000296</t>
  </si>
  <si>
    <t>TXN0000297</t>
  </si>
  <si>
    <t>TXN0000298</t>
  </si>
  <si>
    <t>TXN0000299</t>
  </si>
  <si>
    <t>TXN0000300</t>
  </si>
  <si>
    <t>TXN0000301</t>
  </si>
  <si>
    <t>TXN0000302</t>
  </si>
  <si>
    <t>TXN0000303</t>
  </si>
  <si>
    <t>TXN0000304</t>
  </si>
  <si>
    <t>TXN0000305</t>
  </si>
  <si>
    <t>TXN0000306</t>
  </si>
  <si>
    <t>TXN0000307</t>
  </si>
  <si>
    <t>TXN0000308</t>
  </si>
  <si>
    <t>TXN0000309</t>
  </si>
  <si>
    <t>TXN0000310</t>
  </si>
  <si>
    <t>TXN0000312</t>
  </si>
  <si>
    <t>TXN0000313</t>
  </si>
  <si>
    <t>TXN0000314</t>
  </si>
  <si>
    <t>TXN0000315</t>
  </si>
  <si>
    <t>TXN0000316</t>
  </si>
  <si>
    <t>TXN0000317</t>
  </si>
  <si>
    <t>TXN0000318</t>
  </si>
  <si>
    <t>TXN0000319</t>
  </si>
  <si>
    <t>TXN0000320</t>
  </si>
  <si>
    <t>TXN0000321</t>
  </si>
  <si>
    <t>TXN0000323</t>
  </si>
  <si>
    <t>TXN0000324</t>
  </si>
  <si>
    <t>TXN0000325</t>
  </si>
  <si>
    <t>TXN0000326</t>
  </si>
  <si>
    <t>TXN0000327</t>
  </si>
  <si>
    <t>TXN0000328</t>
  </si>
  <si>
    <t>TXN0000329</t>
  </si>
  <si>
    <t>TXN0000330</t>
  </si>
  <si>
    <t>TXN0000331</t>
  </si>
  <si>
    <t>TXN0000332</t>
  </si>
  <si>
    <t>TXN0000333</t>
  </si>
  <si>
    <t>TXN0000334</t>
  </si>
  <si>
    <t>TXN0000335</t>
  </si>
  <si>
    <t>TXN0000336</t>
  </si>
  <si>
    <t>TXN0000337</t>
  </si>
  <si>
    <t>TXN0000338</t>
  </si>
  <si>
    <t>TXN0000339</t>
  </si>
  <si>
    <t>TXN0000340</t>
  </si>
  <si>
    <t>TXN0000342</t>
  </si>
  <si>
    <t>TXN0000343</t>
  </si>
  <si>
    <t>TXN0000344</t>
  </si>
  <si>
    <t>TXN0000345</t>
  </si>
  <si>
    <t>TXN0000346</t>
  </si>
  <si>
    <t>TXN0000347</t>
  </si>
  <si>
    <t>TXN0000348</t>
  </si>
  <si>
    <t>TXN0000349</t>
  </si>
  <si>
    <t>TXN0000350</t>
  </si>
  <si>
    <t>TXN0000351</t>
  </si>
  <si>
    <t>TXN0000352</t>
  </si>
  <si>
    <t>TXN0000353</t>
  </si>
  <si>
    <t>TXN0000354</t>
  </si>
  <si>
    <t>TXN0000355</t>
  </si>
  <si>
    <t>TXN0000356</t>
  </si>
  <si>
    <t>TXN0000357</t>
  </si>
  <si>
    <t>TXN0000358</t>
  </si>
  <si>
    <t>TXN0000359</t>
  </si>
  <si>
    <t>TXN0000360</t>
  </si>
  <si>
    <t>TXN0000361</t>
  </si>
  <si>
    <t>TXN0000362</t>
  </si>
  <si>
    <t>TXN0000363</t>
  </si>
  <si>
    <t>TXN0000364</t>
  </si>
  <si>
    <t>TXN0000365</t>
  </si>
  <si>
    <t>TXN0000366</t>
  </si>
  <si>
    <t>TXN0000367</t>
  </si>
  <si>
    <t>TXN0000368</t>
  </si>
  <si>
    <t>TXN0000369</t>
  </si>
  <si>
    <t>TXN0000370</t>
  </si>
  <si>
    <t>TXN0000371</t>
  </si>
  <si>
    <t>TXN0000372</t>
  </si>
  <si>
    <t>TXN0000373</t>
  </si>
  <si>
    <t>TXN0000374</t>
  </si>
  <si>
    <t>TXN0000375</t>
  </si>
  <si>
    <t>TXN0000376</t>
  </si>
  <si>
    <t>TXN0000377</t>
  </si>
  <si>
    <t>TXN0000378</t>
  </si>
  <si>
    <t>TXN0000379</t>
  </si>
  <si>
    <t>TXN0000380</t>
  </si>
  <si>
    <t>TXN0000381</t>
  </si>
  <si>
    <t>TXN0000382</t>
  </si>
  <si>
    <t>TXN0000383</t>
  </si>
  <si>
    <t>TXN0000384</t>
  </si>
  <si>
    <t>TXN0000385</t>
  </si>
  <si>
    <t>TXN0000386</t>
  </si>
  <si>
    <t>TXN0000387</t>
  </si>
  <si>
    <t>TXN0000388</t>
  </si>
  <si>
    <t>TXN0000389</t>
  </si>
  <si>
    <t>TXN0000390</t>
  </si>
  <si>
    <t>TXN0000391</t>
  </si>
  <si>
    <t>TXN0000392</t>
  </si>
  <si>
    <t>TXN0000393</t>
  </si>
  <si>
    <t>TXN0000394</t>
  </si>
  <si>
    <t>TXN0000395</t>
  </si>
  <si>
    <t>TXN0000396</t>
  </si>
  <si>
    <t>TXN0000397</t>
  </si>
  <si>
    <t>TXN0000398</t>
  </si>
  <si>
    <t>TXN0000399</t>
  </si>
  <si>
    <t>TXN0000400</t>
  </si>
  <si>
    <t>TXN0000401</t>
  </si>
  <si>
    <t>TXN0000402</t>
  </si>
  <si>
    <t>TXN0000403</t>
  </si>
  <si>
    <t>TXN0000404</t>
  </si>
  <si>
    <t>TXN0000405</t>
  </si>
  <si>
    <t>TXN0000406</t>
  </si>
  <si>
    <t>TXN0000407</t>
  </si>
  <si>
    <t>TXN0000408</t>
  </si>
  <si>
    <t>TXN0000409</t>
  </si>
  <si>
    <t>TXN0000410</t>
  </si>
  <si>
    <t>TXN0000411</t>
  </si>
  <si>
    <t>TXN0000412</t>
  </si>
  <si>
    <t>TXN0000413</t>
  </si>
  <si>
    <t>TXN0000414</t>
  </si>
  <si>
    <t>TXN0000415</t>
  </si>
  <si>
    <t>TXN0000416</t>
  </si>
  <si>
    <t>TXN0000417</t>
  </si>
  <si>
    <t>TXN0000418</t>
  </si>
  <si>
    <t>TXN0000419</t>
  </si>
  <si>
    <t>TXN0000420</t>
  </si>
  <si>
    <t>TXN0000421</t>
  </si>
  <si>
    <t>TXN0000422</t>
  </si>
  <si>
    <t>TXN0000423</t>
  </si>
  <si>
    <t>TXN0000424</t>
  </si>
  <si>
    <t>TXN0000425</t>
  </si>
  <si>
    <t>TXN0000426</t>
  </si>
  <si>
    <t>TXN0000427</t>
  </si>
  <si>
    <t>TXN0000428</t>
  </si>
  <si>
    <t>TXN0000429</t>
  </si>
  <si>
    <t>TXN0000430</t>
  </si>
  <si>
    <t>TXN0000431</t>
  </si>
  <si>
    <t>TXN0000432</t>
  </si>
  <si>
    <t>TXN0000433</t>
  </si>
  <si>
    <t>TXN0000434</t>
  </si>
  <si>
    <t>TXN0000435</t>
  </si>
  <si>
    <t>TXN0000436</t>
  </si>
  <si>
    <t>TXN0000437</t>
  </si>
  <si>
    <t>TXN0000438</t>
  </si>
  <si>
    <t>TXN0000439</t>
  </si>
  <si>
    <t>TXN0000440</t>
  </si>
  <si>
    <t>TXN0000441</t>
  </si>
  <si>
    <t>TXN0000442</t>
  </si>
  <si>
    <t>TXN0000443</t>
  </si>
  <si>
    <t>TXN0000444</t>
  </si>
  <si>
    <t>TXN0000445</t>
  </si>
  <si>
    <t>TXN0000446</t>
  </si>
  <si>
    <t>TXN0000447</t>
  </si>
  <si>
    <t>TXN0000448</t>
  </si>
  <si>
    <t>TXN0000449</t>
  </si>
  <si>
    <t>TXN0000450</t>
  </si>
  <si>
    <t>TXN0000451</t>
  </si>
  <si>
    <t>TXN0000452</t>
  </si>
  <si>
    <t>TXN0000453</t>
  </si>
  <si>
    <t>TXN0000454</t>
  </si>
  <si>
    <t>TXN0000455</t>
  </si>
  <si>
    <t>TXN0000456</t>
  </si>
  <si>
    <t>TXN0000457</t>
  </si>
  <si>
    <t>TXN0000458</t>
  </si>
  <si>
    <t>TXN0000459</t>
  </si>
  <si>
    <t>TXN0000460</t>
  </si>
  <si>
    <t>TXN0000461</t>
  </si>
  <si>
    <t>TXN0000462</t>
  </si>
  <si>
    <t>TXN0000463</t>
  </si>
  <si>
    <t>TXN0000465</t>
  </si>
  <si>
    <t>TXN0000466</t>
  </si>
  <si>
    <t>TXN0000467</t>
  </si>
  <si>
    <t>TXN0000468</t>
  </si>
  <si>
    <t>TXN0000469</t>
  </si>
  <si>
    <t>TXN0000470</t>
  </si>
  <si>
    <t>TXN0000471</t>
  </si>
  <si>
    <t>TXN0000472</t>
  </si>
  <si>
    <t>TXN0000473</t>
  </si>
  <si>
    <t>TXN0000474</t>
  </si>
  <si>
    <t>TXN0000475</t>
  </si>
  <si>
    <t>TXN0000476</t>
  </si>
  <si>
    <t>TXN0000477</t>
  </si>
  <si>
    <t>TXN0000479</t>
  </si>
  <si>
    <t>TXN0000480</t>
  </si>
  <si>
    <t>TXN0000481</t>
  </si>
  <si>
    <t>TXN0000482</t>
  </si>
  <si>
    <t>TXN0000483</t>
  </si>
  <si>
    <t>TXN0000484</t>
  </si>
  <si>
    <t>TXN0000485</t>
  </si>
  <si>
    <t>TXN0000486</t>
  </si>
  <si>
    <t>TXN0000487</t>
  </si>
  <si>
    <t>TXN0000488</t>
  </si>
  <si>
    <t>TXN0000489</t>
  </si>
  <si>
    <t>TXN0000490</t>
  </si>
  <si>
    <t>TXN0000491</t>
  </si>
  <si>
    <t>TXN0000492</t>
  </si>
  <si>
    <t>TXN0000493</t>
  </si>
  <si>
    <t>TXN0000494</t>
  </si>
  <si>
    <t>TXN0000495</t>
  </si>
  <si>
    <t>TXN0000496</t>
  </si>
  <si>
    <t>TXN0000497</t>
  </si>
  <si>
    <t>TXN0000498</t>
  </si>
  <si>
    <t>TXN0000499</t>
  </si>
  <si>
    <t>TXN0000500</t>
  </si>
  <si>
    <t>TXN0000501</t>
  </si>
  <si>
    <t>TXN0000502</t>
  </si>
  <si>
    <t>TXN0000503</t>
  </si>
  <si>
    <t>TXN0000504</t>
  </si>
  <si>
    <t>TXN0000505</t>
  </si>
  <si>
    <t>TXN0000506</t>
  </si>
  <si>
    <t>TXN0000507</t>
  </si>
  <si>
    <t>TXN0000508</t>
  </si>
  <si>
    <t>TXN0000509</t>
  </si>
  <si>
    <t>TXN0000510</t>
  </si>
  <si>
    <t>TXN0000511</t>
  </si>
  <si>
    <t>TXN0000512</t>
  </si>
  <si>
    <t>TXN0000513</t>
  </si>
  <si>
    <t>TXN0000514</t>
  </si>
  <si>
    <t>TXN0000515</t>
  </si>
  <si>
    <t>TXN0000516</t>
  </si>
  <si>
    <t>TXN0000517</t>
  </si>
  <si>
    <t>TXN0000518</t>
  </si>
  <si>
    <t>TXN0000519</t>
  </si>
  <si>
    <t>TXN0000520</t>
  </si>
  <si>
    <t>TXN0000521</t>
  </si>
  <si>
    <t>TXN0000522</t>
  </si>
  <si>
    <t>TXN0000523</t>
  </si>
  <si>
    <t>TXN0000524</t>
  </si>
  <si>
    <t>TXN0000525</t>
  </si>
  <si>
    <t>TXN0000527</t>
  </si>
  <si>
    <t>TXN0000528</t>
  </si>
  <si>
    <t>TXN0000529</t>
  </si>
  <si>
    <t>TXN0000530</t>
  </si>
  <si>
    <t>TXN0000531</t>
  </si>
  <si>
    <t>TXN0000532</t>
  </si>
  <si>
    <t>TXN0000533</t>
  </si>
  <si>
    <t>TXN0000534</t>
  </si>
  <si>
    <t>TXN0000535</t>
  </si>
  <si>
    <t>TXN0000536</t>
  </si>
  <si>
    <t>TXN0000537</t>
  </si>
  <si>
    <t>TXN0000538</t>
  </si>
  <si>
    <t>TXN0000539</t>
  </si>
  <si>
    <t>TXN0000540</t>
  </si>
  <si>
    <t>TXN0000541</t>
  </si>
  <si>
    <t>TXN0000542</t>
  </si>
  <si>
    <t>TXN0000543</t>
  </si>
  <si>
    <t>TXN0000544</t>
  </si>
  <si>
    <t>TXN0000545</t>
  </si>
  <si>
    <t>TXN0000546</t>
  </si>
  <si>
    <t>TXN0000547</t>
  </si>
  <si>
    <t>TXN0000548</t>
  </si>
  <si>
    <t>TXN0000549</t>
  </si>
  <si>
    <t>TXN0000550</t>
  </si>
  <si>
    <t>TXN0000551</t>
  </si>
  <si>
    <t>TXN0000552</t>
  </si>
  <si>
    <t>TXN0000553</t>
  </si>
  <si>
    <t>TXN0000554</t>
  </si>
  <si>
    <t>TXN0000555</t>
  </si>
  <si>
    <t>TXN0000556</t>
  </si>
  <si>
    <t>TXN0000557</t>
  </si>
  <si>
    <t>TXN0000558</t>
  </si>
  <si>
    <t>TXN0000559</t>
  </si>
  <si>
    <t>TXN0000560</t>
  </si>
  <si>
    <t>TXN0000561</t>
  </si>
  <si>
    <t>TXN0000562</t>
  </si>
  <si>
    <t>TXN0000563</t>
  </si>
  <si>
    <t>TXN0000564</t>
  </si>
  <si>
    <t>TXN0000565</t>
  </si>
  <si>
    <t>TXN0000566</t>
  </si>
  <si>
    <t>TXN0000567</t>
  </si>
  <si>
    <t>TXN0000568</t>
  </si>
  <si>
    <t>TXN0000569</t>
  </si>
  <si>
    <t>TXN0000570</t>
  </si>
  <si>
    <t>TXN0000571</t>
  </si>
  <si>
    <t>TXN0000572</t>
  </si>
  <si>
    <t>TXN0000573</t>
  </si>
  <si>
    <t>TXN0000574</t>
  </si>
  <si>
    <t>TXN0000575</t>
  </si>
  <si>
    <t>TXN0000576</t>
  </si>
  <si>
    <t>TXN0000577</t>
  </si>
  <si>
    <t>TXN0000578</t>
  </si>
  <si>
    <t>TXN0000579</t>
  </si>
  <si>
    <t>TXN0000581</t>
  </si>
  <si>
    <t>TXN0000582</t>
  </si>
  <si>
    <t>TXN0000583</t>
  </si>
  <si>
    <t>TXN0000584</t>
  </si>
  <si>
    <t>TXN0000585</t>
  </si>
  <si>
    <t>TXN0000586</t>
  </si>
  <si>
    <t>TXN0000587</t>
  </si>
  <si>
    <t>TXN0000588</t>
  </si>
  <si>
    <t>TXN0000589</t>
  </si>
  <si>
    <t>TXN0000590</t>
  </si>
  <si>
    <t>TXN0000591</t>
  </si>
  <si>
    <t>TXN0000592</t>
  </si>
  <si>
    <t>TXN0000593</t>
  </si>
  <si>
    <t>TXN0000594</t>
  </si>
  <si>
    <t>TXN0000595</t>
  </si>
  <si>
    <t>TXN0000596</t>
  </si>
  <si>
    <t>TXN0000597</t>
  </si>
  <si>
    <t>TXN0000598</t>
  </si>
  <si>
    <t>TXN0000599</t>
  </si>
  <si>
    <t>TXN0000600</t>
  </si>
  <si>
    <t>TXN0000601</t>
  </si>
  <si>
    <t>TXN0000602</t>
  </si>
  <si>
    <t>TXN0000603</t>
  </si>
  <si>
    <t>TXN0000604</t>
  </si>
  <si>
    <t>TXN0000605</t>
  </si>
  <si>
    <t>TXN0000607</t>
  </si>
  <si>
    <t>TXN0000608</t>
  </si>
  <si>
    <t>TXN0000609</t>
  </si>
  <si>
    <t>TXN0000610</t>
  </si>
  <si>
    <t>TXN0000611</t>
  </si>
  <si>
    <t>TXN0000612</t>
  </si>
  <si>
    <t>TXN0000613</t>
  </si>
  <si>
    <t>TXN0000614</t>
  </si>
  <si>
    <t>TXN0000615</t>
  </si>
  <si>
    <t>TXN0000616</t>
  </si>
  <si>
    <t>TXN0000617</t>
  </si>
  <si>
    <t>TXN0000618</t>
  </si>
  <si>
    <t>TXN0000619</t>
  </si>
  <si>
    <t>TXN0000620</t>
  </si>
  <si>
    <t>TXN0000621</t>
  </si>
  <si>
    <t>TXN0000622</t>
  </si>
  <si>
    <t>TXN0000623</t>
  </si>
  <si>
    <t>TXN0000624</t>
  </si>
  <si>
    <t>TXN0000625</t>
  </si>
  <si>
    <t>TXN0000626</t>
  </si>
  <si>
    <t>TXN0000627</t>
  </si>
  <si>
    <t>TXN0000628</t>
  </si>
  <si>
    <t>TXN0000629</t>
  </si>
  <si>
    <t>TXN0000630</t>
  </si>
  <si>
    <t>TXN0000631</t>
  </si>
  <si>
    <t>TXN0000632</t>
  </si>
  <si>
    <t>TXN0000633</t>
  </si>
  <si>
    <t>TXN0000634</t>
  </si>
  <si>
    <t>TXN0000635</t>
  </si>
  <si>
    <t>TXN0000636</t>
  </si>
  <si>
    <t>TXN0000638</t>
  </si>
  <si>
    <t>TXN0000639</t>
  </si>
  <si>
    <t>TXN0000640</t>
  </si>
  <si>
    <t>TXN0000641</t>
  </si>
  <si>
    <t>TXN0000642</t>
  </si>
  <si>
    <t>TXN0000643</t>
  </si>
  <si>
    <t>TXN0000644</t>
  </si>
  <si>
    <t>TXN0000645</t>
  </si>
  <si>
    <t>TXN0000646</t>
  </si>
  <si>
    <t>TXN0000647</t>
  </si>
  <si>
    <t>TXN0000649</t>
  </si>
  <si>
    <t>TXN0000650</t>
  </si>
  <si>
    <t>TXN0000651</t>
  </si>
  <si>
    <t>TXN0000652</t>
  </si>
  <si>
    <t>TXN0000653</t>
  </si>
  <si>
    <t>TXN0000654</t>
  </si>
  <si>
    <t>TXN0000655</t>
  </si>
  <si>
    <t>TXN0000656</t>
  </si>
  <si>
    <t>TXN0000657</t>
  </si>
  <si>
    <t>TXN0000658</t>
  </si>
  <si>
    <t>TXN0000659</t>
  </si>
  <si>
    <t>TXN0000660</t>
  </si>
  <si>
    <t>TXN0000661</t>
  </si>
  <si>
    <t>TXN0000662</t>
  </si>
  <si>
    <t>TXN0000663</t>
  </si>
  <si>
    <t>TXN0000664</t>
  </si>
  <si>
    <t>TXN0000665</t>
  </si>
  <si>
    <t>TXN0000666</t>
  </si>
  <si>
    <t>TXN0000667</t>
  </si>
  <si>
    <t>TXN0000668</t>
  </si>
  <si>
    <t>TXN0000669</t>
  </si>
  <si>
    <t>TXN0000670</t>
  </si>
  <si>
    <t>TXN0000671</t>
  </si>
  <si>
    <t>TXN0000672</t>
  </si>
  <si>
    <t>TXN0000673</t>
  </si>
  <si>
    <t>TXN0000674</t>
  </si>
  <si>
    <t>TXN0000675</t>
  </si>
  <si>
    <t>TXN0000677</t>
  </si>
  <si>
    <t>TXN0000678</t>
  </si>
  <si>
    <t>TXN0000679</t>
  </si>
  <si>
    <t>TXN0000680</t>
  </si>
  <si>
    <t>TXN0000681</t>
  </si>
  <si>
    <t>TXN0000682</t>
  </si>
  <si>
    <t>TXN0000683</t>
  </si>
  <si>
    <t>TXN0000684</t>
  </si>
  <si>
    <t>TXN0000685</t>
  </si>
  <si>
    <t>TXN0000686</t>
  </si>
  <si>
    <t>TXN0000687</t>
  </si>
  <si>
    <t>TXN0000688</t>
  </si>
  <si>
    <t>TXN0000689</t>
  </si>
  <si>
    <t>TXN0000690</t>
  </si>
  <si>
    <t>TXN0000691</t>
  </si>
  <si>
    <t>TXN0000692</t>
  </si>
  <si>
    <t>TXN0000693</t>
  </si>
  <si>
    <t>TXN0000694</t>
  </si>
  <si>
    <t>TXN0000695</t>
  </si>
  <si>
    <t>TXN0000696</t>
  </si>
  <si>
    <t>TXN0000697</t>
  </si>
  <si>
    <t>TXN0000698</t>
  </si>
  <si>
    <t>TXN0000699</t>
  </si>
  <si>
    <t>TXN0000700</t>
  </si>
  <si>
    <t>TXN0000701</t>
  </si>
  <si>
    <t>TXN0000702</t>
  </si>
  <si>
    <t>TXN0000703</t>
  </si>
  <si>
    <t>TXN0000704</t>
  </si>
  <si>
    <t>TXN0000705</t>
  </si>
  <si>
    <t>TXN0000706</t>
  </si>
  <si>
    <t>TXN0000707</t>
  </si>
  <si>
    <t>TXN0000708</t>
  </si>
  <si>
    <t>TXN0000709</t>
  </si>
  <si>
    <t>TXN0000710</t>
  </si>
  <si>
    <t>TXN0000711</t>
  </si>
  <si>
    <t>TXN0000712</t>
  </si>
  <si>
    <t>TXN0000713</t>
  </si>
  <si>
    <t>TXN0000714</t>
  </si>
  <si>
    <t>TXN0000715</t>
  </si>
  <si>
    <t>TXN0000716</t>
  </si>
  <si>
    <t>TXN0000717</t>
  </si>
  <si>
    <t>TXN0000718</t>
  </si>
  <si>
    <t>TXN0000719</t>
  </si>
  <si>
    <t>TXN0000720</t>
  </si>
  <si>
    <t>TXN0000721</t>
  </si>
  <si>
    <t>TXN0000722</t>
  </si>
  <si>
    <t>TXN0000723</t>
  </si>
  <si>
    <t>TXN0000724</t>
  </si>
  <si>
    <t>TXN0000725</t>
  </si>
  <si>
    <t>TXN0000726</t>
  </si>
  <si>
    <t>TXN0000727</t>
  </si>
  <si>
    <t>TXN0000728</t>
  </si>
  <si>
    <t>TXN0000729</t>
  </si>
  <si>
    <t>TXN0000730</t>
  </si>
  <si>
    <t>TXN0000731</t>
  </si>
  <si>
    <t>TXN0000732</t>
  </si>
  <si>
    <t>TXN0000733</t>
  </si>
  <si>
    <t>TXN0000734</t>
  </si>
  <si>
    <t>TXN0000735</t>
  </si>
  <si>
    <t>TXN0000736</t>
  </si>
  <si>
    <t>TXN0000737</t>
  </si>
  <si>
    <t>TXN0000738</t>
  </si>
  <si>
    <t>TXN0000739</t>
  </si>
  <si>
    <t>TXN0000740</t>
  </si>
  <si>
    <t>TXN0000741</t>
  </si>
  <si>
    <t>TXN0000742</t>
  </si>
  <si>
    <t>TXN0000743</t>
  </si>
  <si>
    <t>TXN0000744</t>
  </si>
  <si>
    <t>TXN0000745</t>
  </si>
  <si>
    <t>TXN0000746</t>
  </si>
  <si>
    <t>TXN0000747</t>
  </si>
  <si>
    <t>TXN0000749</t>
  </si>
  <si>
    <t>TXN0000750</t>
  </si>
  <si>
    <t>TXN0000751</t>
  </si>
  <si>
    <t>TXN0000752</t>
  </si>
  <si>
    <t>TXN0000753</t>
  </si>
  <si>
    <t>TXN0000754</t>
  </si>
  <si>
    <t>TXN0000755</t>
  </si>
  <si>
    <t>TXN0000756</t>
  </si>
  <si>
    <t>TXN0000757</t>
  </si>
  <si>
    <t>TXN0000758</t>
  </si>
  <si>
    <t>TXN0000759</t>
  </si>
  <si>
    <t>TXN0000760</t>
  </si>
  <si>
    <t>TXN0000761</t>
  </si>
  <si>
    <t>TXN0000762</t>
  </si>
  <si>
    <t>TXN0000763</t>
  </si>
  <si>
    <t>TXN0000764</t>
  </si>
  <si>
    <t>TXN0000765</t>
  </si>
  <si>
    <t>TXN0000766</t>
  </si>
  <si>
    <t>TXN0000767</t>
  </si>
  <si>
    <t>TXN0000768</t>
  </si>
  <si>
    <t>TXN0000769</t>
  </si>
  <si>
    <t>TXN0000770</t>
  </si>
  <si>
    <t>TXN0000771</t>
  </si>
  <si>
    <t>TXN0000772</t>
  </si>
  <si>
    <t>TXN0000773</t>
  </si>
  <si>
    <t>TXN0000774</t>
  </si>
  <si>
    <t>TXN0000775</t>
  </si>
  <si>
    <t>TXN0000776</t>
  </si>
  <si>
    <t>TXN0000777</t>
  </si>
  <si>
    <t>TXN0000778</t>
  </si>
  <si>
    <t>TXN0000779</t>
  </si>
  <si>
    <t>TXN0000780</t>
  </si>
  <si>
    <t>TXN0000781</t>
  </si>
  <si>
    <t>TXN0000782</t>
  </si>
  <si>
    <t>TXN0000783</t>
  </si>
  <si>
    <t>TXN0000784</t>
  </si>
  <si>
    <t>TXN0000785</t>
  </si>
  <si>
    <t>TXN0000786</t>
  </si>
  <si>
    <t>TXN0000787</t>
  </si>
  <si>
    <t>TXN0000789</t>
  </si>
  <si>
    <t>TXN0000790</t>
  </si>
  <si>
    <t>TXN0000791</t>
  </si>
  <si>
    <t>TXN0000792</t>
  </si>
  <si>
    <t>TXN0000793</t>
  </si>
  <si>
    <t>TXN0000794</t>
  </si>
  <si>
    <t>TXN0000795</t>
  </si>
  <si>
    <t>TXN0000796</t>
  </si>
  <si>
    <t>TXN0000797</t>
  </si>
  <si>
    <t>TXN0000798</t>
  </si>
  <si>
    <t>TXN0000800</t>
  </si>
  <si>
    <t>TXN0000801</t>
  </si>
  <si>
    <t>TXN0000802</t>
  </si>
  <si>
    <t>TXN0000803</t>
  </si>
  <si>
    <t>TXN0000804</t>
  </si>
  <si>
    <t>TXN0000805</t>
  </si>
  <si>
    <t>TXN0000806</t>
  </si>
  <si>
    <t>TXN0000807</t>
  </si>
  <si>
    <t>TXN0000808</t>
  </si>
  <si>
    <t>TXN0000809</t>
  </si>
  <si>
    <t>TXN0000810</t>
  </si>
  <si>
    <t>TXN0000811</t>
  </si>
  <si>
    <t>TXN0000812</t>
  </si>
  <si>
    <t>TXN0000813</t>
  </si>
  <si>
    <t>TXN0000814</t>
  </si>
  <si>
    <t>TXN0000815</t>
  </si>
  <si>
    <t>TXN0000816</t>
  </si>
  <si>
    <t>TXN0000817</t>
  </si>
  <si>
    <t>TXN0000818</t>
  </si>
  <si>
    <t>TXN0000819</t>
  </si>
  <si>
    <t>TXN0000820</t>
  </si>
  <si>
    <t>TXN0000821</t>
  </si>
  <si>
    <t>TXN0000822</t>
  </si>
  <si>
    <t>TXN0000823</t>
  </si>
  <si>
    <t>TXN0000824</t>
  </si>
  <si>
    <t>TXN0000825</t>
  </si>
  <si>
    <t>TXN0000826</t>
  </si>
  <si>
    <t>TXN0000827</t>
  </si>
  <si>
    <t>TXN0000828</t>
  </si>
  <si>
    <t>TXN0000829</t>
  </si>
  <si>
    <t>TXN0000830</t>
  </si>
  <si>
    <t>TXN0000831</t>
  </si>
  <si>
    <t>TXN0000832</t>
  </si>
  <si>
    <t>TXN0000833</t>
  </si>
  <si>
    <t>TXN0000834</t>
  </si>
  <si>
    <t>TXN0000835</t>
  </si>
  <si>
    <t>TXN0000836</t>
  </si>
  <si>
    <t>TXN0000837</t>
  </si>
  <si>
    <t>TXN0000838</t>
  </si>
  <si>
    <t>TXN0000839</t>
  </si>
  <si>
    <t>TXN0000840</t>
  </si>
  <si>
    <t>TXN0000841</t>
  </si>
  <si>
    <t>TXN0000842</t>
  </si>
  <si>
    <t>TXN0000843</t>
  </si>
  <si>
    <t>TXN0000844</t>
  </si>
  <si>
    <t>TXN0000845</t>
  </si>
  <si>
    <t>TXN0000846</t>
  </si>
  <si>
    <t>TXN0000847</t>
  </si>
  <si>
    <t>TXN0000848</t>
  </si>
  <si>
    <t>TXN0000849</t>
  </si>
  <si>
    <t>TXN0000850</t>
  </si>
  <si>
    <t>TXN0000851</t>
  </si>
  <si>
    <t>TXN0000852</t>
  </si>
  <si>
    <t>TXN0000853</t>
  </si>
  <si>
    <t>TXN0000854</t>
  </si>
  <si>
    <t>TXN0000855</t>
  </si>
  <si>
    <t>TXN0000856</t>
  </si>
  <si>
    <t>TXN0000857</t>
  </si>
  <si>
    <t>TXN0000858</t>
  </si>
  <si>
    <t>TXN0000859</t>
  </si>
  <si>
    <t>TXN0000860</t>
  </si>
  <si>
    <t>TXN0000861</t>
  </si>
  <si>
    <t>TXN0000862</t>
  </si>
  <si>
    <t>TXN0000863</t>
  </si>
  <si>
    <t>TXN0000864</t>
  </si>
  <si>
    <t>TXN0000865</t>
  </si>
  <si>
    <t>TXN0000866</t>
  </si>
  <si>
    <t>TXN0000867</t>
  </si>
  <si>
    <t>TXN0000868</t>
  </si>
  <si>
    <t>TXN0000869</t>
  </si>
  <si>
    <t>TXN0000870</t>
  </si>
  <si>
    <t>TXN0000871</t>
  </si>
  <si>
    <t>TXN0000872</t>
  </si>
  <si>
    <t>TXN0000873</t>
  </si>
  <si>
    <t>TXN0000874</t>
  </si>
  <si>
    <t>TXN0000875</t>
  </si>
  <si>
    <t>TXN0000876</t>
  </si>
  <si>
    <t>TXN0000877</t>
  </si>
  <si>
    <t>TXN0000878</t>
  </si>
  <si>
    <t>TXN0000879</t>
  </si>
  <si>
    <t>TXN0000880</t>
  </si>
  <si>
    <t>TXN0000881</t>
  </si>
  <si>
    <t>TXN0000882</t>
  </si>
  <si>
    <t>TXN0000883</t>
  </si>
  <si>
    <t>TXN0000884</t>
  </si>
  <si>
    <t>TXN0000885</t>
  </si>
  <si>
    <t>TXN0000886</t>
  </si>
  <si>
    <t>TXN0000887</t>
  </si>
  <si>
    <t>TXN0000888</t>
  </si>
  <si>
    <t>TXN0000889</t>
  </si>
  <si>
    <t>TXN0000890</t>
  </si>
  <si>
    <t>TXN0000891</t>
  </si>
  <si>
    <t>TXN0000892</t>
  </si>
  <si>
    <t>TXN0000893</t>
  </si>
  <si>
    <t>TXN0000894</t>
  </si>
  <si>
    <t>TXN0000895</t>
  </si>
  <si>
    <t>TXN0000896</t>
  </si>
  <si>
    <t>TXN0000897</t>
  </si>
  <si>
    <t>TXN0000898</t>
  </si>
  <si>
    <t>TXN0000899</t>
  </si>
  <si>
    <t>TXN0000900</t>
  </si>
  <si>
    <t>TXN0000901</t>
  </si>
  <si>
    <t>TXN0000902</t>
  </si>
  <si>
    <t>TXN0000903</t>
  </si>
  <si>
    <t>TXN0000904</t>
  </si>
  <si>
    <t>TXN0000905</t>
  </si>
  <si>
    <t>TXN0000906</t>
  </si>
  <si>
    <t>TXN0000907</t>
  </si>
  <si>
    <t>TXN0000908</t>
  </si>
  <si>
    <t>TXN0000909</t>
  </si>
  <si>
    <t>TXN0000910</t>
  </si>
  <si>
    <t>TXN0000911</t>
  </si>
  <si>
    <t>TXN0000912</t>
  </si>
  <si>
    <t>TXN0000913</t>
  </si>
  <si>
    <t>TXN0000914</t>
  </si>
  <si>
    <t>TXN0000915</t>
  </si>
  <si>
    <t>TXN0000916</t>
  </si>
  <si>
    <t>TXN0000917</t>
  </si>
  <si>
    <t>TXN0000918</t>
  </si>
  <si>
    <t>TXN0000919</t>
  </si>
  <si>
    <t>TXN0000920</t>
  </si>
  <si>
    <t>TXN0000921</t>
  </si>
  <si>
    <t>TXN0000922</t>
  </si>
  <si>
    <t>TXN0000923</t>
  </si>
  <si>
    <t>TXN0000924</t>
  </si>
  <si>
    <t>TXN0000926</t>
  </si>
  <si>
    <t>TXN0000927</t>
  </si>
  <si>
    <t>TXN0000928</t>
  </si>
  <si>
    <t>TXN0000930</t>
  </si>
  <si>
    <t>TXN0000931</t>
  </si>
  <si>
    <t>TXN0000932</t>
  </si>
  <si>
    <t>TXN0000933</t>
  </si>
  <si>
    <t>TXN0000934</t>
  </si>
  <si>
    <t>TXN0000935</t>
  </si>
  <si>
    <t>TXN0000936</t>
  </si>
  <si>
    <t>TXN0000937</t>
  </si>
  <si>
    <t>TXN0000938</t>
  </si>
  <si>
    <t>TXN0000939</t>
  </si>
  <si>
    <t>TXN0000940</t>
  </si>
  <si>
    <t>TXN0000941</t>
  </si>
  <si>
    <t>TXN0000942</t>
  </si>
  <si>
    <t>TXN0000943</t>
  </si>
  <si>
    <t>TXN0000944</t>
  </si>
  <si>
    <t>TXN0000945</t>
  </si>
  <si>
    <t>TXN0000946</t>
  </si>
  <si>
    <t>TXN0000947</t>
  </si>
  <si>
    <t>TXN0000948</t>
  </si>
  <si>
    <t>TXN0000949</t>
  </si>
  <si>
    <t>TXN0000950</t>
  </si>
  <si>
    <t>TXN0000951</t>
  </si>
  <si>
    <t>TXN0000952</t>
  </si>
  <si>
    <t>TXN0000953</t>
  </si>
  <si>
    <t>TXN0000954</t>
  </si>
  <si>
    <t>TXN0000955</t>
  </si>
  <si>
    <t>TXN0000956</t>
  </si>
  <si>
    <t>TXN0000957</t>
  </si>
  <si>
    <t>TXN0000958</t>
  </si>
  <si>
    <t>TXN0000959</t>
  </si>
  <si>
    <t>TXN0000960</t>
  </si>
  <si>
    <t>TXN0000961</t>
  </si>
  <si>
    <t>TXN0000962</t>
  </si>
  <si>
    <t>TXN0000963</t>
  </si>
  <si>
    <t>TXN0000965</t>
  </si>
  <si>
    <t>TXN0000966</t>
  </si>
  <si>
    <t>TXN0000967</t>
  </si>
  <si>
    <t>TXN0000968</t>
  </si>
  <si>
    <t>TXN0000969</t>
  </si>
  <si>
    <t>TXN0000970</t>
  </si>
  <si>
    <t>TXN0000971</t>
  </si>
  <si>
    <t>TXN0000972</t>
  </si>
  <si>
    <t>TXN0000973</t>
  </si>
  <si>
    <t>TXN0000974</t>
  </si>
  <si>
    <t>TXN0000975</t>
  </si>
  <si>
    <t>TXN0000976</t>
  </si>
  <si>
    <t>TXN0000977</t>
  </si>
  <si>
    <t>TXN0000978</t>
  </si>
  <si>
    <t>TXN0000979</t>
  </si>
  <si>
    <t>TXN0000980</t>
  </si>
  <si>
    <t>TXN0000981</t>
  </si>
  <si>
    <t>TXN0000982</t>
  </si>
  <si>
    <t>TXN0000983</t>
  </si>
  <si>
    <t>TXN0000984</t>
  </si>
  <si>
    <t>TXN0000985</t>
  </si>
  <si>
    <t>TXN0000986</t>
  </si>
  <si>
    <t>TXN0000987</t>
  </si>
  <si>
    <t>TXN0000988</t>
  </si>
  <si>
    <t>TXN0000989</t>
  </si>
  <si>
    <t>TXN0000990</t>
  </si>
  <si>
    <t>TXN0000991</t>
  </si>
  <si>
    <t>TXN0000992</t>
  </si>
  <si>
    <t>TXN0000993</t>
  </si>
  <si>
    <t>TXN0000994</t>
  </si>
  <si>
    <t>TXN0000995</t>
  </si>
  <si>
    <t>TXN0000996</t>
  </si>
  <si>
    <t>TXN0000997</t>
  </si>
  <si>
    <t>TXN0000998</t>
  </si>
  <si>
    <t>TXN0000999</t>
  </si>
  <si>
    <t>TXN0001000</t>
  </si>
  <si>
    <t>TXN0001001</t>
  </si>
  <si>
    <t>TXN0001002</t>
  </si>
  <si>
    <t>TXN0001003</t>
  </si>
  <si>
    <t>TXN0001004</t>
  </si>
  <si>
    <t>TXN0001005</t>
  </si>
  <si>
    <t>TXN0001006</t>
  </si>
  <si>
    <t>TXN0001007</t>
  </si>
  <si>
    <t>TXN0001008</t>
  </si>
  <si>
    <t>TXN0001009</t>
  </si>
  <si>
    <t>TXN0001010</t>
  </si>
  <si>
    <t>TXN0001011</t>
  </si>
  <si>
    <t>TXN0001012</t>
  </si>
  <si>
    <t>TXN0001013</t>
  </si>
  <si>
    <t>TXN0001014</t>
  </si>
  <si>
    <t>TXN0001015</t>
  </si>
  <si>
    <t>TXN0001016</t>
  </si>
  <si>
    <t>TXN0001017</t>
  </si>
  <si>
    <t>TXN0001018</t>
  </si>
  <si>
    <t>TXN0001019</t>
  </si>
  <si>
    <t>TXN0001020</t>
  </si>
  <si>
    <t>TXN0001022</t>
  </si>
  <si>
    <t>TXN0001023</t>
  </si>
  <si>
    <t>TXN0001024</t>
  </si>
  <si>
    <t>TXN0001025</t>
  </si>
  <si>
    <t>TXN0001026</t>
  </si>
  <si>
    <t>TXN0001027</t>
  </si>
  <si>
    <t>TXN0001028</t>
  </si>
  <si>
    <t>TXN0001029</t>
  </si>
  <si>
    <t>TXN0001030</t>
  </si>
  <si>
    <t>TXN0001031</t>
  </si>
  <si>
    <t>TXN0001032</t>
  </si>
  <si>
    <t>TXN0001033</t>
  </si>
  <si>
    <t>TXN0001034</t>
  </si>
  <si>
    <t>TXN0001035</t>
  </si>
  <si>
    <t>TXN0001036</t>
  </si>
  <si>
    <t>TXN0001037</t>
  </si>
  <si>
    <t>TXN0001038</t>
  </si>
  <si>
    <t>TXN0001039</t>
  </si>
  <si>
    <t>TXN0001040</t>
  </si>
  <si>
    <t>TXN0001041</t>
  </si>
  <si>
    <t>TXN0001042</t>
  </si>
  <si>
    <t>TXN0001043</t>
  </si>
  <si>
    <t>TXN0001044</t>
  </si>
  <si>
    <t>TXN0001045</t>
  </si>
  <si>
    <t>TXN0001046</t>
  </si>
  <si>
    <t>TXN0001047</t>
  </si>
  <si>
    <t>TXN0001048</t>
  </si>
  <si>
    <t>TXN0001049</t>
  </si>
  <si>
    <t>TXN0001050</t>
  </si>
  <si>
    <t>TXN0001051</t>
  </si>
  <si>
    <t>TXN0001052</t>
  </si>
  <si>
    <t>TXN0001053</t>
  </si>
  <si>
    <t>TXN0001054</t>
  </si>
  <si>
    <t>TXN0001055</t>
  </si>
  <si>
    <t>TXN0001056</t>
  </si>
  <si>
    <t>TXN0001058</t>
  </si>
  <si>
    <t>TXN0001059</t>
  </si>
  <si>
    <t>TXN0001060</t>
  </si>
  <si>
    <t>TXN0001061</t>
  </si>
  <si>
    <t>TXN0001062</t>
  </si>
  <si>
    <t>TXN0001063</t>
  </si>
  <si>
    <t>TXN0001064</t>
  </si>
  <si>
    <t>TXN0001065</t>
  </si>
  <si>
    <t>TXN0001066</t>
  </si>
  <si>
    <t>TXN0001067</t>
  </si>
  <si>
    <t>TXN0001068</t>
  </si>
  <si>
    <t>TXN0001069</t>
  </si>
  <si>
    <t>TXN0001070</t>
  </si>
  <si>
    <t>TXN0001071</t>
  </si>
  <si>
    <t>TXN0001072</t>
  </si>
  <si>
    <t>TXN0001073</t>
  </si>
  <si>
    <t>TXN0001074</t>
  </si>
  <si>
    <t>TXN0001075</t>
  </si>
  <si>
    <t>TXN0001076</t>
  </si>
  <si>
    <t>TXN0001077</t>
  </si>
  <si>
    <t>TXN0001078</t>
  </si>
  <si>
    <t>TXN0001079</t>
  </si>
  <si>
    <t>TXN0001080</t>
  </si>
  <si>
    <t>TXN0001081</t>
  </si>
  <si>
    <t>TXN0001082</t>
  </si>
  <si>
    <t>TXN0001083</t>
  </si>
  <si>
    <t>TXN0001084</t>
  </si>
  <si>
    <t>TXN0001085</t>
  </si>
  <si>
    <t>TXN0001086</t>
  </si>
  <si>
    <t>TXN0001087</t>
  </si>
  <si>
    <t>TXN0001088</t>
  </si>
  <si>
    <t>TXN0001089</t>
  </si>
  <si>
    <t>TXN0001090</t>
  </si>
  <si>
    <t>TXN0001091</t>
  </si>
  <si>
    <t>TXN0001092</t>
  </si>
  <si>
    <t>TXN0001093</t>
  </si>
  <si>
    <t>TXN0001094</t>
  </si>
  <si>
    <t>TXN0001095</t>
  </si>
  <si>
    <t>TXN0001096</t>
  </si>
  <si>
    <t>TXN0001097</t>
  </si>
  <si>
    <t>TXN0001098</t>
  </si>
  <si>
    <t>TXN0001099</t>
  </si>
  <si>
    <t>TXN0001100</t>
  </si>
  <si>
    <t>TXN0001101</t>
  </si>
  <si>
    <t>TXN0001102</t>
  </si>
  <si>
    <t>TXN0001103</t>
  </si>
  <si>
    <t>TXN0001104</t>
  </si>
  <si>
    <t>TXN0001105</t>
  </si>
  <si>
    <t>TXN0001106</t>
  </si>
  <si>
    <t>TXN0001107</t>
  </si>
  <si>
    <t>TXN0001108</t>
  </si>
  <si>
    <t>TXN0001109</t>
  </si>
  <si>
    <t>TXN0001110</t>
  </si>
  <si>
    <t>TXN0001111</t>
  </si>
  <si>
    <t>TXN0001112</t>
  </si>
  <si>
    <t>TXN0001113</t>
  </si>
  <si>
    <t>TXN0001114</t>
  </si>
  <si>
    <t>TXN0001115</t>
  </si>
  <si>
    <t>TXN0001116</t>
  </si>
  <si>
    <t>TXN0001117</t>
  </si>
  <si>
    <t>TXN0001118</t>
  </si>
  <si>
    <t>TXN0001119</t>
  </si>
  <si>
    <t>TXN0001120</t>
  </si>
  <si>
    <t>TXN0001121</t>
  </si>
  <si>
    <t>TXN0001122</t>
  </si>
  <si>
    <t>TXN0001123</t>
  </si>
  <si>
    <t>TXN0001124</t>
  </si>
  <si>
    <t>TXN0001125</t>
  </si>
  <si>
    <t>TXN0001126</t>
  </si>
  <si>
    <t>TXN0001127</t>
  </si>
  <si>
    <t>TXN0001128</t>
  </si>
  <si>
    <t>TXN0001129</t>
  </si>
  <si>
    <t>TXN0001130</t>
  </si>
  <si>
    <t>TXN0001131</t>
  </si>
  <si>
    <t>TXN0001132</t>
  </si>
  <si>
    <t>TXN0001133</t>
  </si>
  <si>
    <t>TXN0001134</t>
  </si>
  <si>
    <t>TXN0001135</t>
  </si>
  <si>
    <t>TXN0001136</t>
  </si>
  <si>
    <t>TXN0001137</t>
  </si>
  <si>
    <t>TXN0001138</t>
  </si>
  <si>
    <t>TXN0001139</t>
  </si>
  <si>
    <t>TXN0001140</t>
  </si>
  <si>
    <t>TXN0001141</t>
  </si>
  <si>
    <t>TXN0001142</t>
  </si>
  <si>
    <t>TXN0001143</t>
  </si>
  <si>
    <t>TXN0001144</t>
  </si>
  <si>
    <t>TXN0001145</t>
  </si>
  <si>
    <t>TXN0001146</t>
  </si>
  <si>
    <t>TXN0001147</t>
  </si>
  <si>
    <t>TXN0001148</t>
  </si>
  <si>
    <t>TXN0001149</t>
  </si>
  <si>
    <t>TXN0001150</t>
  </si>
  <si>
    <t>TXN0001151</t>
  </si>
  <si>
    <t>TXN0001152</t>
  </si>
  <si>
    <t>TXN0001153</t>
  </si>
  <si>
    <t>TXN0001154</t>
  </si>
  <si>
    <t>TXN0001155</t>
  </si>
  <si>
    <t>TXN0001156</t>
  </si>
  <si>
    <t>TXN0001157</t>
  </si>
  <si>
    <t>TXN0001158</t>
  </si>
  <si>
    <t>TXN0001159</t>
  </si>
  <si>
    <t>TXN0001160</t>
  </si>
  <si>
    <t>TXN0001161</t>
  </si>
  <si>
    <t>TXN0001162</t>
  </si>
  <si>
    <t>TXN0001164</t>
  </si>
  <si>
    <t>TXN0001165</t>
  </si>
  <si>
    <t>TXN0001166</t>
  </si>
  <si>
    <t>TXN0001167</t>
  </si>
  <si>
    <t>TXN0001169</t>
  </si>
  <si>
    <t>TXN0001170</t>
  </si>
  <si>
    <t>TXN0001171</t>
  </si>
  <si>
    <t>TXN0001172</t>
  </si>
  <si>
    <t>TXN0001173</t>
  </si>
  <si>
    <t>TXN0001174</t>
  </si>
  <si>
    <t>TXN0001175</t>
  </si>
  <si>
    <t>TXN0001176</t>
  </si>
  <si>
    <t>TXN0001177</t>
  </si>
  <si>
    <t>TXN0001178</t>
  </si>
  <si>
    <t>TXN0001179</t>
  </si>
  <si>
    <t>TXN0001180</t>
  </si>
  <si>
    <t>TXN0001181</t>
  </si>
  <si>
    <t>TXN0001182</t>
  </si>
  <si>
    <t>TXN0001183</t>
  </si>
  <si>
    <t>TXN0001184</t>
  </si>
  <si>
    <t>TXN0001185</t>
  </si>
  <si>
    <t>TXN0001186</t>
  </si>
  <si>
    <t>TXN0001187</t>
  </si>
  <si>
    <t>TXN0001188</t>
  </si>
  <si>
    <t>TXN0001189</t>
  </si>
  <si>
    <t>TXN0001190</t>
  </si>
  <si>
    <t>TXN0001191</t>
  </si>
  <si>
    <t>TXN0001192</t>
  </si>
  <si>
    <t>TXN0001193</t>
  </si>
  <si>
    <t>TXN0001194</t>
  </si>
  <si>
    <t>TXN0001195</t>
  </si>
  <si>
    <t>TXN0001196</t>
  </si>
  <si>
    <t>TXN0001197</t>
  </si>
  <si>
    <t>TXN0001198</t>
  </si>
  <si>
    <t>TXN0001199</t>
  </si>
  <si>
    <t>TXN0001200</t>
  </si>
  <si>
    <t>TXN0001201</t>
  </si>
  <si>
    <t>TXN0001202</t>
  </si>
  <si>
    <t>TXN0001203</t>
  </si>
  <si>
    <t>TXN0001204</t>
  </si>
  <si>
    <t>TXN0001205</t>
  </si>
  <si>
    <t>TXN0001206</t>
  </si>
  <si>
    <t>TXN0001207</t>
  </si>
  <si>
    <t>TXN0001208</t>
  </si>
  <si>
    <t>TXN0001209</t>
  </si>
  <si>
    <t>TXN0001210</t>
  </si>
  <si>
    <t>TXN0001211</t>
  </si>
  <si>
    <t>TXN0001212</t>
  </si>
  <si>
    <t>TXN0001213</t>
  </si>
  <si>
    <t>TXN0001214</t>
  </si>
  <si>
    <t>TXN0001215</t>
  </si>
  <si>
    <t>TXN0001216</t>
  </si>
  <si>
    <t>TXN0001217</t>
  </si>
  <si>
    <t>TXN0001218</t>
  </si>
  <si>
    <t>TXN0001219</t>
  </si>
  <si>
    <t>TXN0001220</t>
  </si>
  <si>
    <t>TXN0001221</t>
  </si>
  <si>
    <t>TXN0001222</t>
  </si>
  <si>
    <t>TXN0001223</t>
  </si>
  <si>
    <t>TXN0001224</t>
  </si>
  <si>
    <t>TXN0001225</t>
  </si>
  <si>
    <t>TXN0001226</t>
  </si>
  <si>
    <t>TXN0001227</t>
  </si>
  <si>
    <t>TXN0001228</t>
  </si>
  <si>
    <t>TXN0001229</t>
  </si>
  <si>
    <t>TXN0001230</t>
  </si>
  <si>
    <t>TXN0001231</t>
  </si>
  <si>
    <t>TXN0001232</t>
  </si>
  <si>
    <t>TXN0001233</t>
  </si>
  <si>
    <t>TXN0001234</t>
  </si>
  <si>
    <t>TXN0001235</t>
  </si>
  <si>
    <t>TXN0001236</t>
  </si>
  <si>
    <t>TXN0001237</t>
  </si>
  <si>
    <t>TXN0001238</t>
  </si>
  <si>
    <t>TXN0001239</t>
  </si>
  <si>
    <t>TXN0001240</t>
  </si>
  <si>
    <t>TXN0001241</t>
  </si>
  <si>
    <t>TXN0001242</t>
  </si>
  <si>
    <t>TXN0001243</t>
  </si>
  <si>
    <t>TXN0001244</t>
  </si>
  <si>
    <t>TXN0001245</t>
  </si>
  <si>
    <t>TXN0001246</t>
  </si>
  <si>
    <t>TXN0001247</t>
  </si>
  <si>
    <t>TXN0001248</t>
  </si>
  <si>
    <t>TXN0001249</t>
  </si>
  <si>
    <t>TXN0001250</t>
  </si>
  <si>
    <t>TXN0001251</t>
  </si>
  <si>
    <t>TXN0001252</t>
  </si>
  <si>
    <t>TXN0001253</t>
  </si>
  <si>
    <t>TXN0001254</t>
  </si>
  <si>
    <t>TXN0001255</t>
  </si>
  <si>
    <t>TXN0001256</t>
  </si>
  <si>
    <t>TXN0001257</t>
  </si>
  <si>
    <t>TXN0001258</t>
  </si>
  <si>
    <t>TXN0001259</t>
  </si>
  <si>
    <t>TXN0001260</t>
  </si>
  <si>
    <t>TXN0001261</t>
  </si>
  <si>
    <t>TXN0001262</t>
  </si>
  <si>
    <t>TXN0001263</t>
  </si>
  <si>
    <t>TXN0001264</t>
  </si>
  <si>
    <t>TXN0001265</t>
  </si>
  <si>
    <t>TXN0001266</t>
  </si>
  <si>
    <t>TXN0001267</t>
  </si>
  <si>
    <t>TXN0001268</t>
  </si>
  <si>
    <t>TXN0001269</t>
  </si>
  <si>
    <t>TXN0001270</t>
  </si>
  <si>
    <t>TXN0001271</t>
  </si>
  <si>
    <t>TXN0001272</t>
  </si>
  <si>
    <t>TXN0001273</t>
  </si>
  <si>
    <t>TXN0001274</t>
  </si>
  <si>
    <t>TXN0001275</t>
  </si>
  <si>
    <t>TXN0001276</t>
  </si>
  <si>
    <t>TXN0001278</t>
  </si>
  <si>
    <t>TXN0001279</t>
  </si>
  <si>
    <t>TXN0001280</t>
  </si>
  <si>
    <t>TXN0001281</t>
  </si>
  <si>
    <t>TXN0001282</t>
  </si>
  <si>
    <t>TXN0001283</t>
  </si>
  <si>
    <t>TXN0001284</t>
  </si>
  <si>
    <t>TXN0001285</t>
  </si>
  <si>
    <t>TXN0001286</t>
  </si>
  <si>
    <t>TXN0001287</t>
  </si>
  <si>
    <t>TXN0001288</t>
  </si>
  <si>
    <t>TXN0001289</t>
  </si>
  <si>
    <t>TXN0001290</t>
  </si>
  <si>
    <t>TXN0001291</t>
  </si>
  <si>
    <t>TXN0001292</t>
  </si>
  <si>
    <t>TXN0001293</t>
  </si>
  <si>
    <t>TXN0001294</t>
  </si>
  <si>
    <t>TXN0001295</t>
  </si>
  <si>
    <t>TXN0001296</t>
  </si>
  <si>
    <t>TXN0001297</t>
  </si>
  <si>
    <t>TXN0001298</t>
  </si>
  <si>
    <t>TXN0001299</t>
  </si>
  <si>
    <t>TXN0001300</t>
  </si>
  <si>
    <t>TXN0001301</t>
  </si>
  <si>
    <t>TXN0001302</t>
  </si>
  <si>
    <t>TXN0001303</t>
  </si>
  <si>
    <t>TXN0001304</t>
  </si>
  <si>
    <t>TXN0001305</t>
  </si>
  <si>
    <t>TXN0001306</t>
  </si>
  <si>
    <t>TXN0001307</t>
  </si>
  <si>
    <t>TXN0001308</t>
  </si>
  <si>
    <t>TXN0001309</t>
  </si>
  <si>
    <t>TXN0001310</t>
  </si>
  <si>
    <t>TXN0001311</t>
  </si>
  <si>
    <t>TXN0001312</t>
  </si>
  <si>
    <t>TXN0001313</t>
  </si>
  <si>
    <t>TXN0001314</t>
  </si>
  <si>
    <t>TXN0001315</t>
  </si>
  <si>
    <t>TXN0001316</t>
  </si>
  <si>
    <t>TXN0001317</t>
  </si>
  <si>
    <t>TXN0001318</t>
  </si>
  <si>
    <t>TXN0001319</t>
  </si>
  <si>
    <t>TXN0001320</t>
  </si>
  <si>
    <t>TXN0001321</t>
  </si>
  <si>
    <t>TXN0001322</t>
  </si>
  <si>
    <t>TXN0001323</t>
  </si>
  <si>
    <t>TXN0001324</t>
  </si>
  <si>
    <t>TXN0001325</t>
  </si>
  <si>
    <t>TXN0001326</t>
  </si>
  <si>
    <t>TXN0001327</t>
  </si>
  <si>
    <t>TXN0001328</t>
  </si>
  <si>
    <t>TXN0001329</t>
  </si>
  <si>
    <t>TXN0001330</t>
  </si>
  <si>
    <t>TXN0001332</t>
  </si>
  <si>
    <t>TXN0001333</t>
  </si>
  <si>
    <t>TXN0001334</t>
  </si>
  <si>
    <t>TXN0001335</t>
  </si>
  <si>
    <t>TXN0001336</t>
  </si>
  <si>
    <t>TXN0001337</t>
  </si>
  <si>
    <t>TXN0001338</t>
  </si>
  <si>
    <t>TXN0001339</t>
  </si>
  <si>
    <t>TXN0001340</t>
  </si>
  <si>
    <t>TXN0001341</t>
  </si>
  <si>
    <t>TXN0001342</t>
  </si>
  <si>
    <t>TXN0001343</t>
  </si>
  <si>
    <t>TXN0001344</t>
  </si>
  <si>
    <t>TXN0001345</t>
  </si>
  <si>
    <t>TXN0001346</t>
  </si>
  <si>
    <t>TXN0001347</t>
  </si>
  <si>
    <t>TXN0001348</t>
  </si>
  <si>
    <t>TXN0001349</t>
  </si>
  <si>
    <t>TXN0001350</t>
  </si>
  <si>
    <t>TXN0001351</t>
  </si>
  <si>
    <t>TXN0001352</t>
  </si>
  <si>
    <t>TXN0001353</t>
  </si>
  <si>
    <t>TXN0001354</t>
  </si>
  <si>
    <t>TXN0001355</t>
  </si>
  <si>
    <t>TXN0001356</t>
  </si>
  <si>
    <t>TXN0001357</t>
  </si>
  <si>
    <t>TXN0001358</t>
  </si>
  <si>
    <t>TXN0001359</t>
  </si>
  <si>
    <t>TXN0001360</t>
  </si>
  <si>
    <t>TXN0001361</t>
  </si>
  <si>
    <t>TXN0001362</t>
  </si>
  <si>
    <t>TXN0001363</t>
  </si>
  <si>
    <t>TXN0001364</t>
  </si>
  <si>
    <t>TXN0001365</t>
  </si>
  <si>
    <t>TXN0001366</t>
  </si>
  <si>
    <t>TXN0001367</t>
  </si>
  <si>
    <t>TXN0001368</t>
  </si>
  <si>
    <t>TXN0001369</t>
  </si>
  <si>
    <t>TXN0001370</t>
  </si>
  <si>
    <t>TXN0001371</t>
  </si>
  <si>
    <t>TXN0001372</t>
  </si>
  <si>
    <t>TXN0001373</t>
  </si>
  <si>
    <t>TXN0001374</t>
  </si>
  <si>
    <t>TXN0001375</t>
  </si>
  <si>
    <t>TXN0001376</t>
  </si>
  <si>
    <t>TXN0001377</t>
  </si>
  <si>
    <t>TXN0001378</t>
  </si>
  <si>
    <t>TXN0001379</t>
  </si>
  <si>
    <t>TXN0001380</t>
  </si>
  <si>
    <t>TXN0001381</t>
  </si>
  <si>
    <t>TXN0001382</t>
  </si>
  <si>
    <t>TXN0001383</t>
  </si>
  <si>
    <t>TXN0001384</t>
  </si>
  <si>
    <t>TXN0001385</t>
  </si>
  <si>
    <t>TXN0001386</t>
  </si>
  <si>
    <t>TXN0001387</t>
  </si>
  <si>
    <t>TXN0001388</t>
  </si>
  <si>
    <t>TXN0001389</t>
  </si>
  <si>
    <t>TXN0001390</t>
  </si>
  <si>
    <t>TXN0001391</t>
  </si>
  <si>
    <t>TXN0001392</t>
  </si>
  <si>
    <t>TXN0001393</t>
  </si>
  <si>
    <t>TXN0001394</t>
  </si>
  <si>
    <t>TXN0001395</t>
  </si>
  <si>
    <t>TXN0001396</t>
  </si>
  <si>
    <t>TXN0001397</t>
  </si>
  <si>
    <t>TXN0001398</t>
  </si>
  <si>
    <t>TXN0001400</t>
  </si>
  <si>
    <t>TXN0001401</t>
  </si>
  <si>
    <t>TXN0001402</t>
  </si>
  <si>
    <t>TXN0001403</t>
  </si>
  <si>
    <t>TXN0001404</t>
  </si>
  <si>
    <t>TXN0001405</t>
  </si>
  <si>
    <t>TXN0001406</t>
  </si>
  <si>
    <t>TXN0001407</t>
  </si>
  <si>
    <t>TXN0001408</t>
  </si>
  <si>
    <t>TXN0001409</t>
  </si>
  <si>
    <t>TXN0001410</t>
  </si>
  <si>
    <t>TXN0001411</t>
  </si>
  <si>
    <t>TXN0001412</t>
  </si>
  <si>
    <t>TXN0001413</t>
  </si>
  <si>
    <t>TXN0001414</t>
  </si>
  <si>
    <t>TXN0001415</t>
  </si>
  <si>
    <t>TXN0001416</t>
  </si>
  <si>
    <t>TXN0001418</t>
  </si>
  <si>
    <t>TXN0001419</t>
  </si>
  <si>
    <t>TXN0001420</t>
  </si>
  <si>
    <t>TXN0001421</t>
  </si>
  <si>
    <t>TXN0001422</t>
  </si>
  <si>
    <t>TXN0001423</t>
  </si>
  <si>
    <t>TXN0001424</t>
  </si>
  <si>
    <t>TXN0001425</t>
  </si>
  <si>
    <t>TXN0001426</t>
  </si>
  <si>
    <t>TXN0001427</t>
  </si>
  <si>
    <t>TXN0001428</t>
  </si>
  <si>
    <t>TXN0001429</t>
  </si>
  <si>
    <t>TXN0001430</t>
  </si>
  <si>
    <t>TXN0001431</t>
  </si>
  <si>
    <t>TXN0001432</t>
  </si>
  <si>
    <t>TXN0001433</t>
  </si>
  <si>
    <t>TXN0001434</t>
  </si>
  <si>
    <t>TXN0001435</t>
  </si>
  <si>
    <t>TXN0001436</t>
  </si>
  <si>
    <t>TXN0001437</t>
  </si>
  <si>
    <t>TXN0001438</t>
  </si>
  <si>
    <t>TXN0001439</t>
  </si>
  <si>
    <t>TXN0001440</t>
  </si>
  <si>
    <t>TXN0001441</t>
  </si>
  <si>
    <t>TXN0001442</t>
  </si>
  <si>
    <t>TXN0001443</t>
  </si>
  <si>
    <t>TXN0001444</t>
  </si>
  <si>
    <t>TXN0001445</t>
  </si>
  <si>
    <t>TXN0001446</t>
  </si>
  <si>
    <t>TXN0001447</t>
  </si>
  <si>
    <t>TXN0001448</t>
  </si>
  <si>
    <t>TXN0001449</t>
  </si>
  <si>
    <t>TXN0001450</t>
  </si>
  <si>
    <t>TXN0001451</t>
  </si>
  <si>
    <t>TXN0001452</t>
  </si>
  <si>
    <t>TXN0001453</t>
  </si>
  <si>
    <t>TXN0001454</t>
  </si>
  <si>
    <t>TXN0001455</t>
  </si>
  <si>
    <t>TXN0001456</t>
  </si>
  <si>
    <t>TXN0001457</t>
  </si>
  <si>
    <t>TXN0001458</t>
  </si>
  <si>
    <t>TXN0001459</t>
  </si>
  <si>
    <t>TXN0001460</t>
  </si>
  <si>
    <t>TXN0001461</t>
  </si>
  <si>
    <t>TXN0001462</t>
  </si>
  <si>
    <t>TXN0001463</t>
  </si>
  <si>
    <t>TXN0001464</t>
  </si>
  <si>
    <t>TXN0001465</t>
  </si>
  <si>
    <t>TXN0001466</t>
  </si>
  <si>
    <t>TXN0001467</t>
  </si>
  <si>
    <t>TXN0001468</t>
  </si>
  <si>
    <t>TXN0001469</t>
  </si>
  <si>
    <t>TXN0001470</t>
  </si>
  <si>
    <t>TXN0001471</t>
  </si>
  <si>
    <t>TXN0001472</t>
  </si>
  <si>
    <t>TXN0001473</t>
  </si>
  <si>
    <t>TXN0001474</t>
  </si>
  <si>
    <t>TXN0001475</t>
  </si>
  <si>
    <t>TXN0001476</t>
  </si>
  <si>
    <t>TXN0001477</t>
  </si>
  <si>
    <t>TXN0001478</t>
  </si>
  <si>
    <t>TXN0001479</t>
  </si>
  <si>
    <t>TXN0001480</t>
  </si>
  <si>
    <t>TXN0001481</t>
  </si>
  <si>
    <t>TXN0001482</t>
  </si>
  <si>
    <t>TXN0001483</t>
  </si>
  <si>
    <t>TXN0001484</t>
  </si>
  <si>
    <t>TXN0001485</t>
  </si>
  <si>
    <t>TXN0001486</t>
  </si>
  <si>
    <t>TXN0001487</t>
  </si>
  <si>
    <t>TXN0001488</t>
  </si>
  <si>
    <t>TXN0001489</t>
  </si>
  <si>
    <t>TXN0001490</t>
  </si>
  <si>
    <t>TXN0001491</t>
  </si>
  <si>
    <t>TXN0001492</t>
  </si>
  <si>
    <t>TXN0001493</t>
  </si>
  <si>
    <t>TXN0001494</t>
  </si>
  <si>
    <t>TXN0001495</t>
  </si>
  <si>
    <t>TXN0001496</t>
  </si>
  <si>
    <t>TXN0001497</t>
  </si>
  <si>
    <t>TXN0001498</t>
  </si>
  <si>
    <t>TXN0001499</t>
  </si>
  <si>
    <t>TXN0001500</t>
  </si>
  <si>
    <t>TXN0001501</t>
  </si>
  <si>
    <t>TXN0001502</t>
  </si>
  <si>
    <t>TXN0001503</t>
  </si>
  <si>
    <t>TXN0001504</t>
  </si>
  <si>
    <t>TXN0001505</t>
  </si>
  <si>
    <t>TXN0001506</t>
  </si>
  <si>
    <t>TXN0001507</t>
  </si>
  <si>
    <t>TXN0001508</t>
  </si>
  <si>
    <t>TXN0001509</t>
  </si>
  <si>
    <t>TXN0001510</t>
  </si>
  <si>
    <t>TXN0001511</t>
  </si>
  <si>
    <t>TXN0001512</t>
  </si>
  <si>
    <t>TXN0001513</t>
  </si>
  <si>
    <t>TXN0001514</t>
  </si>
  <si>
    <t>TXN0001515</t>
  </si>
  <si>
    <t>TXN0001516</t>
  </si>
  <si>
    <t>TXN0001517</t>
  </si>
  <si>
    <t>TXN0001518</t>
  </si>
  <si>
    <t>TXN0001519</t>
  </si>
  <si>
    <t>TXN0001521</t>
  </si>
  <si>
    <t>TXN0001522</t>
  </si>
  <si>
    <t>TXN0001523</t>
  </si>
  <si>
    <t>TXN0001524</t>
  </si>
  <si>
    <t>TXN0001525</t>
  </si>
  <si>
    <t>TXN0001526</t>
  </si>
  <si>
    <t>TXN0001527</t>
  </si>
  <si>
    <t>TXN0001528</t>
  </si>
  <si>
    <t>TXN0001529</t>
  </si>
  <si>
    <t>TXN0001530</t>
  </si>
  <si>
    <t>TXN0001531</t>
  </si>
  <si>
    <t>TXN0001532</t>
  </si>
  <si>
    <t>TXN0001533</t>
  </si>
  <si>
    <t>TXN0001534</t>
  </si>
  <si>
    <t>TXN0001535</t>
  </si>
  <si>
    <t>TXN0001536</t>
  </si>
  <si>
    <t>TXN0001537</t>
  </si>
  <si>
    <t>TXN0001538</t>
  </si>
  <si>
    <t>TXN0001539</t>
  </si>
  <si>
    <t>TXN0001540</t>
  </si>
  <si>
    <t>TXN0001541</t>
  </si>
  <si>
    <t>TXN0001542</t>
  </si>
  <si>
    <t>TXN0001543</t>
  </si>
  <si>
    <t>TXN0001544</t>
  </si>
  <si>
    <t>TXN0001545</t>
  </si>
  <si>
    <t>TXN0001546</t>
  </si>
  <si>
    <t>TXN0001547</t>
  </si>
  <si>
    <t>TXN0001548</t>
  </si>
  <si>
    <t>TXN0001549</t>
  </si>
  <si>
    <t>TXN0001550</t>
  </si>
  <si>
    <t>TXN0001551</t>
  </si>
  <si>
    <t>TXN0001552</t>
  </si>
  <si>
    <t>TXN0001553</t>
  </si>
  <si>
    <t>TXN0001554</t>
  </si>
  <si>
    <t>TXN0001555</t>
  </si>
  <si>
    <t>TXN0001556</t>
  </si>
  <si>
    <t>TXN0001557</t>
  </si>
  <si>
    <t>TXN0001558</t>
  </si>
  <si>
    <t>TXN0001559</t>
  </si>
  <si>
    <t>TXN0001560</t>
  </si>
  <si>
    <t>TXN0001561</t>
  </si>
  <si>
    <t>TXN0001562</t>
  </si>
  <si>
    <t>TXN0001563</t>
  </si>
  <si>
    <t>TXN0001564</t>
  </si>
  <si>
    <t>TXN0001565</t>
  </si>
  <si>
    <t>TXN0001566</t>
  </si>
  <si>
    <t>TXN0001567</t>
  </si>
  <si>
    <t>TXN0001568</t>
  </si>
  <si>
    <t>TXN0001569</t>
  </si>
  <si>
    <t>TXN0001570</t>
  </si>
  <si>
    <t>TXN0001571</t>
  </si>
  <si>
    <t>TXN0001572</t>
  </si>
  <si>
    <t>TXN0001573</t>
  </si>
  <si>
    <t>TXN0001574</t>
  </si>
  <si>
    <t>TXN0001575</t>
  </si>
  <si>
    <t>TXN0001576</t>
  </si>
  <si>
    <t>TXN0001577</t>
  </si>
  <si>
    <t>TXN0001578</t>
  </si>
  <si>
    <t>TXN0001579</t>
  </si>
  <si>
    <t>TXN0001580</t>
  </si>
  <si>
    <t>TXN0001581</t>
  </si>
  <si>
    <t>TXN0001582</t>
  </si>
  <si>
    <t>TXN0001583</t>
  </si>
  <si>
    <t>TXN0001584</t>
  </si>
  <si>
    <t>TXN0001585</t>
  </si>
  <si>
    <t>TXN0001586</t>
  </si>
  <si>
    <t>TXN0001587</t>
  </si>
  <si>
    <t>TXN0001588</t>
  </si>
  <si>
    <t>TXN0001589</t>
  </si>
  <si>
    <t>TXN0001590</t>
  </si>
  <si>
    <t>TXN0001591</t>
  </si>
  <si>
    <t>TXN0001592</t>
  </si>
  <si>
    <t>TXN0001593</t>
  </si>
  <si>
    <t>TXN0001594</t>
  </si>
  <si>
    <t>TXN0001595</t>
  </si>
  <si>
    <t>TXN0001596</t>
  </si>
  <si>
    <t>TXN0001597</t>
  </si>
  <si>
    <t>TXN0001599</t>
  </si>
  <si>
    <t>TXN0001600</t>
  </si>
  <si>
    <t>TXN0001601</t>
  </si>
  <si>
    <t>TXN0001602</t>
  </si>
  <si>
    <t>TXN0001603</t>
  </si>
  <si>
    <t>TXN0001604</t>
  </si>
  <si>
    <t>TXN0001605</t>
  </si>
  <si>
    <t>TXN0001606</t>
  </si>
  <si>
    <t>TXN0001607</t>
  </si>
  <si>
    <t>TXN0001609</t>
  </si>
  <si>
    <t>KPI_Summary — funnel, activation, revenue, churn and target-attainment KPIs by month, market, channel, product, segment and sales rep</t>
  </si>
  <si>
    <t>All figures are live formulas (COUNTIFS / SUMIFS / AVERAGEIFS / SUMPRODUCT) referencing Clean_Leads, Clean_Customers, Clean_Transactions and Targets. Recalculates automatically if source data changes.</t>
  </si>
  <si>
    <t>1. Monthly Funnel, Win Rate &amp; Revenue Trend (2025)</t>
  </si>
  <si>
    <t>Completed Revenue (EUR)</t>
  </si>
  <si>
    <t>Revenue Target (EUR)</t>
  </si>
  <si>
    <t>FY2025 Total</t>
  </si>
  <si>
    <t>2. Performance by Market — funnel, activation, revenue &amp; churn vs. target</t>
  </si>
  <si>
    <t>3. Performance by Acquisition Channel</t>
  </si>
  <si>
    <t>4. Performance by Product</t>
  </si>
  <si>
    <t>5. Performance by Customer Segment (Company Size)</t>
  </si>
  <si>
    <t>Segment</t>
  </si>
  <si>
    <t>6. Sales Representative Productivity — leads, win rate, revenue vs. annual target</t>
  </si>
  <si>
    <t>Rep_ID</t>
  </si>
  <si>
    <t>Rep_Name</t>
  </si>
  <si>
    <t>Team</t>
  </si>
  <si>
    <t>Annual Target (EUR)</t>
  </si>
  <si>
    <t>Not in Sales_Reps master (invalid ID)</t>
  </si>
  <si>
    <t>Raw Leads</t>
  </si>
  <si>
    <t>Great Britain</t>
  </si>
  <si>
    <t>UK</t>
  </si>
  <si>
    <t xml:space="preserve">Germany </t>
  </si>
  <si>
    <t xml:space="preserve">France </t>
  </si>
  <si>
    <t>DE</t>
  </si>
  <si>
    <t>FR</t>
  </si>
  <si>
    <t>€1362.72</t>
  </si>
  <si>
    <t>€474.89</t>
  </si>
  <si>
    <t>€881.13</t>
  </si>
  <si>
    <t>€1037.33</t>
  </si>
  <si>
    <t>€990.42</t>
  </si>
  <si>
    <t xml:space="preserve">Referral </t>
  </si>
  <si>
    <t xml:space="preserve">Direct Sales </t>
  </si>
  <si>
    <t>Raw Customers</t>
  </si>
  <si>
    <t>CZ</t>
  </si>
  <si>
    <t>The Netherlands</t>
  </si>
  <si>
    <t>Raw Transactions</t>
  </si>
  <si>
    <t>1915.72 EUR</t>
  </si>
  <si>
    <t>41504.83 EUR</t>
  </si>
  <si>
    <t>28017.72 EUR</t>
  </si>
  <si>
    <t>4044.87 EUR</t>
  </si>
  <si>
    <t>Sales Reps</t>
  </si>
  <si>
    <t>Region</t>
  </si>
  <si>
    <t>Monthly_Target_EUR</t>
  </si>
  <si>
    <t>Anna Schmidt</t>
  </si>
  <si>
    <t>DACH</t>
  </si>
  <si>
    <t>Lukas Meyer</t>
  </si>
  <si>
    <t>Sophie Brown</t>
  </si>
  <si>
    <t>David Taylor</t>
  </si>
  <si>
    <t>UKI</t>
  </si>
  <si>
    <t>Emma de Vries</t>
  </si>
  <si>
    <t>Tom Jansen</t>
  </si>
  <si>
    <t>Nina Novak</t>
  </si>
  <si>
    <t>Continental Europe</t>
  </si>
  <si>
    <t>Jan Dvorak</t>
  </si>
  <si>
    <t>Laura Martin</t>
  </si>
  <si>
    <t>Peter Dubois</t>
  </si>
  <si>
    <t>Marta Wilson</t>
  </si>
  <si>
    <t>Daniel Baker</t>
  </si>
  <si>
    <t>Eva Klein</t>
  </si>
  <si>
    <t>Martin Hoffmann</t>
  </si>
  <si>
    <t>Clara Vos</t>
  </si>
  <si>
    <t>Lead_Target</t>
  </si>
  <si>
    <t>Win_Rate_Target</t>
  </si>
  <si>
    <t>Activation_Rate_Target</t>
  </si>
  <si>
    <t>Churn_Rate_Target</t>
  </si>
  <si>
    <t>Pipeline EUR</t>
  </si>
  <si>
    <t>Wins</t>
  </si>
  <si>
    <t>Customers</t>
  </si>
  <si>
    <t>AvgDays</t>
  </si>
  <si>
    <t>Revenue</t>
  </si>
  <si>
    <t>Txns</t>
  </si>
  <si>
    <t>Unmatched</t>
  </si>
  <si>
    <t>Stage</t>
  </si>
  <si>
    <t>Leads (all)</t>
  </si>
  <si>
    <t>Revenue (EUR)</t>
  </si>
  <si>
    <t>Actual Revenue</t>
  </si>
  <si>
    <t>Attainment</t>
  </si>
  <si>
    <t>Exception Records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</si>
</sst>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yyyy\-mm\-dd"/>
    <numFmt numFmtId="167" formatCode="mmm\-yyyy"/>
    <numFmt numFmtId="168" formatCode="\€#,##0.00"/>
    <numFmt numFmtId="169" formatCode="\€#,##0,&quot;K&quot;"/>
    <numFmt numFmtId="170" formatCode="0.0&quot; d&quot;"/>
  </numFmts>
  <fonts count="14" x14ac:knownFonts="1">
    <font>
      <sz val="10"/>
      <name val="Arial"/>
      <family val="2"/>
      <charset val="1"/>
    </font>
    <font>
      <b/>
      <sz val="10"/>
      <color rgb="FFFFFFFF"/>
      <name val="Arial"/>
      <charset val="1"/>
    </font>
    <font>
      <i/>
      <sz val="10"/>
      <color rgb="FF595959"/>
      <name val="Arial"/>
      <charset val="1"/>
    </font>
    <font>
      <b/>
      <sz val="12"/>
      <color rgb="FFFFFFFF"/>
      <name val="Arial"/>
      <charset val="1"/>
    </font>
    <font>
      <sz val="11"/>
      <name val="Calibri"/>
      <charset val="1"/>
    </font>
    <font>
      <b/>
      <sz val="16"/>
      <color rgb="FFFFFFFF"/>
      <name val="Calibri"/>
      <charset val="1"/>
    </font>
    <font>
      <b/>
      <sz val="11"/>
      <color rgb="FFFFFFFF"/>
      <name val="Calibri"/>
      <charset val="1"/>
    </font>
    <font>
      <sz val="10"/>
      <name val="Arial"/>
      <charset val="1"/>
    </font>
    <font>
      <b/>
      <sz val="14"/>
      <color rgb="FF1F4E78"/>
      <name val="Arial"/>
      <charset val="1"/>
    </font>
    <font>
      <b/>
      <sz val="10"/>
      <name val="Arial"/>
      <charset val="1"/>
    </font>
    <font>
      <sz val="10"/>
      <name val="Aptos"/>
      <family val="2"/>
    </font>
    <font>
      <b/>
      <sz val="10"/>
      <name val="Arial"/>
      <family val="2"/>
    </font>
    <font>
      <sz val="10"/>
      <name val="Aptos"/>
    </font>
    <font>
      <i/>
      <sz val="8"/>
      <color rgb="FF8A7079"/>
      <name val="Arial"/>
      <family val="2"/>
      <charset val="1"/>
    </font>
  </fonts>
  <fills count="9">
    <fill>
      <patternFill patternType="none"/>
    </fill>
    <fill>
      <patternFill patternType="gray125"/>
    </fill>
    <fill>
      <patternFill patternType="solid">
        <fgColor rgb="FF1F4E78"/>
        <bgColor rgb="FF17365D"/>
      </patternFill>
    </fill>
    <fill>
      <patternFill patternType="solid">
        <fgColor rgb="FF2E75B6"/>
        <bgColor rgb="FF2F75B5"/>
      </patternFill>
    </fill>
    <fill>
      <patternFill patternType="solid">
        <fgColor rgb="FF17365D"/>
        <bgColor rgb="FF333333"/>
      </patternFill>
    </fill>
    <fill>
      <patternFill patternType="solid">
        <fgColor rgb="FF5B9BD5"/>
        <bgColor rgb="FF969696"/>
      </patternFill>
    </fill>
    <fill>
      <patternFill patternType="solid">
        <fgColor rgb="FFFCF7F3"/>
        <bgColor indexed="64"/>
      </patternFill>
    </fill>
    <fill>
      <patternFill patternType="solid">
        <fgColor rgb="FFF6E9EE"/>
        <bgColor indexed="64"/>
      </patternFill>
    </fill>
    <fill>
      <patternFill patternType="solid">
        <fgColor rgb="FF800000"/>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3">
    <xf numFmtId="0" fontId="0" fillId="0" borderId="0" xfId="0"/>
    <xf numFmtId="0" fontId="2" fillId="0" borderId="0" xfId="0" applyFont="1"/>
    <xf numFmtId="0" fontId="4" fillId="0" borderId="0" xfId="0" applyFont="1"/>
    <xf numFmtId="0" fontId="6" fillId="5" borderId="0" xfId="0" applyFont="1" applyFill="1" applyAlignment="1">
      <alignment horizontal="center" vertical="center" wrapText="1"/>
    </xf>
    <xf numFmtId="3" fontId="7" fillId="0" borderId="1" xfId="0" applyNumberFormat="1" applyFont="1" applyBorder="1"/>
    <xf numFmtId="164" fontId="7" fillId="0" borderId="1" xfId="0" applyNumberFormat="1" applyFont="1" applyBorder="1"/>
    <xf numFmtId="165" fontId="7" fillId="0" borderId="1" xfId="0" applyNumberFormat="1" applyFont="1" applyBorder="1"/>
    <xf numFmtId="0" fontId="8" fillId="0" borderId="0" xfId="0" applyFont="1"/>
    <xf numFmtId="0" fontId="1" fillId="2" borderId="0" xfId="0" applyFont="1" applyFill="1" applyAlignment="1">
      <alignment horizontal="center" vertical="center" wrapText="1"/>
    </xf>
    <xf numFmtId="0" fontId="7" fillId="0" borderId="0" xfId="0" applyFont="1"/>
    <xf numFmtId="166" fontId="7" fillId="0" borderId="0" xfId="0" applyNumberFormat="1" applyFont="1"/>
    <xf numFmtId="4" fontId="7" fillId="0" borderId="0" xfId="0" applyNumberFormat="1" applyFont="1"/>
    <xf numFmtId="0" fontId="1" fillId="2" borderId="1" xfId="0" applyFont="1" applyFill="1" applyBorder="1" applyAlignment="1">
      <alignment horizontal="center" vertical="center" wrapText="1"/>
    </xf>
    <xf numFmtId="167" fontId="7" fillId="0" borderId="0" xfId="0" applyNumberFormat="1" applyFont="1"/>
    <xf numFmtId="0" fontId="9" fillId="0" borderId="0" xfId="0" applyFont="1"/>
    <xf numFmtId="3" fontId="9" fillId="0" borderId="1" xfId="0" applyNumberFormat="1" applyFont="1" applyBorder="1"/>
    <xf numFmtId="164" fontId="9" fillId="0" borderId="1" xfId="0" applyNumberFormat="1" applyFont="1" applyBorder="1"/>
    <xf numFmtId="166" fontId="4" fillId="0" borderId="0" xfId="0" applyNumberFormat="1" applyFont="1"/>
    <xf numFmtId="168" fontId="4" fillId="0" borderId="0" xfId="0" applyNumberFormat="1" applyFont="1"/>
    <xf numFmtId="164" fontId="4" fillId="0" borderId="0" xfId="0" applyNumberFormat="1" applyFont="1"/>
    <xf numFmtId="3" fontId="0" fillId="0" borderId="0" xfId="0" applyNumberFormat="1"/>
    <xf numFmtId="0" fontId="10" fillId="0" borderId="0" xfId="0" applyFont="1"/>
    <xf numFmtId="3" fontId="10" fillId="0" borderId="0" xfId="0" applyNumberFormat="1" applyFont="1"/>
    <xf numFmtId="17" fontId="0" fillId="0" borderId="0" xfId="0" applyNumberFormat="1"/>
    <xf numFmtId="169" fontId="0" fillId="0" borderId="0" xfId="0" applyNumberFormat="1"/>
    <xf numFmtId="169" fontId="10" fillId="0" borderId="0" xfId="0" applyNumberFormat="1" applyFont="1"/>
    <xf numFmtId="170" fontId="0" fillId="0" borderId="0" xfId="0" applyNumberFormat="1"/>
    <xf numFmtId="170" fontId="10" fillId="0" borderId="0" xfId="0" applyNumberFormat="1" applyFont="1"/>
    <xf numFmtId="0" fontId="11" fillId="0" borderId="0" xfId="0" applyFont="1"/>
    <xf numFmtId="164" fontId="0" fillId="0" borderId="0" xfId="0" applyNumberFormat="1"/>
    <xf numFmtId="164" fontId="10" fillId="0" borderId="0" xfId="0" applyNumberFormat="1" applyFont="1"/>
    <xf numFmtId="0" fontId="12" fillId="0" borderId="0" xfId="0" applyFont="1"/>
    <xf numFmtId="3" fontId="12" fillId="0" borderId="0" xfId="0" applyNumberFormat="1" applyFont="1"/>
    <xf numFmtId="169" fontId="12" fillId="0" borderId="0" xfId="0" applyNumberFormat="1" applyFont="1"/>
    <xf numFmtId="170" fontId="12" fillId="0" borderId="0" xfId="0" applyNumberFormat="1" applyFont="1"/>
    <xf numFmtId="0" fontId="12" fillId="0" borderId="0" xfId="0" pivotButton="1" applyFont="1"/>
    <xf numFmtId="17" fontId="12" fillId="0" borderId="0" xfId="0" applyNumberFormat="1" applyFont="1"/>
    <xf numFmtId="0" fontId="10" fillId="6" borderId="0" xfId="0" applyFont="1" applyFill="1"/>
    <xf numFmtId="0" fontId="10" fillId="7" borderId="0" xfId="0" applyFont="1" applyFill="1"/>
    <xf numFmtId="0" fontId="10" fillId="8" borderId="0" xfId="0" applyFont="1" applyFill="1"/>
    <xf numFmtId="0" fontId="5" fillId="4" borderId="0" xfId="0" applyFont="1" applyFill="1" applyAlignment="1">
      <alignment horizontal="left" vertical="center"/>
    </xf>
    <xf numFmtId="0" fontId="13" fillId="6" borderId="0" xfId="0" applyFont="1" applyFill="1" applyAlignment="1">
      <alignment vertical="center"/>
    </xf>
    <xf numFmtId="0" fontId="3" fillId="3" borderId="0" xfId="0" applyFont="1" applyFill="1" applyAlignment="1">
      <alignment horizontal="left" vertical="center"/>
    </xf>
  </cellXfs>
  <cellStyles count="1">
    <cellStyle name="Normal" xfId="0" builtinId="0"/>
  </cellStyles>
  <dxfs count="66">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
      <font>
        <name val="Aptos"/>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3B3B3"/>
      <rgbColor rgb="FF808080"/>
      <rgbColor rgb="FF5B9BD5"/>
      <rgbColor rgb="FF993366"/>
      <rgbColor rgb="FFFFF2CC"/>
      <rgbColor rgb="FFCCFFFF"/>
      <rgbColor rgb="FF660066"/>
      <rgbColor rgb="FFFF8080"/>
      <rgbColor rgb="FF2F75B5"/>
      <rgbColor rgb="FFD9D9D9"/>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4CCCC"/>
      <rgbColor rgb="FF2E75B6"/>
      <rgbColor rgb="FF33CCCC"/>
      <rgbColor rgb="FF99CC00"/>
      <rgbColor rgb="FFFFCC00"/>
      <rgbColor rgb="FFFF9900"/>
      <rgbColor rgb="FFFF6600"/>
      <rgbColor rgb="FF595959"/>
      <rgbColor rgb="FF969696"/>
      <rgbColor rgb="FF17365D"/>
      <rgbColor rgb="FF339966"/>
      <rgbColor rgb="FF003300"/>
      <rgbColor rgb="FF333300"/>
      <rgbColor rgb="FF833C0C"/>
      <rgbColor rgb="FF993366"/>
      <rgbColor rgb="FF1F4E78"/>
      <rgbColor rgb="FF333333"/>
      <rgbColor rgb="00003366"/>
      <rgbColor rgb="00339966"/>
      <rgbColor rgb="00003300"/>
      <rgbColor rgb="00333300"/>
      <rgbColor rgb="00993300"/>
      <rgbColor rgb="00993366"/>
      <rgbColor rgb="00333399"/>
      <rgbColor rgb="00333333"/>
    </indexedColors>
    <mruColors>
      <color rgb="FF8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tyles" Target="style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theme" Target="theme/theme1.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5B1230"/>
                </a:solidFill>
              </a:defRPr>
            </a:pPr>
            <a:r>
              <a:rPr lang="en-US"/>
              <a:t>Revenue vs Target by Month</a:t>
            </a:r>
          </a:p>
        </c:rich>
      </c:tx>
      <c:overlay val="0"/>
    </c:title>
    <c:autoTitleDeleted val="0"/>
    <c:plotArea>
      <c:layout>
        <c:manualLayout>
          <c:xMode val="edge"/>
          <c:yMode val="edge"/>
          <c:x val="3.2905987335081412E-2"/>
          <c:y val="0.15043572844521794"/>
          <c:w val="0.93418802532983714"/>
          <c:h val="0.72712418457624872"/>
        </c:manualLayout>
      </c:layout>
      <c:barChart>
        <c:barDir val="col"/>
        <c:grouping val="clustered"/>
        <c:varyColors val="0"/>
        <c:ser>
          <c:idx val="0"/>
          <c:order val="0"/>
          <c:tx>
            <c:strRef>
              <c:f>Pivot!$N$80</c:f>
              <c:strCache>
                <c:ptCount val="1"/>
                <c:pt idx="0">
                  <c:v>Actual Revenue</c:v>
                </c:pt>
              </c:strCache>
            </c:strRef>
          </c:tx>
          <c:spPr>
            <a:solidFill>
              <a:srgbClr val="7B1E3C"/>
            </a:solidFill>
            <a:ln>
              <a:solidFill>
                <a:srgbClr val="7B1E3C"/>
              </a:solidFill>
              <a:prstDash val="solid"/>
            </a:ln>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Pivot!$M$81:$M$92</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Pivot!$N$81:$N$92</c:f>
              <c:numCache>
                <c:formatCode>\€#,##0,"K"</c:formatCode>
                <c:ptCount val="12"/>
                <c:pt idx="0">
                  <c:v>0</c:v>
                </c:pt>
                <c:pt idx="1">
                  <c:v>5118.0400000000009</c:v>
                </c:pt>
                <c:pt idx="2">
                  <c:v>13574.550000000001</c:v>
                </c:pt>
                <c:pt idx="3">
                  <c:v>23741.43</c:v>
                </c:pt>
                <c:pt idx="4">
                  <c:v>32383.38</c:v>
                </c:pt>
                <c:pt idx="5">
                  <c:v>42829.799999999988</c:v>
                </c:pt>
                <c:pt idx="6">
                  <c:v>60369.829999999958</c:v>
                </c:pt>
                <c:pt idx="7">
                  <c:v>55415.949999999983</c:v>
                </c:pt>
                <c:pt idx="8">
                  <c:v>65443.05999999999</c:v>
                </c:pt>
                <c:pt idx="9">
                  <c:v>62657.359999999993</c:v>
                </c:pt>
                <c:pt idx="10">
                  <c:v>68212.309999999983</c:v>
                </c:pt>
                <c:pt idx="11">
                  <c:v>77999.239999999976</c:v>
                </c:pt>
              </c:numCache>
            </c:numRef>
          </c:val>
          <c:extLst>
            <c:ext xmlns:c16="http://schemas.microsoft.com/office/drawing/2014/chart" uri="{C3380CC4-5D6E-409C-BE32-E72D297353CC}">
              <c16:uniqueId val="{00000000-DF7A-4A09-A922-978ACA18006B}"/>
            </c:ext>
          </c:extLst>
        </c:ser>
        <c:ser>
          <c:idx val="1"/>
          <c:order val="1"/>
          <c:tx>
            <c:strRef>
              <c:f>Pivot!$O$80</c:f>
              <c:strCache>
                <c:ptCount val="1"/>
                <c:pt idx="0">
                  <c:v>Revenue Target</c:v>
                </c:pt>
              </c:strCache>
            </c:strRef>
          </c:tx>
          <c:spPr>
            <a:solidFill>
              <a:srgbClr val="D8C3CB"/>
            </a:solidFill>
            <a:ln>
              <a:solidFill>
                <a:srgbClr val="D8C3CB"/>
              </a:solidFill>
              <a:prstDash val="solid"/>
            </a:ln>
          </c:spPr>
          <c:invertIfNegative val="0"/>
          <c:cat>
            <c:numRef>
              <c:f>Pivot!$M$81:$M$92</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Pivot!$O$81:$O$92</c:f>
              <c:numCache>
                <c:formatCode>\€#,##0,"K"</c:formatCode>
                <c:ptCount val="12"/>
                <c:pt idx="0">
                  <c:v>1062000</c:v>
                </c:pt>
                <c:pt idx="1">
                  <c:v>1062000</c:v>
                </c:pt>
                <c:pt idx="2">
                  <c:v>1180000</c:v>
                </c:pt>
                <c:pt idx="3">
                  <c:v>1180000</c:v>
                </c:pt>
                <c:pt idx="4">
                  <c:v>1180000</c:v>
                </c:pt>
                <c:pt idx="5">
                  <c:v>1180000</c:v>
                </c:pt>
                <c:pt idx="6">
                  <c:v>1180000</c:v>
                </c:pt>
                <c:pt idx="7">
                  <c:v>1180000</c:v>
                </c:pt>
                <c:pt idx="8">
                  <c:v>1321600</c:v>
                </c:pt>
                <c:pt idx="9">
                  <c:v>1321600</c:v>
                </c:pt>
                <c:pt idx="10">
                  <c:v>1321600</c:v>
                </c:pt>
                <c:pt idx="11">
                  <c:v>1180000</c:v>
                </c:pt>
              </c:numCache>
            </c:numRef>
          </c:val>
          <c:extLst>
            <c:ext xmlns:c16="http://schemas.microsoft.com/office/drawing/2014/chart" uri="{C3380CC4-5D6E-409C-BE32-E72D297353CC}">
              <c16:uniqueId val="{00000001-DF7A-4A09-A922-978ACA18006B}"/>
            </c:ext>
          </c:extLst>
        </c:ser>
        <c:dLbls>
          <c:showLegendKey val="0"/>
          <c:showVal val="0"/>
          <c:showCatName val="0"/>
          <c:showSerName val="0"/>
          <c:showPercent val="0"/>
          <c:showBubbleSize val="0"/>
        </c:dLbls>
        <c:gapWidth val="60"/>
        <c:axId val="1348091615"/>
        <c:axId val="1348092575"/>
      </c:barChart>
      <c:lineChart>
        <c:grouping val="standard"/>
        <c:varyColors val="0"/>
        <c:ser>
          <c:idx val="2"/>
          <c:order val="2"/>
          <c:tx>
            <c:strRef>
              <c:f>Pivot!$P$80</c:f>
              <c:strCache>
                <c:ptCount val="1"/>
                <c:pt idx="0">
                  <c:v>Attainment</c:v>
                </c:pt>
              </c:strCache>
            </c:strRef>
          </c:tx>
          <c:spPr>
            <a:ln w="25400">
              <a:solidFill>
                <a:srgbClr val="C9A227"/>
              </a:solidFill>
              <a:prstDash val="solid"/>
            </a:ln>
          </c:spPr>
          <c:marker>
            <c:symbol val="circle"/>
            <c:size val="6"/>
            <c:spPr>
              <a:solidFill>
                <a:srgbClr val="E3C766"/>
              </a:solidFill>
              <a:ln w="25400">
                <a:solidFill>
                  <a:srgbClr val="C9A227"/>
                </a:solidFill>
                <a:prstDash val="solid"/>
              </a:ln>
            </c:spPr>
          </c:marker>
          <c:cat>
            <c:numRef>
              <c:f>Pivot!$M$81:$M$92</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Pivot!$P$81:$P$92</c:f>
              <c:numCache>
                <c:formatCode>0.0%</c:formatCode>
                <c:ptCount val="12"/>
                <c:pt idx="0">
                  <c:v>0</c:v>
                </c:pt>
                <c:pt idx="1">
                  <c:v>4.8192467043314509E-3</c:v>
                </c:pt>
                <c:pt idx="2">
                  <c:v>1.1503855932203391E-2</c:v>
                </c:pt>
                <c:pt idx="3">
                  <c:v>2.011985593220339E-2</c:v>
                </c:pt>
                <c:pt idx="4">
                  <c:v>2.7443542372881356E-2</c:v>
                </c:pt>
                <c:pt idx="5">
                  <c:v>3.6296440677966092E-2</c:v>
                </c:pt>
                <c:pt idx="6">
                  <c:v>5.1160872881355894E-2</c:v>
                </c:pt>
                <c:pt idx="7">
                  <c:v>4.6962669491525409E-2</c:v>
                </c:pt>
                <c:pt idx="8">
                  <c:v>4.9518053874092E-2</c:v>
                </c:pt>
                <c:pt idx="9">
                  <c:v>4.7410230024213067E-2</c:v>
                </c:pt>
                <c:pt idx="10">
                  <c:v>5.1613430690072626E-2</c:v>
                </c:pt>
                <c:pt idx="11">
                  <c:v>6.6101050847457613E-2</c:v>
                </c:pt>
              </c:numCache>
            </c:numRef>
          </c:val>
          <c:smooth val="1"/>
          <c:extLst>
            <c:ext xmlns:c16="http://schemas.microsoft.com/office/drawing/2014/chart" uri="{C3380CC4-5D6E-409C-BE32-E72D297353CC}">
              <c16:uniqueId val="{00000002-DF7A-4A09-A922-978ACA18006B}"/>
            </c:ext>
          </c:extLst>
        </c:ser>
        <c:dLbls>
          <c:showLegendKey val="0"/>
          <c:showVal val="0"/>
          <c:showCatName val="0"/>
          <c:showSerName val="0"/>
          <c:showPercent val="0"/>
          <c:showBubbleSize val="0"/>
        </c:dLbls>
        <c:marker val="1"/>
        <c:smooth val="0"/>
        <c:axId val="1348083455"/>
        <c:axId val="1348086815"/>
      </c:lineChart>
      <c:dateAx>
        <c:axId val="1348091615"/>
        <c:scaling>
          <c:orientation val="minMax"/>
        </c:scaling>
        <c:delete val="0"/>
        <c:axPos val="b"/>
        <c:numFmt formatCode="mmm\-yy" sourceLinked="1"/>
        <c:majorTickMark val="out"/>
        <c:minorTickMark val="none"/>
        <c:tickLblPos val="nextTo"/>
        <c:txPr>
          <a:bodyPr/>
          <a:lstStyle/>
          <a:p>
            <a:pPr>
              <a:defRPr sz="900">
                <a:solidFill>
                  <a:srgbClr val="6B5560"/>
                </a:solidFill>
              </a:defRPr>
            </a:pPr>
            <a:endParaRPr lang="en-US"/>
          </a:p>
        </c:txPr>
        <c:crossAx val="1348092575"/>
        <c:crosses val="autoZero"/>
        <c:auto val="1"/>
        <c:lblOffset val="100"/>
        <c:baseTimeUnit val="months"/>
      </c:dateAx>
      <c:valAx>
        <c:axId val="1348092575"/>
        <c:scaling>
          <c:orientation val="minMax"/>
        </c:scaling>
        <c:delete val="0"/>
        <c:axPos val="l"/>
        <c:majorGridlines>
          <c:spPr>
            <a:ln>
              <a:solidFill>
                <a:srgbClr val="EADCE2"/>
              </a:solidFill>
              <a:prstDash val="solid"/>
            </a:ln>
          </c:spPr>
        </c:majorGridlines>
        <c:numFmt formatCode="\€#,##0,&quot;K&quot;" sourceLinked="1"/>
        <c:majorTickMark val="out"/>
        <c:minorTickMark val="none"/>
        <c:tickLblPos val="nextTo"/>
        <c:txPr>
          <a:bodyPr/>
          <a:lstStyle/>
          <a:p>
            <a:pPr>
              <a:defRPr sz="900">
                <a:solidFill>
                  <a:srgbClr val="6B5560"/>
                </a:solidFill>
              </a:defRPr>
            </a:pPr>
            <a:endParaRPr lang="en-US"/>
          </a:p>
        </c:txPr>
        <c:crossAx val="1348091615"/>
        <c:crosses val="autoZero"/>
        <c:crossBetween val="between"/>
      </c:valAx>
      <c:valAx>
        <c:axId val="1348086815"/>
        <c:scaling>
          <c:orientation val="minMax"/>
        </c:scaling>
        <c:delete val="0"/>
        <c:axPos val="r"/>
        <c:numFmt formatCode="0.0%" sourceLinked="0"/>
        <c:majorTickMark val="out"/>
        <c:minorTickMark val="none"/>
        <c:tickLblPos val="nextTo"/>
        <c:crossAx val="1348083455"/>
        <c:crosses val="max"/>
        <c:crossBetween val="between"/>
      </c:valAx>
      <c:dateAx>
        <c:axId val="1348083455"/>
        <c:scaling>
          <c:orientation val="minMax"/>
        </c:scaling>
        <c:delete val="1"/>
        <c:axPos val="b"/>
        <c:numFmt formatCode="mmm\-yy" sourceLinked="1"/>
        <c:majorTickMark val="out"/>
        <c:minorTickMark val="none"/>
        <c:tickLblPos val="nextTo"/>
        <c:crossAx val="1348086815"/>
        <c:crosses val="autoZero"/>
        <c:auto val="1"/>
        <c:lblOffset val="100"/>
        <c:baseTimeUnit val="months"/>
      </c:dateAx>
    </c:plotArea>
    <c:legend>
      <c:legendPos val="b"/>
      <c:overlay val="0"/>
      <c:txPr>
        <a:bodyPr/>
        <a:lstStyle/>
        <a:p>
          <a:pPr>
            <a:defRPr sz="9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6E6E8"/>
      </a:solidFill>
    </a:ln>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solidFill>
                  <a:srgbClr val="5B1230"/>
                </a:solidFill>
              </a:defRPr>
            </a:pPr>
            <a:r>
              <a:rPr lang="en-US"/>
              <a:t>Monthly Completed Revenue Trend</a:t>
            </a:r>
          </a:p>
        </c:rich>
      </c:tx>
      <c:overlay val="0"/>
    </c:title>
    <c:autoTitleDeleted val="0"/>
    <c:plotArea>
      <c:layout>
        <c:manualLayout>
          <c:xMode val="edge"/>
          <c:yMode val="edge"/>
          <c:x val="3.2905979584159813E-2"/>
          <c:y val="0.15043572844521794"/>
          <c:w val="0.93418804083168039"/>
          <c:h val="0.72712418457624872"/>
        </c:manualLayout>
      </c:layout>
      <c:lineChart>
        <c:grouping val="standard"/>
        <c:varyColors val="0"/>
        <c:ser>
          <c:idx val="0"/>
          <c:order val="0"/>
          <c:tx>
            <c:strRef>
              <c:f>Pivot!$N$80</c:f>
              <c:strCache>
                <c:ptCount val="1"/>
                <c:pt idx="0">
                  <c:v>Actual Revenue</c:v>
                </c:pt>
              </c:strCache>
            </c:strRef>
          </c:tx>
          <c:spPr>
            <a:ln w="31750">
              <a:solidFill>
                <a:srgbClr val="A83254"/>
              </a:solidFill>
              <a:prstDash val="solid"/>
            </a:ln>
          </c:spPr>
          <c:marker>
            <c:symbol val="circle"/>
            <c:size val="7"/>
            <c:spPr>
              <a:solidFill>
                <a:srgbClr val="A83254"/>
              </a:solidFill>
              <a:ln w="28575">
                <a:solidFill>
                  <a:srgbClr val="C9A227"/>
                </a:solidFill>
                <a:prstDash val="solid"/>
              </a:ln>
            </c:spPr>
          </c:marker>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Pivot!$M$81:$M$92</c:f>
              <c:numCache>
                <c:formatCode>mmm\-yy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Pivot!$N$81:$N$92</c:f>
              <c:numCache>
                <c:formatCode>\€#,##0,"K"</c:formatCode>
                <c:ptCount val="12"/>
                <c:pt idx="0">
                  <c:v>0</c:v>
                </c:pt>
                <c:pt idx="1">
                  <c:v>5118.0400000000009</c:v>
                </c:pt>
                <c:pt idx="2">
                  <c:v>13574.550000000001</c:v>
                </c:pt>
                <c:pt idx="3">
                  <c:v>23741.43</c:v>
                </c:pt>
                <c:pt idx="4">
                  <c:v>32383.38</c:v>
                </c:pt>
                <c:pt idx="5">
                  <c:v>42829.799999999988</c:v>
                </c:pt>
                <c:pt idx="6">
                  <c:v>60369.829999999958</c:v>
                </c:pt>
                <c:pt idx="7">
                  <c:v>55415.949999999983</c:v>
                </c:pt>
                <c:pt idx="8">
                  <c:v>65443.05999999999</c:v>
                </c:pt>
                <c:pt idx="9">
                  <c:v>62657.359999999993</c:v>
                </c:pt>
                <c:pt idx="10">
                  <c:v>68212.309999999983</c:v>
                </c:pt>
                <c:pt idx="11">
                  <c:v>77999.239999999976</c:v>
                </c:pt>
              </c:numCache>
            </c:numRef>
          </c:val>
          <c:smooth val="1"/>
          <c:extLst>
            <c:ext xmlns:c16="http://schemas.microsoft.com/office/drawing/2014/chart" uri="{C3380CC4-5D6E-409C-BE32-E72D297353CC}">
              <c16:uniqueId val="{00000000-C620-49E1-B055-3341E5F33263}"/>
            </c:ext>
          </c:extLst>
        </c:ser>
        <c:dLbls>
          <c:showLegendKey val="0"/>
          <c:showVal val="0"/>
          <c:showCatName val="0"/>
          <c:showSerName val="0"/>
          <c:showPercent val="0"/>
          <c:showBubbleSize val="0"/>
        </c:dLbls>
        <c:marker val="1"/>
        <c:smooth val="0"/>
        <c:axId val="1348094015"/>
        <c:axId val="1348104575"/>
      </c:lineChart>
      <c:dateAx>
        <c:axId val="1348094015"/>
        <c:scaling>
          <c:orientation val="minMax"/>
        </c:scaling>
        <c:delete val="0"/>
        <c:axPos val="b"/>
        <c:numFmt formatCode="mmm\-yy" sourceLinked="1"/>
        <c:majorTickMark val="out"/>
        <c:minorTickMark val="none"/>
        <c:tickLblPos val="nextTo"/>
        <c:txPr>
          <a:bodyPr/>
          <a:lstStyle/>
          <a:p>
            <a:pPr>
              <a:defRPr sz="900">
                <a:solidFill>
                  <a:srgbClr val="6B5560"/>
                </a:solidFill>
              </a:defRPr>
            </a:pPr>
            <a:endParaRPr lang="en-US"/>
          </a:p>
        </c:txPr>
        <c:crossAx val="1348104575"/>
        <c:crosses val="autoZero"/>
        <c:auto val="1"/>
        <c:lblOffset val="100"/>
        <c:baseTimeUnit val="months"/>
      </c:dateAx>
      <c:valAx>
        <c:axId val="1348104575"/>
        <c:scaling>
          <c:orientation val="minMax"/>
        </c:scaling>
        <c:delete val="0"/>
        <c:axPos val="l"/>
        <c:majorGridlines>
          <c:spPr>
            <a:ln>
              <a:solidFill>
                <a:srgbClr val="EADCE2"/>
              </a:solidFill>
              <a:prstDash val="solid"/>
            </a:ln>
          </c:spPr>
        </c:majorGridlines>
        <c:numFmt formatCode="\€#,##0,&quot;K&quot;" sourceLinked="1"/>
        <c:majorTickMark val="out"/>
        <c:minorTickMark val="none"/>
        <c:tickLblPos val="nextTo"/>
        <c:txPr>
          <a:bodyPr/>
          <a:lstStyle/>
          <a:p>
            <a:pPr>
              <a:defRPr sz="900">
                <a:solidFill>
                  <a:srgbClr val="6B5560"/>
                </a:solidFill>
              </a:defRPr>
            </a:pPr>
            <a:endParaRPr lang="en-US"/>
          </a:p>
        </c:txPr>
        <c:crossAx val="1348094015"/>
        <c:crosses val="autoZero"/>
        <c:crossBetween val="between"/>
      </c:valAx>
    </c:plotArea>
    <c:legend>
      <c:legendPos val="b"/>
      <c:overlay val="0"/>
      <c:txPr>
        <a:bodyPr/>
        <a:lstStyle/>
        <a:p>
          <a:pPr>
            <a:defRPr sz="9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6E6E8"/>
      </a:solidFill>
    </a:ln>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solidFill>
                  <a:srgbClr val="5B1230"/>
                </a:solidFill>
              </a:defRPr>
            </a:pPr>
            <a:r>
              <a:rPr lang="en-US"/>
              <a:t>Channel Effectiveness — Leads vs Win Rate</a:t>
            </a:r>
          </a:p>
        </c:rich>
      </c:tx>
      <c:overlay val="0"/>
    </c:title>
    <c:autoTitleDeleted val="0"/>
    <c:plotArea>
      <c:layout>
        <c:manualLayout>
          <c:xMode val="edge"/>
          <c:yMode val="edge"/>
          <c:x val="3.2905979584159813E-2"/>
          <c:y val="0.15043572844521794"/>
          <c:w val="0.93418804083168039"/>
          <c:h val="0.72712418457624872"/>
        </c:manualLayout>
      </c:layout>
      <c:barChart>
        <c:barDir val="col"/>
        <c:grouping val="clustered"/>
        <c:varyColors val="0"/>
        <c:ser>
          <c:idx val="0"/>
          <c:order val="0"/>
          <c:tx>
            <c:strRef>
              <c:f>Pivot!$S$80</c:f>
              <c:strCache>
                <c:ptCount val="1"/>
                <c:pt idx="0">
                  <c:v>Leads</c:v>
                </c:pt>
              </c:strCache>
            </c:strRef>
          </c:tx>
          <c:spPr>
            <a:solidFill>
              <a:srgbClr val="7B1E3C"/>
            </a:solidFill>
          </c:spPr>
          <c:invertIfNegative val="0"/>
          <c:dLbls>
            <c:numFmt formatCode="#,##0" sourceLinked="0"/>
            <c:spPr>
              <a:noFill/>
              <a:ln>
                <a:noFill/>
              </a:ln>
              <a:effectLst/>
            </c:spPr>
            <c:txPr>
              <a:bodyPr wrap="square" lIns="38100" tIns="19050" rIns="38100" bIns="19050" anchor="ctr">
                <a:spAutoFit/>
              </a:bodyPr>
              <a:lstStyle/>
              <a:p>
                <a:pPr>
                  <a:defRPr sz="8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Pivot!$R$81:$R$86</c:f>
              <c:strCache>
                <c:ptCount val="6"/>
                <c:pt idx="0">
                  <c:v>Digital</c:v>
                </c:pt>
                <c:pt idx="1">
                  <c:v>Direct Sales</c:v>
                </c:pt>
                <c:pt idx="2">
                  <c:v>Partner</c:v>
                </c:pt>
                <c:pt idx="3">
                  <c:v>Referral</c:v>
                </c:pt>
                <c:pt idx="4">
                  <c:v>Telesales</c:v>
                </c:pt>
                <c:pt idx="5">
                  <c:v>Unknown</c:v>
                </c:pt>
              </c:strCache>
            </c:strRef>
          </c:cat>
          <c:val>
            <c:numRef>
              <c:f>Pivot!$S$81:$S$86</c:f>
              <c:numCache>
                <c:formatCode>#,##0</c:formatCode>
                <c:ptCount val="6"/>
                <c:pt idx="0">
                  <c:v>232</c:v>
                </c:pt>
                <c:pt idx="1">
                  <c:v>270</c:v>
                </c:pt>
                <c:pt idx="2">
                  <c:v>213</c:v>
                </c:pt>
                <c:pt idx="3">
                  <c:v>108</c:v>
                </c:pt>
                <c:pt idx="4">
                  <c:v>167</c:v>
                </c:pt>
                <c:pt idx="5">
                  <c:v>10</c:v>
                </c:pt>
              </c:numCache>
            </c:numRef>
          </c:val>
          <c:extLst>
            <c:ext xmlns:c16="http://schemas.microsoft.com/office/drawing/2014/chart" uri="{C3380CC4-5D6E-409C-BE32-E72D297353CC}">
              <c16:uniqueId val="{00000000-9D42-4FE1-9565-658DFF8F8F81}"/>
            </c:ext>
          </c:extLst>
        </c:ser>
        <c:dLbls>
          <c:showLegendKey val="0"/>
          <c:showVal val="0"/>
          <c:showCatName val="0"/>
          <c:showSerName val="0"/>
          <c:showPercent val="0"/>
          <c:showBubbleSize val="0"/>
        </c:dLbls>
        <c:gapWidth val="55"/>
        <c:axId val="1348094975"/>
        <c:axId val="1348109375"/>
      </c:barChart>
      <c:lineChart>
        <c:grouping val="standard"/>
        <c:varyColors val="0"/>
        <c:ser>
          <c:idx val="1"/>
          <c:order val="1"/>
          <c:tx>
            <c:strRef>
              <c:f>Pivot!$T$80</c:f>
              <c:strCache>
                <c:ptCount val="1"/>
                <c:pt idx="0">
                  <c:v>Win Rate</c:v>
                </c:pt>
              </c:strCache>
            </c:strRef>
          </c:tx>
          <c:spPr>
            <a:ln w="28575">
              <a:solidFill>
                <a:srgbClr val="C9A227"/>
              </a:solidFill>
              <a:prstDash val="solid"/>
            </a:ln>
          </c:spPr>
          <c:marker>
            <c:symbol val="circle"/>
            <c:size val="6"/>
            <c:spPr>
              <a:solidFill>
                <a:srgbClr val="E3C766"/>
              </a:solidFill>
              <a:ln w="28575">
                <a:solidFill>
                  <a:srgbClr val="C9A227"/>
                </a:solidFill>
                <a:prstDash val="solid"/>
              </a:ln>
            </c:spPr>
          </c:marker>
          <c:dLbls>
            <c:numFmt formatCode="0.0%" sourceLinked="0"/>
            <c:spPr>
              <a:noFill/>
              <a:ln>
                <a:noFill/>
              </a:ln>
              <a:effectLst/>
            </c:spPr>
            <c:txPr>
              <a:bodyPr wrap="square" lIns="38100" tIns="19050" rIns="38100" bIns="19050" anchor="ctr">
                <a:spAutoFit/>
              </a:bodyPr>
              <a:lstStyle/>
              <a:p>
                <a:pPr>
                  <a:defRPr sz="800" b="1"/>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Pivot!$R$81:$R$86</c:f>
              <c:strCache>
                <c:ptCount val="6"/>
                <c:pt idx="0">
                  <c:v>Digital</c:v>
                </c:pt>
                <c:pt idx="1">
                  <c:v>Direct Sales</c:v>
                </c:pt>
                <c:pt idx="2">
                  <c:v>Partner</c:v>
                </c:pt>
                <c:pt idx="3">
                  <c:v>Referral</c:v>
                </c:pt>
                <c:pt idx="4">
                  <c:v>Telesales</c:v>
                </c:pt>
                <c:pt idx="5">
                  <c:v>Unknown</c:v>
                </c:pt>
              </c:strCache>
            </c:strRef>
          </c:cat>
          <c:val>
            <c:numRef>
              <c:f>Pivot!$T$81:$T$86</c:f>
              <c:numCache>
                <c:formatCode>0.0%</c:formatCode>
                <c:ptCount val="6"/>
                <c:pt idx="0">
                  <c:v>9.4827586206896547E-2</c:v>
                </c:pt>
                <c:pt idx="1">
                  <c:v>0.34074074074074073</c:v>
                </c:pt>
                <c:pt idx="2">
                  <c:v>0.20657276995305165</c:v>
                </c:pt>
                <c:pt idx="3">
                  <c:v>0.31481481481481483</c:v>
                </c:pt>
                <c:pt idx="4">
                  <c:v>0.1437125748502994</c:v>
                </c:pt>
                <c:pt idx="5">
                  <c:v>0.4</c:v>
                </c:pt>
              </c:numCache>
            </c:numRef>
          </c:val>
          <c:smooth val="1"/>
          <c:extLst>
            <c:ext xmlns:c16="http://schemas.microsoft.com/office/drawing/2014/chart" uri="{C3380CC4-5D6E-409C-BE32-E72D297353CC}">
              <c16:uniqueId val="{00000001-9D42-4FE1-9565-658DFF8F8F81}"/>
            </c:ext>
          </c:extLst>
        </c:ser>
        <c:dLbls>
          <c:showLegendKey val="0"/>
          <c:showVal val="0"/>
          <c:showCatName val="0"/>
          <c:showSerName val="0"/>
          <c:showPercent val="0"/>
          <c:showBubbleSize val="0"/>
        </c:dLbls>
        <c:marker val="1"/>
        <c:smooth val="0"/>
        <c:axId val="1348106015"/>
        <c:axId val="1348110335"/>
      </c:lineChart>
      <c:catAx>
        <c:axId val="1348094975"/>
        <c:scaling>
          <c:orientation val="minMax"/>
        </c:scaling>
        <c:delete val="0"/>
        <c:axPos val="b"/>
        <c:numFmt formatCode="General" sourceLinked="1"/>
        <c:majorTickMark val="out"/>
        <c:minorTickMark val="none"/>
        <c:tickLblPos val="nextTo"/>
        <c:txPr>
          <a:bodyPr/>
          <a:lstStyle/>
          <a:p>
            <a:pPr>
              <a:defRPr sz="900">
                <a:solidFill>
                  <a:srgbClr val="6B5560"/>
                </a:solidFill>
              </a:defRPr>
            </a:pPr>
            <a:endParaRPr lang="en-US"/>
          </a:p>
        </c:txPr>
        <c:crossAx val="1348109375"/>
        <c:crosses val="autoZero"/>
        <c:auto val="1"/>
        <c:lblAlgn val="ctr"/>
        <c:lblOffset val="100"/>
        <c:noMultiLvlLbl val="0"/>
      </c:catAx>
      <c:valAx>
        <c:axId val="1348109375"/>
        <c:scaling>
          <c:orientation val="minMax"/>
        </c:scaling>
        <c:delete val="0"/>
        <c:axPos val="l"/>
        <c:majorGridlines>
          <c:spPr>
            <a:ln>
              <a:solidFill>
                <a:srgbClr val="EADCE2"/>
              </a:solidFill>
              <a:prstDash val="solid"/>
            </a:ln>
          </c:spPr>
        </c:majorGridlines>
        <c:numFmt formatCode="#,##0" sourceLinked="1"/>
        <c:majorTickMark val="out"/>
        <c:minorTickMark val="none"/>
        <c:tickLblPos val="nextTo"/>
        <c:txPr>
          <a:bodyPr/>
          <a:lstStyle/>
          <a:p>
            <a:pPr>
              <a:defRPr sz="900">
                <a:solidFill>
                  <a:srgbClr val="6B5560"/>
                </a:solidFill>
              </a:defRPr>
            </a:pPr>
            <a:endParaRPr lang="en-US"/>
          </a:p>
        </c:txPr>
        <c:crossAx val="1348094975"/>
        <c:crosses val="autoZero"/>
        <c:crossBetween val="between"/>
      </c:valAx>
      <c:valAx>
        <c:axId val="1348110335"/>
        <c:scaling>
          <c:orientation val="minMax"/>
        </c:scaling>
        <c:delete val="0"/>
        <c:axPos val="r"/>
        <c:numFmt formatCode="0.0%" sourceLinked="0"/>
        <c:majorTickMark val="out"/>
        <c:minorTickMark val="none"/>
        <c:tickLblPos val="nextTo"/>
        <c:crossAx val="1348106015"/>
        <c:crosses val="max"/>
        <c:crossBetween val="between"/>
      </c:valAx>
      <c:catAx>
        <c:axId val="1348106015"/>
        <c:scaling>
          <c:orientation val="minMax"/>
        </c:scaling>
        <c:delete val="1"/>
        <c:axPos val="b"/>
        <c:numFmt formatCode="General" sourceLinked="1"/>
        <c:majorTickMark val="out"/>
        <c:minorTickMark val="none"/>
        <c:tickLblPos val="nextTo"/>
        <c:crossAx val="1348110335"/>
        <c:crosses val="autoZero"/>
        <c:auto val="1"/>
        <c:lblAlgn val="ctr"/>
        <c:lblOffset val="100"/>
        <c:noMultiLvlLbl val="0"/>
      </c:catAx>
    </c:plotArea>
    <c:legend>
      <c:legendPos val="b"/>
      <c:overlay val="0"/>
      <c:txPr>
        <a:bodyPr/>
        <a:lstStyle/>
        <a:p>
          <a:pPr>
            <a:defRPr sz="9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6E6E8"/>
      </a:solidFill>
    </a:ln>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b="1">
                <a:solidFill>
                  <a:srgbClr val="5B1230"/>
                </a:solidFill>
              </a:defRPr>
            </a:pPr>
            <a:r>
              <a:rPr lang="en-US"/>
              <a:t>Customer Attrition by Market</a:t>
            </a:r>
          </a:p>
        </c:rich>
      </c:tx>
      <c:overlay val="0"/>
    </c:title>
    <c:autoTitleDeleted val="0"/>
    <c:plotArea>
      <c:layout>
        <c:manualLayout>
          <c:xMode val="edge"/>
          <c:yMode val="edge"/>
          <c:x val="3.2905987335081412E-2"/>
          <c:y val="0.15043572844521794"/>
          <c:w val="0.93418802532983714"/>
          <c:h val="0.72712418457624872"/>
        </c:manualLayout>
      </c:layout>
      <c:barChart>
        <c:barDir val="col"/>
        <c:grouping val="stacked"/>
        <c:varyColors val="0"/>
        <c:ser>
          <c:idx val="0"/>
          <c:order val="0"/>
          <c:tx>
            <c:strRef>
              <c:f>Pivot!$Y$80</c:f>
              <c:strCache>
                <c:ptCount val="1"/>
                <c:pt idx="0">
                  <c:v>Activated</c:v>
                </c:pt>
              </c:strCache>
            </c:strRef>
          </c:tx>
          <c:spPr>
            <a:solidFill>
              <a:srgbClr val="A83254"/>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Pivot!$X$81:$X$85</c:f>
              <c:strCache>
                <c:ptCount val="5"/>
                <c:pt idx="0">
                  <c:v>Czech Republic</c:v>
                </c:pt>
                <c:pt idx="1">
                  <c:v>France</c:v>
                </c:pt>
                <c:pt idx="2">
                  <c:v>Germany</c:v>
                </c:pt>
                <c:pt idx="3">
                  <c:v>Netherlands</c:v>
                </c:pt>
                <c:pt idx="4">
                  <c:v>United Kingdom</c:v>
                </c:pt>
              </c:strCache>
            </c:strRef>
          </c:cat>
          <c:val>
            <c:numRef>
              <c:f>Pivot!$Y$81:$Y$85</c:f>
              <c:numCache>
                <c:formatCode>#,##0</c:formatCode>
                <c:ptCount val="5"/>
                <c:pt idx="0">
                  <c:v>25</c:v>
                </c:pt>
                <c:pt idx="1">
                  <c:v>35</c:v>
                </c:pt>
                <c:pt idx="2">
                  <c:v>37</c:v>
                </c:pt>
                <c:pt idx="3">
                  <c:v>33</c:v>
                </c:pt>
                <c:pt idx="4">
                  <c:v>41</c:v>
                </c:pt>
              </c:numCache>
            </c:numRef>
          </c:val>
          <c:extLst>
            <c:ext xmlns:c16="http://schemas.microsoft.com/office/drawing/2014/chart" uri="{C3380CC4-5D6E-409C-BE32-E72D297353CC}">
              <c16:uniqueId val="{00000000-55C2-4245-9DBD-D4D140AC9202}"/>
            </c:ext>
          </c:extLst>
        </c:ser>
        <c:ser>
          <c:idx val="1"/>
          <c:order val="1"/>
          <c:tx>
            <c:strRef>
              <c:f>Pivot!$Z$80</c:f>
              <c:strCache>
                <c:ptCount val="1"/>
                <c:pt idx="0">
                  <c:v>Churned</c:v>
                </c:pt>
              </c:strCache>
            </c:strRef>
          </c:tx>
          <c:spPr>
            <a:solidFill>
              <a:srgbClr val="5B1230"/>
            </a:solidFill>
          </c:spPr>
          <c:invertIfNegative val="0"/>
          <c:dLbls>
            <c:numFmt formatCode="#,##0" sourceLinked="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Pivot!$X$81:$X$85</c:f>
              <c:strCache>
                <c:ptCount val="5"/>
                <c:pt idx="0">
                  <c:v>Czech Republic</c:v>
                </c:pt>
                <c:pt idx="1">
                  <c:v>France</c:v>
                </c:pt>
                <c:pt idx="2">
                  <c:v>Germany</c:v>
                </c:pt>
                <c:pt idx="3">
                  <c:v>Netherlands</c:v>
                </c:pt>
                <c:pt idx="4">
                  <c:v>United Kingdom</c:v>
                </c:pt>
              </c:strCache>
            </c:strRef>
          </c:cat>
          <c:val>
            <c:numRef>
              <c:f>Pivot!$Z$81:$Z$85</c:f>
              <c:numCache>
                <c:formatCode>#,##0</c:formatCode>
                <c:ptCount val="5"/>
                <c:pt idx="0">
                  <c:v>3</c:v>
                </c:pt>
                <c:pt idx="1">
                  <c:v>2</c:v>
                </c:pt>
                <c:pt idx="2">
                  <c:v>2</c:v>
                </c:pt>
                <c:pt idx="3">
                  <c:v>6</c:v>
                </c:pt>
                <c:pt idx="4">
                  <c:v>3</c:v>
                </c:pt>
              </c:numCache>
            </c:numRef>
          </c:val>
          <c:extLst>
            <c:ext xmlns:c16="http://schemas.microsoft.com/office/drawing/2014/chart" uri="{C3380CC4-5D6E-409C-BE32-E72D297353CC}">
              <c16:uniqueId val="{00000001-55C2-4245-9DBD-D4D140AC9202}"/>
            </c:ext>
          </c:extLst>
        </c:ser>
        <c:dLbls>
          <c:showLegendKey val="0"/>
          <c:showVal val="0"/>
          <c:showCatName val="0"/>
          <c:showSerName val="0"/>
          <c:showPercent val="0"/>
          <c:showBubbleSize val="0"/>
        </c:dLbls>
        <c:gapWidth val="55"/>
        <c:overlap val="100"/>
        <c:axId val="1348100255"/>
        <c:axId val="1348084415"/>
      </c:barChart>
      <c:catAx>
        <c:axId val="1348100255"/>
        <c:scaling>
          <c:orientation val="minMax"/>
        </c:scaling>
        <c:delete val="0"/>
        <c:axPos val="b"/>
        <c:numFmt formatCode="General" sourceLinked="1"/>
        <c:majorTickMark val="out"/>
        <c:minorTickMark val="none"/>
        <c:tickLblPos val="nextTo"/>
        <c:txPr>
          <a:bodyPr/>
          <a:lstStyle/>
          <a:p>
            <a:pPr>
              <a:defRPr sz="900">
                <a:solidFill>
                  <a:srgbClr val="6B5560"/>
                </a:solidFill>
              </a:defRPr>
            </a:pPr>
            <a:endParaRPr lang="en-US"/>
          </a:p>
        </c:txPr>
        <c:crossAx val="1348084415"/>
        <c:crosses val="autoZero"/>
        <c:auto val="1"/>
        <c:lblAlgn val="ctr"/>
        <c:lblOffset val="100"/>
        <c:noMultiLvlLbl val="0"/>
      </c:catAx>
      <c:valAx>
        <c:axId val="1348084415"/>
        <c:scaling>
          <c:orientation val="minMax"/>
        </c:scaling>
        <c:delete val="0"/>
        <c:axPos val="l"/>
        <c:majorGridlines>
          <c:spPr>
            <a:ln>
              <a:solidFill>
                <a:srgbClr val="EADCE2"/>
              </a:solidFill>
              <a:prstDash val="solid"/>
            </a:ln>
          </c:spPr>
        </c:majorGridlines>
        <c:numFmt formatCode="#,##0" sourceLinked="1"/>
        <c:majorTickMark val="out"/>
        <c:minorTickMark val="none"/>
        <c:tickLblPos val="nextTo"/>
        <c:txPr>
          <a:bodyPr/>
          <a:lstStyle/>
          <a:p>
            <a:pPr>
              <a:defRPr sz="900">
                <a:solidFill>
                  <a:srgbClr val="6B5560"/>
                </a:solidFill>
              </a:defRPr>
            </a:pPr>
            <a:endParaRPr lang="en-US"/>
          </a:p>
        </c:txPr>
        <c:crossAx val="1348100255"/>
        <c:crosses val="autoZero"/>
        <c:crossBetween val="between"/>
      </c:valAx>
    </c:plotArea>
    <c:legend>
      <c:legendPos val="b"/>
      <c:overlay val="0"/>
      <c:txPr>
        <a:bodyPr/>
        <a:lstStyle/>
        <a:p>
          <a:pPr>
            <a:defRPr sz="9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6E6E8"/>
      </a:solidFill>
    </a:ln>
  </c:spPr>
  <c:txPr>
    <a:bodyPr/>
    <a:lstStyle/>
    <a:p>
      <a:pPr>
        <a:defRPr sz="1000">
          <a:latin typeface="Aptos"/>
          <a:ea typeface="Aptos"/>
          <a:cs typeface="Aptos"/>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cap="all" spc="50" baseline="0">
                <a:solidFill>
                  <a:srgbClr val="5B1230"/>
                </a:solidFill>
                <a:latin typeface="+mn-lt"/>
                <a:ea typeface="+mn-ea"/>
                <a:cs typeface="+mn-cs"/>
              </a:defRPr>
            </a:pPr>
            <a:r>
              <a:rPr lang="en-US"/>
              <a:t>Revenue by Channel</a:t>
            </a:r>
          </a:p>
        </c:rich>
      </c:tx>
      <c:overlay val="0"/>
      <c:spPr>
        <a:noFill/>
        <a:ln>
          <a:noFill/>
        </a:ln>
        <a:effectLst/>
      </c:spPr>
    </c:title>
    <c:autoTitleDeleted val="0"/>
    <c:plotArea>
      <c:layout/>
      <c:doughnutChart>
        <c:varyColors val="1"/>
        <c:ser>
          <c:idx val="0"/>
          <c:order val="0"/>
          <c:tx>
            <c:strRef>
              <c:f>Pivot!$H$80</c:f>
              <c:strCache>
                <c:ptCount val="1"/>
                <c:pt idx="0">
                  <c:v>Revenue (EUR)</c:v>
                </c:pt>
              </c:strCache>
            </c:strRef>
          </c:tx>
          <c:dPt>
            <c:idx val="0"/>
            <c:bubble3D val="0"/>
            <c:spPr>
              <a:solidFill>
                <a:srgbClr val="4A0E2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E32-4ACA-9619-E1558D0ADD32}"/>
              </c:ext>
            </c:extLst>
          </c:dPt>
          <c:dPt>
            <c:idx val="1"/>
            <c:bubble3D val="0"/>
            <c:spPr>
              <a:solidFill>
                <a:srgbClr val="7B1E3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6E32-4ACA-9619-E1558D0ADD32}"/>
              </c:ext>
            </c:extLst>
          </c:dPt>
          <c:dPt>
            <c:idx val="2"/>
            <c:bubble3D val="0"/>
            <c:spPr>
              <a:solidFill>
                <a:srgbClr val="A8325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E32-4ACA-9619-E1558D0ADD32}"/>
              </c:ext>
            </c:extLst>
          </c:dPt>
          <c:dPt>
            <c:idx val="3"/>
            <c:bubble3D val="0"/>
            <c:spPr>
              <a:solidFill>
                <a:srgbClr val="C2607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6E32-4ACA-9619-E1558D0ADD32}"/>
              </c:ext>
            </c:extLst>
          </c:dPt>
          <c:dPt>
            <c:idx val="4"/>
            <c:bubble3D val="0"/>
            <c:spPr>
              <a:solidFill>
                <a:srgbClr val="C9A227"/>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E32-4ACA-9619-E1558D0ADD32}"/>
              </c:ext>
            </c:extLst>
          </c:dPt>
          <c:dPt>
            <c:idx val="5"/>
            <c:bubble3D val="0"/>
            <c:spPr>
              <a:solidFill>
                <a:srgbClr val="E3C76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6E32-4ACA-9619-E1558D0ADD32}"/>
              </c:ext>
            </c:extLst>
          </c:dPt>
          <c:cat>
            <c:strRef>
              <c:f>Pivot!$G$81:$G$86</c:f>
              <c:strCache>
                <c:ptCount val="6"/>
                <c:pt idx="0">
                  <c:v>Digital</c:v>
                </c:pt>
                <c:pt idx="1">
                  <c:v>Direct Sales</c:v>
                </c:pt>
                <c:pt idx="2">
                  <c:v>Partner</c:v>
                </c:pt>
                <c:pt idx="3">
                  <c:v>Referral</c:v>
                </c:pt>
                <c:pt idx="4">
                  <c:v>Telesales</c:v>
                </c:pt>
                <c:pt idx="5">
                  <c:v>Unmatched</c:v>
                </c:pt>
              </c:strCache>
            </c:strRef>
          </c:cat>
          <c:val>
            <c:numRef>
              <c:f>Pivot!$H$81:$H$86</c:f>
              <c:numCache>
                <c:formatCode>\€#,##0,"K"</c:formatCode>
                <c:ptCount val="6"/>
                <c:pt idx="0">
                  <c:v>54033.69</c:v>
                </c:pt>
                <c:pt idx="1">
                  <c:v>190040.03000000009</c:v>
                </c:pt>
                <c:pt idx="2">
                  <c:v>127442.08000000003</c:v>
                </c:pt>
                <c:pt idx="3">
                  <c:v>81776.869999999893</c:v>
                </c:pt>
                <c:pt idx="4">
                  <c:v>54452.280000000013</c:v>
                </c:pt>
                <c:pt idx="5">
                  <c:v>0</c:v>
                </c:pt>
              </c:numCache>
            </c:numRef>
          </c:val>
          <c:extLst>
            <c:ext xmlns:c16="http://schemas.microsoft.com/office/drawing/2014/chart" uri="{C3380CC4-5D6E-409C-BE32-E72D297353CC}">
              <c16:uniqueId val="{00000000-6E32-4ACA-9619-E1558D0ADD32}"/>
            </c:ext>
          </c:extLst>
        </c:ser>
        <c:dLbls>
          <c:showLegendKey val="0"/>
          <c:showVal val="0"/>
          <c:showCatName val="0"/>
          <c:showSerName val="0"/>
          <c:showPercent val="0"/>
          <c:showBubbleSize val="0"/>
          <c:showLeaderLines val="0"/>
        </c:dLbls>
        <c:firstSliceAng val="0"/>
        <c:holeSize val="62"/>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rgbClr val="4A0E26"/>
                </a:solidFill>
                <a:latin typeface="+mn-lt"/>
                <a:ea typeface="+mn-ea"/>
                <a:cs typeface="+mn-cs"/>
              </a:defRPr>
            </a:pPr>
            <a:r>
              <a:rPr lang="en-US"/>
              <a:t>Sales Funnel — Lead to Activation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rgbClr val="4A0E26"/>
              </a:solidFill>
              <a:latin typeface="+mn-lt"/>
              <a:ea typeface="+mn-ea"/>
              <a:cs typeface="+mn-cs"/>
            </a:defRPr>
          </a:pPr>
          <a:endParaRPr lang="en-US"/>
        </a:p>
      </c:txPr>
    </c:title>
    <c:autoTitleDeleted val="0"/>
    <c:plotArea>
      <c:layout/>
      <c:barChart>
        <c:barDir val="bar"/>
        <c:grouping val="clustered"/>
        <c:varyColors val="0"/>
        <c:ser>
          <c:idx val="0"/>
          <c:order val="0"/>
          <c:tx>
            <c:strRef>
              <c:f>Pivot!$B$80</c:f>
              <c:strCache>
                <c:ptCount val="1"/>
                <c:pt idx="0">
                  <c:v>Leads</c:v>
                </c:pt>
              </c:strCache>
            </c:strRef>
          </c:tx>
          <c:spPr>
            <a:solidFill>
              <a:srgbClr val="7B1E3C"/>
            </a:solidFill>
            <a:ln>
              <a:solidFill>
                <a:srgbClr val="C9A227"/>
              </a:solidFill>
              <a:prstDash val="soli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4A0E26"/>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Pivot!$A$81:$A$85</c:f>
              <c:strCache>
                <c:ptCount val="5"/>
                <c:pt idx="0">
                  <c:v>Leads (all)</c:v>
                </c:pt>
                <c:pt idx="1">
                  <c:v>Qualified</c:v>
                </c:pt>
                <c:pt idx="2">
                  <c:v>Opportunity</c:v>
                </c:pt>
                <c:pt idx="3">
                  <c:v>Won</c:v>
                </c:pt>
                <c:pt idx="4">
                  <c:v>Activated</c:v>
                </c:pt>
              </c:strCache>
            </c:strRef>
          </c:cat>
          <c:val>
            <c:numRef>
              <c:f>Pivot!$B$81:$B$85</c:f>
              <c:numCache>
                <c:formatCode>#,##0</c:formatCode>
                <c:ptCount val="5"/>
                <c:pt idx="0">
                  <c:v>1000</c:v>
                </c:pt>
                <c:pt idx="1">
                  <c:v>702</c:v>
                </c:pt>
                <c:pt idx="2">
                  <c:v>531</c:v>
                </c:pt>
                <c:pt idx="3">
                  <c:v>220</c:v>
                </c:pt>
                <c:pt idx="4">
                  <c:v>174</c:v>
                </c:pt>
              </c:numCache>
            </c:numRef>
          </c:val>
          <c:extLst>
            <c:ext xmlns:c16="http://schemas.microsoft.com/office/drawing/2014/chart" uri="{C3380CC4-5D6E-409C-BE32-E72D297353CC}">
              <c16:uniqueId val="{00000000-0E8B-4902-A86D-25B39A58F24E}"/>
            </c:ext>
          </c:extLst>
        </c:ser>
        <c:dLbls>
          <c:showLegendKey val="0"/>
          <c:showVal val="0"/>
          <c:showCatName val="0"/>
          <c:showSerName val="0"/>
          <c:showPercent val="0"/>
          <c:showBubbleSize val="0"/>
        </c:dLbls>
        <c:gapWidth val="45"/>
        <c:axId val="1348133855"/>
        <c:axId val="1348135775"/>
      </c:barChart>
      <c:catAx>
        <c:axId val="134813385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B5560"/>
                </a:solidFill>
                <a:latin typeface="+mn-lt"/>
                <a:ea typeface="+mn-ea"/>
                <a:cs typeface="+mn-cs"/>
              </a:defRPr>
            </a:pPr>
            <a:endParaRPr lang="en-US"/>
          </a:p>
        </c:txPr>
        <c:crossAx val="1348135775"/>
        <c:crosses val="autoZero"/>
        <c:auto val="1"/>
        <c:lblAlgn val="ctr"/>
        <c:lblOffset val="100"/>
        <c:noMultiLvlLbl val="0"/>
      </c:catAx>
      <c:valAx>
        <c:axId val="1348135775"/>
        <c:scaling>
          <c:orientation val="minMax"/>
        </c:scaling>
        <c:delete val="0"/>
        <c:axPos val="t"/>
        <c:majorGridlines>
          <c:spPr>
            <a:ln w="9525" cap="flat" cmpd="sng" algn="ctr">
              <a:solidFill>
                <a:srgbClr val="EADCE2"/>
              </a:solidFill>
              <a:prstDash val="solid"/>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B5560"/>
                </a:solidFill>
                <a:latin typeface="+mn-lt"/>
                <a:ea typeface="+mn-ea"/>
                <a:cs typeface="+mn-cs"/>
              </a:defRPr>
            </a:pPr>
            <a:endParaRPr lang="en-US"/>
          </a:p>
        </c:txPr>
        <c:crossAx val="134813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8</xdr:col>
      <xdr:colOff>771526</xdr:colOff>
      <xdr:row>81</xdr:row>
      <xdr:rowOff>161925</xdr:rowOff>
    </xdr:from>
    <xdr:to>
      <xdr:col>10</xdr:col>
      <xdr:colOff>733426</xdr:colOff>
      <xdr:row>84</xdr:row>
      <xdr:rowOff>85725</xdr:rowOff>
    </xdr:to>
    <xdr:grpSp>
      <xdr:nvGrpSpPr>
        <xdr:cNvPr id="4" name="Group 3">
          <a:extLst>
            <a:ext uri="{FF2B5EF4-FFF2-40B4-BE49-F238E27FC236}">
              <a16:creationId xmlns:a16="http://schemas.microsoft.com/office/drawing/2014/main" id="{6D9BAAD7-29E3-BB14-9A84-709E78C340DE}"/>
            </a:ext>
          </a:extLst>
        </xdr:cNvPr>
        <xdr:cNvGrpSpPr/>
      </xdr:nvGrpSpPr>
      <xdr:grpSpPr>
        <a:xfrm>
          <a:off x="8239126" y="16878300"/>
          <a:ext cx="1962150" cy="495300"/>
          <a:chOff x="8239126" y="16878300"/>
          <a:chExt cx="1962150" cy="495300"/>
        </a:xfrm>
      </xdr:grpSpPr>
      <xdr:sp macro="" textlink="">
        <xdr:nvSpPr>
          <xdr:cNvPr id="2" name="Rectangle 1">
            <a:extLst>
              <a:ext uri="{FF2B5EF4-FFF2-40B4-BE49-F238E27FC236}">
                <a16:creationId xmlns:a16="http://schemas.microsoft.com/office/drawing/2014/main" id="{619D0555-6369-578B-4E0D-160982FE17B9}"/>
              </a:ext>
            </a:extLst>
          </xdr:cNvPr>
          <xdr:cNvSpPr/>
        </xdr:nvSpPr>
        <xdr:spPr>
          <a:xfrm>
            <a:off x="8239126" y="16878300"/>
            <a:ext cx="1962150" cy="495300"/>
          </a:xfrm>
          <a:prstGeom prst="rect">
            <a:avLst/>
          </a:prstGeom>
        </xdr:spPr>
        <xdr:style>
          <a:lnRef idx="2">
            <a:schemeClr val="accent3">
              <a:shade val="15000"/>
            </a:schemeClr>
          </a:lnRef>
          <a:fillRef idx="1">
            <a:schemeClr val="accent3"/>
          </a:fillRef>
          <a:effectRef idx="0">
            <a:schemeClr val="accent3"/>
          </a:effectRef>
          <a:fontRef idx="minor">
            <a:schemeClr val="lt1"/>
          </a:fontRef>
        </xdr:style>
        <xdr:txBody>
          <a:bodyPr vertOverflow="clip" horzOverflow="clip" rtlCol="0" anchor="t"/>
          <a:lstStyle/>
          <a:p>
            <a:pPr algn="l"/>
            <a:endParaRPr lang="en-US" sz="1100" b="1" cap="none" spc="0">
              <a:ln w="22225">
                <a:solidFill>
                  <a:schemeClr val="accent2"/>
                </a:solidFill>
                <a:prstDash val="solid"/>
              </a:ln>
              <a:solidFill>
                <a:schemeClr val="accent2">
                  <a:lumMod val="40000"/>
                  <a:lumOff val="60000"/>
                </a:schemeClr>
              </a:solidFill>
              <a:effectLst/>
            </a:endParaRPr>
          </a:p>
        </xdr:txBody>
      </xdr:sp>
      <xdr:sp macro="[0]!BuildFunnelDashboard" textlink="">
        <xdr:nvSpPr>
          <xdr:cNvPr id="3" name="TextBox 2">
            <a:extLst>
              <a:ext uri="{FF2B5EF4-FFF2-40B4-BE49-F238E27FC236}">
                <a16:creationId xmlns:a16="http://schemas.microsoft.com/office/drawing/2014/main" id="{8611E1A2-3967-BEAB-6357-F81DA45D0678}"/>
              </a:ext>
            </a:extLst>
          </xdr:cNvPr>
          <xdr:cNvSpPr txBox="1"/>
        </xdr:nvSpPr>
        <xdr:spPr>
          <a:xfrm>
            <a:off x="8315325" y="16964025"/>
            <a:ext cx="1838325" cy="409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cap="none" spc="50">
                <a:ln w="0"/>
                <a:solidFill>
                  <a:schemeClr val="bg2"/>
                </a:solidFill>
                <a:effectLst>
                  <a:innerShdw blurRad="63500" dist="50800" dir="13500000">
                    <a:srgbClr val="000000">
                      <a:alpha val="50000"/>
                    </a:srgbClr>
                  </a:innerShdw>
                </a:effectLst>
              </a:rPr>
              <a:t>BUILD DASHBOARD</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drBanner">
          <a:extLst>
            <a:ext uri="{FF2B5EF4-FFF2-40B4-BE49-F238E27FC236}">
              <a16:creationId xmlns:a16="http://schemas.microsoft.com/office/drawing/2014/main" id="{66AE1DA7-1219-2DF2-F7B0-90E0C22DA33F}"/>
            </a:ext>
          </a:extLst>
        </xdr:cNvPr>
        <xdr:cNvSpPr/>
      </xdr:nvSpPr>
      <xdr:spPr>
        <a:xfrm>
          <a:off x="0" y="0"/>
          <a:ext cx="15920357" cy="816429"/>
        </a:xfrm>
        <a:prstGeom prst="roundRect">
          <a:avLst>
            <a:gd name="adj" fmla="val 6000"/>
          </a:avLst>
        </a:prstGeom>
        <a:solidFill>
          <a:srgbClr val="5B1230"/>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519793</xdr:colOff>
      <xdr:row>0</xdr:row>
      <xdr:rowOff>147638</xdr:rowOff>
    </xdr:from>
    <xdr:to>
      <xdr:col>3</xdr:col>
      <xdr:colOff>519793</xdr:colOff>
      <xdr:row>2</xdr:row>
      <xdr:rowOff>128588</xdr:rowOff>
    </xdr:to>
    <xdr:sp macro="" textlink="">
      <xdr:nvSpPr>
        <xdr:cNvPr id="3" name="HdrIcon">
          <a:extLst>
            <a:ext uri="{FF2B5EF4-FFF2-40B4-BE49-F238E27FC236}">
              <a16:creationId xmlns:a16="http://schemas.microsoft.com/office/drawing/2014/main" id="{D4BEF69B-B6DE-5140-BE06-E5AE4BC5D7B8}"/>
            </a:ext>
          </a:extLst>
        </xdr:cNvPr>
        <xdr:cNvSpPr/>
      </xdr:nvSpPr>
      <xdr:spPr>
        <a:xfrm>
          <a:off x="1581150" y="147638"/>
          <a:ext cx="530679" cy="525236"/>
        </a:xfrm>
        <a:prstGeom prst="ellipse">
          <a:avLst/>
        </a:prstGeom>
        <a:solidFill>
          <a:srgbClr val="7B1E3C"/>
        </a:solidFill>
        <a:ln w="12700">
          <a:solidFill>
            <a:srgbClr val="F2DDE4"/>
          </a:solid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2200" b="1" i="0" u="none" strike="noStrike" kern="0" cap="none" spc="0" normalizeH="0" baseline="0" noProof="0">
              <a:ln>
                <a:noFill/>
              </a:ln>
              <a:solidFill>
                <a:srgbClr val="FFFFFF"/>
              </a:solidFill>
              <a:effectLst/>
              <a:uLnTx/>
              <a:uFillTx/>
              <a:latin typeface="Calibri"/>
              <a:cs typeface="Calibri"/>
            </a:rPr>
            <a:t>€</a:t>
          </a:r>
        </a:p>
      </xdr:txBody>
    </xdr:sp>
    <xdr:clientData/>
  </xdr:twoCellAnchor>
  <xdr:twoCellAnchor>
    <xdr:from>
      <xdr:col>4</xdr:col>
      <xdr:colOff>9072</xdr:colOff>
      <xdr:row>0</xdr:row>
      <xdr:rowOff>27214</xdr:rowOff>
    </xdr:from>
    <xdr:to>
      <xdr:col>27</xdr:col>
      <xdr:colOff>311150</xdr:colOff>
      <xdr:row>3</xdr:row>
      <xdr:rowOff>27214</xdr:rowOff>
    </xdr:to>
    <xdr:sp macro="" textlink="">
      <xdr:nvSpPr>
        <xdr:cNvPr id="4" name="HdrTitle">
          <a:extLst>
            <a:ext uri="{FF2B5EF4-FFF2-40B4-BE49-F238E27FC236}">
              <a16:creationId xmlns:a16="http://schemas.microsoft.com/office/drawing/2014/main" id="{2759911D-C50E-E41B-630C-76188E2BC05C}"/>
            </a:ext>
          </a:extLst>
        </xdr:cNvPr>
        <xdr:cNvSpPr txBox="1"/>
      </xdr:nvSpPr>
      <xdr:spPr>
        <a:xfrm>
          <a:off x="2131786" y="27214"/>
          <a:ext cx="12507685" cy="816429"/>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l"/>
          <a:r>
            <a:rPr kumimoji="0" lang="en-US" sz="4000" b="1" i="0" u="none" strike="noStrike" kern="0" cap="none" spc="0" normalizeH="0" baseline="0" noProof="0">
              <a:ln>
                <a:noFill/>
              </a:ln>
              <a:solidFill>
                <a:srgbClr val="FFFFFF"/>
              </a:solidFill>
              <a:effectLst/>
              <a:uLnTx/>
              <a:uFillTx/>
              <a:latin typeface="Calibri"/>
              <a:cs typeface="Calibri"/>
            </a:rPr>
            <a:t>SALES FUNNEL &amp; REVENUE DASHBOARD | FY 2025</a:t>
          </a:r>
        </a:p>
      </xdr:txBody>
    </xdr:sp>
    <xdr:clientData/>
  </xdr:twoCellAnchor>
  <xdr:twoCellAnchor>
    <xdr:from>
      <xdr:col>0</xdr:col>
      <xdr:colOff>0</xdr:colOff>
      <xdr:row>4</xdr:row>
      <xdr:rowOff>0</xdr:rowOff>
    </xdr:from>
    <xdr:to>
      <xdr:col>6</xdr:col>
      <xdr:colOff>0</xdr:colOff>
      <xdr:row>8</xdr:row>
      <xdr:rowOff>0</xdr:rowOff>
    </xdr:to>
    <xdr:sp macro="" textlink="">
      <xdr:nvSpPr>
        <xdr:cNvPr id="6" name="Rectangle: Rounded Corners 5">
          <a:extLst>
            <a:ext uri="{FF2B5EF4-FFF2-40B4-BE49-F238E27FC236}">
              <a16:creationId xmlns:a16="http://schemas.microsoft.com/office/drawing/2014/main" id="{41AA1196-1AB8-F721-08CD-78B6DDEA647F}"/>
            </a:ext>
          </a:extLst>
        </xdr:cNvPr>
        <xdr:cNvSpPr/>
      </xdr:nvSpPr>
      <xdr:spPr>
        <a:xfrm>
          <a:off x="0" y="1047750"/>
          <a:ext cx="3184071" cy="925286"/>
        </a:xfrm>
        <a:prstGeom prst="roundRect">
          <a:avLst>
            <a:gd name="adj" fmla="val 8000"/>
          </a:avLst>
        </a:prstGeom>
        <a:solidFill>
          <a:srgbClr val="FFFFFF"/>
        </a:solidFill>
        <a:ln w="9525">
          <a:solidFill>
            <a:srgbClr val="E6D3DA"/>
          </a:solidFill>
          <a:prstDash val="solid"/>
        </a:ln>
        <a:effectLst>
          <a:outerShdw blurRad="63500" dist="37357" dir="2700000" rotWithShape="0">
            <a:scrgbClr r="0" g="0" b="0">
              <a:alpha val="2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4</xdr:row>
      <xdr:rowOff>203200</xdr:rowOff>
    </xdr:from>
    <xdr:to>
      <xdr:col>1</xdr:col>
      <xdr:colOff>76200</xdr:colOff>
      <xdr:row>7</xdr:row>
      <xdr:rowOff>0</xdr:rowOff>
    </xdr:to>
    <xdr:sp macro="" textlink="">
      <xdr:nvSpPr>
        <xdr:cNvPr id="7" name="Oval 6">
          <a:extLst>
            <a:ext uri="{FF2B5EF4-FFF2-40B4-BE49-F238E27FC236}">
              <a16:creationId xmlns:a16="http://schemas.microsoft.com/office/drawing/2014/main" id="{5BE56353-152F-5905-2484-96B458E5D6A9}"/>
            </a:ext>
          </a:extLst>
        </xdr:cNvPr>
        <xdr:cNvSpPr/>
      </xdr:nvSpPr>
      <xdr:spPr>
        <a:xfrm>
          <a:off x="127000" y="1250950"/>
          <a:ext cx="479879" cy="490764"/>
        </a:xfrm>
        <a:prstGeom prst="ellipse">
          <a:avLst/>
        </a:prstGeom>
        <a:solidFill>
          <a:srgbClr val="4A0E26"/>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300" b="1" i="0" u="none" strike="noStrike" kern="0" cap="none" spc="0" normalizeH="0" baseline="0" noProof="0">
              <a:ln>
                <a:noFill/>
              </a:ln>
              <a:solidFill>
                <a:srgbClr val="FFFFFF"/>
              </a:solidFill>
              <a:effectLst/>
              <a:uLnTx/>
              <a:uFillTx/>
              <a:latin typeface="Calibri"/>
              <a:cs typeface="Calibri"/>
            </a:rPr>
            <a:t>#</a:t>
          </a:r>
        </a:p>
      </xdr:txBody>
    </xdr:sp>
    <xdr:clientData/>
  </xdr:twoCellAnchor>
  <xdr:twoCellAnchor>
    <xdr:from>
      <xdr:col>1</xdr:col>
      <xdr:colOff>152400</xdr:colOff>
      <xdr:row>4</xdr:row>
      <xdr:rowOff>101600</xdr:rowOff>
    </xdr:from>
    <xdr:to>
      <xdr:col>5</xdr:col>
      <xdr:colOff>482600</xdr:colOff>
      <xdr:row>5</xdr:row>
      <xdr:rowOff>152400</xdr:rowOff>
    </xdr:to>
    <xdr:sp macro="" textlink="">
      <xdr:nvSpPr>
        <xdr:cNvPr id="8" name="TextBox 7">
          <a:extLst>
            <a:ext uri="{FF2B5EF4-FFF2-40B4-BE49-F238E27FC236}">
              <a16:creationId xmlns:a16="http://schemas.microsoft.com/office/drawing/2014/main" id="{6866CA21-AEB6-E395-BE0D-223DB690906C}"/>
            </a:ext>
          </a:extLst>
        </xdr:cNvPr>
        <xdr:cNvSpPr txBox="1"/>
      </xdr:nvSpPr>
      <xdr:spPr>
        <a:xfrm>
          <a:off x="685800" y="1158875"/>
          <a:ext cx="2463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1500" b="1" i="0" u="none" strike="noStrike" kern="0" cap="none" spc="0" normalizeH="0" baseline="0" noProof="0">
              <a:ln>
                <a:noFill/>
              </a:ln>
              <a:solidFill>
                <a:srgbClr val="5B1230"/>
              </a:solidFill>
              <a:effectLst/>
              <a:uLnTx/>
              <a:uFillTx/>
              <a:latin typeface="Calibri"/>
              <a:cs typeface="Calibri"/>
            </a:rPr>
            <a:t>Total Leads</a:t>
          </a:r>
        </a:p>
      </xdr:txBody>
    </xdr:sp>
    <xdr:clientData/>
  </xdr:twoCellAnchor>
  <xdr:twoCellAnchor>
    <xdr:from>
      <xdr:col>1</xdr:col>
      <xdr:colOff>152400</xdr:colOff>
      <xdr:row>5</xdr:row>
      <xdr:rowOff>139700</xdr:rowOff>
    </xdr:from>
    <xdr:to>
      <xdr:col>5</xdr:col>
      <xdr:colOff>482600</xdr:colOff>
      <xdr:row>7</xdr:row>
      <xdr:rowOff>114300</xdr:rowOff>
    </xdr:to>
    <xdr:sp macro="" textlink="Dashboard!$AF$2">
      <xdr:nvSpPr>
        <xdr:cNvPr id="9" name="TextBox 8">
          <a:extLst>
            <a:ext uri="{FF2B5EF4-FFF2-40B4-BE49-F238E27FC236}">
              <a16:creationId xmlns:a16="http://schemas.microsoft.com/office/drawing/2014/main" id="{91071BEB-2D12-788E-8D31-1A19CC4CF92E}"/>
            </a:ext>
          </a:extLst>
        </xdr:cNvPr>
        <xdr:cNvSpPr txBox="1"/>
      </xdr:nvSpPr>
      <xdr:spPr>
        <a:xfrm>
          <a:off x="685800" y="1425575"/>
          <a:ext cx="24638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fld id="{5237D2AF-92EC-41AE-A872-0AAD5F9F5542}" type="TxLink">
            <a:rPr kumimoji="0" lang="en-US" sz="1400" b="1" i="0" u="none" strike="noStrike" kern="0" cap="none" spc="0" normalizeH="0" baseline="0" noProof="0" smtClean="0">
              <a:ln>
                <a:noFill/>
              </a:ln>
              <a:solidFill>
                <a:srgbClr val="7B1E3C"/>
              </a:solidFill>
              <a:effectLst/>
              <a:uLnTx/>
              <a:uFillTx/>
              <a:latin typeface="Aptos"/>
              <a:cs typeface="Calibri"/>
            </a:rPr>
            <a:pPr/>
            <a:t>1,000</a:t>
          </a:fld>
          <a:endParaRPr kumimoji="0" lang="en-US" sz="1400" b="1" kern="0" cap="none" spc="0" normalizeH="0" baseline="0" noProof="0">
            <a:ln>
              <a:noFill/>
            </a:ln>
            <a:solidFill>
              <a:srgbClr val="7B1E3C"/>
            </a:solidFill>
            <a:effectLst/>
            <a:uLnTx/>
            <a:uFillTx/>
            <a:cs typeface="Calibri"/>
          </a:endParaRPr>
        </a:p>
      </xdr:txBody>
    </xdr:sp>
    <xdr:clientData/>
  </xdr:twoCellAnchor>
  <xdr:twoCellAnchor>
    <xdr:from>
      <xdr:col>1</xdr:col>
      <xdr:colOff>152400</xdr:colOff>
      <xdr:row>7</xdr:row>
      <xdr:rowOff>50800</xdr:rowOff>
    </xdr:from>
    <xdr:to>
      <xdr:col>5</xdr:col>
      <xdr:colOff>482600</xdr:colOff>
      <xdr:row>7</xdr:row>
      <xdr:rowOff>215900</xdr:rowOff>
    </xdr:to>
    <xdr:sp macro="" textlink="">
      <xdr:nvSpPr>
        <xdr:cNvPr id="10" name="TextBox 9">
          <a:extLst>
            <a:ext uri="{FF2B5EF4-FFF2-40B4-BE49-F238E27FC236}">
              <a16:creationId xmlns:a16="http://schemas.microsoft.com/office/drawing/2014/main" id="{99F6326A-5CB1-2798-AEFD-C47DC7EAD73F}"/>
            </a:ext>
          </a:extLst>
        </xdr:cNvPr>
        <xdr:cNvSpPr txBox="1"/>
      </xdr:nvSpPr>
      <xdr:spPr>
        <a:xfrm>
          <a:off x="685800" y="1793875"/>
          <a:ext cx="24638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800" b="0" i="0" u="none" strike="noStrike" kern="0" cap="none" spc="0" normalizeH="0" baseline="0" noProof="0">
              <a:ln>
                <a:noFill/>
              </a:ln>
              <a:solidFill>
                <a:srgbClr val="8A7079"/>
              </a:solidFill>
              <a:effectLst/>
              <a:uLnTx/>
              <a:uFillTx/>
              <a:latin typeface="Calibri"/>
              <a:cs typeface="Calibri"/>
            </a:rPr>
            <a:t>FY2025 lead volume</a:t>
          </a:r>
        </a:p>
      </xdr:txBody>
    </xdr:sp>
    <xdr:clientData/>
  </xdr:twoCellAnchor>
  <xdr:twoCellAnchor>
    <xdr:from>
      <xdr:col>6</xdr:col>
      <xdr:colOff>0</xdr:colOff>
      <xdr:row>4</xdr:row>
      <xdr:rowOff>0</xdr:rowOff>
    </xdr:from>
    <xdr:to>
      <xdr:col>12</xdr:col>
      <xdr:colOff>0</xdr:colOff>
      <xdr:row>8</xdr:row>
      <xdr:rowOff>0</xdr:rowOff>
    </xdr:to>
    <xdr:sp macro="" textlink="">
      <xdr:nvSpPr>
        <xdr:cNvPr id="11" name="Rectangle: Rounded Corners 10">
          <a:extLst>
            <a:ext uri="{FF2B5EF4-FFF2-40B4-BE49-F238E27FC236}">
              <a16:creationId xmlns:a16="http://schemas.microsoft.com/office/drawing/2014/main" id="{CE621CEF-E9B4-070C-B9A1-7406AD4D3DC8}"/>
            </a:ext>
          </a:extLst>
        </xdr:cNvPr>
        <xdr:cNvSpPr/>
      </xdr:nvSpPr>
      <xdr:spPr>
        <a:xfrm>
          <a:off x="3184071" y="1047750"/>
          <a:ext cx="3184072" cy="925286"/>
        </a:xfrm>
        <a:prstGeom prst="roundRect">
          <a:avLst>
            <a:gd name="adj" fmla="val 8000"/>
          </a:avLst>
        </a:prstGeom>
        <a:solidFill>
          <a:srgbClr val="FFFFFF"/>
        </a:solidFill>
        <a:ln w="9525">
          <a:solidFill>
            <a:srgbClr val="E6D3DA"/>
          </a:solidFill>
          <a:prstDash val="solid"/>
        </a:ln>
        <a:effectLst>
          <a:outerShdw blurRad="63500" dist="37357" dir="2700000" rotWithShape="0">
            <a:scrgbClr r="0" g="0" b="0">
              <a:alpha val="2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127000</xdr:colOff>
      <xdr:row>4</xdr:row>
      <xdr:rowOff>203200</xdr:rowOff>
    </xdr:from>
    <xdr:to>
      <xdr:col>7</xdr:col>
      <xdr:colOff>76200</xdr:colOff>
      <xdr:row>7</xdr:row>
      <xdr:rowOff>0</xdr:rowOff>
    </xdr:to>
    <xdr:sp macro="" textlink="">
      <xdr:nvSpPr>
        <xdr:cNvPr id="12" name="Oval 11">
          <a:extLst>
            <a:ext uri="{FF2B5EF4-FFF2-40B4-BE49-F238E27FC236}">
              <a16:creationId xmlns:a16="http://schemas.microsoft.com/office/drawing/2014/main" id="{C1A71EDA-1334-679A-A91E-619AF379B77D}"/>
            </a:ext>
          </a:extLst>
        </xdr:cNvPr>
        <xdr:cNvSpPr/>
      </xdr:nvSpPr>
      <xdr:spPr>
        <a:xfrm>
          <a:off x="3311071" y="1250950"/>
          <a:ext cx="479879" cy="490764"/>
        </a:xfrm>
        <a:prstGeom prst="ellipse">
          <a:avLst/>
        </a:prstGeom>
        <a:solidFill>
          <a:srgbClr val="C9A227"/>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300" b="1" i="0" u="none" strike="noStrike" kern="0" cap="none" spc="0" normalizeH="0" baseline="0" noProof="0">
              <a:ln>
                <a:noFill/>
              </a:ln>
              <a:solidFill>
                <a:srgbClr val="4A0E26"/>
              </a:solidFill>
              <a:effectLst/>
              <a:uLnTx/>
              <a:uFillTx/>
              <a:latin typeface="Calibri"/>
              <a:cs typeface="Calibri"/>
            </a:rPr>
            <a:t>%</a:t>
          </a:r>
        </a:p>
      </xdr:txBody>
    </xdr:sp>
    <xdr:clientData/>
  </xdr:twoCellAnchor>
  <xdr:twoCellAnchor>
    <xdr:from>
      <xdr:col>7</xdr:col>
      <xdr:colOff>152400</xdr:colOff>
      <xdr:row>4</xdr:row>
      <xdr:rowOff>101600</xdr:rowOff>
    </xdr:from>
    <xdr:to>
      <xdr:col>11</xdr:col>
      <xdr:colOff>482600</xdr:colOff>
      <xdr:row>5</xdr:row>
      <xdr:rowOff>152400</xdr:rowOff>
    </xdr:to>
    <xdr:sp macro="" textlink="">
      <xdr:nvSpPr>
        <xdr:cNvPr id="13" name="TextBox 12">
          <a:extLst>
            <a:ext uri="{FF2B5EF4-FFF2-40B4-BE49-F238E27FC236}">
              <a16:creationId xmlns:a16="http://schemas.microsoft.com/office/drawing/2014/main" id="{66C656F6-619A-180A-6762-0F3CB678BE15}"/>
            </a:ext>
          </a:extLst>
        </xdr:cNvPr>
        <xdr:cNvSpPr txBox="1"/>
      </xdr:nvSpPr>
      <xdr:spPr>
        <a:xfrm>
          <a:off x="3886200" y="1158875"/>
          <a:ext cx="2463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1500" b="1" i="0" u="none" strike="noStrike" kern="0" cap="none" spc="0" normalizeH="0" baseline="0" noProof="0">
              <a:ln>
                <a:noFill/>
              </a:ln>
              <a:solidFill>
                <a:srgbClr val="5B1230"/>
              </a:solidFill>
              <a:effectLst/>
              <a:uLnTx/>
              <a:uFillTx/>
              <a:latin typeface="Calibri"/>
              <a:cs typeface="Calibri"/>
            </a:rPr>
            <a:t>Qualification Rate</a:t>
          </a:r>
        </a:p>
      </xdr:txBody>
    </xdr:sp>
    <xdr:clientData/>
  </xdr:twoCellAnchor>
  <xdr:twoCellAnchor>
    <xdr:from>
      <xdr:col>7</xdr:col>
      <xdr:colOff>152400</xdr:colOff>
      <xdr:row>5</xdr:row>
      <xdr:rowOff>139700</xdr:rowOff>
    </xdr:from>
    <xdr:to>
      <xdr:col>11</xdr:col>
      <xdr:colOff>482600</xdr:colOff>
      <xdr:row>7</xdr:row>
      <xdr:rowOff>114300</xdr:rowOff>
    </xdr:to>
    <xdr:sp macro="" textlink="Dashboard!$AF$3">
      <xdr:nvSpPr>
        <xdr:cNvPr id="14" name="TextBox 13">
          <a:extLst>
            <a:ext uri="{FF2B5EF4-FFF2-40B4-BE49-F238E27FC236}">
              <a16:creationId xmlns:a16="http://schemas.microsoft.com/office/drawing/2014/main" id="{442CF4AC-A89D-A3AE-024E-B7D6521B1A7C}"/>
            </a:ext>
          </a:extLst>
        </xdr:cNvPr>
        <xdr:cNvSpPr txBox="1"/>
      </xdr:nvSpPr>
      <xdr:spPr>
        <a:xfrm>
          <a:off x="3886200" y="1425575"/>
          <a:ext cx="24638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fld id="{3AF4B3A6-BA40-4720-A69A-C36ED2E0B206}" type="TxLink">
            <a:rPr kumimoji="0" lang="en-US" sz="1400" b="1" i="0" u="none" strike="noStrike" kern="0" cap="none" spc="0" normalizeH="0" baseline="0" noProof="0" smtClean="0">
              <a:ln>
                <a:noFill/>
              </a:ln>
              <a:solidFill>
                <a:srgbClr val="7B1E3C"/>
              </a:solidFill>
              <a:effectLst/>
              <a:uLnTx/>
              <a:uFillTx/>
              <a:latin typeface="Aptos"/>
              <a:cs typeface="Calibri"/>
            </a:rPr>
            <a:pPr/>
            <a:t>70.2%</a:t>
          </a:fld>
          <a:endParaRPr kumimoji="0" lang="en-US" sz="1400" b="1" kern="0" cap="none" spc="0" normalizeH="0" baseline="0" noProof="0">
            <a:ln>
              <a:noFill/>
            </a:ln>
            <a:solidFill>
              <a:srgbClr val="7B1E3C"/>
            </a:solidFill>
            <a:effectLst/>
            <a:uLnTx/>
            <a:uFillTx/>
            <a:cs typeface="Calibri"/>
          </a:endParaRPr>
        </a:p>
      </xdr:txBody>
    </xdr:sp>
    <xdr:clientData/>
  </xdr:twoCellAnchor>
  <xdr:twoCellAnchor>
    <xdr:from>
      <xdr:col>7</xdr:col>
      <xdr:colOff>152400</xdr:colOff>
      <xdr:row>7</xdr:row>
      <xdr:rowOff>50800</xdr:rowOff>
    </xdr:from>
    <xdr:to>
      <xdr:col>11</xdr:col>
      <xdr:colOff>482600</xdr:colOff>
      <xdr:row>7</xdr:row>
      <xdr:rowOff>215900</xdr:rowOff>
    </xdr:to>
    <xdr:sp macro="" textlink="">
      <xdr:nvSpPr>
        <xdr:cNvPr id="15" name="TextBox 14">
          <a:extLst>
            <a:ext uri="{FF2B5EF4-FFF2-40B4-BE49-F238E27FC236}">
              <a16:creationId xmlns:a16="http://schemas.microsoft.com/office/drawing/2014/main" id="{D8BF6F43-FC05-CF37-82B7-530A7A007F90}"/>
            </a:ext>
          </a:extLst>
        </xdr:cNvPr>
        <xdr:cNvSpPr txBox="1"/>
      </xdr:nvSpPr>
      <xdr:spPr>
        <a:xfrm>
          <a:off x="3886200" y="1793875"/>
          <a:ext cx="24638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800" b="0" i="0" u="none" strike="noStrike" kern="0" cap="none" spc="0" normalizeH="0" baseline="0" noProof="0">
              <a:ln>
                <a:noFill/>
              </a:ln>
              <a:solidFill>
                <a:srgbClr val="8A7079"/>
              </a:solidFill>
              <a:effectLst/>
              <a:uLnTx/>
              <a:uFillTx/>
              <a:latin typeface="Calibri"/>
              <a:cs typeface="Calibri"/>
            </a:rPr>
            <a:t>Qualified / Leads</a:t>
          </a:r>
        </a:p>
      </xdr:txBody>
    </xdr:sp>
    <xdr:clientData/>
  </xdr:twoCellAnchor>
  <xdr:twoCellAnchor>
    <xdr:from>
      <xdr:col>12</xdr:col>
      <xdr:colOff>0</xdr:colOff>
      <xdr:row>4</xdr:row>
      <xdr:rowOff>0</xdr:rowOff>
    </xdr:from>
    <xdr:to>
      <xdr:col>18</xdr:col>
      <xdr:colOff>0</xdr:colOff>
      <xdr:row>8</xdr:row>
      <xdr:rowOff>0</xdr:rowOff>
    </xdr:to>
    <xdr:sp macro="" textlink="">
      <xdr:nvSpPr>
        <xdr:cNvPr id="16" name="Rectangle: Rounded Corners 15">
          <a:extLst>
            <a:ext uri="{FF2B5EF4-FFF2-40B4-BE49-F238E27FC236}">
              <a16:creationId xmlns:a16="http://schemas.microsoft.com/office/drawing/2014/main" id="{C156F4B6-4A10-298E-9E24-3A2CFBA6734D}"/>
            </a:ext>
          </a:extLst>
        </xdr:cNvPr>
        <xdr:cNvSpPr/>
      </xdr:nvSpPr>
      <xdr:spPr>
        <a:xfrm>
          <a:off x="6368143" y="1047750"/>
          <a:ext cx="3184071" cy="925286"/>
        </a:xfrm>
        <a:prstGeom prst="roundRect">
          <a:avLst>
            <a:gd name="adj" fmla="val 8000"/>
          </a:avLst>
        </a:prstGeom>
        <a:solidFill>
          <a:srgbClr val="FFFFFF"/>
        </a:solidFill>
        <a:ln w="9525">
          <a:solidFill>
            <a:srgbClr val="E6D3DA"/>
          </a:solidFill>
          <a:prstDash val="solid"/>
        </a:ln>
        <a:effectLst>
          <a:outerShdw blurRad="63500" dist="37357" dir="2700000" rotWithShape="0">
            <a:scrgbClr r="0" g="0" b="0">
              <a:alpha val="2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127000</xdr:colOff>
      <xdr:row>4</xdr:row>
      <xdr:rowOff>203200</xdr:rowOff>
    </xdr:from>
    <xdr:to>
      <xdr:col>13</xdr:col>
      <xdr:colOff>76200</xdr:colOff>
      <xdr:row>7</xdr:row>
      <xdr:rowOff>0</xdr:rowOff>
    </xdr:to>
    <xdr:sp macro="" textlink="">
      <xdr:nvSpPr>
        <xdr:cNvPr id="17" name="Oval 16">
          <a:extLst>
            <a:ext uri="{FF2B5EF4-FFF2-40B4-BE49-F238E27FC236}">
              <a16:creationId xmlns:a16="http://schemas.microsoft.com/office/drawing/2014/main" id="{36484334-B999-8EAE-1477-72E4D072B5B3}"/>
            </a:ext>
          </a:extLst>
        </xdr:cNvPr>
        <xdr:cNvSpPr/>
      </xdr:nvSpPr>
      <xdr:spPr>
        <a:xfrm>
          <a:off x="6495143" y="1250950"/>
          <a:ext cx="479878" cy="490764"/>
        </a:xfrm>
        <a:prstGeom prst="ellipse">
          <a:avLst/>
        </a:prstGeom>
        <a:solidFill>
          <a:srgbClr val="7B1E3C"/>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300" b="1" i="0" u="none" strike="noStrike" kern="0" cap="none" spc="0" normalizeH="0" baseline="0" noProof="0">
              <a:ln>
                <a:noFill/>
              </a:ln>
              <a:solidFill>
                <a:srgbClr val="FFFFFF"/>
              </a:solidFill>
              <a:effectLst/>
              <a:uLnTx/>
              <a:uFillTx/>
              <a:latin typeface="Calibri"/>
              <a:cs typeface="Calibri"/>
            </a:rPr>
            <a:t>&gt;</a:t>
          </a:r>
        </a:p>
      </xdr:txBody>
    </xdr:sp>
    <xdr:clientData/>
  </xdr:twoCellAnchor>
  <xdr:twoCellAnchor>
    <xdr:from>
      <xdr:col>13</xdr:col>
      <xdr:colOff>152400</xdr:colOff>
      <xdr:row>4</xdr:row>
      <xdr:rowOff>101600</xdr:rowOff>
    </xdr:from>
    <xdr:to>
      <xdr:col>17</xdr:col>
      <xdr:colOff>482600</xdr:colOff>
      <xdr:row>5</xdr:row>
      <xdr:rowOff>152400</xdr:rowOff>
    </xdr:to>
    <xdr:sp macro="" textlink="">
      <xdr:nvSpPr>
        <xdr:cNvPr id="18" name="TextBox 17">
          <a:extLst>
            <a:ext uri="{FF2B5EF4-FFF2-40B4-BE49-F238E27FC236}">
              <a16:creationId xmlns:a16="http://schemas.microsoft.com/office/drawing/2014/main" id="{CAC2E81D-0C43-819A-F320-415BFE78309D}"/>
            </a:ext>
          </a:extLst>
        </xdr:cNvPr>
        <xdr:cNvSpPr txBox="1"/>
      </xdr:nvSpPr>
      <xdr:spPr>
        <a:xfrm>
          <a:off x="7086600" y="1158875"/>
          <a:ext cx="2463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1500" b="1" i="0" u="none" strike="noStrike" kern="0" cap="none" spc="0" normalizeH="0" baseline="0" noProof="0">
              <a:ln>
                <a:noFill/>
              </a:ln>
              <a:solidFill>
                <a:srgbClr val="5B1230"/>
              </a:solidFill>
              <a:effectLst/>
              <a:uLnTx/>
              <a:uFillTx/>
              <a:latin typeface="Calibri"/>
              <a:cs typeface="Calibri"/>
            </a:rPr>
            <a:t>Opportunity Rate</a:t>
          </a:r>
        </a:p>
      </xdr:txBody>
    </xdr:sp>
    <xdr:clientData/>
  </xdr:twoCellAnchor>
  <xdr:twoCellAnchor>
    <xdr:from>
      <xdr:col>13</xdr:col>
      <xdr:colOff>152400</xdr:colOff>
      <xdr:row>5</xdr:row>
      <xdr:rowOff>139700</xdr:rowOff>
    </xdr:from>
    <xdr:to>
      <xdr:col>17</xdr:col>
      <xdr:colOff>482600</xdr:colOff>
      <xdr:row>7</xdr:row>
      <xdr:rowOff>114300</xdr:rowOff>
    </xdr:to>
    <xdr:sp macro="" textlink="Dashboard!$AF$4">
      <xdr:nvSpPr>
        <xdr:cNvPr id="19" name="TextBox 18">
          <a:extLst>
            <a:ext uri="{FF2B5EF4-FFF2-40B4-BE49-F238E27FC236}">
              <a16:creationId xmlns:a16="http://schemas.microsoft.com/office/drawing/2014/main" id="{5D52268D-71CA-7D85-5BD6-48217F62837F}"/>
            </a:ext>
          </a:extLst>
        </xdr:cNvPr>
        <xdr:cNvSpPr txBox="1"/>
      </xdr:nvSpPr>
      <xdr:spPr>
        <a:xfrm>
          <a:off x="7086600" y="1425575"/>
          <a:ext cx="24638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fld id="{F145A945-DDBA-44FA-963F-1BF7B887CE4B}" type="TxLink">
            <a:rPr kumimoji="0" lang="en-US" sz="1400" b="1" i="0" u="none" strike="noStrike" kern="0" cap="none" spc="0" normalizeH="0" baseline="0" noProof="0" smtClean="0">
              <a:ln>
                <a:noFill/>
              </a:ln>
              <a:solidFill>
                <a:srgbClr val="7B1E3C"/>
              </a:solidFill>
              <a:effectLst/>
              <a:uLnTx/>
              <a:uFillTx/>
              <a:latin typeface="Aptos"/>
              <a:cs typeface="Calibri"/>
            </a:rPr>
            <a:pPr/>
            <a:t>75.6%</a:t>
          </a:fld>
          <a:endParaRPr kumimoji="0" lang="en-US" sz="1400" b="1" kern="0" cap="none" spc="0" normalizeH="0" baseline="0" noProof="0">
            <a:ln>
              <a:noFill/>
            </a:ln>
            <a:solidFill>
              <a:srgbClr val="7B1E3C"/>
            </a:solidFill>
            <a:effectLst/>
            <a:uLnTx/>
            <a:uFillTx/>
            <a:cs typeface="Calibri"/>
          </a:endParaRPr>
        </a:p>
      </xdr:txBody>
    </xdr:sp>
    <xdr:clientData/>
  </xdr:twoCellAnchor>
  <xdr:twoCellAnchor>
    <xdr:from>
      <xdr:col>13</xdr:col>
      <xdr:colOff>152400</xdr:colOff>
      <xdr:row>7</xdr:row>
      <xdr:rowOff>50800</xdr:rowOff>
    </xdr:from>
    <xdr:to>
      <xdr:col>17</xdr:col>
      <xdr:colOff>482600</xdr:colOff>
      <xdr:row>7</xdr:row>
      <xdr:rowOff>215900</xdr:rowOff>
    </xdr:to>
    <xdr:sp macro="" textlink="">
      <xdr:nvSpPr>
        <xdr:cNvPr id="20" name="TextBox 19">
          <a:extLst>
            <a:ext uri="{FF2B5EF4-FFF2-40B4-BE49-F238E27FC236}">
              <a16:creationId xmlns:a16="http://schemas.microsoft.com/office/drawing/2014/main" id="{7074AB6A-E9EE-C278-10F2-53114BD36166}"/>
            </a:ext>
          </a:extLst>
        </xdr:cNvPr>
        <xdr:cNvSpPr txBox="1"/>
      </xdr:nvSpPr>
      <xdr:spPr>
        <a:xfrm>
          <a:off x="7086600" y="1793875"/>
          <a:ext cx="24638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800" b="0" i="0" u="none" strike="noStrike" kern="0" cap="none" spc="0" normalizeH="0" baseline="0" noProof="0">
              <a:ln>
                <a:noFill/>
              </a:ln>
              <a:solidFill>
                <a:srgbClr val="8A7079"/>
              </a:solidFill>
              <a:effectLst/>
              <a:uLnTx/>
              <a:uFillTx/>
              <a:latin typeface="Calibri"/>
              <a:cs typeface="Calibri"/>
            </a:rPr>
            <a:t>Opportunities / Qualified</a:t>
          </a:r>
        </a:p>
      </xdr:txBody>
    </xdr:sp>
    <xdr:clientData/>
  </xdr:twoCellAnchor>
  <xdr:twoCellAnchor>
    <xdr:from>
      <xdr:col>18</xdr:col>
      <xdr:colOff>0</xdr:colOff>
      <xdr:row>4</xdr:row>
      <xdr:rowOff>0</xdr:rowOff>
    </xdr:from>
    <xdr:to>
      <xdr:col>24</xdr:col>
      <xdr:colOff>0</xdr:colOff>
      <xdr:row>8</xdr:row>
      <xdr:rowOff>0</xdr:rowOff>
    </xdr:to>
    <xdr:sp macro="" textlink="">
      <xdr:nvSpPr>
        <xdr:cNvPr id="21" name="Rectangle: Rounded Corners 20">
          <a:extLst>
            <a:ext uri="{FF2B5EF4-FFF2-40B4-BE49-F238E27FC236}">
              <a16:creationId xmlns:a16="http://schemas.microsoft.com/office/drawing/2014/main" id="{28BB638A-247F-1A28-9AE3-E603EFBB2130}"/>
            </a:ext>
          </a:extLst>
        </xdr:cNvPr>
        <xdr:cNvSpPr/>
      </xdr:nvSpPr>
      <xdr:spPr>
        <a:xfrm>
          <a:off x="9552214" y="1047750"/>
          <a:ext cx="3184072" cy="925286"/>
        </a:xfrm>
        <a:prstGeom prst="roundRect">
          <a:avLst>
            <a:gd name="adj" fmla="val 8000"/>
          </a:avLst>
        </a:prstGeom>
        <a:solidFill>
          <a:srgbClr val="FFFFFF"/>
        </a:solidFill>
        <a:ln w="9525">
          <a:solidFill>
            <a:srgbClr val="E6D3DA"/>
          </a:solidFill>
          <a:prstDash val="solid"/>
        </a:ln>
        <a:effectLst>
          <a:outerShdw blurRad="63500" dist="37357" dir="2700000" rotWithShape="0">
            <a:scrgbClr r="0" g="0" b="0">
              <a:alpha val="2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127000</xdr:colOff>
      <xdr:row>4</xdr:row>
      <xdr:rowOff>203200</xdr:rowOff>
    </xdr:from>
    <xdr:to>
      <xdr:col>19</xdr:col>
      <xdr:colOff>76200</xdr:colOff>
      <xdr:row>7</xdr:row>
      <xdr:rowOff>0</xdr:rowOff>
    </xdr:to>
    <xdr:sp macro="" textlink="">
      <xdr:nvSpPr>
        <xdr:cNvPr id="22" name="Oval 21">
          <a:extLst>
            <a:ext uri="{FF2B5EF4-FFF2-40B4-BE49-F238E27FC236}">
              <a16:creationId xmlns:a16="http://schemas.microsoft.com/office/drawing/2014/main" id="{847909C6-3F8B-28B5-0B17-9482BE44ABD8}"/>
            </a:ext>
          </a:extLst>
        </xdr:cNvPr>
        <xdr:cNvSpPr/>
      </xdr:nvSpPr>
      <xdr:spPr>
        <a:xfrm>
          <a:off x="9679214" y="1250950"/>
          <a:ext cx="479879" cy="490764"/>
        </a:xfrm>
        <a:prstGeom prst="ellipse">
          <a:avLst/>
        </a:prstGeom>
        <a:solidFill>
          <a:srgbClr val="C9A227"/>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300" b="1" i="0" u="none" strike="noStrike" kern="0" cap="none" spc="0" normalizeH="0" baseline="0" noProof="0">
              <a:ln>
                <a:noFill/>
              </a:ln>
              <a:solidFill>
                <a:srgbClr val="4A0E26"/>
              </a:solidFill>
              <a:effectLst/>
              <a:uLnTx/>
              <a:uFillTx/>
              <a:latin typeface="Calibri"/>
              <a:cs typeface="Calibri"/>
            </a:rPr>
            <a:t>*</a:t>
          </a:r>
        </a:p>
      </xdr:txBody>
    </xdr:sp>
    <xdr:clientData/>
  </xdr:twoCellAnchor>
  <xdr:twoCellAnchor>
    <xdr:from>
      <xdr:col>19</xdr:col>
      <xdr:colOff>152400</xdr:colOff>
      <xdr:row>4</xdr:row>
      <xdr:rowOff>101600</xdr:rowOff>
    </xdr:from>
    <xdr:to>
      <xdr:col>23</xdr:col>
      <xdr:colOff>482600</xdr:colOff>
      <xdr:row>5</xdr:row>
      <xdr:rowOff>152400</xdr:rowOff>
    </xdr:to>
    <xdr:sp macro="" textlink="">
      <xdr:nvSpPr>
        <xdr:cNvPr id="23" name="TextBox 22">
          <a:extLst>
            <a:ext uri="{FF2B5EF4-FFF2-40B4-BE49-F238E27FC236}">
              <a16:creationId xmlns:a16="http://schemas.microsoft.com/office/drawing/2014/main" id="{765DBF63-8772-33C5-FEEB-A9750CA5DDA5}"/>
            </a:ext>
          </a:extLst>
        </xdr:cNvPr>
        <xdr:cNvSpPr txBox="1"/>
      </xdr:nvSpPr>
      <xdr:spPr>
        <a:xfrm>
          <a:off x="10287000" y="1158875"/>
          <a:ext cx="2463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1500" b="1" i="0" u="none" strike="noStrike" kern="0" cap="none" spc="0" normalizeH="0" baseline="0" noProof="0">
              <a:ln>
                <a:noFill/>
              </a:ln>
              <a:solidFill>
                <a:srgbClr val="5B1230"/>
              </a:solidFill>
              <a:effectLst/>
              <a:uLnTx/>
              <a:uFillTx/>
              <a:latin typeface="Calibri"/>
              <a:cs typeface="Calibri"/>
            </a:rPr>
            <a:t>Win Rate</a:t>
          </a:r>
        </a:p>
      </xdr:txBody>
    </xdr:sp>
    <xdr:clientData/>
  </xdr:twoCellAnchor>
  <xdr:twoCellAnchor>
    <xdr:from>
      <xdr:col>19</xdr:col>
      <xdr:colOff>152400</xdr:colOff>
      <xdr:row>5</xdr:row>
      <xdr:rowOff>139700</xdr:rowOff>
    </xdr:from>
    <xdr:to>
      <xdr:col>23</xdr:col>
      <xdr:colOff>482600</xdr:colOff>
      <xdr:row>7</xdr:row>
      <xdr:rowOff>114300</xdr:rowOff>
    </xdr:to>
    <xdr:sp macro="" textlink="Dashboard!$AF$5">
      <xdr:nvSpPr>
        <xdr:cNvPr id="24" name="TextBox 23">
          <a:extLst>
            <a:ext uri="{FF2B5EF4-FFF2-40B4-BE49-F238E27FC236}">
              <a16:creationId xmlns:a16="http://schemas.microsoft.com/office/drawing/2014/main" id="{9AC2CC64-FFFA-DCDC-F3E4-CF8E28FC16AD}"/>
            </a:ext>
          </a:extLst>
        </xdr:cNvPr>
        <xdr:cNvSpPr txBox="1"/>
      </xdr:nvSpPr>
      <xdr:spPr>
        <a:xfrm>
          <a:off x="10287000" y="1425575"/>
          <a:ext cx="24638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pPr algn="l"/>
          <a:fld id="{86F56B1B-018D-4593-9049-8DFC6B93FC14}" type="TxLink">
            <a:rPr kumimoji="0" lang="en-US" sz="1400" b="1" i="0" u="none" strike="noStrike" kern="0" cap="none" spc="0" normalizeH="0" baseline="0" noProof="0" smtClean="0">
              <a:ln>
                <a:noFill/>
              </a:ln>
              <a:solidFill>
                <a:srgbClr val="7B1E3C"/>
              </a:solidFill>
              <a:effectLst/>
              <a:uLnTx/>
              <a:uFillTx/>
              <a:latin typeface="Aptos"/>
              <a:cs typeface="Calibri"/>
            </a:rPr>
            <a:pPr algn="l"/>
            <a:t>41.4%</a:t>
          </a:fld>
          <a:endParaRPr kumimoji="0" lang="en-US" sz="1400" b="1" kern="0" cap="none" spc="0" normalizeH="0" baseline="0" noProof="0">
            <a:ln>
              <a:noFill/>
            </a:ln>
            <a:solidFill>
              <a:srgbClr val="7B1E3C"/>
            </a:solidFill>
            <a:effectLst/>
            <a:uLnTx/>
            <a:uFillTx/>
            <a:cs typeface="Calibri"/>
          </a:endParaRPr>
        </a:p>
      </xdr:txBody>
    </xdr:sp>
    <xdr:clientData/>
  </xdr:twoCellAnchor>
  <xdr:twoCellAnchor>
    <xdr:from>
      <xdr:col>19</xdr:col>
      <xdr:colOff>152400</xdr:colOff>
      <xdr:row>7</xdr:row>
      <xdr:rowOff>50800</xdr:rowOff>
    </xdr:from>
    <xdr:to>
      <xdr:col>23</xdr:col>
      <xdr:colOff>482600</xdr:colOff>
      <xdr:row>7</xdr:row>
      <xdr:rowOff>215900</xdr:rowOff>
    </xdr:to>
    <xdr:sp macro="" textlink="">
      <xdr:nvSpPr>
        <xdr:cNvPr id="25" name="TextBox 24">
          <a:extLst>
            <a:ext uri="{FF2B5EF4-FFF2-40B4-BE49-F238E27FC236}">
              <a16:creationId xmlns:a16="http://schemas.microsoft.com/office/drawing/2014/main" id="{9D1705BF-8DB7-3790-46B9-53C4C83E2B4C}"/>
            </a:ext>
          </a:extLst>
        </xdr:cNvPr>
        <xdr:cNvSpPr txBox="1"/>
      </xdr:nvSpPr>
      <xdr:spPr>
        <a:xfrm>
          <a:off x="10287000" y="1793875"/>
          <a:ext cx="24638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800" b="0" i="0" u="none" strike="noStrike" kern="0" cap="none" spc="0" normalizeH="0" baseline="0" noProof="0">
              <a:ln>
                <a:noFill/>
              </a:ln>
              <a:solidFill>
                <a:srgbClr val="8A7079"/>
              </a:solidFill>
              <a:effectLst/>
              <a:uLnTx/>
              <a:uFillTx/>
              <a:latin typeface="Calibri"/>
              <a:cs typeface="Calibri"/>
            </a:rPr>
            <a:t>Won / Opportunities</a:t>
          </a:r>
        </a:p>
      </xdr:txBody>
    </xdr:sp>
    <xdr:clientData/>
  </xdr:twoCellAnchor>
  <xdr:twoCellAnchor>
    <xdr:from>
      <xdr:col>0</xdr:col>
      <xdr:colOff>0</xdr:colOff>
      <xdr:row>8</xdr:row>
      <xdr:rowOff>0</xdr:rowOff>
    </xdr:from>
    <xdr:to>
      <xdr:col>6</xdr:col>
      <xdr:colOff>0</xdr:colOff>
      <xdr:row>12</xdr:row>
      <xdr:rowOff>0</xdr:rowOff>
    </xdr:to>
    <xdr:sp macro="" textlink="">
      <xdr:nvSpPr>
        <xdr:cNvPr id="26" name="Rectangle: Rounded Corners 25">
          <a:extLst>
            <a:ext uri="{FF2B5EF4-FFF2-40B4-BE49-F238E27FC236}">
              <a16:creationId xmlns:a16="http://schemas.microsoft.com/office/drawing/2014/main" id="{49BEBAA4-15E1-31AB-88BC-BC23F2E9EF26}"/>
            </a:ext>
          </a:extLst>
        </xdr:cNvPr>
        <xdr:cNvSpPr/>
      </xdr:nvSpPr>
      <xdr:spPr>
        <a:xfrm>
          <a:off x="0" y="1973036"/>
          <a:ext cx="3184071" cy="925285"/>
        </a:xfrm>
        <a:prstGeom prst="roundRect">
          <a:avLst>
            <a:gd name="adj" fmla="val 8000"/>
          </a:avLst>
        </a:prstGeom>
        <a:solidFill>
          <a:srgbClr val="FFFFFF"/>
        </a:solidFill>
        <a:ln w="9525">
          <a:solidFill>
            <a:srgbClr val="E6D3DA"/>
          </a:solidFill>
          <a:prstDash val="solid"/>
        </a:ln>
        <a:effectLst>
          <a:outerShdw blurRad="63500" dist="37357" dir="2700000" rotWithShape="0">
            <a:scrgbClr r="0" g="0" b="0">
              <a:alpha val="2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127000</xdr:colOff>
      <xdr:row>8</xdr:row>
      <xdr:rowOff>203200</xdr:rowOff>
    </xdr:from>
    <xdr:to>
      <xdr:col>1</xdr:col>
      <xdr:colOff>76200</xdr:colOff>
      <xdr:row>11</xdr:row>
      <xdr:rowOff>0</xdr:rowOff>
    </xdr:to>
    <xdr:sp macro="" textlink="">
      <xdr:nvSpPr>
        <xdr:cNvPr id="27" name="Oval 26">
          <a:extLst>
            <a:ext uri="{FF2B5EF4-FFF2-40B4-BE49-F238E27FC236}">
              <a16:creationId xmlns:a16="http://schemas.microsoft.com/office/drawing/2014/main" id="{F482EB51-1D1B-6265-314A-10B6EFA27EBD}"/>
            </a:ext>
          </a:extLst>
        </xdr:cNvPr>
        <xdr:cNvSpPr/>
      </xdr:nvSpPr>
      <xdr:spPr>
        <a:xfrm>
          <a:off x="127000" y="2176236"/>
          <a:ext cx="479879" cy="490764"/>
        </a:xfrm>
        <a:prstGeom prst="ellipse">
          <a:avLst/>
        </a:prstGeom>
        <a:solidFill>
          <a:srgbClr val="A83254"/>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300" b="1" i="0" u="none" strike="noStrike" kern="0" cap="none" spc="0" normalizeH="0" baseline="0" noProof="0">
              <a:ln>
                <a:noFill/>
              </a:ln>
              <a:solidFill>
                <a:srgbClr val="FFFFFF"/>
              </a:solidFill>
              <a:effectLst/>
              <a:uLnTx/>
              <a:uFillTx/>
              <a:latin typeface="Calibri"/>
              <a:cs typeface="Calibri"/>
            </a:rPr>
            <a:t>O</a:t>
          </a:r>
        </a:p>
      </xdr:txBody>
    </xdr:sp>
    <xdr:clientData/>
  </xdr:twoCellAnchor>
  <xdr:twoCellAnchor>
    <xdr:from>
      <xdr:col>1</xdr:col>
      <xdr:colOff>152400</xdr:colOff>
      <xdr:row>8</xdr:row>
      <xdr:rowOff>101600</xdr:rowOff>
    </xdr:from>
    <xdr:to>
      <xdr:col>5</xdr:col>
      <xdr:colOff>482600</xdr:colOff>
      <xdr:row>9</xdr:row>
      <xdr:rowOff>152400</xdr:rowOff>
    </xdr:to>
    <xdr:sp macro="" textlink="">
      <xdr:nvSpPr>
        <xdr:cNvPr id="28" name="TextBox 27">
          <a:extLst>
            <a:ext uri="{FF2B5EF4-FFF2-40B4-BE49-F238E27FC236}">
              <a16:creationId xmlns:a16="http://schemas.microsoft.com/office/drawing/2014/main" id="{F0E0D3FA-10CB-73C5-EEBA-44EBE1BE0D66}"/>
            </a:ext>
          </a:extLst>
        </xdr:cNvPr>
        <xdr:cNvSpPr txBox="1"/>
      </xdr:nvSpPr>
      <xdr:spPr>
        <a:xfrm>
          <a:off x="685800" y="2073275"/>
          <a:ext cx="2463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1500" b="1" i="0" u="none" strike="noStrike" kern="0" cap="none" spc="0" normalizeH="0" baseline="0" noProof="0">
              <a:ln>
                <a:noFill/>
              </a:ln>
              <a:solidFill>
                <a:srgbClr val="5B1230"/>
              </a:solidFill>
              <a:effectLst/>
              <a:uLnTx/>
              <a:uFillTx/>
              <a:latin typeface="Calibri"/>
              <a:cs typeface="Calibri"/>
            </a:rPr>
            <a:t>Activation Rate</a:t>
          </a:r>
        </a:p>
      </xdr:txBody>
    </xdr:sp>
    <xdr:clientData/>
  </xdr:twoCellAnchor>
  <xdr:twoCellAnchor>
    <xdr:from>
      <xdr:col>1</xdr:col>
      <xdr:colOff>152400</xdr:colOff>
      <xdr:row>9</xdr:row>
      <xdr:rowOff>139700</xdr:rowOff>
    </xdr:from>
    <xdr:to>
      <xdr:col>5</xdr:col>
      <xdr:colOff>482600</xdr:colOff>
      <xdr:row>11</xdr:row>
      <xdr:rowOff>114300</xdr:rowOff>
    </xdr:to>
    <xdr:sp macro="" textlink="Dashboard!$AF$6">
      <xdr:nvSpPr>
        <xdr:cNvPr id="29" name="TextBox 28">
          <a:extLst>
            <a:ext uri="{FF2B5EF4-FFF2-40B4-BE49-F238E27FC236}">
              <a16:creationId xmlns:a16="http://schemas.microsoft.com/office/drawing/2014/main" id="{9EA6DEB0-7F9A-E496-9568-BB7C5A995B5B}"/>
            </a:ext>
          </a:extLst>
        </xdr:cNvPr>
        <xdr:cNvSpPr txBox="1"/>
      </xdr:nvSpPr>
      <xdr:spPr>
        <a:xfrm>
          <a:off x="685800" y="2339975"/>
          <a:ext cx="24638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fld id="{36AD80FF-4F7C-4CF4-8A01-475C7080170C}" type="TxLink">
            <a:rPr kumimoji="0" lang="en-US" sz="1400" b="1" i="0" u="none" strike="noStrike" kern="0" cap="none" spc="0" normalizeH="0" baseline="0" noProof="0" smtClean="0">
              <a:ln>
                <a:noFill/>
              </a:ln>
              <a:solidFill>
                <a:srgbClr val="7B1E3C"/>
              </a:solidFill>
              <a:effectLst/>
              <a:uLnTx/>
              <a:uFillTx/>
              <a:latin typeface="Aptos"/>
              <a:cs typeface="Calibri"/>
            </a:rPr>
            <a:pPr/>
            <a:t>79.1%</a:t>
          </a:fld>
          <a:endParaRPr kumimoji="0" lang="en-US" sz="1400" b="1" kern="0" cap="none" spc="0" normalizeH="0" baseline="0" noProof="0">
            <a:ln>
              <a:noFill/>
            </a:ln>
            <a:solidFill>
              <a:srgbClr val="7B1E3C"/>
            </a:solidFill>
            <a:effectLst/>
            <a:uLnTx/>
            <a:uFillTx/>
            <a:cs typeface="Calibri"/>
          </a:endParaRPr>
        </a:p>
      </xdr:txBody>
    </xdr:sp>
    <xdr:clientData/>
  </xdr:twoCellAnchor>
  <xdr:twoCellAnchor>
    <xdr:from>
      <xdr:col>1</xdr:col>
      <xdr:colOff>152400</xdr:colOff>
      <xdr:row>11</xdr:row>
      <xdr:rowOff>50800</xdr:rowOff>
    </xdr:from>
    <xdr:to>
      <xdr:col>5</xdr:col>
      <xdr:colOff>482600</xdr:colOff>
      <xdr:row>11</xdr:row>
      <xdr:rowOff>215900</xdr:rowOff>
    </xdr:to>
    <xdr:sp macro="" textlink="">
      <xdr:nvSpPr>
        <xdr:cNvPr id="30" name="TextBox 29">
          <a:extLst>
            <a:ext uri="{FF2B5EF4-FFF2-40B4-BE49-F238E27FC236}">
              <a16:creationId xmlns:a16="http://schemas.microsoft.com/office/drawing/2014/main" id="{B481D643-60F7-CCA0-BE73-3ADC5CC15217}"/>
            </a:ext>
          </a:extLst>
        </xdr:cNvPr>
        <xdr:cNvSpPr txBox="1"/>
      </xdr:nvSpPr>
      <xdr:spPr>
        <a:xfrm>
          <a:off x="685800" y="2708275"/>
          <a:ext cx="24638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800" b="0" i="0" u="none" strike="noStrike" kern="0" cap="none" spc="0" normalizeH="0" baseline="0" noProof="0">
              <a:ln>
                <a:noFill/>
              </a:ln>
              <a:solidFill>
                <a:srgbClr val="8A7079"/>
              </a:solidFill>
              <a:effectLst/>
              <a:uLnTx/>
              <a:uFillTx/>
              <a:latin typeface="Calibri"/>
              <a:cs typeface="Calibri"/>
            </a:rPr>
            <a:t>Activated / Won customers</a:t>
          </a:r>
        </a:p>
      </xdr:txBody>
    </xdr:sp>
    <xdr:clientData/>
  </xdr:twoCellAnchor>
  <xdr:twoCellAnchor>
    <xdr:from>
      <xdr:col>6</xdr:col>
      <xdr:colOff>0</xdr:colOff>
      <xdr:row>8</xdr:row>
      <xdr:rowOff>0</xdr:rowOff>
    </xdr:from>
    <xdr:to>
      <xdr:col>12</xdr:col>
      <xdr:colOff>0</xdr:colOff>
      <xdr:row>12</xdr:row>
      <xdr:rowOff>0</xdr:rowOff>
    </xdr:to>
    <xdr:sp macro="" textlink="">
      <xdr:nvSpPr>
        <xdr:cNvPr id="31" name="Rectangle: Rounded Corners 30">
          <a:extLst>
            <a:ext uri="{FF2B5EF4-FFF2-40B4-BE49-F238E27FC236}">
              <a16:creationId xmlns:a16="http://schemas.microsoft.com/office/drawing/2014/main" id="{85160DE3-14B9-1508-A0C4-F3BFC6BDC42C}"/>
            </a:ext>
          </a:extLst>
        </xdr:cNvPr>
        <xdr:cNvSpPr/>
      </xdr:nvSpPr>
      <xdr:spPr>
        <a:xfrm>
          <a:off x="3184071" y="1973036"/>
          <a:ext cx="3184072" cy="925285"/>
        </a:xfrm>
        <a:prstGeom prst="roundRect">
          <a:avLst>
            <a:gd name="adj" fmla="val 8000"/>
          </a:avLst>
        </a:prstGeom>
        <a:solidFill>
          <a:srgbClr val="FFFFFF"/>
        </a:solidFill>
        <a:ln w="9525">
          <a:solidFill>
            <a:srgbClr val="E6D3DA"/>
          </a:solidFill>
          <a:prstDash val="solid"/>
        </a:ln>
        <a:effectLst>
          <a:outerShdw blurRad="63500" dist="37357" dir="2700000" rotWithShape="0">
            <a:scrgbClr r="0" g="0" b="0">
              <a:alpha val="2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127000</xdr:colOff>
      <xdr:row>8</xdr:row>
      <xdr:rowOff>203200</xdr:rowOff>
    </xdr:from>
    <xdr:to>
      <xdr:col>7</xdr:col>
      <xdr:colOff>76200</xdr:colOff>
      <xdr:row>11</xdr:row>
      <xdr:rowOff>0</xdr:rowOff>
    </xdr:to>
    <xdr:sp macro="" textlink="">
      <xdr:nvSpPr>
        <xdr:cNvPr id="32" name="Oval 31">
          <a:extLst>
            <a:ext uri="{FF2B5EF4-FFF2-40B4-BE49-F238E27FC236}">
              <a16:creationId xmlns:a16="http://schemas.microsoft.com/office/drawing/2014/main" id="{A0EE27B2-DBC8-87A6-9399-265C709A52F5}"/>
            </a:ext>
          </a:extLst>
        </xdr:cNvPr>
        <xdr:cNvSpPr/>
      </xdr:nvSpPr>
      <xdr:spPr>
        <a:xfrm>
          <a:off x="3311071" y="2176236"/>
          <a:ext cx="479879" cy="490764"/>
        </a:xfrm>
        <a:prstGeom prst="ellipse">
          <a:avLst/>
        </a:prstGeom>
        <a:solidFill>
          <a:srgbClr val="C9A227"/>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300" b="1" i="0" u="none" strike="noStrike" kern="0" cap="none" spc="0" normalizeH="0" baseline="0" noProof="0">
              <a:ln>
                <a:noFill/>
              </a:ln>
              <a:solidFill>
                <a:srgbClr val="4A0E26"/>
              </a:solidFill>
              <a:effectLst/>
              <a:uLnTx/>
              <a:uFillTx/>
              <a:latin typeface="Calibri"/>
              <a:cs typeface="Calibri"/>
            </a:rPr>
            <a:t>~</a:t>
          </a:r>
        </a:p>
      </xdr:txBody>
    </xdr:sp>
    <xdr:clientData/>
  </xdr:twoCellAnchor>
  <xdr:twoCellAnchor>
    <xdr:from>
      <xdr:col>7</xdr:col>
      <xdr:colOff>152400</xdr:colOff>
      <xdr:row>8</xdr:row>
      <xdr:rowOff>101600</xdr:rowOff>
    </xdr:from>
    <xdr:to>
      <xdr:col>11</xdr:col>
      <xdr:colOff>482600</xdr:colOff>
      <xdr:row>9</xdr:row>
      <xdr:rowOff>152400</xdr:rowOff>
    </xdr:to>
    <xdr:sp macro="" textlink="">
      <xdr:nvSpPr>
        <xdr:cNvPr id="33" name="TextBox 32">
          <a:extLst>
            <a:ext uri="{FF2B5EF4-FFF2-40B4-BE49-F238E27FC236}">
              <a16:creationId xmlns:a16="http://schemas.microsoft.com/office/drawing/2014/main" id="{FA0B5319-6C61-ED8C-454A-F8411942DC84}"/>
            </a:ext>
          </a:extLst>
        </xdr:cNvPr>
        <xdr:cNvSpPr txBox="1"/>
      </xdr:nvSpPr>
      <xdr:spPr>
        <a:xfrm>
          <a:off x="3886200" y="2073275"/>
          <a:ext cx="2463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1500" b="1" i="0" u="none" strike="noStrike" kern="0" cap="none" spc="0" normalizeH="0" baseline="0" noProof="0">
              <a:ln>
                <a:noFill/>
              </a:ln>
              <a:solidFill>
                <a:srgbClr val="5B1230"/>
              </a:solidFill>
              <a:effectLst/>
              <a:uLnTx/>
              <a:uFillTx/>
              <a:latin typeface="Calibri"/>
              <a:cs typeface="Calibri"/>
            </a:rPr>
            <a:t>Avg Days to Activation</a:t>
          </a:r>
        </a:p>
      </xdr:txBody>
    </xdr:sp>
    <xdr:clientData/>
  </xdr:twoCellAnchor>
  <xdr:twoCellAnchor>
    <xdr:from>
      <xdr:col>7</xdr:col>
      <xdr:colOff>152400</xdr:colOff>
      <xdr:row>9</xdr:row>
      <xdr:rowOff>139700</xdr:rowOff>
    </xdr:from>
    <xdr:to>
      <xdr:col>11</xdr:col>
      <xdr:colOff>482600</xdr:colOff>
      <xdr:row>11</xdr:row>
      <xdr:rowOff>114300</xdr:rowOff>
    </xdr:to>
    <xdr:sp macro="" textlink="Dashboard!$AF$7">
      <xdr:nvSpPr>
        <xdr:cNvPr id="34" name="TextBox 33">
          <a:extLst>
            <a:ext uri="{FF2B5EF4-FFF2-40B4-BE49-F238E27FC236}">
              <a16:creationId xmlns:a16="http://schemas.microsoft.com/office/drawing/2014/main" id="{2EF947BF-756A-D31E-1C43-D7E3EFE4425C}"/>
            </a:ext>
          </a:extLst>
        </xdr:cNvPr>
        <xdr:cNvSpPr txBox="1"/>
      </xdr:nvSpPr>
      <xdr:spPr>
        <a:xfrm>
          <a:off x="3886200" y="2339975"/>
          <a:ext cx="24638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fld id="{5EA60087-01CB-4CC7-A808-45FC48D54211}" type="TxLink">
            <a:rPr kumimoji="0" lang="en-US" sz="1400" b="1" i="0" u="none" strike="noStrike" kern="0" cap="none" spc="0" normalizeH="0" baseline="0" noProof="0" smtClean="0">
              <a:ln>
                <a:noFill/>
              </a:ln>
              <a:solidFill>
                <a:srgbClr val="7B1E3C"/>
              </a:solidFill>
              <a:effectLst/>
              <a:uLnTx/>
              <a:uFillTx/>
              <a:latin typeface="Aptos"/>
              <a:cs typeface="Calibri"/>
            </a:rPr>
            <a:pPr/>
            <a:t>25.1 d</a:t>
          </a:fld>
          <a:endParaRPr kumimoji="0" lang="en-US" sz="1400" b="1" kern="0" cap="none" spc="0" normalizeH="0" baseline="0" noProof="0">
            <a:ln>
              <a:noFill/>
            </a:ln>
            <a:solidFill>
              <a:srgbClr val="7B1E3C"/>
            </a:solidFill>
            <a:effectLst/>
            <a:uLnTx/>
            <a:uFillTx/>
            <a:cs typeface="Calibri"/>
          </a:endParaRPr>
        </a:p>
      </xdr:txBody>
    </xdr:sp>
    <xdr:clientData/>
  </xdr:twoCellAnchor>
  <xdr:twoCellAnchor>
    <xdr:from>
      <xdr:col>7</xdr:col>
      <xdr:colOff>152400</xdr:colOff>
      <xdr:row>11</xdr:row>
      <xdr:rowOff>50800</xdr:rowOff>
    </xdr:from>
    <xdr:to>
      <xdr:col>11</xdr:col>
      <xdr:colOff>482600</xdr:colOff>
      <xdr:row>11</xdr:row>
      <xdr:rowOff>215900</xdr:rowOff>
    </xdr:to>
    <xdr:sp macro="" textlink="">
      <xdr:nvSpPr>
        <xdr:cNvPr id="35" name="TextBox 34">
          <a:extLst>
            <a:ext uri="{FF2B5EF4-FFF2-40B4-BE49-F238E27FC236}">
              <a16:creationId xmlns:a16="http://schemas.microsoft.com/office/drawing/2014/main" id="{3447FC36-6E97-5445-EE22-4821C4E94425}"/>
            </a:ext>
          </a:extLst>
        </xdr:cNvPr>
        <xdr:cNvSpPr txBox="1"/>
      </xdr:nvSpPr>
      <xdr:spPr>
        <a:xfrm>
          <a:off x="3886200" y="2708275"/>
          <a:ext cx="24638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800" b="0" i="0" u="none" strike="noStrike" kern="0" cap="none" spc="0" normalizeH="0" baseline="0" noProof="0">
              <a:ln>
                <a:noFill/>
              </a:ln>
              <a:solidFill>
                <a:srgbClr val="8A7079"/>
              </a:solidFill>
              <a:effectLst/>
              <a:uLnTx/>
              <a:uFillTx/>
              <a:latin typeface="Calibri"/>
              <a:cs typeface="Calibri"/>
            </a:rPr>
            <a:t>Won date to activation</a:t>
          </a:r>
        </a:p>
      </xdr:txBody>
    </xdr:sp>
    <xdr:clientData/>
  </xdr:twoCellAnchor>
  <xdr:twoCellAnchor>
    <xdr:from>
      <xdr:col>12</xdr:col>
      <xdr:colOff>0</xdr:colOff>
      <xdr:row>8</xdr:row>
      <xdr:rowOff>0</xdr:rowOff>
    </xdr:from>
    <xdr:to>
      <xdr:col>18</xdr:col>
      <xdr:colOff>0</xdr:colOff>
      <xdr:row>12</xdr:row>
      <xdr:rowOff>0</xdr:rowOff>
    </xdr:to>
    <xdr:sp macro="" textlink="">
      <xdr:nvSpPr>
        <xdr:cNvPr id="36" name="Rectangle: Rounded Corners 35">
          <a:extLst>
            <a:ext uri="{FF2B5EF4-FFF2-40B4-BE49-F238E27FC236}">
              <a16:creationId xmlns:a16="http://schemas.microsoft.com/office/drawing/2014/main" id="{99E9F184-1AC9-F24B-21A8-DEC286014822}"/>
            </a:ext>
          </a:extLst>
        </xdr:cNvPr>
        <xdr:cNvSpPr/>
      </xdr:nvSpPr>
      <xdr:spPr>
        <a:xfrm>
          <a:off x="6368143" y="1973036"/>
          <a:ext cx="3184071" cy="925285"/>
        </a:xfrm>
        <a:prstGeom prst="roundRect">
          <a:avLst>
            <a:gd name="adj" fmla="val 8000"/>
          </a:avLst>
        </a:prstGeom>
        <a:solidFill>
          <a:srgbClr val="FFFFFF"/>
        </a:solidFill>
        <a:ln w="9525">
          <a:solidFill>
            <a:srgbClr val="E6D3DA"/>
          </a:solidFill>
          <a:prstDash val="solid"/>
        </a:ln>
        <a:effectLst>
          <a:outerShdw blurRad="63500" dist="37357" dir="2700000" rotWithShape="0">
            <a:scrgbClr r="0" g="0" b="0">
              <a:alpha val="2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127000</xdr:colOff>
      <xdr:row>8</xdr:row>
      <xdr:rowOff>203200</xdr:rowOff>
    </xdr:from>
    <xdr:to>
      <xdr:col>13</xdr:col>
      <xdr:colOff>76200</xdr:colOff>
      <xdr:row>11</xdr:row>
      <xdr:rowOff>0</xdr:rowOff>
    </xdr:to>
    <xdr:sp macro="" textlink="">
      <xdr:nvSpPr>
        <xdr:cNvPr id="37" name="Oval 36">
          <a:extLst>
            <a:ext uri="{FF2B5EF4-FFF2-40B4-BE49-F238E27FC236}">
              <a16:creationId xmlns:a16="http://schemas.microsoft.com/office/drawing/2014/main" id="{9AD67F3E-B60C-A182-6E4B-26AFE5225479}"/>
            </a:ext>
          </a:extLst>
        </xdr:cNvPr>
        <xdr:cNvSpPr/>
      </xdr:nvSpPr>
      <xdr:spPr>
        <a:xfrm>
          <a:off x="6495143" y="2176236"/>
          <a:ext cx="479878" cy="490764"/>
        </a:xfrm>
        <a:prstGeom prst="ellipse">
          <a:avLst/>
        </a:prstGeom>
        <a:solidFill>
          <a:srgbClr val="4A0E26"/>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300" b="1" i="0" u="none" strike="noStrike" kern="0" cap="none" spc="0" normalizeH="0" baseline="0" noProof="0">
              <a:ln>
                <a:noFill/>
              </a:ln>
              <a:solidFill>
                <a:srgbClr val="FFFFFF"/>
              </a:solidFill>
              <a:effectLst/>
              <a:uLnTx/>
              <a:uFillTx/>
              <a:latin typeface="Calibri"/>
              <a:cs typeface="Calibri"/>
            </a:rPr>
            <a:t>€</a:t>
          </a:r>
        </a:p>
      </xdr:txBody>
    </xdr:sp>
    <xdr:clientData/>
  </xdr:twoCellAnchor>
  <xdr:twoCellAnchor>
    <xdr:from>
      <xdr:col>13</xdr:col>
      <xdr:colOff>152400</xdr:colOff>
      <xdr:row>8</xdr:row>
      <xdr:rowOff>101600</xdr:rowOff>
    </xdr:from>
    <xdr:to>
      <xdr:col>17</xdr:col>
      <xdr:colOff>482600</xdr:colOff>
      <xdr:row>9</xdr:row>
      <xdr:rowOff>152400</xdr:rowOff>
    </xdr:to>
    <xdr:sp macro="" textlink="">
      <xdr:nvSpPr>
        <xdr:cNvPr id="38" name="TextBox 37">
          <a:extLst>
            <a:ext uri="{FF2B5EF4-FFF2-40B4-BE49-F238E27FC236}">
              <a16:creationId xmlns:a16="http://schemas.microsoft.com/office/drawing/2014/main" id="{440560DE-7074-7AE1-91DE-3C7DD7352EAE}"/>
            </a:ext>
          </a:extLst>
        </xdr:cNvPr>
        <xdr:cNvSpPr txBox="1"/>
      </xdr:nvSpPr>
      <xdr:spPr>
        <a:xfrm>
          <a:off x="7086600" y="2073275"/>
          <a:ext cx="2463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1500" b="1" i="0" u="none" strike="noStrike" kern="0" cap="none" spc="0" normalizeH="0" baseline="0" noProof="0">
              <a:ln>
                <a:noFill/>
              </a:ln>
              <a:solidFill>
                <a:srgbClr val="5B1230"/>
              </a:solidFill>
              <a:effectLst/>
              <a:uLnTx/>
              <a:uFillTx/>
              <a:latin typeface="Calibri"/>
              <a:cs typeface="Calibri"/>
            </a:rPr>
            <a:t>Completed Revenue</a:t>
          </a:r>
        </a:p>
      </xdr:txBody>
    </xdr:sp>
    <xdr:clientData/>
  </xdr:twoCellAnchor>
  <xdr:twoCellAnchor>
    <xdr:from>
      <xdr:col>13</xdr:col>
      <xdr:colOff>152400</xdr:colOff>
      <xdr:row>9</xdr:row>
      <xdr:rowOff>139700</xdr:rowOff>
    </xdr:from>
    <xdr:to>
      <xdr:col>17</xdr:col>
      <xdr:colOff>482600</xdr:colOff>
      <xdr:row>11</xdr:row>
      <xdr:rowOff>114300</xdr:rowOff>
    </xdr:to>
    <xdr:sp macro="" textlink="Dashboard!$AF$8">
      <xdr:nvSpPr>
        <xdr:cNvPr id="39" name="TextBox 38">
          <a:extLst>
            <a:ext uri="{FF2B5EF4-FFF2-40B4-BE49-F238E27FC236}">
              <a16:creationId xmlns:a16="http://schemas.microsoft.com/office/drawing/2014/main" id="{DF34D62D-125B-2A7F-6F30-88EFA2DC3142}"/>
            </a:ext>
          </a:extLst>
        </xdr:cNvPr>
        <xdr:cNvSpPr txBox="1"/>
      </xdr:nvSpPr>
      <xdr:spPr>
        <a:xfrm>
          <a:off x="7086600" y="2339975"/>
          <a:ext cx="24638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fld id="{935B3866-9758-4946-B8F5-CDBD0753CF26}" type="TxLink">
            <a:rPr kumimoji="0" lang="en-US" sz="1400" b="1" i="0" u="none" strike="noStrike" kern="0" cap="none" spc="0" normalizeH="0" baseline="0" noProof="0" smtClean="0">
              <a:ln>
                <a:noFill/>
              </a:ln>
              <a:solidFill>
                <a:srgbClr val="7B1E3C"/>
              </a:solidFill>
              <a:effectLst/>
              <a:uLnTx/>
              <a:uFillTx/>
              <a:latin typeface="Aptos"/>
              <a:cs typeface="Calibri"/>
            </a:rPr>
            <a:pPr/>
            <a:t>€508K</a:t>
          </a:fld>
          <a:endParaRPr kumimoji="0" lang="en-US" sz="1400" b="1" kern="0" cap="none" spc="0" normalizeH="0" baseline="0" noProof="0">
            <a:ln>
              <a:noFill/>
            </a:ln>
            <a:solidFill>
              <a:srgbClr val="7B1E3C"/>
            </a:solidFill>
            <a:effectLst/>
            <a:uLnTx/>
            <a:uFillTx/>
            <a:cs typeface="Calibri"/>
          </a:endParaRPr>
        </a:p>
      </xdr:txBody>
    </xdr:sp>
    <xdr:clientData/>
  </xdr:twoCellAnchor>
  <xdr:twoCellAnchor>
    <xdr:from>
      <xdr:col>13</xdr:col>
      <xdr:colOff>152400</xdr:colOff>
      <xdr:row>11</xdr:row>
      <xdr:rowOff>50800</xdr:rowOff>
    </xdr:from>
    <xdr:to>
      <xdr:col>17</xdr:col>
      <xdr:colOff>482600</xdr:colOff>
      <xdr:row>11</xdr:row>
      <xdr:rowOff>215900</xdr:rowOff>
    </xdr:to>
    <xdr:sp macro="" textlink="">
      <xdr:nvSpPr>
        <xdr:cNvPr id="40" name="TextBox 39">
          <a:extLst>
            <a:ext uri="{FF2B5EF4-FFF2-40B4-BE49-F238E27FC236}">
              <a16:creationId xmlns:a16="http://schemas.microsoft.com/office/drawing/2014/main" id="{D8EF0255-24C0-352C-41DE-C615C812E1DF}"/>
            </a:ext>
          </a:extLst>
        </xdr:cNvPr>
        <xdr:cNvSpPr txBox="1"/>
      </xdr:nvSpPr>
      <xdr:spPr>
        <a:xfrm>
          <a:off x="7086600" y="2708275"/>
          <a:ext cx="24638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800" b="0" i="0" u="none" strike="noStrike" kern="0" cap="none" spc="0" normalizeH="0" baseline="0" noProof="0">
              <a:ln>
                <a:noFill/>
              </a:ln>
              <a:solidFill>
                <a:srgbClr val="8A7079"/>
              </a:solidFill>
              <a:effectLst/>
              <a:uLnTx/>
              <a:uFillTx/>
              <a:latin typeface="Calibri"/>
              <a:cs typeface="Calibri"/>
            </a:rPr>
            <a:t>Revenue_Usable, EUR</a:t>
          </a:r>
        </a:p>
      </xdr:txBody>
    </xdr:sp>
    <xdr:clientData/>
  </xdr:twoCellAnchor>
  <xdr:twoCellAnchor>
    <xdr:from>
      <xdr:col>18</xdr:col>
      <xdr:colOff>0</xdr:colOff>
      <xdr:row>8</xdr:row>
      <xdr:rowOff>0</xdr:rowOff>
    </xdr:from>
    <xdr:to>
      <xdr:col>24</xdr:col>
      <xdr:colOff>0</xdr:colOff>
      <xdr:row>12</xdr:row>
      <xdr:rowOff>0</xdr:rowOff>
    </xdr:to>
    <xdr:sp macro="" textlink="">
      <xdr:nvSpPr>
        <xdr:cNvPr id="41" name="Rectangle: Rounded Corners 40">
          <a:extLst>
            <a:ext uri="{FF2B5EF4-FFF2-40B4-BE49-F238E27FC236}">
              <a16:creationId xmlns:a16="http://schemas.microsoft.com/office/drawing/2014/main" id="{C2E6D39A-0C76-3CDB-23C2-21DA67F324D8}"/>
            </a:ext>
          </a:extLst>
        </xdr:cNvPr>
        <xdr:cNvSpPr/>
      </xdr:nvSpPr>
      <xdr:spPr>
        <a:xfrm>
          <a:off x="9552214" y="1973036"/>
          <a:ext cx="3184072" cy="925285"/>
        </a:xfrm>
        <a:prstGeom prst="roundRect">
          <a:avLst>
            <a:gd name="adj" fmla="val 8000"/>
          </a:avLst>
        </a:prstGeom>
        <a:solidFill>
          <a:srgbClr val="FFFFFF"/>
        </a:solidFill>
        <a:ln w="9525">
          <a:solidFill>
            <a:srgbClr val="E6D3DA"/>
          </a:solidFill>
          <a:prstDash val="solid"/>
        </a:ln>
        <a:effectLst>
          <a:outerShdw blurRad="63500" dist="37357" dir="2700000" rotWithShape="0">
            <a:scrgbClr r="0" g="0" b="0">
              <a:alpha val="20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127000</xdr:colOff>
      <xdr:row>8</xdr:row>
      <xdr:rowOff>203200</xdr:rowOff>
    </xdr:from>
    <xdr:to>
      <xdr:col>19</xdr:col>
      <xdr:colOff>76200</xdr:colOff>
      <xdr:row>11</xdr:row>
      <xdr:rowOff>0</xdr:rowOff>
    </xdr:to>
    <xdr:sp macro="" textlink="">
      <xdr:nvSpPr>
        <xdr:cNvPr id="42" name="Oval 41">
          <a:extLst>
            <a:ext uri="{FF2B5EF4-FFF2-40B4-BE49-F238E27FC236}">
              <a16:creationId xmlns:a16="http://schemas.microsoft.com/office/drawing/2014/main" id="{122539F1-466A-699C-763A-1B4F4704B930}"/>
            </a:ext>
          </a:extLst>
        </xdr:cNvPr>
        <xdr:cNvSpPr/>
      </xdr:nvSpPr>
      <xdr:spPr>
        <a:xfrm>
          <a:off x="9679214" y="2176236"/>
          <a:ext cx="479879" cy="490764"/>
        </a:xfrm>
        <a:prstGeom prst="ellipse">
          <a:avLst/>
        </a:prstGeom>
        <a:solidFill>
          <a:srgbClr val="C9A227"/>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0" lang="en-US" sz="1300" b="1" i="0" u="none" strike="noStrike" kern="0" cap="none" spc="0" normalizeH="0" baseline="0" noProof="0">
              <a:ln>
                <a:noFill/>
              </a:ln>
              <a:solidFill>
                <a:srgbClr val="4A0E26"/>
              </a:solidFill>
              <a:effectLst/>
              <a:uLnTx/>
              <a:uFillTx/>
              <a:latin typeface="Calibri"/>
              <a:cs typeface="Calibri"/>
            </a:rPr>
            <a:t>!</a:t>
          </a:r>
        </a:p>
      </xdr:txBody>
    </xdr:sp>
    <xdr:clientData/>
  </xdr:twoCellAnchor>
  <xdr:twoCellAnchor>
    <xdr:from>
      <xdr:col>19</xdr:col>
      <xdr:colOff>152400</xdr:colOff>
      <xdr:row>8</xdr:row>
      <xdr:rowOff>101600</xdr:rowOff>
    </xdr:from>
    <xdr:to>
      <xdr:col>23</xdr:col>
      <xdr:colOff>482600</xdr:colOff>
      <xdr:row>9</xdr:row>
      <xdr:rowOff>152400</xdr:rowOff>
    </xdr:to>
    <xdr:sp macro="" textlink="">
      <xdr:nvSpPr>
        <xdr:cNvPr id="43" name="TextBox 42">
          <a:extLst>
            <a:ext uri="{FF2B5EF4-FFF2-40B4-BE49-F238E27FC236}">
              <a16:creationId xmlns:a16="http://schemas.microsoft.com/office/drawing/2014/main" id="{5955A2AC-9CE4-0BDE-1715-A9C7AD2FE351}"/>
            </a:ext>
          </a:extLst>
        </xdr:cNvPr>
        <xdr:cNvSpPr txBox="1"/>
      </xdr:nvSpPr>
      <xdr:spPr>
        <a:xfrm>
          <a:off x="10287000" y="2073275"/>
          <a:ext cx="24638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1500" b="1" i="0" u="none" strike="noStrike" kern="0" cap="none" spc="0" normalizeH="0" baseline="0" noProof="0">
              <a:ln>
                <a:noFill/>
              </a:ln>
              <a:solidFill>
                <a:srgbClr val="5B1230"/>
              </a:solidFill>
              <a:effectLst/>
              <a:uLnTx/>
              <a:uFillTx/>
              <a:latin typeface="Calibri"/>
              <a:cs typeface="Calibri"/>
            </a:rPr>
            <a:t>Churn Rate</a:t>
          </a:r>
        </a:p>
      </xdr:txBody>
    </xdr:sp>
    <xdr:clientData/>
  </xdr:twoCellAnchor>
  <xdr:twoCellAnchor>
    <xdr:from>
      <xdr:col>19</xdr:col>
      <xdr:colOff>152400</xdr:colOff>
      <xdr:row>9</xdr:row>
      <xdr:rowOff>139700</xdr:rowOff>
    </xdr:from>
    <xdr:to>
      <xdr:col>23</xdr:col>
      <xdr:colOff>482600</xdr:colOff>
      <xdr:row>11</xdr:row>
      <xdr:rowOff>114300</xdr:rowOff>
    </xdr:to>
    <xdr:sp macro="" textlink="Dashboard!$AF$10">
      <xdr:nvSpPr>
        <xdr:cNvPr id="44" name="TextBox 43">
          <a:extLst>
            <a:ext uri="{FF2B5EF4-FFF2-40B4-BE49-F238E27FC236}">
              <a16:creationId xmlns:a16="http://schemas.microsoft.com/office/drawing/2014/main" id="{27C2B19B-F1F7-BE19-4EEB-DBD1FA8D8A54}"/>
            </a:ext>
          </a:extLst>
        </xdr:cNvPr>
        <xdr:cNvSpPr txBox="1"/>
      </xdr:nvSpPr>
      <xdr:spPr>
        <a:xfrm>
          <a:off x="10287000" y="2339975"/>
          <a:ext cx="24638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fld id="{2A8E9BFC-5D94-4616-BD4E-0673CA003C60}" type="TxLink">
            <a:rPr kumimoji="0" lang="en-US" sz="1400" b="1" i="0" u="none" strike="noStrike" kern="0" cap="none" spc="0" normalizeH="0" baseline="0" noProof="0" smtClean="0">
              <a:ln>
                <a:noFill/>
              </a:ln>
              <a:solidFill>
                <a:srgbClr val="7B1E3C"/>
              </a:solidFill>
              <a:effectLst/>
              <a:uLnTx/>
              <a:uFillTx/>
              <a:latin typeface="Aptos"/>
              <a:cs typeface="Calibri"/>
            </a:rPr>
            <a:pPr/>
            <a:t>7.5%</a:t>
          </a:fld>
          <a:endParaRPr kumimoji="0" lang="en-US" sz="1400" b="1" kern="0" cap="none" spc="0" normalizeH="0" baseline="0" noProof="0">
            <a:ln>
              <a:noFill/>
            </a:ln>
            <a:solidFill>
              <a:srgbClr val="7B1E3C"/>
            </a:solidFill>
            <a:effectLst/>
            <a:uLnTx/>
            <a:uFillTx/>
            <a:cs typeface="Calibri"/>
          </a:endParaRPr>
        </a:p>
      </xdr:txBody>
    </xdr:sp>
    <xdr:clientData/>
  </xdr:twoCellAnchor>
  <xdr:twoCellAnchor>
    <xdr:from>
      <xdr:col>19</xdr:col>
      <xdr:colOff>152400</xdr:colOff>
      <xdr:row>11</xdr:row>
      <xdr:rowOff>50800</xdr:rowOff>
    </xdr:from>
    <xdr:to>
      <xdr:col>23</xdr:col>
      <xdr:colOff>482600</xdr:colOff>
      <xdr:row>11</xdr:row>
      <xdr:rowOff>215900</xdr:rowOff>
    </xdr:to>
    <xdr:sp macro="" textlink="">
      <xdr:nvSpPr>
        <xdr:cNvPr id="45" name="TextBox 44">
          <a:extLst>
            <a:ext uri="{FF2B5EF4-FFF2-40B4-BE49-F238E27FC236}">
              <a16:creationId xmlns:a16="http://schemas.microsoft.com/office/drawing/2014/main" id="{6FD38F9D-A0EC-BA75-9971-02B2967985FB}"/>
            </a:ext>
          </a:extLst>
        </xdr:cNvPr>
        <xdr:cNvSpPr txBox="1"/>
      </xdr:nvSpPr>
      <xdr:spPr>
        <a:xfrm>
          <a:off x="10287000" y="2708275"/>
          <a:ext cx="24638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t"/>
        <a:lstStyle/>
        <a:p>
          <a:r>
            <a:rPr kumimoji="0" lang="en-US" sz="800" b="0" i="0" u="none" strike="noStrike" kern="0" cap="none" spc="0" normalizeH="0" baseline="0" noProof="0">
              <a:ln>
                <a:noFill/>
              </a:ln>
              <a:solidFill>
                <a:srgbClr val="8A7079"/>
              </a:solidFill>
              <a:effectLst/>
              <a:uLnTx/>
              <a:uFillTx/>
              <a:latin typeface="Calibri"/>
              <a:cs typeface="Calibri"/>
            </a:rPr>
            <a:t>Churned / Activated</a:t>
          </a:r>
        </a:p>
      </xdr:txBody>
    </xdr:sp>
    <xdr:clientData/>
  </xdr:twoCellAnchor>
  <xdr:twoCellAnchor>
    <xdr:from>
      <xdr:col>8</xdr:col>
      <xdr:colOff>95250</xdr:colOff>
      <xdr:row>12</xdr:row>
      <xdr:rowOff>136072</xdr:rowOff>
    </xdr:from>
    <xdr:to>
      <xdr:col>15</xdr:col>
      <xdr:colOff>476249</xdr:colOff>
      <xdr:row>26</xdr:row>
      <xdr:rowOff>2724</xdr:rowOff>
    </xdr:to>
    <xdr:graphicFrame macro="">
      <xdr:nvGraphicFramePr>
        <xdr:cNvPr id="47" name="Chart_revtgt">
          <a:extLst>
            <a:ext uri="{FF2B5EF4-FFF2-40B4-BE49-F238E27FC236}">
              <a16:creationId xmlns:a16="http://schemas.microsoft.com/office/drawing/2014/main" id="{7BAE0361-FDC8-234E-533F-21274BEB49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68037</xdr:colOff>
      <xdr:row>12</xdr:row>
      <xdr:rowOff>149678</xdr:rowOff>
    </xdr:from>
    <xdr:to>
      <xdr:col>23</xdr:col>
      <xdr:colOff>449037</xdr:colOff>
      <xdr:row>25</xdr:row>
      <xdr:rowOff>221365</xdr:rowOff>
    </xdr:to>
    <xdr:graphicFrame macro="">
      <xdr:nvGraphicFramePr>
        <xdr:cNvPr id="48" name="Chart_trend">
          <a:extLst>
            <a:ext uri="{FF2B5EF4-FFF2-40B4-BE49-F238E27FC236}">
              <a16:creationId xmlns:a16="http://schemas.microsoft.com/office/drawing/2014/main" id="{86930FC4-6B1A-A14B-DAB4-6B76AB997F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136073</xdr:colOff>
      <xdr:row>26</xdr:row>
      <xdr:rowOff>163286</xdr:rowOff>
    </xdr:from>
    <xdr:to>
      <xdr:col>7</xdr:col>
      <xdr:colOff>462643</xdr:colOff>
      <xdr:row>39</xdr:row>
      <xdr:rowOff>35380</xdr:rowOff>
    </xdr:to>
    <xdr:graphicFrame macro="">
      <xdr:nvGraphicFramePr>
        <xdr:cNvPr id="49" name="Chart_channel">
          <a:extLst>
            <a:ext uri="{FF2B5EF4-FFF2-40B4-BE49-F238E27FC236}">
              <a16:creationId xmlns:a16="http://schemas.microsoft.com/office/drawing/2014/main" id="{71AF3780-DA56-8A74-28DB-7CFFDFC20B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95249</xdr:colOff>
      <xdr:row>26</xdr:row>
      <xdr:rowOff>163286</xdr:rowOff>
    </xdr:from>
    <xdr:to>
      <xdr:col>15</xdr:col>
      <xdr:colOff>476248</xdr:colOff>
      <xdr:row>39</xdr:row>
      <xdr:rowOff>40821</xdr:rowOff>
    </xdr:to>
    <xdr:graphicFrame macro="">
      <xdr:nvGraphicFramePr>
        <xdr:cNvPr id="50" name="Chart_attrition">
          <a:extLst>
            <a:ext uri="{FF2B5EF4-FFF2-40B4-BE49-F238E27FC236}">
              <a16:creationId xmlns:a16="http://schemas.microsoft.com/office/drawing/2014/main" id="{D6D44D48-6107-1318-A046-9980CFEC4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81642</xdr:colOff>
      <xdr:row>26</xdr:row>
      <xdr:rowOff>149678</xdr:rowOff>
    </xdr:from>
    <xdr:to>
      <xdr:col>23</xdr:col>
      <xdr:colOff>437159</xdr:colOff>
      <xdr:row>39</xdr:row>
      <xdr:rowOff>21771</xdr:rowOff>
    </xdr:to>
    <xdr:graphicFrame macro="">
      <xdr:nvGraphicFramePr>
        <xdr:cNvPr id="51" name="Chart_revmix">
          <a:extLst>
            <a:ext uri="{FF2B5EF4-FFF2-40B4-BE49-F238E27FC236}">
              <a16:creationId xmlns:a16="http://schemas.microsoft.com/office/drawing/2014/main" id="{9007BF07-3766-37B3-C75B-3BB353337B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24</xdr:col>
      <xdr:colOff>88312</xdr:colOff>
      <xdr:row>2</xdr:row>
      <xdr:rowOff>263044</xdr:rowOff>
    </xdr:from>
    <xdr:to>
      <xdr:col>29</xdr:col>
      <xdr:colOff>408214</xdr:colOff>
      <xdr:row>6</xdr:row>
      <xdr:rowOff>122464</xdr:rowOff>
    </xdr:to>
    <mc:AlternateContent xmlns:mc="http://schemas.openxmlformats.org/markup-compatibility/2006" xmlns:a14="http://schemas.microsoft.com/office/drawing/2010/main">
      <mc:Choice Requires="a14">
        <xdr:graphicFrame macro="">
          <xdr:nvGraphicFramePr>
            <xdr:cNvPr id="52" name="Created_Month">
              <a:extLst>
                <a:ext uri="{FF2B5EF4-FFF2-40B4-BE49-F238E27FC236}">
                  <a16:creationId xmlns:a16="http://schemas.microsoft.com/office/drawing/2014/main" id="{9030066B-0611-542E-AB7B-F9A72924CDA3}"/>
                </a:ext>
              </a:extLst>
            </xdr:cNvPr>
            <xdr:cNvGraphicFramePr/>
          </xdr:nvGraphicFramePr>
          <xdr:xfrm>
            <a:off x="0" y="0"/>
            <a:ext cx="0" cy="0"/>
          </xdr:xfrm>
          <a:graphic>
            <a:graphicData uri="http://schemas.microsoft.com/office/drawing/2010/slicer">
              <sle:slicer xmlns:sle="http://schemas.microsoft.com/office/drawing/2010/slicer" name="Created_Month"/>
            </a:graphicData>
          </a:graphic>
        </xdr:graphicFrame>
      </mc:Choice>
      <mc:Fallback xmlns="">
        <xdr:sp macro="" textlink="">
          <xdr:nvSpPr>
            <xdr:cNvPr id="0" name=""/>
            <xdr:cNvSpPr>
              <a:spLocks noTextEdit="1"/>
            </xdr:cNvSpPr>
          </xdr:nvSpPr>
          <xdr:spPr>
            <a:xfrm>
              <a:off x="12824598" y="807330"/>
              <a:ext cx="2973295" cy="8255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74705</xdr:colOff>
      <xdr:row>6</xdr:row>
      <xdr:rowOff>180281</xdr:rowOff>
    </xdr:from>
    <xdr:to>
      <xdr:col>29</xdr:col>
      <xdr:colOff>394607</xdr:colOff>
      <xdr:row>10</xdr:row>
      <xdr:rowOff>190500</xdr:rowOff>
    </xdr:to>
    <mc:AlternateContent xmlns:mc="http://schemas.openxmlformats.org/markup-compatibility/2006" xmlns:a14="http://schemas.microsoft.com/office/drawing/2010/main">
      <mc:Choice Requires="a14">
        <xdr:graphicFrame macro="">
          <xdr:nvGraphicFramePr>
            <xdr:cNvPr id="53" name="Transaction_Month">
              <a:extLst>
                <a:ext uri="{FF2B5EF4-FFF2-40B4-BE49-F238E27FC236}">
                  <a16:creationId xmlns:a16="http://schemas.microsoft.com/office/drawing/2014/main" id="{A8AD3F49-D6F8-9EF8-71E2-75984E7355F5}"/>
                </a:ext>
              </a:extLst>
            </xdr:cNvPr>
            <xdr:cNvGraphicFramePr/>
          </xdr:nvGraphicFramePr>
          <xdr:xfrm>
            <a:off x="0" y="0"/>
            <a:ext cx="0" cy="0"/>
          </xdr:xfrm>
          <a:graphic>
            <a:graphicData uri="http://schemas.microsoft.com/office/drawing/2010/slicer">
              <sle:slicer xmlns:sle="http://schemas.microsoft.com/office/drawing/2010/slicer" name="Transaction_Month"/>
            </a:graphicData>
          </a:graphic>
        </xdr:graphicFrame>
      </mc:Choice>
      <mc:Fallback xmlns="">
        <xdr:sp macro="" textlink="">
          <xdr:nvSpPr>
            <xdr:cNvPr id="0" name=""/>
            <xdr:cNvSpPr>
              <a:spLocks noTextEdit="1"/>
            </xdr:cNvSpPr>
          </xdr:nvSpPr>
          <xdr:spPr>
            <a:xfrm>
              <a:off x="12810991" y="1690674"/>
              <a:ext cx="2973295" cy="935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101919</xdr:colOff>
      <xdr:row>11</xdr:row>
      <xdr:rowOff>35883</xdr:rowOff>
    </xdr:from>
    <xdr:to>
      <xdr:col>29</xdr:col>
      <xdr:colOff>421821</xdr:colOff>
      <xdr:row>15</xdr:row>
      <xdr:rowOff>122464</xdr:rowOff>
    </xdr:to>
    <mc:AlternateContent xmlns:mc="http://schemas.openxmlformats.org/markup-compatibility/2006" xmlns:a14="http://schemas.microsoft.com/office/drawing/2010/main">
      <mc:Choice Requires="a14">
        <xdr:graphicFrame macro="">
          <xdr:nvGraphicFramePr>
            <xdr:cNvPr id="54" name="Market">
              <a:extLst>
                <a:ext uri="{FF2B5EF4-FFF2-40B4-BE49-F238E27FC236}">
                  <a16:creationId xmlns:a16="http://schemas.microsoft.com/office/drawing/2014/main" id="{B6EDE0AD-6D18-69E9-FB42-6D8B714D3EF3}"/>
                </a:ext>
              </a:extLst>
            </xdr:cNvPr>
            <xdr:cNvGraphicFramePr/>
          </xdr:nvGraphicFramePr>
          <xdr:xfrm>
            <a:off x="0" y="0"/>
            <a:ext cx="0" cy="0"/>
          </xdr:xfrm>
          <a:graphic>
            <a:graphicData uri="http://schemas.microsoft.com/office/drawing/2010/slicer">
              <sle:slicer xmlns:sle="http://schemas.microsoft.com/office/drawing/2010/slicer" name="Market"/>
            </a:graphicData>
          </a:graphic>
        </xdr:graphicFrame>
      </mc:Choice>
      <mc:Fallback xmlns="">
        <xdr:sp macro="" textlink="">
          <xdr:nvSpPr>
            <xdr:cNvPr id="0" name=""/>
            <xdr:cNvSpPr>
              <a:spLocks noTextEdit="1"/>
            </xdr:cNvSpPr>
          </xdr:nvSpPr>
          <xdr:spPr>
            <a:xfrm>
              <a:off x="12838205" y="2702883"/>
              <a:ext cx="2973295" cy="1011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115526</xdr:colOff>
      <xdr:row>15</xdr:row>
      <xdr:rowOff>211656</xdr:rowOff>
    </xdr:from>
    <xdr:to>
      <xdr:col>29</xdr:col>
      <xdr:colOff>435428</xdr:colOff>
      <xdr:row>20</xdr:row>
      <xdr:rowOff>136071</xdr:rowOff>
    </xdr:to>
    <mc:AlternateContent xmlns:mc="http://schemas.openxmlformats.org/markup-compatibility/2006" xmlns:a14="http://schemas.microsoft.com/office/drawing/2010/main">
      <mc:Choice Requires="a14">
        <xdr:graphicFrame macro="">
          <xdr:nvGraphicFramePr>
            <xdr:cNvPr id="55" name="Market 1">
              <a:extLst>
                <a:ext uri="{FF2B5EF4-FFF2-40B4-BE49-F238E27FC236}">
                  <a16:creationId xmlns:a16="http://schemas.microsoft.com/office/drawing/2014/main" id="{F337C2B4-6754-C167-8C15-D46942E1A27C}"/>
                </a:ext>
              </a:extLst>
            </xdr:cNvPr>
            <xdr:cNvGraphicFramePr/>
          </xdr:nvGraphicFramePr>
          <xdr:xfrm>
            <a:off x="0" y="0"/>
            <a:ext cx="0" cy="0"/>
          </xdr:xfrm>
          <a:graphic>
            <a:graphicData uri="http://schemas.microsoft.com/office/drawing/2010/slicer">
              <sle:slicer xmlns:sle="http://schemas.microsoft.com/office/drawing/2010/slicer" name="Market 1"/>
            </a:graphicData>
          </a:graphic>
        </xdr:graphicFrame>
      </mc:Choice>
      <mc:Fallback xmlns="">
        <xdr:sp macro="" textlink="">
          <xdr:nvSpPr>
            <xdr:cNvPr id="0" name=""/>
            <xdr:cNvSpPr>
              <a:spLocks noTextEdit="1"/>
            </xdr:cNvSpPr>
          </xdr:nvSpPr>
          <xdr:spPr>
            <a:xfrm>
              <a:off x="12851812" y="3803942"/>
              <a:ext cx="2973295" cy="1081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101919</xdr:colOff>
      <xdr:row>20</xdr:row>
      <xdr:rowOff>210533</xdr:rowOff>
    </xdr:from>
    <xdr:to>
      <xdr:col>29</xdr:col>
      <xdr:colOff>421821</xdr:colOff>
      <xdr:row>25</xdr:row>
      <xdr:rowOff>163286</xdr:rowOff>
    </xdr:to>
    <mc:AlternateContent xmlns:mc="http://schemas.openxmlformats.org/markup-compatibility/2006" xmlns:a14="http://schemas.microsoft.com/office/drawing/2010/main">
      <mc:Choice Requires="a14">
        <xdr:graphicFrame macro="">
          <xdr:nvGraphicFramePr>
            <xdr:cNvPr id="56" name="Market 2">
              <a:extLst>
                <a:ext uri="{FF2B5EF4-FFF2-40B4-BE49-F238E27FC236}">
                  <a16:creationId xmlns:a16="http://schemas.microsoft.com/office/drawing/2014/main" id="{02FE772B-37AF-2BAF-1E69-30F4292AA5BF}"/>
                </a:ext>
              </a:extLst>
            </xdr:cNvPr>
            <xdr:cNvGraphicFramePr/>
          </xdr:nvGraphicFramePr>
          <xdr:xfrm>
            <a:off x="0" y="0"/>
            <a:ext cx="0" cy="0"/>
          </xdr:xfrm>
          <a:graphic>
            <a:graphicData uri="http://schemas.microsoft.com/office/drawing/2010/slicer">
              <sle:slicer xmlns:sle="http://schemas.microsoft.com/office/drawing/2010/slicer" name="Market 2"/>
            </a:graphicData>
          </a:graphic>
        </xdr:graphicFrame>
      </mc:Choice>
      <mc:Fallback xmlns="">
        <xdr:sp macro="" textlink="">
          <xdr:nvSpPr>
            <xdr:cNvPr id="0" name=""/>
            <xdr:cNvSpPr>
              <a:spLocks noTextEdit="1"/>
            </xdr:cNvSpPr>
          </xdr:nvSpPr>
          <xdr:spPr>
            <a:xfrm>
              <a:off x="12838205" y="4959426"/>
              <a:ext cx="2973295" cy="1109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129134</xdr:colOff>
      <xdr:row>26</xdr:row>
      <xdr:rowOff>5308</xdr:rowOff>
    </xdr:from>
    <xdr:to>
      <xdr:col>29</xdr:col>
      <xdr:colOff>449036</xdr:colOff>
      <xdr:row>30</xdr:row>
      <xdr:rowOff>217714</xdr:rowOff>
    </xdr:to>
    <mc:AlternateContent xmlns:mc="http://schemas.openxmlformats.org/markup-compatibility/2006" xmlns:a14="http://schemas.microsoft.com/office/drawing/2010/main">
      <mc:Choice Requires="a14">
        <xdr:graphicFrame macro="">
          <xdr:nvGraphicFramePr>
            <xdr:cNvPr id="57" name="Channel">
              <a:extLst>
                <a:ext uri="{FF2B5EF4-FFF2-40B4-BE49-F238E27FC236}">
                  <a16:creationId xmlns:a16="http://schemas.microsoft.com/office/drawing/2014/main" id="{E3E91AFF-9F39-5C3F-5192-B22D4BA4D178}"/>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865420" y="6142129"/>
              <a:ext cx="2973295" cy="11376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142740</xdr:colOff>
      <xdr:row>31</xdr:row>
      <xdr:rowOff>72223</xdr:rowOff>
    </xdr:from>
    <xdr:to>
      <xdr:col>29</xdr:col>
      <xdr:colOff>462642</xdr:colOff>
      <xdr:row>39</xdr:row>
      <xdr:rowOff>27215</xdr:rowOff>
    </xdr:to>
    <mc:AlternateContent xmlns:mc="http://schemas.openxmlformats.org/markup-compatibility/2006" xmlns:a14="http://schemas.microsoft.com/office/drawing/2010/main">
      <mc:Choice Requires="a14">
        <xdr:graphicFrame macro="">
          <xdr:nvGraphicFramePr>
            <xdr:cNvPr id="58" name="Channel_via_Customer">
              <a:extLst>
                <a:ext uri="{FF2B5EF4-FFF2-40B4-BE49-F238E27FC236}">
                  <a16:creationId xmlns:a16="http://schemas.microsoft.com/office/drawing/2014/main" id="{4562F81B-3D38-670A-1A3C-77378DA8EDC1}"/>
                </a:ext>
              </a:extLst>
            </xdr:cNvPr>
            <xdr:cNvGraphicFramePr/>
          </xdr:nvGraphicFramePr>
          <xdr:xfrm>
            <a:off x="0" y="0"/>
            <a:ext cx="0" cy="0"/>
          </xdr:xfrm>
          <a:graphic>
            <a:graphicData uri="http://schemas.microsoft.com/office/drawing/2010/slicer">
              <sle:slicer xmlns:sle="http://schemas.microsoft.com/office/drawing/2010/slicer" name="Channel_via_Customer"/>
            </a:graphicData>
          </a:graphic>
        </xdr:graphicFrame>
      </mc:Choice>
      <mc:Fallback xmlns="">
        <xdr:sp macro="" textlink="">
          <xdr:nvSpPr>
            <xdr:cNvPr id="0" name=""/>
            <xdr:cNvSpPr>
              <a:spLocks noTextEdit="1"/>
            </xdr:cNvSpPr>
          </xdr:nvSpPr>
          <xdr:spPr>
            <a:xfrm>
              <a:off x="12879026" y="7365652"/>
              <a:ext cx="2973295" cy="15334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3</xdr:row>
      <xdr:rowOff>24946</xdr:rowOff>
    </xdr:from>
    <xdr:to>
      <xdr:col>24</xdr:col>
      <xdr:colOff>65314</xdr:colOff>
      <xdr:row>3</xdr:row>
      <xdr:rowOff>63046</xdr:rowOff>
    </xdr:to>
    <xdr:sp macro="" textlink="">
      <xdr:nvSpPr>
        <xdr:cNvPr id="59" name="GoldRule">
          <a:extLst>
            <a:ext uri="{FF2B5EF4-FFF2-40B4-BE49-F238E27FC236}">
              <a16:creationId xmlns:a16="http://schemas.microsoft.com/office/drawing/2014/main" id="{0B3DA1AC-D8C8-4B78-8EED-9DF9954D4E21}"/>
            </a:ext>
          </a:extLst>
        </xdr:cNvPr>
        <xdr:cNvSpPr/>
      </xdr:nvSpPr>
      <xdr:spPr>
        <a:xfrm>
          <a:off x="0" y="841375"/>
          <a:ext cx="12801600" cy="38100"/>
        </a:xfrm>
        <a:prstGeom prst="rect">
          <a:avLst/>
        </a:prstGeom>
        <a:solidFill>
          <a:srgbClr val="C9A227"/>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24</xdr:col>
      <xdr:colOff>39914</xdr:colOff>
      <xdr:row>3</xdr:row>
      <xdr:rowOff>12246</xdr:rowOff>
    </xdr:from>
    <xdr:to>
      <xdr:col>24</xdr:col>
      <xdr:colOff>78014</xdr:colOff>
      <xdr:row>31</xdr:row>
      <xdr:rowOff>164646</xdr:rowOff>
    </xdr:to>
    <xdr:sp macro="" textlink="">
      <xdr:nvSpPr>
        <xdr:cNvPr id="60" name="GoldRail">
          <a:extLst>
            <a:ext uri="{FF2B5EF4-FFF2-40B4-BE49-F238E27FC236}">
              <a16:creationId xmlns:a16="http://schemas.microsoft.com/office/drawing/2014/main" id="{88FF1DA6-CCC6-4069-BA62-516087B05D09}"/>
            </a:ext>
          </a:extLst>
        </xdr:cNvPr>
        <xdr:cNvSpPr/>
      </xdr:nvSpPr>
      <xdr:spPr>
        <a:xfrm>
          <a:off x="12776200" y="828675"/>
          <a:ext cx="38100" cy="6629400"/>
        </a:xfrm>
        <a:prstGeom prst="rect">
          <a:avLst/>
        </a:prstGeom>
        <a:solidFill>
          <a:srgbClr val="C9A227"/>
        </a:solidFill>
        <a:ln w="19050">
          <a:noFill/>
          <a:prstDash val="soli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25400</xdr:colOff>
      <xdr:row>4</xdr:row>
      <xdr:rowOff>101600</xdr:rowOff>
    </xdr:from>
    <xdr:to>
      <xdr:col>0</xdr:col>
      <xdr:colOff>76200</xdr:colOff>
      <xdr:row>7</xdr:row>
      <xdr:rowOff>129721</xdr:rowOff>
    </xdr:to>
    <xdr:sp macro="" textlink="">
      <xdr:nvSpPr>
        <xdr:cNvPr id="61" name="CardAccent0">
          <a:extLst>
            <a:ext uri="{FF2B5EF4-FFF2-40B4-BE49-F238E27FC236}">
              <a16:creationId xmlns:a16="http://schemas.microsoft.com/office/drawing/2014/main" id="{6257009F-E0C2-41E6-A0A5-5CDEDD95AB4D}"/>
            </a:ext>
          </a:extLst>
        </xdr:cNvPr>
        <xdr:cNvSpPr/>
      </xdr:nvSpPr>
      <xdr:spPr>
        <a:xfrm>
          <a:off x="25400" y="1149350"/>
          <a:ext cx="50800" cy="722085"/>
        </a:xfrm>
        <a:prstGeom prst="line">
          <a:avLst/>
        </a:prstGeom>
        <a:solidFill>
          <a:srgbClr val="C9A227"/>
        </a:solidFill>
        <a:ln w="12700">
          <a:noFill/>
          <a:prstDash val="solid"/>
        </a:ln>
        <a:effec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6</xdr:col>
      <xdr:colOff>25400</xdr:colOff>
      <xdr:row>4</xdr:row>
      <xdr:rowOff>101600</xdr:rowOff>
    </xdr:from>
    <xdr:to>
      <xdr:col>6</xdr:col>
      <xdr:colOff>76200</xdr:colOff>
      <xdr:row>7</xdr:row>
      <xdr:rowOff>129721</xdr:rowOff>
    </xdr:to>
    <xdr:sp macro="" textlink="">
      <xdr:nvSpPr>
        <xdr:cNvPr id="62" name="CardAccent1">
          <a:extLst>
            <a:ext uri="{FF2B5EF4-FFF2-40B4-BE49-F238E27FC236}">
              <a16:creationId xmlns:a16="http://schemas.microsoft.com/office/drawing/2014/main" id="{DA95A4CF-9A40-4564-A537-A9C63B35B852}"/>
            </a:ext>
          </a:extLst>
        </xdr:cNvPr>
        <xdr:cNvSpPr/>
      </xdr:nvSpPr>
      <xdr:spPr>
        <a:xfrm>
          <a:off x="3209471" y="1149350"/>
          <a:ext cx="50800" cy="722085"/>
        </a:xfrm>
        <a:prstGeom prst="line">
          <a:avLst/>
        </a:prstGeom>
        <a:solidFill>
          <a:srgbClr val="7B1E3C"/>
        </a:solidFill>
        <a:ln w="12700">
          <a:noFill/>
          <a:prstDash val="solid"/>
        </a:ln>
        <a:effec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12</xdr:col>
      <xdr:colOff>25399</xdr:colOff>
      <xdr:row>4</xdr:row>
      <xdr:rowOff>101600</xdr:rowOff>
    </xdr:from>
    <xdr:to>
      <xdr:col>12</xdr:col>
      <xdr:colOff>76199</xdr:colOff>
      <xdr:row>7</xdr:row>
      <xdr:rowOff>129721</xdr:rowOff>
    </xdr:to>
    <xdr:sp macro="" textlink="">
      <xdr:nvSpPr>
        <xdr:cNvPr id="63" name="CardAccent2">
          <a:extLst>
            <a:ext uri="{FF2B5EF4-FFF2-40B4-BE49-F238E27FC236}">
              <a16:creationId xmlns:a16="http://schemas.microsoft.com/office/drawing/2014/main" id="{736A4BCD-2B8E-47A6-A459-923E2D982DFC}"/>
            </a:ext>
          </a:extLst>
        </xdr:cNvPr>
        <xdr:cNvSpPr/>
      </xdr:nvSpPr>
      <xdr:spPr>
        <a:xfrm>
          <a:off x="6393542" y="1149350"/>
          <a:ext cx="50800" cy="722085"/>
        </a:xfrm>
        <a:prstGeom prst="line">
          <a:avLst/>
        </a:prstGeom>
        <a:solidFill>
          <a:srgbClr val="C9A227"/>
        </a:solidFill>
        <a:ln w="12700">
          <a:noFill/>
          <a:prstDash val="solid"/>
        </a:ln>
        <a:effec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18</xdr:col>
      <xdr:colOff>25399</xdr:colOff>
      <xdr:row>4</xdr:row>
      <xdr:rowOff>101600</xdr:rowOff>
    </xdr:from>
    <xdr:to>
      <xdr:col>18</xdr:col>
      <xdr:colOff>76199</xdr:colOff>
      <xdr:row>7</xdr:row>
      <xdr:rowOff>129721</xdr:rowOff>
    </xdr:to>
    <xdr:sp macro="" textlink="">
      <xdr:nvSpPr>
        <xdr:cNvPr id="64" name="CardAccent3">
          <a:extLst>
            <a:ext uri="{FF2B5EF4-FFF2-40B4-BE49-F238E27FC236}">
              <a16:creationId xmlns:a16="http://schemas.microsoft.com/office/drawing/2014/main" id="{AFC659D5-8BE8-4AF1-A84C-343CEA15C9C5}"/>
            </a:ext>
          </a:extLst>
        </xdr:cNvPr>
        <xdr:cNvSpPr/>
      </xdr:nvSpPr>
      <xdr:spPr>
        <a:xfrm>
          <a:off x="9577613" y="1149350"/>
          <a:ext cx="50800" cy="722085"/>
        </a:xfrm>
        <a:prstGeom prst="line">
          <a:avLst/>
        </a:prstGeom>
        <a:solidFill>
          <a:srgbClr val="7B1E3C"/>
        </a:solidFill>
        <a:ln w="12700">
          <a:noFill/>
          <a:prstDash val="solid"/>
        </a:ln>
        <a:effec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0</xdr:col>
      <xdr:colOff>25400</xdr:colOff>
      <xdr:row>8</xdr:row>
      <xdr:rowOff>101600</xdr:rowOff>
    </xdr:from>
    <xdr:to>
      <xdr:col>0</xdr:col>
      <xdr:colOff>76200</xdr:colOff>
      <xdr:row>11</xdr:row>
      <xdr:rowOff>129720</xdr:rowOff>
    </xdr:to>
    <xdr:sp macro="" textlink="">
      <xdr:nvSpPr>
        <xdr:cNvPr id="65" name="CardAccent4">
          <a:extLst>
            <a:ext uri="{FF2B5EF4-FFF2-40B4-BE49-F238E27FC236}">
              <a16:creationId xmlns:a16="http://schemas.microsoft.com/office/drawing/2014/main" id="{7F56A437-58E8-47B3-9B50-1AEF67D1036C}"/>
            </a:ext>
          </a:extLst>
        </xdr:cNvPr>
        <xdr:cNvSpPr/>
      </xdr:nvSpPr>
      <xdr:spPr>
        <a:xfrm>
          <a:off x="25400" y="2074636"/>
          <a:ext cx="50800" cy="722084"/>
        </a:xfrm>
        <a:prstGeom prst="line">
          <a:avLst/>
        </a:prstGeom>
        <a:solidFill>
          <a:srgbClr val="C9A227"/>
        </a:solidFill>
        <a:ln w="12700">
          <a:noFill/>
          <a:prstDash val="solid"/>
        </a:ln>
        <a:effec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6</xdr:col>
      <xdr:colOff>25400</xdr:colOff>
      <xdr:row>8</xdr:row>
      <xdr:rowOff>101600</xdr:rowOff>
    </xdr:from>
    <xdr:to>
      <xdr:col>6</xdr:col>
      <xdr:colOff>76200</xdr:colOff>
      <xdr:row>11</xdr:row>
      <xdr:rowOff>129720</xdr:rowOff>
    </xdr:to>
    <xdr:sp macro="" textlink="">
      <xdr:nvSpPr>
        <xdr:cNvPr id="66" name="CardAccent5">
          <a:extLst>
            <a:ext uri="{FF2B5EF4-FFF2-40B4-BE49-F238E27FC236}">
              <a16:creationId xmlns:a16="http://schemas.microsoft.com/office/drawing/2014/main" id="{D3F5185F-18B4-4FE3-909B-47089E97926F}"/>
            </a:ext>
          </a:extLst>
        </xdr:cNvPr>
        <xdr:cNvSpPr/>
      </xdr:nvSpPr>
      <xdr:spPr>
        <a:xfrm>
          <a:off x="3209471" y="2074636"/>
          <a:ext cx="50800" cy="722084"/>
        </a:xfrm>
        <a:prstGeom prst="line">
          <a:avLst/>
        </a:prstGeom>
        <a:solidFill>
          <a:srgbClr val="7B1E3C"/>
        </a:solidFill>
        <a:ln w="12700">
          <a:noFill/>
          <a:prstDash val="solid"/>
        </a:ln>
        <a:effec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12</xdr:col>
      <xdr:colOff>25399</xdr:colOff>
      <xdr:row>8</xdr:row>
      <xdr:rowOff>101600</xdr:rowOff>
    </xdr:from>
    <xdr:to>
      <xdr:col>12</xdr:col>
      <xdr:colOff>76199</xdr:colOff>
      <xdr:row>11</xdr:row>
      <xdr:rowOff>129720</xdr:rowOff>
    </xdr:to>
    <xdr:sp macro="" textlink="">
      <xdr:nvSpPr>
        <xdr:cNvPr id="67" name="CardAccent6">
          <a:extLst>
            <a:ext uri="{FF2B5EF4-FFF2-40B4-BE49-F238E27FC236}">
              <a16:creationId xmlns:a16="http://schemas.microsoft.com/office/drawing/2014/main" id="{E8B2B432-4457-4ABE-87C3-4531029AF3B5}"/>
            </a:ext>
          </a:extLst>
        </xdr:cNvPr>
        <xdr:cNvSpPr/>
      </xdr:nvSpPr>
      <xdr:spPr>
        <a:xfrm>
          <a:off x="6393542" y="2074636"/>
          <a:ext cx="50800" cy="722084"/>
        </a:xfrm>
        <a:prstGeom prst="line">
          <a:avLst/>
        </a:prstGeom>
        <a:solidFill>
          <a:srgbClr val="C9A227"/>
        </a:solidFill>
        <a:ln w="12700">
          <a:noFill/>
          <a:prstDash val="solid"/>
        </a:ln>
        <a:effec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18</xdr:col>
      <xdr:colOff>25399</xdr:colOff>
      <xdr:row>8</xdr:row>
      <xdr:rowOff>101600</xdr:rowOff>
    </xdr:from>
    <xdr:to>
      <xdr:col>18</xdr:col>
      <xdr:colOff>76199</xdr:colOff>
      <xdr:row>11</xdr:row>
      <xdr:rowOff>129720</xdr:rowOff>
    </xdr:to>
    <xdr:sp macro="" textlink="">
      <xdr:nvSpPr>
        <xdr:cNvPr id="68" name="CardAccent7">
          <a:extLst>
            <a:ext uri="{FF2B5EF4-FFF2-40B4-BE49-F238E27FC236}">
              <a16:creationId xmlns:a16="http://schemas.microsoft.com/office/drawing/2014/main" id="{4937A3EA-C30A-4EFB-9232-111EA81B67DB}"/>
            </a:ext>
          </a:extLst>
        </xdr:cNvPr>
        <xdr:cNvSpPr/>
      </xdr:nvSpPr>
      <xdr:spPr>
        <a:xfrm>
          <a:off x="9577613" y="2074636"/>
          <a:ext cx="50800" cy="722084"/>
        </a:xfrm>
        <a:prstGeom prst="line">
          <a:avLst/>
        </a:prstGeom>
        <a:solidFill>
          <a:srgbClr val="7B1E3C"/>
        </a:solidFill>
        <a:ln w="12700">
          <a:noFill/>
          <a:prstDash val="solid"/>
        </a:ln>
        <a:effectLst/>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a:p>
      </xdr:txBody>
    </xdr:sp>
    <xdr:clientData/>
  </xdr:twoCellAnchor>
  <xdr:twoCellAnchor>
    <xdr:from>
      <xdr:col>0</xdr:col>
      <xdr:colOff>136072</xdr:colOff>
      <xdr:row>12</xdr:row>
      <xdr:rowOff>136072</xdr:rowOff>
    </xdr:from>
    <xdr:to>
      <xdr:col>7</xdr:col>
      <xdr:colOff>449036</xdr:colOff>
      <xdr:row>26</xdr:row>
      <xdr:rowOff>21771</xdr:rowOff>
    </xdr:to>
    <xdr:graphicFrame macro="">
      <xdr:nvGraphicFramePr>
        <xdr:cNvPr id="69" name="Chart_funnel">
          <a:extLst>
            <a:ext uri="{FF2B5EF4-FFF2-40B4-BE49-F238E27FC236}">
              <a16:creationId xmlns:a16="http://schemas.microsoft.com/office/drawing/2014/main" id="{A0BE251C-9068-B5FA-E566-EBECD6E6E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JAGLA" refreshedDate="46241.002457060182" createdVersion="8" refreshedVersion="8" minRefreshableVersion="3" recordCount="1000" xr:uid="{866B4A87-0E93-4908-A070-4D41A5BDA98B}">
  <cacheSource type="worksheet">
    <worksheetSource ref="A1:Q1001" sheet="Clean_Leads"/>
  </cacheSource>
  <cacheFields count="17">
    <cacheField name="Lead_ID" numFmtId="0">
      <sharedItems/>
    </cacheField>
    <cacheField name="Created_Date" numFmtId="166">
      <sharedItems containsSemiMixedTypes="0" containsNonDate="0" containsDate="1" containsString="0" minDate="2025-01-02T00:00:00" maxDate="2026-01-01T00:00:00"/>
    </cacheField>
    <cacheField name="Created_Month" numFmtId="166">
      <sharedItems containsSemiMixedTypes="0" containsNonDate="0" containsDate="1" containsString="0" minDate="2025-01-01T00:00:00" maxDate="2025-12-02T00:00:00" count="12">
        <d v="2025-10-01T00:00:00"/>
        <d v="2025-12-01T00:00:00"/>
        <d v="2025-08-01T00:00:00"/>
        <d v="2025-04-01T00:00:00"/>
        <d v="2025-07-01T00:00:00"/>
        <d v="2025-06-01T00:00:00"/>
        <d v="2025-05-01T00:00:00"/>
        <d v="2025-03-01T00:00:00"/>
        <d v="2025-02-01T00:00:00"/>
        <d v="2025-01-01T00:00:00"/>
        <d v="2025-11-01T00:00:00"/>
        <d v="2025-09-01T00:00:00"/>
      </sharedItems>
    </cacheField>
    <cacheField name="Market" numFmtId="0">
      <sharedItems count="5">
        <s v="United Kingdom"/>
        <s v="Czech Republic"/>
        <s v="Netherlands"/>
        <s v="Germany"/>
        <s v="France"/>
      </sharedItems>
    </cacheField>
    <cacheField name="Channel" numFmtId="0">
      <sharedItems count="6">
        <s v="Telesales"/>
        <s v="Partner"/>
        <s v="Direct Sales"/>
        <s v="Digital"/>
        <s v="Referral"/>
        <s v="Unknown"/>
      </sharedItems>
    </cacheField>
    <cacheField name="Product" numFmtId="0">
      <sharedItems/>
    </cacheField>
    <cacheField name="Company_Size" numFmtId="0">
      <sharedItems/>
    </cacheField>
    <cacheField name="Sales_Rep_ID" numFmtId="0">
      <sharedItems count="16">
        <s v="REP004"/>
        <s v="REP012"/>
        <s v="REP008"/>
        <s v="REP006"/>
        <s v="REP001"/>
        <s v="REP005"/>
        <s v="REP009"/>
        <s v="REP015"/>
        <s v="REP007"/>
        <s v="REP002"/>
        <s v="REP003"/>
        <s v="REP011"/>
        <s v="REP013"/>
        <s v="REP014"/>
        <s v="REP010"/>
        <s v="REP999"/>
      </sharedItems>
    </cacheField>
    <cacheField name="Rep_Valid" numFmtId="0">
      <sharedItems/>
    </cacheField>
    <cacheField name="Lead_Status" numFmtId="0">
      <sharedItems count="5">
        <s v="Lost"/>
        <s v="Opportunity"/>
        <s v="Won"/>
        <s v="Qualified"/>
        <s v="New"/>
      </sharedItems>
    </cacheField>
    <cacheField name="Qualified_Flag" numFmtId="0">
      <sharedItems/>
    </cacheField>
    <cacheField name="Qualified_Date" numFmtId="166">
      <sharedItems containsNonDate="0" containsDate="1" containsString="0" containsBlank="1" minDate="2025-01-08T00:00:00" maxDate="2026-01-10T00:00:00"/>
    </cacheField>
    <cacheField name="Opportunity_Date" numFmtId="166">
      <sharedItems containsNonDate="0" containsDate="1" containsString="0" containsBlank="1" minDate="2025-01-14T00:00:00" maxDate="2026-01-19T00:00:00"/>
    </cacheField>
    <cacheField name="Won_Date" numFmtId="166">
      <sharedItems containsNonDate="0" containsDate="1" containsString="0" containsBlank="1" minDate="2025-01-27T00:00:00" maxDate="2026-01-30T00:00:00"/>
    </cacheField>
    <cacheField name="Lost_Date" numFmtId="166">
      <sharedItems containsNonDate="0" containsDate="1" containsString="0" containsBlank="1" minDate="2025-01-12T00:00:00" maxDate="2026-01-23T00:00:00"/>
    </cacheField>
    <cacheField name="Won_Duration_Valid" numFmtId="0">
      <sharedItems/>
    </cacheField>
    <cacheField name="Expected_Monthly_Revenue_EUR" numFmtId="4">
      <sharedItems containsSemiMixedTypes="0" containsString="0" containsNumber="1" minValue="371.3" maxValue="11322.73"/>
    </cacheField>
  </cacheFields>
  <extLst>
    <ext xmlns:x14="http://schemas.microsoft.com/office/spreadsheetml/2009/9/main" uri="{725AE2AE-9491-48be-B2B4-4EB974FC3084}">
      <x14:pivotCacheDefinition pivotCacheId="1704357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JAGLA" refreshedDate="46241.002510648148" createdVersion="8" refreshedVersion="8" minRefreshableVersion="3" recordCount="220" xr:uid="{180424A9-B8C5-43B8-B6F3-9B304C37ABDB}">
  <cacheSource type="worksheet">
    <worksheetSource ref="A1:Q221" sheet="Clean_Customers"/>
  </cacheSource>
  <cacheFields count="17">
    <cacheField name="Customer_ID" numFmtId="0">
      <sharedItems/>
    </cacheField>
    <cacheField name="Lead_ID" numFmtId="0">
      <sharedItems/>
    </cacheField>
    <cacheField name="Lead_Match_Valid" numFmtId="0">
      <sharedItems/>
    </cacheField>
    <cacheField name="Won_Date" numFmtId="166">
      <sharedItems containsSemiMixedTypes="0" containsNonDate="0" containsDate="1" containsString="0" minDate="2025-01-27T00:00:00" maxDate="2026-01-30T00:00:00"/>
    </cacheField>
    <cacheField name="Activation_Date" numFmtId="166">
      <sharedItems containsNonDate="0" containsDate="1" containsString="0" containsBlank="1" minDate="2025-02-02T00:00:00" maxDate="2026-04-01T00:00:00"/>
    </cacheField>
    <cacheField name="Activation_Duration_Valid" numFmtId="0">
      <sharedItems/>
    </cacheField>
    <cacheField name="Activated_Flag" numFmtId="0">
      <sharedItems/>
    </cacheField>
    <cacheField name="Market" numFmtId="0">
      <sharedItems count="5">
        <s v="United Kingdom"/>
        <s v="Netherlands"/>
        <s v="France"/>
        <s v="Germany"/>
        <s v="Czech Republic"/>
      </sharedItems>
    </cacheField>
    <cacheField name="Product" numFmtId="0">
      <sharedItems/>
    </cacheField>
    <cacheField name="Channel" numFmtId="0">
      <sharedItems/>
    </cacheField>
    <cacheField name="Sales_Rep_ID" numFmtId="0">
      <sharedItems/>
    </cacheField>
    <cacheField name="Customer_Segment" numFmtId="0">
      <sharedItems count="4">
        <s v="Enterprise"/>
        <s v="SME"/>
        <s v="Mid-Market"/>
        <s v="Unclassified"/>
      </sharedItems>
    </cacheField>
    <cacheField name="Customer_Status" numFmtId="0">
      <sharedItems/>
    </cacheField>
    <cacheField name="Customer_Status_Clean" numFmtId="0">
      <sharedItems count="4">
        <s v="Active"/>
        <s v="Churned"/>
        <s v="Not Activated"/>
        <s v="Not Activated (data issue)"/>
      </sharedItems>
    </cacheField>
    <cacheField name="Churn_Date" numFmtId="166">
      <sharedItems containsNonDate="0" containsDate="1" containsString="0" containsBlank="1" minDate="2025-08-17T00:00:00" maxDate="2025-11-28T00:00:00"/>
    </cacheField>
    <cacheField name="Expected_Monthly_Revenue_EUR" numFmtId="4">
      <sharedItems containsSemiMixedTypes="0" containsString="0" containsNumber="1" minValue="372.79" maxValue="10631.28"/>
    </cacheField>
    <cacheField name="Days_To_Activation" numFmtId="0">
      <sharedItems containsMixedTypes="1" containsNumber="1" containsInteger="1" minValue="2" maxValue="66"/>
    </cacheField>
  </cacheFields>
  <extLst>
    <ext xmlns:x14="http://schemas.microsoft.com/office/spreadsheetml/2009/9/main" uri="{725AE2AE-9491-48be-B2B4-4EB974FC3084}">
      <x14:pivotCacheDefinition pivotCacheId="64701776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JAGLA" refreshedDate="46241.002534722225" createdVersion="8" refreshedVersion="8" minRefreshableVersion="3" recordCount="1609" xr:uid="{7602F033-8CF3-4799-B4F2-C702C0A5A812}">
  <cacheSource type="worksheet">
    <worksheetSource ref="A1:P1610" sheet="Clean_Transactions"/>
  </cacheSource>
  <cacheFields count="16">
    <cacheField name="Transaction_ID" numFmtId="0">
      <sharedItems/>
    </cacheField>
    <cacheField name="Customer_ID" numFmtId="0">
      <sharedItems/>
    </cacheField>
    <cacheField name="Customer_Match_Valid" numFmtId="0">
      <sharedItems/>
    </cacheField>
    <cacheField name="Transaction_Date" numFmtId="166">
      <sharedItems containsSemiMixedTypes="0" containsNonDate="0" containsDate="1" containsString="0" minDate="2025-02-05T00:00:00" maxDate="2026-01-01T00:00:00"/>
    </cacheField>
    <cacheField name="Transaction_Month" numFmtId="166">
      <sharedItems containsSemiMixedTypes="0" containsNonDate="0" containsDate="1" containsString="0" minDate="2025-02-01T00:00:00" maxDate="2025-12-02T00:00:00" count="11">
        <d v="2025-08-01T00:00:00"/>
        <d v="2025-09-01T00:00:00"/>
        <d v="2025-10-01T00:00:00"/>
        <d v="2025-11-01T00:00:00"/>
        <d v="2025-12-01T00:00:00"/>
        <d v="2025-04-01T00:00:00"/>
        <d v="2025-05-01T00:00:00"/>
        <d v="2025-06-01T00:00:00"/>
        <d v="2025-07-01T00:00:00"/>
        <d v="2025-02-01T00:00:00"/>
        <d v="2025-03-01T00:00:00"/>
      </sharedItems>
    </cacheField>
    <cacheField name="Transaction_Type" numFmtId="0">
      <sharedItems/>
    </cacheField>
    <cacheField name="Gross_Value_EUR" numFmtId="4">
      <sharedItems containsString="0" containsBlank="1" containsNumber="1" minValue="1231.8699999999999" maxValue="62725.96"/>
    </cacheField>
    <cacheField name="Revenue_EUR" numFmtId="4">
      <sharedItems containsSemiMixedTypes="0" containsString="0" containsNumber="1" minValue="-288.02" maxValue="1995.22"/>
    </cacheField>
    <cacheField name="Revenue_Valid" numFmtId="0">
      <sharedItems/>
    </cacheField>
    <cacheField name="Transaction_Status" numFmtId="0">
      <sharedItems/>
    </cacheField>
    <cacheField name="Revenue_Usable" numFmtId="4">
      <sharedItems containsSemiMixedTypes="0" containsString="0" containsNumber="1" minValue="0" maxValue="1995.22"/>
    </cacheField>
    <cacheField name="Market" numFmtId="0">
      <sharedItems count="5">
        <s v="Netherlands"/>
        <s v="France"/>
        <s v="United Kingdom"/>
        <s v="Germany"/>
        <s v="Czech Republic"/>
      </sharedItems>
    </cacheField>
    <cacheField name="Rep_ID_via_Customer" numFmtId="0">
      <sharedItems/>
    </cacheField>
    <cacheField name="Channel_via_Customer" numFmtId="0">
      <sharedItems count="6">
        <s v="Referral"/>
        <s v="Partner"/>
        <s v="Direct Sales"/>
        <s v="Unmatched"/>
        <s v="Telesales"/>
        <s v="Digital"/>
      </sharedItems>
    </cacheField>
    <cacheField name="Product_via_Customer" numFmtId="0">
      <sharedItems/>
    </cacheField>
    <cacheField name="Segment_via_Customer" numFmtId="0">
      <sharedItems/>
    </cacheField>
  </cacheFields>
  <extLst>
    <ext xmlns:x14="http://schemas.microsoft.com/office/spreadsheetml/2009/9/main" uri="{725AE2AE-9491-48be-B2B4-4EB974FC3084}">
      <x14:pivotCacheDefinition pivotCacheId="1652690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EAD00001"/>
    <d v="2025-10-06T00:00:00"/>
    <x v="0"/>
    <x v="0"/>
    <x v="0"/>
    <s v="Fuel Card"/>
    <s v="Enterprise"/>
    <x v="0"/>
    <b v="1"/>
    <x v="0"/>
    <s v="Yes"/>
    <d v="2025-10-11T00:00:00"/>
    <d v="2025-10-14T00:00:00"/>
    <m/>
    <d v="2025-11-06T00:00:00"/>
    <b v="1"/>
    <n v="10091.73"/>
  </r>
  <r>
    <s v="LEAD00002"/>
    <d v="2025-12-08T00:00:00"/>
    <x v="1"/>
    <x v="1"/>
    <x v="1"/>
    <s v="Toll Solution"/>
    <s v="SME"/>
    <x v="1"/>
    <b v="1"/>
    <x v="1"/>
    <s v="Yes"/>
    <d v="2025-12-14T00:00:00"/>
    <d v="2025-12-29T00:00:00"/>
    <m/>
    <m/>
    <b v="1"/>
    <n v="702.99"/>
  </r>
  <r>
    <s v="LEAD00003"/>
    <d v="2025-10-30T00:00:00"/>
    <x v="0"/>
    <x v="2"/>
    <x v="0"/>
    <s v="Fleet Expense Card"/>
    <s v="Mid-Market"/>
    <x v="2"/>
    <b v="1"/>
    <x v="0"/>
    <s v="No"/>
    <m/>
    <m/>
    <m/>
    <d v="2025-11-02T00:00:00"/>
    <b v="1"/>
    <n v="2285.31"/>
  </r>
  <r>
    <s v="LEAD00004"/>
    <d v="2025-08-23T00:00:00"/>
    <x v="2"/>
    <x v="0"/>
    <x v="1"/>
    <s v="Toll Solution"/>
    <s v="Enterprise"/>
    <x v="3"/>
    <b v="1"/>
    <x v="0"/>
    <s v="Yes"/>
    <d v="2025-09-02T00:00:00"/>
    <d v="2025-09-15T00:00:00"/>
    <m/>
    <d v="2025-09-20T00:00:00"/>
    <b v="1"/>
    <n v="5065.21"/>
  </r>
  <r>
    <s v="LEAD00005"/>
    <d v="2025-10-16T00:00:00"/>
    <x v="0"/>
    <x v="3"/>
    <x v="2"/>
    <s v="Fleet Expense Card"/>
    <s v="SME"/>
    <x v="4"/>
    <b v="1"/>
    <x v="0"/>
    <s v="No"/>
    <m/>
    <m/>
    <m/>
    <d v="2025-11-02T00:00:00"/>
    <b v="1"/>
    <n v="669.1"/>
  </r>
  <r>
    <s v="LEAD00006"/>
    <d v="2025-04-01T00:00:00"/>
    <x v="3"/>
    <x v="0"/>
    <x v="2"/>
    <s v="Fuel Card"/>
    <s v="SME"/>
    <x v="0"/>
    <b v="1"/>
    <x v="0"/>
    <s v="Yes"/>
    <d v="2025-04-05T00:00:00"/>
    <d v="2025-04-06T00:00:00"/>
    <m/>
    <d v="2025-04-18T00:00:00"/>
    <b v="1"/>
    <n v="784.3"/>
  </r>
  <r>
    <s v="LEAD00007"/>
    <d v="2025-07-11T00:00:00"/>
    <x v="4"/>
    <x v="0"/>
    <x v="3"/>
    <s v="Toll Solution"/>
    <s v="Enterprise"/>
    <x v="5"/>
    <b v="1"/>
    <x v="0"/>
    <s v="Yes"/>
    <d v="2025-07-12T00:00:00"/>
    <d v="2025-07-20T00:00:00"/>
    <m/>
    <d v="2025-08-03T00:00:00"/>
    <b v="1"/>
    <n v="5511.46"/>
  </r>
  <r>
    <s v="LEAD00008"/>
    <d v="2025-06-18T00:00:00"/>
    <x v="5"/>
    <x v="3"/>
    <x v="0"/>
    <s v="Fuel Card"/>
    <s v="Mid-Market"/>
    <x v="4"/>
    <b v="1"/>
    <x v="0"/>
    <s v="Yes"/>
    <d v="2025-06-21T00:00:00"/>
    <d v="2025-06-29T00:00:00"/>
    <m/>
    <d v="2025-07-18T00:00:00"/>
    <b v="1"/>
    <n v="2834.62"/>
  </r>
  <r>
    <s v="LEAD00009"/>
    <d v="2025-05-06T00:00:00"/>
    <x v="6"/>
    <x v="0"/>
    <x v="0"/>
    <s v="Toll Solution"/>
    <s v="SME"/>
    <x v="0"/>
    <b v="1"/>
    <x v="0"/>
    <s v="No"/>
    <m/>
    <m/>
    <m/>
    <d v="2025-05-17T00:00:00"/>
    <b v="1"/>
    <n v="488.24"/>
  </r>
  <r>
    <s v="LEAD00010"/>
    <d v="2025-12-09T00:00:00"/>
    <x v="1"/>
    <x v="0"/>
    <x v="4"/>
    <s v="Toll Solution"/>
    <s v="Enterprise"/>
    <x v="3"/>
    <b v="1"/>
    <x v="2"/>
    <s v="Yes"/>
    <d v="2025-12-13T00:00:00"/>
    <d v="2025-12-16T00:00:00"/>
    <d v="2026-01-01T00:00:00"/>
    <m/>
    <b v="1"/>
    <n v="6898.05"/>
  </r>
  <r>
    <s v="LEAD00011"/>
    <d v="2025-07-20T00:00:00"/>
    <x v="4"/>
    <x v="0"/>
    <x v="3"/>
    <s v="Toll Solution"/>
    <s v="SME"/>
    <x v="3"/>
    <b v="1"/>
    <x v="0"/>
    <s v="Yes"/>
    <d v="2025-07-30T00:00:00"/>
    <m/>
    <m/>
    <d v="2025-08-24T00:00:00"/>
    <b v="1"/>
    <n v="696.21"/>
  </r>
  <r>
    <s v="LEAD00012"/>
    <d v="2025-05-30T00:00:00"/>
    <x v="6"/>
    <x v="2"/>
    <x v="4"/>
    <s v="Fuel Card"/>
    <s v="SME"/>
    <x v="6"/>
    <b v="1"/>
    <x v="2"/>
    <s v="Yes"/>
    <d v="2025-06-09T00:00:00"/>
    <d v="2025-06-23T00:00:00"/>
    <d v="2025-07-04T00:00:00"/>
    <m/>
    <b v="1"/>
    <n v="732.38"/>
  </r>
  <r>
    <s v="LEAD00013"/>
    <d v="2025-12-22T00:00:00"/>
    <x v="1"/>
    <x v="2"/>
    <x v="2"/>
    <s v="Fuel Card"/>
    <s v="Mid-Market"/>
    <x v="2"/>
    <b v="1"/>
    <x v="1"/>
    <s v="Yes"/>
    <d v="2025-12-25T00:00:00"/>
    <d v="2026-01-06T00:00:00"/>
    <m/>
    <m/>
    <b v="1"/>
    <n v="3026.95"/>
  </r>
  <r>
    <s v="LEAD00014"/>
    <d v="2025-12-17T00:00:00"/>
    <x v="1"/>
    <x v="4"/>
    <x v="0"/>
    <s v="Toll Solution"/>
    <s v="Enterprise"/>
    <x v="7"/>
    <b v="1"/>
    <x v="3"/>
    <s v="Yes"/>
    <d v="2025-12-25T00:00:00"/>
    <m/>
    <m/>
    <m/>
    <b v="1"/>
    <n v="4150.6899999999996"/>
  </r>
  <r>
    <s v="LEAD00015"/>
    <d v="2025-03-03T00:00:00"/>
    <x v="7"/>
    <x v="4"/>
    <x v="1"/>
    <s v="Toll Solution"/>
    <s v="Mid-Market"/>
    <x v="7"/>
    <b v="1"/>
    <x v="2"/>
    <s v="Yes"/>
    <d v="2025-03-06T00:00:00"/>
    <d v="2025-03-15T00:00:00"/>
    <d v="2025-04-12T00:00:00"/>
    <m/>
    <b v="1"/>
    <n v="1713.23"/>
  </r>
  <r>
    <s v="LEAD00016"/>
    <d v="2025-05-02T00:00:00"/>
    <x v="6"/>
    <x v="0"/>
    <x v="2"/>
    <s v="Fuel Card"/>
    <s v="Mid-Market"/>
    <x v="0"/>
    <b v="1"/>
    <x v="2"/>
    <s v="Yes"/>
    <d v="2025-05-06T00:00:00"/>
    <d v="2025-05-14T00:00:00"/>
    <d v="2025-06-13T00:00:00"/>
    <m/>
    <b v="1"/>
    <n v="2249.42"/>
  </r>
  <r>
    <s v="LEAD00017"/>
    <d v="2025-10-08T00:00:00"/>
    <x v="0"/>
    <x v="2"/>
    <x v="3"/>
    <s v="Fuel Card"/>
    <s v="SME"/>
    <x v="8"/>
    <b v="1"/>
    <x v="0"/>
    <s v="No"/>
    <m/>
    <m/>
    <m/>
    <d v="2025-10-10T00:00:00"/>
    <b v="1"/>
    <n v="758"/>
  </r>
  <r>
    <s v="LEAD00018"/>
    <d v="2025-07-26T00:00:00"/>
    <x v="4"/>
    <x v="0"/>
    <x v="0"/>
    <s v="Fleet Expense Card"/>
    <s v="SME"/>
    <x v="5"/>
    <b v="1"/>
    <x v="0"/>
    <s v="No"/>
    <m/>
    <m/>
    <m/>
    <d v="2025-08-05T00:00:00"/>
    <b v="1"/>
    <n v="606.03"/>
  </r>
  <r>
    <s v="LEAD00019"/>
    <d v="2025-07-05T00:00:00"/>
    <x v="4"/>
    <x v="0"/>
    <x v="2"/>
    <s v="EV Charge Card"/>
    <s v="SME"/>
    <x v="3"/>
    <b v="1"/>
    <x v="0"/>
    <s v="Yes"/>
    <d v="2025-07-13T00:00:00"/>
    <d v="2025-07-25T00:00:00"/>
    <m/>
    <d v="2025-07-30T00:00:00"/>
    <b v="1"/>
    <n v="697.01"/>
  </r>
  <r>
    <s v="LEAD00020"/>
    <d v="2025-07-05T00:00:00"/>
    <x v="4"/>
    <x v="0"/>
    <x v="1"/>
    <s v="Fuel Card"/>
    <s v="SME"/>
    <x v="5"/>
    <b v="1"/>
    <x v="0"/>
    <s v="Yes"/>
    <d v="2025-07-11T00:00:00"/>
    <d v="2025-07-23T00:00:00"/>
    <m/>
    <d v="2025-08-07T00:00:00"/>
    <b v="1"/>
    <n v="1032.97"/>
  </r>
  <r>
    <s v="LEAD00021"/>
    <d v="2025-12-20T00:00:00"/>
    <x v="1"/>
    <x v="3"/>
    <x v="1"/>
    <s v="Fuel Card"/>
    <s v="Enterprise"/>
    <x v="9"/>
    <b v="1"/>
    <x v="4"/>
    <s v="No"/>
    <m/>
    <m/>
    <m/>
    <m/>
    <b v="1"/>
    <n v="8553.35"/>
  </r>
  <r>
    <s v="LEAD00022"/>
    <d v="2025-03-31T00:00:00"/>
    <x v="7"/>
    <x v="3"/>
    <x v="1"/>
    <s v="Fuel Card"/>
    <s v="Mid-Market"/>
    <x v="10"/>
    <b v="1"/>
    <x v="0"/>
    <s v="No"/>
    <m/>
    <m/>
    <m/>
    <d v="2025-04-20T00:00:00"/>
    <b v="1"/>
    <n v="2924.3"/>
  </r>
  <r>
    <s v="LEAD00023"/>
    <d v="2025-02-03T00:00:00"/>
    <x v="8"/>
    <x v="0"/>
    <x v="2"/>
    <s v="EV Charge Card"/>
    <s v="Mid-Market"/>
    <x v="0"/>
    <b v="1"/>
    <x v="0"/>
    <s v="Yes"/>
    <d v="2025-02-13T00:00:00"/>
    <d v="2025-02-25T00:00:00"/>
    <m/>
    <d v="2025-03-08T00:00:00"/>
    <b v="1"/>
    <n v="1869.87"/>
  </r>
  <r>
    <s v="LEAD00024"/>
    <d v="2025-02-06T00:00:00"/>
    <x v="8"/>
    <x v="2"/>
    <x v="3"/>
    <s v="Fuel Card"/>
    <s v="SME"/>
    <x v="6"/>
    <b v="1"/>
    <x v="0"/>
    <s v="Yes"/>
    <d v="2025-02-11T00:00:00"/>
    <d v="2025-02-15T00:00:00"/>
    <m/>
    <d v="2025-03-20T00:00:00"/>
    <b v="1"/>
    <n v="902.15"/>
  </r>
  <r>
    <s v="LEAD00025"/>
    <d v="2025-12-31T00:00:00"/>
    <x v="1"/>
    <x v="0"/>
    <x v="2"/>
    <s v="EV Charge Card"/>
    <s v="SME"/>
    <x v="3"/>
    <b v="1"/>
    <x v="2"/>
    <s v="Yes"/>
    <d v="2026-01-03T00:00:00"/>
    <d v="2026-01-05T00:00:00"/>
    <d v="2026-01-21T00:00:00"/>
    <m/>
    <b v="1"/>
    <n v="670.98"/>
  </r>
  <r>
    <s v="LEAD00026"/>
    <d v="2025-08-07T00:00:00"/>
    <x v="2"/>
    <x v="4"/>
    <x v="3"/>
    <s v="Toll Solution"/>
    <s v="SME"/>
    <x v="7"/>
    <b v="1"/>
    <x v="0"/>
    <s v="No"/>
    <m/>
    <m/>
    <m/>
    <d v="2025-08-20T00:00:00"/>
    <b v="1"/>
    <n v="668.86"/>
  </r>
  <r>
    <s v="LEAD00027"/>
    <d v="2025-01-10T00:00:00"/>
    <x v="9"/>
    <x v="0"/>
    <x v="3"/>
    <s v="EV Charge Card"/>
    <s v="Mid-Market"/>
    <x v="0"/>
    <b v="1"/>
    <x v="0"/>
    <s v="Yes"/>
    <d v="2025-01-13T00:00:00"/>
    <d v="2025-01-14T00:00:00"/>
    <m/>
    <d v="2025-01-20T00:00:00"/>
    <b v="1"/>
    <n v="1973.56"/>
  </r>
  <r>
    <s v="LEAD00028"/>
    <d v="2025-12-17T00:00:00"/>
    <x v="1"/>
    <x v="2"/>
    <x v="2"/>
    <s v="Fuel Card"/>
    <s v="Mid-Market"/>
    <x v="2"/>
    <b v="1"/>
    <x v="3"/>
    <s v="Yes"/>
    <d v="2025-12-19T00:00:00"/>
    <m/>
    <m/>
    <m/>
    <b v="1"/>
    <n v="3492.52"/>
  </r>
  <r>
    <s v="LEAD00029"/>
    <d v="2025-11-02T00:00:00"/>
    <x v="10"/>
    <x v="0"/>
    <x v="1"/>
    <s v="Toll Solution"/>
    <s v="SME"/>
    <x v="0"/>
    <b v="1"/>
    <x v="0"/>
    <s v="Yes"/>
    <d v="2025-11-07T00:00:00"/>
    <d v="2025-11-12T00:00:00"/>
    <m/>
    <d v="2025-12-07T00:00:00"/>
    <b v="1"/>
    <n v="642.32000000000005"/>
  </r>
  <r>
    <s v="LEAD00030"/>
    <d v="2025-12-02T00:00:00"/>
    <x v="1"/>
    <x v="1"/>
    <x v="3"/>
    <s v="Fuel Card"/>
    <s v="SME"/>
    <x v="11"/>
    <b v="1"/>
    <x v="3"/>
    <s v="Yes"/>
    <d v="2025-12-09T00:00:00"/>
    <m/>
    <m/>
    <m/>
    <b v="1"/>
    <n v="1099.29"/>
  </r>
  <r>
    <s v="LEAD00031"/>
    <d v="2025-09-29T00:00:00"/>
    <x v="11"/>
    <x v="3"/>
    <x v="1"/>
    <s v="Fuel Card"/>
    <s v="SME"/>
    <x v="4"/>
    <b v="1"/>
    <x v="0"/>
    <s v="No"/>
    <m/>
    <m/>
    <m/>
    <d v="2025-10-18T00:00:00"/>
    <b v="1"/>
    <n v="911.88"/>
  </r>
  <r>
    <s v="LEAD00032"/>
    <d v="2025-12-08T00:00:00"/>
    <x v="1"/>
    <x v="3"/>
    <x v="3"/>
    <s v="Toll Solution"/>
    <s v="Mid-Market"/>
    <x v="9"/>
    <b v="1"/>
    <x v="1"/>
    <s v="Yes"/>
    <d v="2025-12-18T00:00:00"/>
    <d v="2026-01-01T00:00:00"/>
    <m/>
    <m/>
    <b v="1"/>
    <n v="1958.18"/>
  </r>
  <r>
    <s v="LEAD00033"/>
    <d v="2025-11-24T00:00:00"/>
    <x v="10"/>
    <x v="0"/>
    <x v="2"/>
    <s v="Fuel Card"/>
    <s v="SME"/>
    <x v="3"/>
    <b v="1"/>
    <x v="2"/>
    <s v="Yes"/>
    <d v="2025-12-04T00:00:00"/>
    <d v="2025-12-05T00:00:00"/>
    <d v="2025-12-13T00:00:00"/>
    <m/>
    <b v="1"/>
    <n v="725.29"/>
  </r>
  <r>
    <s v="LEAD00034"/>
    <d v="2025-08-13T00:00:00"/>
    <x v="2"/>
    <x v="1"/>
    <x v="2"/>
    <s v="Fuel Card"/>
    <s v="Mid-Market"/>
    <x v="11"/>
    <b v="1"/>
    <x v="0"/>
    <s v="Yes"/>
    <d v="2025-08-15T00:00:00"/>
    <d v="2025-08-29T00:00:00"/>
    <m/>
    <d v="2025-10-03T00:00:00"/>
    <b v="1"/>
    <n v="2842.9"/>
  </r>
  <r>
    <s v="LEAD00035"/>
    <d v="2025-01-12T00:00:00"/>
    <x v="9"/>
    <x v="4"/>
    <x v="1"/>
    <s v="Fuel Card"/>
    <s v="SME"/>
    <x v="12"/>
    <b v="1"/>
    <x v="2"/>
    <s v="Yes"/>
    <d v="2025-01-17T00:00:00"/>
    <d v="2025-01-24T00:00:00"/>
    <d v="2025-02-12T00:00:00"/>
    <m/>
    <b v="1"/>
    <n v="1113.1099999999999"/>
  </r>
  <r>
    <s v="LEAD00036"/>
    <d v="2025-02-27T00:00:00"/>
    <x v="8"/>
    <x v="4"/>
    <x v="1"/>
    <s v="Fleet Expense Card"/>
    <s v="SME"/>
    <x v="12"/>
    <b v="1"/>
    <x v="0"/>
    <s v="Yes"/>
    <d v="2025-03-04T00:00:00"/>
    <d v="2025-03-18T00:00:00"/>
    <m/>
    <d v="2025-03-25T00:00:00"/>
    <b v="1"/>
    <n v="613.5"/>
  </r>
  <r>
    <s v="LEAD00037"/>
    <d v="2025-12-01T00:00:00"/>
    <x v="1"/>
    <x v="4"/>
    <x v="2"/>
    <s v="Toll Solution"/>
    <s v="Mid-Market"/>
    <x v="13"/>
    <b v="1"/>
    <x v="1"/>
    <s v="Yes"/>
    <d v="2025-12-02T00:00:00"/>
    <d v="2025-12-10T00:00:00"/>
    <m/>
    <m/>
    <b v="1"/>
    <n v="1617.27"/>
  </r>
  <r>
    <s v="LEAD00038"/>
    <d v="2025-02-14T00:00:00"/>
    <x v="8"/>
    <x v="2"/>
    <x v="4"/>
    <s v="Fuel Card"/>
    <s v="Mid-Market"/>
    <x v="6"/>
    <b v="1"/>
    <x v="2"/>
    <s v="Yes"/>
    <d v="2025-02-22T00:00:00"/>
    <d v="2025-02-26T00:00:00"/>
    <d v="2025-03-01T00:00:00"/>
    <m/>
    <b v="1"/>
    <n v="3476.46"/>
  </r>
  <r>
    <s v="LEAD00039"/>
    <d v="2025-08-19T00:00:00"/>
    <x v="2"/>
    <x v="2"/>
    <x v="1"/>
    <s v="Fuel Card"/>
    <s v="SME"/>
    <x v="6"/>
    <b v="1"/>
    <x v="0"/>
    <s v="No"/>
    <m/>
    <m/>
    <m/>
    <d v="2025-08-22T00:00:00"/>
    <b v="1"/>
    <n v="618.24"/>
  </r>
  <r>
    <s v="LEAD00040"/>
    <d v="2025-02-17T00:00:00"/>
    <x v="8"/>
    <x v="3"/>
    <x v="1"/>
    <s v="Toll Solution"/>
    <s v="Mid-Market"/>
    <x v="9"/>
    <b v="1"/>
    <x v="0"/>
    <s v="Yes"/>
    <d v="2025-02-18T00:00:00"/>
    <d v="2025-03-04T00:00:00"/>
    <m/>
    <d v="2025-03-13T00:00:00"/>
    <b v="1"/>
    <n v="1760.69"/>
  </r>
  <r>
    <s v="LEAD00041"/>
    <d v="2025-02-26T00:00:00"/>
    <x v="8"/>
    <x v="0"/>
    <x v="4"/>
    <s v="EV Charge Card"/>
    <s v="Enterprise"/>
    <x v="3"/>
    <b v="1"/>
    <x v="2"/>
    <s v="Yes"/>
    <d v="2025-03-04T00:00:00"/>
    <d v="2025-03-16T00:00:00"/>
    <d v="2025-03-25T00:00:00"/>
    <m/>
    <b v="1"/>
    <n v="5529.48"/>
  </r>
  <r>
    <s v="LEAD00042"/>
    <d v="2025-11-03T00:00:00"/>
    <x v="10"/>
    <x v="1"/>
    <x v="1"/>
    <s v="Fleet Expense Card"/>
    <s v="SME"/>
    <x v="1"/>
    <b v="1"/>
    <x v="0"/>
    <s v="Yes"/>
    <d v="2025-11-09T00:00:00"/>
    <d v="2025-11-10T00:00:00"/>
    <m/>
    <d v="2025-11-29T00:00:00"/>
    <b v="1"/>
    <n v="900.45"/>
  </r>
  <r>
    <s v="LEAD00043"/>
    <d v="2025-02-17T00:00:00"/>
    <x v="8"/>
    <x v="3"/>
    <x v="3"/>
    <s v="Toll Solution"/>
    <s v="SME"/>
    <x v="4"/>
    <b v="1"/>
    <x v="0"/>
    <s v="No"/>
    <m/>
    <m/>
    <m/>
    <d v="2025-02-21T00:00:00"/>
    <b v="1"/>
    <n v="507.65"/>
  </r>
  <r>
    <s v="LEAD00044"/>
    <d v="2025-08-17T00:00:00"/>
    <x v="2"/>
    <x v="3"/>
    <x v="1"/>
    <s v="Fuel Card"/>
    <s v="SME"/>
    <x v="9"/>
    <b v="1"/>
    <x v="0"/>
    <s v="Yes"/>
    <d v="2025-08-27T00:00:00"/>
    <d v="2025-09-05T00:00:00"/>
    <m/>
    <d v="2025-10-05T00:00:00"/>
    <b v="1"/>
    <n v="784.45"/>
  </r>
  <r>
    <s v="LEAD00045"/>
    <d v="2025-01-08T00:00:00"/>
    <x v="9"/>
    <x v="0"/>
    <x v="0"/>
    <s v="Toll Solution"/>
    <s v="SME"/>
    <x v="0"/>
    <b v="1"/>
    <x v="0"/>
    <s v="Yes"/>
    <d v="2025-01-14T00:00:00"/>
    <m/>
    <m/>
    <d v="2025-01-21T00:00:00"/>
    <b v="1"/>
    <n v="423.81"/>
  </r>
  <r>
    <s v="LEAD00046"/>
    <d v="2025-09-14T00:00:00"/>
    <x v="11"/>
    <x v="0"/>
    <x v="2"/>
    <s v="Fuel Card"/>
    <s v="SME"/>
    <x v="0"/>
    <b v="1"/>
    <x v="2"/>
    <s v="Yes"/>
    <d v="2025-09-17T00:00:00"/>
    <d v="2025-10-02T00:00:00"/>
    <d v="2025-10-22T00:00:00"/>
    <m/>
    <b v="1"/>
    <n v="823.17"/>
  </r>
  <r>
    <s v="LEAD00047"/>
    <d v="2025-06-06T00:00:00"/>
    <x v="5"/>
    <x v="3"/>
    <x v="3"/>
    <s v="Fuel Card"/>
    <s v="SME"/>
    <x v="10"/>
    <b v="1"/>
    <x v="0"/>
    <s v="Yes"/>
    <d v="2025-06-09T00:00:00"/>
    <m/>
    <m/>
    <d v="2025-06-29T00:00:00"/>
    <b v="1"/>
    <n v="881.41"/>
  </r>
  <r>
    <s v="LEAD00048"/>
    <d v="2025-08-16T00:00:00"/>
    <x v="2"/>
    <x v="3"/>
    <x v="2"/>
    <s v="Fuel Card"/>
    <s v="SME"/>
    <x v="10"/>
    <b v="1"/>
    <x v="0"/>
    <s v="Yes"/>
    <d v="2025-08-22T00:00:00"/>
    <d v="2025-09-02T00:00:00"/>
    <m/>
    <d v="2025-09-13T00:00:00"/>
    <b v="1"/>
    <n v="589.09"/>
  </r>
  <r>
    <s v="LEAD00049"/>
    <d v="2025-08-17T00:00:00"/>
    <x v="2"/>
    <x v="3"/>
    <x v="4"/>
    <s v="Toll Solution"/>
    <s v="SME"/>
    <x v="9"/>
    <b v="1"/>
    <x v="2"/>
    <s v="Yes"/>
    <d v="2025-08-27T00:00:00"/>
    <d v="2025-08-30T00:00:00"/>
    <d v="2025-09-23T00:00:00"/>
    <m/>
    <b v="1"/>
    <n v="682.3"/>
  </r>
  <r>
    <s v="LEAD00050"/>
    <d v="2025-01-11T00:00:00"/>
    <x v="9"/>
    <x v="4"/>
    <x v="3"/>
    <s v="EV Charge Card"/>
    <s v="SME"/>
    <x v="7"/>
    <b v="1"/>
    <x v="0"/>
    <s v="Yes"/>
    <d v="2025-01-12T00:00:00"/>
    <d v="2025-01-15T00:00:00"/>
    <m/>
    <d v="2025-02-18T00:00:00"/>
    <b v="1"/>
    <n v="631.30999999999995"/>
  </r>
  <r>
    <s v="LEAD00051"/>
    <d v="2025-03-16T00:00:00"/>
    <x v="7"/>
    <x v="3"/>
    <x v="3"/>
    <s v="EV Charge Card"/>
    <s v="SME"/>
    <x v="4"/>
    <b v="1"/>
    <x v="0"/>
    <s v="No"/>
    <m/>
    <m/>
    <m/>
    <d v="2025-03-23T00:00:00"/>
    <b v="1"/>
    <n v="827.95"/>
  </r>
  <r>
    <s v="LEAD00052"/>
    <d v="2025-12-09T00:00:00"/>
    <x v="1"/>
    <x v="0"/>
    <x v="3"/>
    <s v="Fuel Card"/>
    <s v="SME"/>
    <x v="3"/>
    <b v="1"/>
    <x v="4"/>
    <s v="No"/>
    <m/>
    <m/>
    <m/>
    <m/>
    <b v="1"/>
    <n v="599.71"/>
  </r>
  <r>
    <s v="LEAD00053"/>
    <d v="2025-10-25T00:00:00"/>
    <x v="0"/>
    <x v="3"/>
    <x v="3"/>
    <s v="EV Charge Card"/>
    <s v="SME"/>
    <x v="9"/>
    <b v="1"/>
    <x v="0"/>
    <s v="Yes"/>
    <d v="2025-10-30T00:00:00"/>
    <d v="2025-11-12T00:00:00"/>
    <m/>
    <d v="2025-12-17T00:00:00"/>
    <b v="1"/>
    <n v="748.39"/>
  </r>
  <r>
    <s v="LEAD00054"/>
    <d v="2025-05-04T00:00:00"/>
    <x v="6"/>
    <x v="0"/>
    <x v="3"/>
    <s v="Fuel Card"/>
    <s v="SME"/>
    <x v="3"/>
    <b v="1"/>
    <x v="0"/>
    <s v="Yes"/>
    <d v="2025-05-12T00:00:00"/>
    <d v="2025-05-22T00:00:00"/>
    <m/>
    <d v="2025-06-08T00:00:00"/>
    <b v="1"/>
    <n v="1063.06"/>
  </r>
  <r>
    <s v="LEAD00055"/>
    <d v="2025-08-18T00:00:00"/>
    <x v="2"/>
    <x v="3"/>
    <x v="0"/>
    <s v="Fuel Card"/>
    <s v="Mid-Market"/>
    <x v="9"/>
    <b v="1"/>
    <x v="0"/>
    <s v="Yes"/>
    <d v="2025-08-19T00:00:00"/>
    <d v="2025-08-29T00:00:00"/>
    <m/>
    <d v="2025-09-10T00:00:00"/>
    <b v="1"/>
    <n v="2246.29"/>
  </r>
  <r>
    <s v="LEAD00056"/>
    <d v="2025-03-15T00:00:00"/>
    <x v="7"/>
    <x v="0"/>
    <x v="2"/>
    <s v="Fleet Expense Card"/>
    <s v="Mid-Market"/>
    <x v="3"/>
    <b v="1"/>
    <x v="0"/>
    <s v="No"/>
    <m/>
    <m/>
    <m/>
    <d v="2025-03-29T00:00:00"/>
    <b v="1"/>
    <n v="2089.17"/>
  </r>
  <r>
    <s v="LEAD00057"/>
    <d v="2025-07-05T00:00:00"/>
    <x v="4"/>
    <x v="4"/>
    <x v="4"/>
    <s v="Fuel Card"/>
    <s v="Mid-Market"/>
    <x v="7"/>
    <b v="1"/>
    <x v="0"/>
    <s v="Yes"/>
    <d v="2025-07-10T00:00:00"/>
    <d v="2025-07-18T00:00:00"/>
    <m/>
    <d v="2025-08-06T00:00:00"/>
    <b v="1"/>
    <n v="2375.59"/>
  </r>
  <r>
    <s v="LEAD00058"/>
    <d v="2025-02-27T00:00:00"/>
    <x v="8"/>
    <x v="0"/>
    <x v="1"/>
    <s v="EV Charge Card"/>
    <s v="SME"/>
    <x v="3"/>
    <b v="1"/>
    <x v="2"/>
    <s v="Yes"/>
    <d v="2025-03-07T00:00:00"/>
    <d v="2025-03-14T00:00:00"/>
    <d v="2025-04-10T00:00:00"/>
    <m/>
    <b v="1"/>
    <n v="710.84"/>
  </r>
  <r>
    <s v="LEAD00059"/>
    <d v="2025-04-07T00:00:00"/>
    <x v="3"/>
    <x v="3"/>
    <x v="3"/>
    <s v="Fuel Card"/>
    <s v="SME"/>
    <x v="10"/>
    <b v="1"/>
    <x v="0"/>
    <s v="No"/>
    <m/>
    <m/>
    <m/>
    <d v="2025-04-15T00:00:00"/>
    <b v="1"/>
    <n v="637.48"/>
  </r>
  <r>
    <s v="LEAD00060"/>
    <d v="2025-02-21T00:00:00"/>
    <x v="8"/>
    <x v="3"/>
    <x v="3"/>
    <s v="Toll Solution"/>
    <s v="Mid-Market"/>
    <x v="9"/>
    <b v="1"/>
    <x v="0"/>
    <s v="No"/>
    <m/>
    <m/>
    <m/>
    <d v="2025-02-28T00:00:00"/>
    <b v="1"/>
    <n v="1597.04"/>
  </r>
  <r>
    <s v="LEAD00061"/>
    <d v="2025-01-30T00:00:00"/>
    <x v="9"/>
    <x v="0"/>
    <x v="1"/>
    <s v="Fuel Card"/>
    <s v="SME"/>
    <x v="0"/>
    <b v="1"/>
    <x v="0"/>
    <s v="Yes"/>
    <d v="2025-02-06T00:00:00"/>
    <d v="2025-02-11T00:00:00"/>
    <m/>
    <d v="2025-03-13T00:00:00"/>
    <b v="1"/>
    <n v="756.66"/>
  </r>
  <r>
    <s v="LEAD00062"/>
    <d v="2025-10-23T00:00:00"/>
    <x v="0"/>
    <x v="0"/>
    <x v="1"/>
    <s v="EV Charge Card"/>
    <s v="SME"/>
    <x v="3"/>
    <b v="1"/>
    <x v="0"/>
    <s v="Yes"/>
    <d v="2025-10-24T00:00:00"/>
    <d v="2025-11-03T00:00:00"/>
    <m/>
    <d v="2025-11-14T00:00:00"/>
    <b v="1"/>
    <n v="533.04999999999995"/>
  </r>
  <r>
    <s v="LEAD00063"/>
    <d v="2025-11-13T00:00:00"/>
    <x v="10"/>
    <x v="3"/>
    <x v="3"/>
    <s v="Toll Solution"/>
    <s v="Mid-Market"/>
    <x v="10"/>
    <b v="1"/>
    <x v="0"/>
    <s v="Yes"/>
    <d v="2025-11-19T00:00:00"/>
    <d v="2025-11-22T00:00:00"/>
    <m/>
    <d v="2025-12-21T00:00:00"/>
    <b v="1"/>
    <n v="2073.1"/>
  </r>
  <r>
    <s v="LEAD00064"/>
    <d v="2025-12-01T00:00:00"/>
    <x v="1"/>
    <x v="0"/>
    <x v="0"/>
    <s v="EV Charge Card"/>
    <s v="SME"/>
    <x v="3"/>
    <b v="1"/>
    <x v="2"/>
    <s v="Yes"/>
    <d v="2025-12-06T00:00:00"/>
    <d v="2025-12-19T00:00:00"/>
    <d v="2025-12-30T00:00:00"/>
    <m/>
    <b v="1"/>
    <n v="565.82000000000005"/>
  </r>
  <r>
    <s v="LEAD00065"/>
    <d v="2025-03-08T00:00:00"/>
    <x v="7"/>
    <x v="3"/>
    <x v="0"/>
    <s v="Fuel Card"/>
    <s v="SME"/>
    <x v="9"/>
    <b v="1"/>
    <x v="0"/>
    <s v="No"/>
    <m/>
    <m/>
    <m/>
    <d v="2025-03-19T00:00:00"/>
    <b v="1"/>
    <n v="1009.09"/>
  </r>
  <r>
    <s v="LEAD00066"/>
    <d v="2025-05-22T00:00:00"/>
    <x v="6"/>
    <x v="4"/>
    <x v="2"/>
    <s v="Fuel Card"/>
    <s v="SME"/>
    <x v="12"/>
    <b v="1"/>
    <x v="0"/>
    <s v="Yes"/>
    <d v="2025-05-26T00:00:00"/>
    <m/>
    <m/>
    <d v="2025-05-31T00:00:00"/>
    <b v="1"/>
    <n v="605.79999999999995"/>
  </r>
  <r>
    <s v="LEAD00067"/>
    <d v="2025-08-10T00:00:00"/>
    <x v="2"/>
    <x v="4"/>
    <x v="2"/>
    <s v="Fuel Card"/>
    <s v="SME"/>
    <x v="13"/>
    <b v="1"/>
    <x v="0"/>
    <s v="Yes"/>
    <d v="2025-08-13T00:00:00"/>
    <d v="2025-08-20T00:00:00"/>
    <m/>
    <d v="2025-09-11T00:00:00"/>
    <b v="1"/>
    <n v="712.15"/>
  </r>
  <r>
    <s v="LEAD00068"/>
    <d v="2025-09-01T00:00:00"/>
    <x v="11"/>
    <x v="2"/>
    <x v="0"/>
    <s v="Fuel Card"/>
    <s v="Enterprise"/>
    <x v="2"/>
    <b v="1"/>
    <x v="0"/>
    <s v="No"/>
    <m/>
    <m/>
    <m/>
    <d v="2025-09-07T00:00:00"/>
    <b v="1"/>
    <n v="6370.11"/>
  </r>
  <r>
    <s v="LEAD00069"/>
    <d v="2025-05-24T00:00:00"/>
    <x v="6"/>
    <x v="3"/>
    <x v="2"/>
    <s v="Fuel Card"/>
    <s v="SME"/>
    <x v="9"/>
    <b v="1"/>
    <x v="2"/>
    <s v="Yes"/>
    <d v="2025-06-01T00:00:00"/>
    <d v="2025-06-03T00:00:00"/>
    <d v="2025-06-20T00:00:00"/>
    <m/>
    <b v="1"/>
    <n v="601.64"/>
  </r>
  <r>
    <s v="LEAD00070"/>
    <d v="2025-05-25T00:00:00"/>
    <x v="6"/>
    <x v="4"/>
    <x v="2"/>
    <s v="Toll Solution"/>
    <s v="SME"/>
    <x v="13"/>
    <b v="1"/>
    <x v="0"/>
    <s v="No"/>
    <m/>
    <m/>
    <m/>
    <d v="2025-06-01T00:00:00"/>
    <b v="1"/>
    <n v="539.51"/>
  </r>
  <r>
    <s v="LEAD00071"/>
    <d v="2025-12-28T00:00:00"/>
    <x v="1"/>
    <x v="3"/>
    <x v="4"/>
    <s v="Fleet Expense Card"/>
    <s v="Enterprise"/>
    <x v="4"/>
    <b v="1"/>
    <x v="3"/>
    <s v="Yes"/>
    <d v="2025-12-29T00:00:00"/>
    <m/>
    <m/>
    <m/>
    <b v="1"/>
    <n v="6508.29"/>
  </r>
  <r>
    <s v="LEAD00072"/>
    <d v="2025-03-11T00:00:00"/>
    <x v="7"/>
    <x v="0"/>
    <x v="2"/>
    <s v="Fleet Expense Card"/>
    <s v="SME"/>
    <x v="3"/>
    <b v="1"/>
    <x v="2"/>
    <s v="Yes"/>
    <d v="2025-03-18T00:00:00"/>
    <d v="2025-03-26T00:00:00"/>
    <d v="2025-04-22T00:00:00"/>
    <m/>
    <b v="1"/>
    <n v="594.28"/>
  </r>
  <r>
    <s v="LEAD00073"/>
    <d v="2025-11-16T00:00:00"/>
    <x v="10"/>
    <x v="0"/>
    <x v="2"/>
    <s v="Fuel Card"/>
    <s v="SME"/>
    <x v="0"/>
    <b v="1"/>
    <x v="0"/>
    <s v="Yes"/>
    <d v="2025-11-26T00:00:00"/>
    <d v="2025-12-04T00:00:00"/>
    <m/>
    <d v="2025-12-16T00:00:00"/>
    <b v="1"/>
    <n v="731.84"/>
  </r>
  <r>
    <s v="LEAD00074"/>
    <d v="2025-10-23T00:00:00"/>
    <x v="0"/>
    <x v="3"/>
    <x v="3"/>
    <s v="EV Charge Card"/>
    <s v="SME"/>
    <x v="4"/>
    <b v="1"/>
    <x v="2"/>
    <s v="Yes"/>
    <d v="2025-10-31T00:00:00"/>
    <d v="2025-11-02T00:00:00"/>
    <d v="2025-11-28T00:00:00"/>
    <m/>
    <b v="1"/>
    <n v="755.27"/>
  </r>
  <r>
    <s v="LEAD00075"/>
    <d v="2025-04-29T00:00:00"/>
    <x v="3"/>
    <x v="4"/>
    <x v="1"/>
    <s v="Fuel Card"/>
    <s v="Mid-Market"/>
    <x v="7"/>
    <b v="1"/>
    <x v="2"/>
    <s v="Yes"/>
    <d v="2025-05-07T00:00:00"/>
    <d v="2025-05-18T00:00:00"/>
    <d v="2025-06-16T00:00:00"/>
    <m/>
    <b v="1"/>
    <n v="2303.13"/>
  </r>
  <r>
    <s v="LEAD00076"/>
    <d v="2025-02-06T00:00:00"/>
    <x v="8"/>
    <x v="2"/>
    <x v="1"/>
    <s v="Fleet Expense Card"/>
    <s v="Mid-Market"/>
    <x v="6"/>
    <b v="1"/>
    <x v="0"/>
    <s v="Yes"/>
    <d v="2025-02-09T00:00:00"/>
    <m/>
    <m/>
    <d v="2025-02-22T00:00:00"/>
    <b v="1"/>
    <n v="3178.98"/>
  </r>
  <r>
    <s v="LEAD00077"/>
    <d v="2025-03-12T00:00:00"/>
    <x v="7"/>
    <x v="3"/>
    <x v="4"/>
    <s v="EV Charge Card"/>
    <s v="SME"/>
    <x v="9"/>
    <b v="1"/>
    <x v="0"/>
    <s v="Yes"/>
    <d v="2025-03-18T00:00:00"/>
    <d v="2025-04-02T00:00:00"/>
    <m/>
    <d v="2025-04-22T00:00:00"/>
    <b v="1"/>
    <n v="806.31"/>
  </r>
  <r>
    <s v="LEAD00078"/>
    <d v="2025-12-22T00:00:00"/>
    <x v="1"/>
    <x v="3"/>
    <x v="1"/>
    <s v="Fuel Card"/>
    <s v="SME"/>
    <x v="9"/>
    <b v="1"/>
    <x v="4"/>
    <s v="No"/>
    <m/>
    <m/>
    <m/>
    <m/>
    <b v="1"/>
    <n v="655.97"/>
  </r>
  <r>
    <s v="LEAD00079"/>
    <d v="2025-05-22T00:00:00"/>
    <x v="6"/>
    <x v="1"/>
    <x v="4"/>
    <s v="Toll Solution"/>
    <s v="Mid-Market"/>
    <x v="14"/>
    <b v="1"/>
    <x v="0"/>
    <s v="No"/>
    <m/>
    <m/>
    <m/>
    <d v="2025-06-02T00:00:00"/>
    <b v="1"/>
    <n v="2172.06"/>
  </r>
  <r>
    <s v="LEAD00080"/>
    <d v="2025-11-16T00:00:00"/>
    <x v="10"/>
    <x v="4"/>
    <x v="3"/>
    <s v="Fleet Expense Card"/>
    <s v="SME"/>
    <x v="7"/>
    <b v="1"/>
    <x v="0"/>
    <s v="No"/>
    <m/>
    <m/>
    <m/>
    <d v="2025-12-01T00:00:00"/>
    <b v="1"/>
    <n v="836.33"/>
  </r>
  <r>
    <s v="LEAD00081"/>
    <d v="2025-06-28T00:00:00"/>
    <x v="5"/>
    <x v="2"/>
    <x v="1"/>
    <s v="EV Charge Card"/>
    <s v="Mid-Market"/>
    <x v="6"/>
    <b v="1"/>
    <x v="2"/>
    <s v="Yes"/>
    <d v="2025-07-05T00:00:00"/>
    <d v="2025-07-17T00:00:00"/>
    <d v="2025-08-10T00:00:00"/>
    <m/>
    <b v="1"/>
    <n v="2363.89"/>
  </r>
  <r>
    <s v="LEAD00082"/>
    <d v="2025-09-29T00:00:00"/>
    <x v="11"/>
    <x v="4"/>
    <x v="2"/>
    <s v="Fuel Card"/>
    <s v="SME"/>
    <x v="7"/>
    <b v="1"/>
    <x v="2"/>
    <s v="Yes"/>
    <d v="2025-09-30T00:00:00"/>
    <d v="2025-10-10T00:00:00"/>
    <d v="2025-11-02T00:00:00"/>
    <m/>
    <b v="1"/>
    <n v="1129.44"/>
  </r>
  <r>
    <s v="LEAD00083"/>
    <d v="2025-11-09T00:00:00"/>
    <x v="10"/>
    <x v="3"/>
    <x v="3"/>
    <s v="Fuel Card"/>
    <s v="Mid-Market"/>
    <x v="10"/>
    <b v="1"/>
    <x v="0"/>
    <s v="No"/>
    <m/>
    <m/>
    <m/>
    <d v="2025-11-13T00:00:00"/>
    <b v="1"/>
    <n v="2138.4"/>
  </r>
  <r>
    <s v="LEAD00084"/>
    <d v="2025-09-10T00:00:00"/>
    <x v="11"/>
    <x v="3"/>
    <x v="3"/>
    <s v="Fleet Expense Card"/>
    <s v="Mid-Market"/>
    <x v="4"/>
    <b v="1"/>
    <x v="0"/>
    <s v="Yes"/>
    <d v="2025-09-18T00:00:00"/>
    <d v="2025-09-22T00:00:00"/>
    <m/>
    <d v="2025-10-08T00:00:00"/>
    <b v="1"/>
    <n v="2170.7600000000002"/>
  </r>
  <r>
    <s v="LEAD00085"/>
    <d v="2025-08-15T00:00:00"/>
    <x v="2"/>
    <x v="0"/>
    <x v="3"/>
    <s v="Toll Solution"/>
    <s v="Mid-Market"/>
    <x v="5"/>
    <b v="1"/>
    <x v="0"/>
    <s v="No"/>
    <m/>
    <m/>
    <m/>
    <d v="2025-08-26T00:00:00"/>
    <b v="1"/>
    <n v="1183.56"/>
  </r>
  <r>
    <s v="LEAD00086"/>
    <d v="2025-02-17T00:00:00"/>
    <x v="8"/>
    <x v="3"/>
    <x v="1"/>
    <s v="Fuel Card"/>
    <s v="Enterprise"/>
    <x v="10"/>
    <b v="1"/>
    <x v="2"/>
    <s v="Yes"/>
    <d v="2025-02-21T00:00:00"/>
    <d v="2025-03-04T00:00:00"/>
    <d v="2025-03-30T00:00:00"/>
    <m/>
    <b v="1"/>
    <n v="6878.5"/>
  </r>
  <r>
    <s v="LEAD00087"/>
    <d v="2025-01-28T00:00:00"/>
    <x v="9"/>
    <x v="2"/>
    <x v="3"/>
    <s v="Fleet Expense Card"/>
    <s v="SME"/>
    <x v="2"/>
    <b v="1"/>
    <x v="0"/>
    <s v="No"/>
    <m/>
    <m/>
    <m/>
    <d v="2025-02-17T00:00:00"/>
    <b v="1"/>
    <n v="719.91"/>
  </r>
  <r>
    <s v="LEAD00088"/>
    <d v="2025-03-03T00:00:00"/>
    <x v="7"/>
    <x v="3"/>
    <x v="1"/>
    <s v="Fuel Card"/>
    <s v="Mid-Market"/>
    <x v="10"/>
    <b v="1"/>
    <x v="2"/>
    <s v="Yes"/>
    <d v="2025-03-11T00:00:00"/>
    <d v="2025-03-15T00:00:00"/>
    <d v="2025-03-24T00:00:00"/>
    <m/>
    <b v="1"/>
    <n v="2560.4699999999998"/>
  </r>
  <r>
    <s v="LEAD00089"/>
    <d v="2025-05-08T00:00:00"/>
    <x v="6"/>
    <x v="2"/>
    <x v="1"/>
    <s v="Fuel Card"/>
    <s v="Enterprise"/>
    <x v="2"/>
    <b v="1"/>
    <x v="2"/>
    <s v="Yes"/>
    <d v="2025-05-14T00:00:00"/>
    <d v="2025-05-18T00:00:00"/>
    <d v="2025-06-13T00:00:00"/>
    <m/>
    <b v="1"/>
    <n v="8785.69"/>
  </r>
  <r>
    <s v="LEAD00090"/>
    <d v="2025-11-08T00:00:00"/>
    <x v="10"/>
    <x v="4"/>
    <x v="2"/>
    <s v="Fuel Card"/>
    <s v="Mid-Market"/>
    <x v="12"/>
    <b v="1"/>
    <x v="2"/>
    <s v="Yes"/>
    <d v="2025-11-10T00:00:00"/>
    <d v="2025-11-20T00:00:00"/>
    <d v="2025-12-09T00:00:00"/>
    <m/>
    <b v="1"/>
    <n v="2533.19"/>
  </r>
  <r>
    <s v="LEAD00091"/>
    <d v="2025-04-27T00:00:00"/>
    <x v="3"/>
    <x v="0"/>
    <x v="2"/>
    <s v="Toll Solution"/>
    <s v="Mid-Market"/>
    <x v="3"/>
    <b v="1"/>
    <x v="0"/>
    <s v="Yes"/>
    <d v="2025-04-29T00:00:00"/>
    <d v="2025-05-05T00:00:00"/>
    <m/>
    <d v="2025-06-03T00:00:00"/>
    <b v="1"/>
    <n v="1526.09"/>
  </r>
  <r>
    <s v="LEAD00092"/>
    <d v="2025-02-21T00:00:00"/>
    <x v="8"/>
    <x v="2"/>
    <x v="2"/>
    <s v="Fleet Expense Card"/>
    <s v="SME"/>
    <x v="2"/>
    <b v="1"/>
    <x v="2"/>
    <s v="Yes"/>
    <d v="2025-02-28T00:00:00"/>
    <d v="2025-03-04T00:00:00"/>
    <d v="2025-04-03T00:00:00"/>
    <m/>
    <b v="1"/>
    <n v="585.85"/>
  </r>
  <r>
    <s v="LEAD00093"/>
    <d v="2025-07-02T00:00:00"/>
    <x v="4"/>
    <x v="4"/>
    <x v="0"/>
    <s v="EV Charge Card"/>
    <s v="SME"/>
    <x v="15"/>
    <b v="0"/>
    <x v="0"/>
    <s v="Yes"/>
    <d v="2025-07-05T00:00:00"/>
    <d v="2025-07-06T00:00:00"/>
    <m/>
    <d v="2025-08-06T00:00:00"/>
    <b v="1"/>
    <n v="758.49"/>
  </r>
  <r>
    <s v="LEAD00094"/>
    <d v="2025-02-20T00:00:00"/>
    <x v="8"/>
    <x v="3"/>
    <x v="0"/>
    <s v="Toll Solution"/>
    <s v="Mid-Market"/>
    <x v="4"/>
    <b v="1"/>
    <x v="0"/>
    <s v="No"/>
    <m/>
    <m/>
    <m/>
    <d v="2025-03-08T00:00:00"/>
    <b v="1"/>
    <n v="2180.35"/>
  </r>
  <r>
    <s v="LEAD00095"/>
    <d v="2025-09-29T00:00:00"/>
    <x v="11"/>
    <x v="0"/>
    <x v="4"/>
    <s v="Fuel Card"/>
    <s v="Enterprise"/>
    <x v="0"/>
    <b v="1"/>
    <x v="0"/>
    <s v="Yes"/>
    <d v="2025-09-30T00:00:00"/>
    <d v="2025-10-06T00:00:00"/>
    <m/>
    <d v="2025-10-28T00:00:00"/>
    <b v="1"/>
    <n v="10544.29"/>
  </r>
  <r>
    <s v="LEAD00096"/>
    <d v="2025-09-22T00:00:00"/>
    <x v="11"/>
    <x v="4"/>
    <x v="1"/>
    <s v="Fleet Expense Card"/>
    <s v="Mid-Market"/>
    <x v="12"/>
    <b v="1"/>
    <x v="0"/>
    <s v="Yes"/>
    <d v="2025-09-24T00:00:00"/>
    <d v="2025-09-28T00:00:00"/>
    <m/>
    <d v="2025-10-17T00:00:00"/>
    <b v="1"/>
    <n v="2747.99"/>
  </r>
  <r>
    <s v="LEAD00097"/>
    <d v="2025-03-08T00:00:00"/>
    <x v="7"/>
    <x v="4"/>
    <x v="1"/>
    <s v="Fuel Card"/>
    <s v="Mid-Market"/>
    <x v="7"/>
    <b v="1"/>
    <x v="0"/>
    <s v="No"/>
    <m/>
    <m/>
    <m/>
    <d v="2025-03-25T00:00:00"/>
    <b v="1"/>
    <n v="3072.84"/>
  </r>
  <r>
    <s v="LEAD00098"/>
    <d v="2025-04-08T00:00:00"/>
    <x v="3"/>
    <x v="3"/>
    <x v="1"/>
    <s v="Toll Solution"/>
    <s v="Enterprise"/>
    <x v="10"/>
    <b v="1"/>
    <x v="0"/>
    <s v="No"/>
    <m/>
    <m/>
    <m/>
    <d v="2025-04-12T00:00:00"/>
    <b v="1"/>
    <n v="6251.43"/>
  </r>
  <r>
    <s v="LEAD00099"/>
    <d v="2025-06-15T00:00:00"/>
    <x v="5"/>
    <x v="4"/>
    <x v="3"/>
    <s v="Fleet Expense Card"/>
    <s v="Mid-Market"/>
    <x v="12"/>
    <b v="1"/>
    <x v="0"/>
    <s v="No"/>
    <m/>
    <m/>
    <m/>
    <d v="2025-06-22T00:00:00"/>
    <b v="1"/>
    <n v="2390.8000000000002"/>
  </r>
  <r>
    <s v="LEAD00100"/>
    <d v="2025-11-22T00:00:00"/>
    <x v="10"/>
    <x v="1"/>
    <x v="1"/>
    <s v="Fleet Expense Card"/>
    <s v="Enterprise"/>
    <x v="11"/>
    <b v="1"/>
    <x v="0"/>
    <s v="No"/>
    <m/>
    <m/>
    <m/>
    <d v="2025-12-08T00:00:00"/>
    <b v="1"/>
    <n v="7292.17"/>
  </r>
  <r>
    <s v="LEAD00101"/>
    <d v="2025-02-01T00:00:00"/>
    <x v="8"/>
    <x v="0"/>
    <x v="1"/>
    <s v="Fleet Expense Card"/>
    <s v="SME"/>
    <x v="5"/>
    <b v="1"/>
    <x v="0"/>
    <s v="Yes"/>
    <d v="2025-02-11T00:00:00"/>
    <d v="2025-02-21T00:00:00"/>
    <m/>
    <d v="2025-02-28T00:00:00"/>
    <b v="1"/>
    <n v="955.52"/>
  </r>
  <r>
    <s v="LEAD00102"/>
    <d v="2025-03-01T00:00:00"/>
    <x v="7"/>
    <x v="3"/>
    <x v="3"/>
    <s v="Fleet Expense Card"/>
    <s v="Mid-Market"/>
    <x v="4"/>
    <b v="1"/>
    <x v="0"/>
    <s v="Yes"/>
    <d v="2025-03-04T00:00:00"/>
    <d v="2025-03-11T00:00:00"/>
    <m/>
    <d v="2025-04-15T00:00:00"/>
    <b v="1"/>
    <n v="2156.96"/>
  </r>
  <r>
    <s v="LEAD00103"/>
    <d v="2025-11-30T00:00:00"/>
    <x v="10"/>
    <x v="2"/>
    <x v="1"/>
    <s v="Toll Solution"/>
    <s v="Enterprise"/>
    <x v="6"/>
    <b v="1"/>
    <x v="0"/>
    <s v="No"/>
    <m/>
    <m/>
    <m/>
    <d v="2025-12-02T00:00:00"/>
    <b v="1"/>
    <n v="7041.44"/>
  </r>
  <r>
    <s v="LEAD00104"/>
    <d v="2025-03-04T00:00:00"/>
    <x v="7"/>
    <x v="4"/>
    <x v="1"/>
    <s v="Toll Solution"/>
    <s v="Mid-Market"/>
    <x v="7"/>
    <b v="1"/>
    <x v="2"/>
    <s v="Yes"/>
    <d v="2025-03-07T00:00:00"/>
    <d v="2025-03-20T00:00:00"/>
    <d v="2025-04-14T00:00:00"/>
    <m/>
    <b v="1"/>
    <n v="2145.83"/>
  </r>
  <r>
    <s v="LEAD00105"/>
    <d v="2025-08-10T00:00:00"/>
    <x v="2"/>
    <x v="2"/>
    <x v="2"/>
    <s v="EV Charge Card"/>
    <s v="Enterprise"/>
    <x v="8"/>
    <b v="1"/>
    <x v="0"/>
    <s v="Yes"/>
    <d v="2025-08-16T00:00:00"/>
    <d v="2025-08-22T00:00:00"/>
    <m/>
    <d v="2025-09-22T00:00:00"/>
    <b v="1"/>
    <n v="7671.04"/>
  </r>
  <r>
    <s v="LEAD00106"/>
    <d v="2025-06-26T00:00:00"/>
    <x v="5"/>
    <x v="2"/>
    <x v="1"/>
    <s v="Fleet Expense Card"/>
    <s v="SME"/>
    <x v="2"/>
    <b v="1"/>
    <x v="2"/>
    <s v="Yes"/>
    <d v="2025-06-30T00:00:00"/>
    <d v="2025-07-02T00:00:00"/>
    <d v="2025-07-31T00:00:00"/>
    <m/>
    <b v="1"/>
    <n v="921.4"/>
  </r>
  <r>
    <s v="LEAD00107"/>
    <d v="2025-06-15T00:00:00"/>
    <x v="5"/>
    <x v="4"/>
    <x v="4"/>
    <s v="EV Charge Card"/>
    <s v="Mid-Market"/>
    <x v="12"/>
    <b v="1"/>
    <x v="0"/>
    <s v="Yes"/>
    <d v="2025-06-16T00:00:00"/>
    <d v="2025-06-23T00:00:00"/>
    <m/>
    <d v="2025-07-07T00:00:00"/>
    <b v="1"/>
    <n v="1843.1"/>
  </r>
  <r>
    <s v="LEAD00108"/>
    <d v="2025-10-27T00:00:00"/>
    <x v="0"/>
    <x v="1"/>
    <x v="2"/>
    <s v="Fleet Expense Card"/>
    <s v="Mid-Market"/>
    <x v="1"/>
    <b v="1"/>
    <x v="2"/>
    <s v="Yes"/>
    <d v="2025-11-03T00:00:00"/>
    <d v="2025-11-18T00:00:00"/>
    <d v="2025-11-24T00:00:00"/>
    <m/>
    <b v="1"/>
    <n v="2768.87"/>
  </r>
  <r>
    <s v="LEAD00109"/>
    <d v="2025-05-31T00:00:00"/>
    <x v="6"/>
    <x v="1"/>
    <x v="0"/>
    <s v="Fuel Card"/>
    <s v="SME"/>
    <x v="11"/>
    <b v="1"/>
    <x v="0"/>
    <s v="Yes"/>
    <d v="2025-06-06T00:00:00"/>
    <d v="2025-06-13T00:00:00"/>
    <m/>
    <d v="2025-06-21T00:00:00"/>
    <b v="1"/>
    <n v="760.15"/>
  </r>
  <r>
    <s v="LEAD00110"/>
    <d v="2025-04-17T00:00:00"/>
    <x v="3"/>
    <x v="3"/>
    <x v="4"/>
    <s v="Fleet Expense Card"/>
    <s v="Enterprise"/>
    <x v="4"/>
    <b v="1"/>
    <x v="0"/>
    <s v="No"/>
    <m/>
    <m/>
    <m/>
    <d v="2025-04-28T00:00:00"/>
    <b v="1"/>
    <n v="6400.35"/>
  </r>
  <r>
    <s v="LEAD00111"/>
    <d v="2025-07-19T00:00:00"/>
    <x v="4"/>
    <x v="4"/>
    <x v="2"/>
    <s v="Fuel Card"/>
    <s v="Mid-Market"/>
    <x v="7"/>
    <b v="1"/>
    <x v="2"/>
    <s v="Yes"/>
    <d v="2025-07-23T00:00:00"/>
    <d v="2025-07-31T00:00:00"/>
    <d v="2025-08-22T00:00:00"/>
    <m/>
    <b v="1"/>
    <n v="2084.0500000000002"/>
  </r>
  <r>
    <s v="LEAD00112"/>
    <d v="2025-07-10T00:00:00"/>
    <x v="4"/>
    <x v="4"/>
    <x v="2"/>
    <s v="Fuel Card"/>
    <s v="Mid-Market"/>
    <x v="7"/>
    <b v="1"/>
    <x v="2"/>
    <s v="Yes"/>
    <d v="2025-07-19T00:00:00"/>
    <d v="2025-07-22T00:00:00"/>
    <d v="2025-08-10T00:00:00"/>
    <m/>
    <b v="1"/>
    <n v="2684.85"/>
  </r>
  <r>
    <s v="LEAD00113"/>
    <d v="2025-05-06T00:00:00"/>
    <x v="6"/>
    <x v="2"/>
    <x v="4"/>
    <s v="Fuel Card"/>
    <s v="Enterprise"/>
    <x v="2"/>
    <b v="1"/>
    <x v="2"/>
    <s v="Yes"/>
    <d v="2025-05-16T00:00:00"/>
    <d v="2025-05-17T00:00:00"/>
    <d v="2025-05-24T00:00:00"/>
    <m/>
    <b v="1"/>
    <n v="10631.28"/>
  </r>
  <r>
    <s v="LEAD00114"/>
    <d v="2025-03-22T00:00:00"/>
    <x v="7"/>
    <x v="3"/>
    <x v="2"/>
    <s v="EV Charge Card"/>
    <s v="Enterprise"/>
    <x v="9"/>
    <b v="1"/>
    <x v="0"/>
    <s v="No"/>
    <m/>
    <m/>
    <m/>
    <d v="2025-04-05T00:00:00"/>
    <b v="1"/>
    <n v="5921.54"/>
  </r>
  <r>
    <s v="LEAD00115"/>
    <d v="2025-08-22T00:00:00"/>
    <x v="2"/>
    <x v="0"/>
    <x v="4"/>
    <s v="EV Charge Card"/>
    <s v="SME"/>
    <x v="0"/>
    <b v="1"/>
    <x v="2"/>
    <s v="Yes"/>
    <d v="2025-08-29T00:00:00"/>
    <d v="2025-09-08T00:00:00"/>
    <d v="2025-10-06T00:00:00"/>
    <m/>
    <b v="1"/>
    <n v="843.9"/>
  </r>
  <r>
    <s v="LEAD00116"/>
    <d v="2025-06-01T00:00:00"/>
    <x v="5"/>
    <x v="3"/>
    <x v="4"/>
    <s v="Fuel Card"/>
    <s v="SME"/>
    <x v="10"/>
    <b v="1"/>
    <x v="0"/>
    <s v="Yes"/>
    <d v="2025-06-06T00:00:00"/>
    <m/>
    <m/>
    <d v="2025-06-17T00:00:00"/>
    <b v="1"/>
    <n v="608.58000000000004"/>
  </r>
  <r>
    <s v="LEAD00117"/>
    <d v="2025-05-15T00:00:00"/>
    <x v="6"/>
    <x v="0"/>
    <x v="0"/>
    <s v="EV Charge Card"/>
    <s v="Mid-Market"/>
    <x v="5"/>
    <b v="1"/>
    <x v="0"/>
    <s v="Yes"/>
    <d v="2025-05-22T00:00:00"/>
    <m/>
    <m/>
    <d v="2025-06-02T00:00:00"/>
    <b v="1"/>
    <n v="2219.6799999999998"/>
  </r>
  <r>
    <s v="LEAD00118"/>
    <d v="2025-09-16T00:00:00"/>
    <x v="11"/>
    <x v="4"/>
    <x v="3"/>
    <s v="Toll Solution"/>
    <s v="SME"/>
    <x v="13"/>
    <b v="1"/>
    <x v="0"/>
    <s v="No"/>
    <m/>
    <m/>
    <m/>
    <d v="2025-10-06T00:00:00"/>
    <b v="1"/>
    <n v="556.91999999999996"/>
  </r>
  <r>
    <s v="LEAD00119"/>
    <d v="2025-08-13T00:00:00"/>
    <x v="2"/>
    <x v="4"/>
    <x v="3"/>
    <s v="Fuel Card"/>
    <s v="SME"/>
    <x v="13"/>
    <b v="1"/>
    <x v="0"/>
    <s v="No"/>
    <m/>
    <m/>
    <m/>
    <d v="2025-08-29T00:00:00"/>
    <b v="1"/>
    <n v="1037.78"/>
  </r>
  <r>
    <s v="LEAD00120"/>
    <d v="2025-10-27T00:00:00"/>
    <x v="0"/>
    <x v="0"/>
    <x v="3"/>
    <s v="Toll Solution"/>
    <s v="Mid-Market"/>
    <x v="5"/>
    <b v="1"/>
    <x v="0"/>
    <s v="No"/>
    <m/>
    <m/>
    <m/>
    <d v="2025-10-29T00:00:00"/>
    <b v="1"/>
    <n v="2142.3200000000002"/>
  </r>
  <r>
    <s v="LEAD00121"/>
    <d v="2025-08-07T00:00:00"/>
    <x v="2"/>
    <x v="2"/>
    <x v="0"/>
    <s v="Fuel Card"/>
    <s v="SME"/>
    <x v="6"/>
    <b v="1"/>
    <x v="0"/>
    <s v="No"/>
    <m/>
    <m/>
    <m/>
    <d v="2025-08-13T00:00:00"/>
    <b v="1"/>
    <n v="1044.74"/>
  </r>
  <r>
    <s v="LEAD00122"/>
    <d v="2025-03-23T00:00:00"/>
    <x v="7"/>
    <x v="4"/>
    <x v="0"/>
    <s v="Fuel Card"/>
    <s v="SME"/>
    <x v="7"/>
    <b v="1"/>
    <x v="0"/>
    <s v="No"/>
    <m/>
    <m/>
    <m/>
    <d v="2025-04-11T00:00:00"/>
    <b v="1"/>
    <n v="811.05"/>
  </r>
  <r>
    <s v="LEAD00123"/>
    <d v="2025-09-19T00:00:00"/>
    <x v="11"/>
    <x v="1"/>
    <x v="1"/>
    <s v="Fuel Card"/>
    <s v="Enterprise"/>
    <x v="1"/>
    <b v="1"/>
    <x v="0"/>
    <s v="Yes"/>
    <d v="2025-09-26T00:00:00"/>
    <d v="2025-10-09T00:00:00"/>
    <m/>
    <d v="2025-10-18T00:00:00"/>
    <b v="1"/>
    <n v="10026.540000000001"/>
  </r>
  <r>
    <s v="LEAD00124"/>
    <d v="2025-04-29T00:00:00"/>
    <x v="3"/>
    <x v="2"/>
    <x v="1"/>
    <s v="Toll Solution"/>
    <s v="SME"/>
    <x v="2"/>
    <b v="1"/>
    <x v="0"/>
    <s v="No"/>
    <m/>
    <m/>
    <m/>
    <d v="2025-05-16T00:00:00"/>
    <b v="1"/>
    <n v="416.26"/>
  </r>
  <r>
    <s v="LEAD00125"/>
    <d v="2025-03-11T00:00:00"/>
    <x v="7"/>
    <x v="3"/>
    <x v="0"/>
    <s v="Fuel Card"/>
    <s v="SME"/>
    <x v="4"/>
    <b v="1"/>
    <x v="2"/>
    <s v="Yes"/>
    <d v="2025-03-12T00:00:00"/>
    <d v="2025-03-20T00:00:00"/>
    <d v="2025-04-16T00:00:00"/>
    <m/>
    <b v="1"/>
    <n v="1012.09"/>
  </r>
  <r>
    <s v="LEAD00126"/>
    <d v="2025-09-20T00:00:00"/>
    <x v="11"/>
    <x v="3"/>
    <x v="1"/>
    <s v="Fuel Card"/>
    <s v="Enterprise"/>
    <x v="10"/>
    <b v="1"/>
    <x v="2"/>
    <s v="Yes"/>
    <d v="2025-09-25T00:00:00"/>
    <d v="2025-10-02T00:00:00"/>
    <d v="2025-10-11T00:00:00"/>
    <m/>
    <b v="1"/>
    <n v="10550.44"/>
  </r>
  <r>
    <s v="LEAD00127"/>
    <d v="2025-07-23T00:00:00"/>
    <x v="4"/>
    <x v="4"/>
    <x v="4"/>
    <s v="Fleet Expense Card"/>
    <s v="Mid-Market"/>
    <x v="13"/>
    <b v="1"/>
    <x v="0"/>
    <s v="No"/>
    <m/>
    <m/>
    <m/>
    <d v="2025-07-28T00:00:00"/>
    <b v="1"/>
    <n v="2609.96"/>
  </r>
  <r>
    <s v="LEAD00128"/>
    <d v="2025-10-18T00:00:00"/>
    <x v="0"/>
    <x v="4"/>
    <x v="0"/>
    <s v="Fuel Card"/>
    <s v="SME"/>
    <x v="7"/>
    <b v="1"/>
    <x v="0"/>
    <s v="No"/>
    <m/>
    <m/>
    <m/>
    <d v="2025-10-20T00:00:00"/>
    <b v="1"/>
    <n v="1101.23"/>
  </r>
  <r>
    <s v="LEAD00129"/>
    <d v="2025-08-14T00:00:00"/>
    <x v="2"/>
    <x v="1"/>
    <x v="2"/>
    <s v="Fuel Card"/>
    <s v="SME"/>
    <x v="14"/>
    <b v="1"/>
    <x v="2"/>
    <s v="Yes"/>
    <d v="2025-08-21T00:00:00"/>
    <d v="2025-09-01T00:00:00"/>
    <d v="2025-08-09T00:00:00"/>
    <m/>
    <b v="0"/>
    <n v="994.66"/>
  </r>
  <r>
    <s v="LEAD00130"/>
    <d v="2025-12-04T00:00:00"/>
    <x v="1"/>
    <x v="0"/>
    <x v="4"/>
    <s v="Fuel Card"/>
    <s v="SME"/>
    <x v="5"/>
    <b v="1"/>
    <x v="0"/>
    <s v="No"/>
    <m/>
    <m/>
    <m/>
    <d v="2025-12-20T00:00:00"/>
    <b v="1"/>
    <n v="737.06"/>
  </r>
  <r>
    <s v="LEAD00131"/>
    <d v="2025-11-11T00:00:00"/>
    <x v="10"/>
    <x v="2"/>
    <x v="0"/>
    <s v="Fuel Card"/>
    <s v="SME"/>
    <x v="2"/>
    <b v="1"/>
    <x v="0"/>
    <s v="No"/>
    <m/>
    <m/>
    <m/>
    <d v="2025-12-01T00:00:00"/>
    <b v="1"/>
    <n v="802.07"/>
  </r>
  <r>
    <s v="LEAD00132"/>
    <d v="2025-02-21T00:00:00"/>
    <x v="8"/>
    <x v="4"/>
    <x v="2"/>
    <s v="Toll Solution"/>
    <s v="Mid-Market"/>
    <x v="13"/>
    <b v="1"/>
    <x v="2"/>
    <s v="Yes"/>
    <d v="2025-02-23T00:00:00"/>
    <d v="2025-02-28T00:00:00"/>
    <d v="2025-03-25T00:00:00"/>
    <m/>
    <b v="1"/>
    <n v="1434.56"/>
  </r>
  <r>
    <s v="LEAD00133"/>
    <d v="2025-05-30T00:00:00"/>
    <x v="6"/>
    <x v="3"/>
    <x v="2"/>
    <s v="Fleet Expense Card"/>
    <s v="Enterprise"/>
    <x v="10"/>
    <b v="1"/>
    <x v="0"/>
    <s v="Yes"/>
    <d v="2025-06-01T00:00:00"/>
    <m/>
    <m/>
    <d v="2025-06-11T00:00:00"/>
    <b v="1"/>
    <n v="9290.86"/>
  </r>
  <r>
    <s v="LEAD00134"/>
    <d v="2025-08-24T00:00:00"/>
    <x v="2"/>
    <x v="4"/>
    <x v="2"/>
    <s v="Fuel Card"/>
    <s v="SME"/>
    <x v="12"/>
    <b v="1"/>
    <x v="0"/>
    <s v="Yes"/>
    <d v="2025-08-26T00:00:00"/>
    <m/>
    <m/>
    <d v="2025-09-11T00:00:00"/>
    <b v="1"/>
    <n v="935.22"/>
  </r>
  <r>
    <s v="LEAD00135"/>
    <d v="2025-03-30T00:00:00"/>
    <x v="7"/>
    <x v="1"/>
    <x v="4"/>
    <s v="Fuel Card"/>
    <s v="Enterprise"/>
    <x v="11"/>
    <b v="1"/>
    <x v="2"/>
    <s v="Yes"/>
    <d v="2025-04-07T00:00:00"/>
    <d v="2025-04-18T00:00:00"/>
    <d v="2025-04-30T00:00:00"/>
    <m/>
    <b v="1"/>
    <n v="6669.82"/>
  </r>
  <r>
    <s v="LEAD00136"/>
    <d v="2025-10-24T00:00:00"/>
    <x v="0"/>
    <x v="4"/>
    <x v="2"/>
    <s v="Fuel Card"/>
    <s v="Mid-Market"/>
    <x v="13"/>
    <b v="1"/>
    <x v="2"/>
    <s v="Yes"/>
    <d v="2025-11-01T00:00:00"/>
    <d v="2025-11-10T00:00:00"/>
    <d v="2025-11-16T00:00:00"/>
    <m/>
    <b v="1"/>
    <n v="3313.31"/>
  </r>
  <r>
    <s v="LEAD00137"/>
    <d v="2025-09-07T00:00:00"/>
    <x v="11"/>
    <x v="4"/>
    <x v="1"/>
    <s v="Fuel Card"/>
    <s v="SME"/>
    <x v="13"/>
    <b v="1"/>
    <x v="0"/>
    <s v="Yes"/>
    <d v="2025-09-17T00:00:00"/>
    <d v="2025-09-21T00:00:00"/>
    <m/>
    <d v="2025-10-17T00:00:00"/>
    <b v="1"/>
    <n v="943.67"/>
  </r>
  <r>
    <s v="LEAD00138"/>
    <d v="2025-12-27T00:00:00"/>
    <x v="1"/>
    <x v="1"/>
    <x v="4"/>
    <s v="Fuel Card"/>
    <s v="Mid-Market"/>
    <x v="11"/>
    <b v="1"/>
    <x v="1"/>
    <s v="Yes"/>
    <d v="2025-12-30T00:00:00"/>
    <d v="2026-01-03T00:00:00"/>
    <m/>
    <m/>
    <b v="1"/>
    <n v="3095.56"/>
  </r>
  <r>
    <s v="LEAD00139"/>
    <d v="2025-10-13T00:00:00"/>
    <x v="0"/>
    <x v="0"/>
    <x v="4"/>
    <s v="EV Charge Card"/>
    <s v="SME"/>
    <x v="5"/>
    <b v="1"/>
    <x v="0"/>
    <s v="Yes"/>
    <d v="2025-10-20T00:00:00"/>
    <m/>
    <m/>
    <d v="2025-10-30T00:00:00"/>
    <b v="1"/>
    <n v="832.58"/>
  </r>
  <r>
    <s v="LEAD00140"/>
    <d v="2025-07-30T00:00:00"/>
    <x v="4"/>
    <x v="4"/>
    <x v="1"/>
    <s v="EV Charge Card"/>
    <s v="SME"/>
    <x v="12"/>
    <b v="1"/>
    <x v="0"/>
    <s v="No"/>
    <m/>
    <m/>
    <m/>
    <d v="2025-08-08T00:00:00"/>
    <b v="1"/>
    <n v="695.5"/>
  </r>
  <r>
    <s v="LEAD00141"/>
    <d v="2025-05-27T00:00:00"/>
    <x v="6"/>
    <x v="0"/>
    <x v="2"/>
    <s v="EV Charge Card"/>
    <s v="SME"/>
    <x v="3"/>
    <b v="1"/>
    <x v="2"/>
    <s v="Yes"/>
    <d v="2025-05-31T00:00:00"/>
    <d v="2025-06-14T00:00:00"/>
    <d v="2025-06-20T00:00:00"/>
    <m/>
    <b v="1"/>
    <n v="879.21"/>
  </r>
  <r>
    <s v="LEAD00142"/>
    <d v="2025-03-21T00:00:00"/>
    <x v="7"/>
    <x v="2"/>
    <x v="2"/>
    <s v="Fuel Card"/>
    <s v="SME"/>
    <x v="8"/>
    <b v="1"/>
    <x v="2"/>
    <s v="Yes"/>
    <d v="2025-03-29T00:00:00"/>
    <d v="2025-03-30T00:00:00"/>
    <d v="2025-04-04T00:00:00"/>
    <m/>
    <b v="1"/>
    <n v="1001.56"/>
  </r>
  <r>
    <s v="LEAD00143"/>
    <d v="2025-02-06T00:00:00"/>
    <x v="8"/>
    <x v="2"/>
    <x v="3"/>
    <s v="Fuel Card"/>
    <s v="Enterprise"/>
    <x v="2"/>
    <b v="1"/>
    <x v="0"/>
    <s v="Yes"/>
    <d v="2025-02-12T00:00:00"/>
    <m/>
    <m/>
    <d v="2025-02-23T00:00:00"/>
    <b v="1"/>
    <n v="9193.5300000000007"/>
  </r>
  <r>
    <s v="LEAD00144"/>
    <d v="2025-04-25T00:00:00"/>
    <x v="3"/>
    <x v="0"/>
    <x v="1"/>
    <s v="Fuel Card"/>
    <s v="Mid-Market"/>
    <x v="5"/>
    <b v="1"/>
    <x v="0"/>
    <s v="No"/>
    <m/>
    <m/>
    <m/>
    <d v="2025-05-04T00:00:00"/>
    <b v="1"/>
    <n v="1865.11"/>
  </r>
  <r>
    <s v="LEAD00145"/>
    <d v="2025-07-15T00:00:00"/>
    <x v="4"/>
    <x v="1"/>
    <x v="0"/>
    <s v="Fuel Card"/>
    <s v="SME"/>
    <x v="1"/>
    <b v="1"/>
    <x v="0"/>
    <s v="Yes"/>
    <d v="2025-07-23T00:00:00"/>
    <d v="2025-07-27T00:00:00"/>
    <m/>
    <d v="2025-08-30T00:00:00"/>
    <b v="1"/>
    <n v="772.67"/>
  </r>
  <r>
    <s v="LEAD00146"/>
    <d v="2025-07-05T00:00:00"/>
    <x v="4"/>
    <x v="0"/>
    <x v="4"/>
    <s v="Fuel Card"/>
    <s v="SME"/>
    <x v="0"/>
    <b v="1"/>
    <x v="0"/>
    <s v="Yes"/>
    <d v="2025-07-14T00:00:00"/>
    <m/>
    <m/>
    <d v="2025-08-07T00:00:00"/>
    <b v="1"/>
    <n v="963.76"/>
  </r>
  <r>
    <s v="LEAD00147"/>
    <d v="2025-05-26T00:00:00"/>
    <x v="6"/>
    <x v="3"/>
    <x v="3"/>
    <s v="Toll Solution"/>
    <s v="SME"/>
    <x v="9"/>
    <b v="1"/>
    <x v="2"/>
    <s v="Yes"/>
    <d v="2025-06-03T00:00:00"/>
    <d v="2025-06-13T00:00:00"/>
    <d v="2025-07-09T00:00:00"/>
    <m/>
    <b v="1"/>
    <n v="435.5"/>
  </r>
  <r>
    <s v="LEAD00148"/>
    <d v="2025-01-22T00:00:00"/>
    <x v="9"/>
    <x v="0"/>
    <x v="1"/>
    <s v="Fuel Card"/>
    <s v="Mid-Market"/>
    <x v="5"/>
    <b v="1"/>
    <x v="2"/>
    <s v="Yes"/>
    <d v="2025-01-28T00:00:00"/>
    <d v="2025-02-06T00:00:00"/>
    <d v="2025-02-14T00:00:00"/>
    <m/>
    <b v="1"/>
    <n v="2195.9899999999998"/>
  </r>
  <r>
    <s v="LEAD00149"/>
    <d v="2025-11-16T00:00:00"/>
    <x v="10"/>
    <x v="1"/>
    <x v="3"/>
    <s v="Toll Solution"/>
    <s v="Mid-Market"/>
    <x v="11"/>
    <b v="1"/>
    <x v="0"/>
    <s v="Yes"/>
    <d v="2025-11-23T00:00:00"/>
    <d v="2025-11-28T00:00:00"/>
    <m/>
    <d v="2025-12-12T00:00:00"/>
    <b v="1"/>
    <n v="1822.51"/>
  </r>
  <r>
    <s v="LEAD00150"/>
    <d v="2025-06-30T00:00:00"/>
    <x v="5"/>
    <x v="3"/>
    <x v="3"/>
    <s v="Fuel Card"/>
    <s v="Mid-Market"/>
    <x v="9"/>
    <b v="1"/>
    <x v="0"/>
    <s v="Yes"/>
    <d v="2025-07-04T00:00:00"/>
    <m/>
    <m/>
    <d v="2025-07-12T00:00:00"/>
    <b v="1"/>
    <n v="2912.38"/>
  </r>
  <r>
    <s v="LEAD00151"/>
    <d v="2025-02-07T00:00:00"/>
    <x v="8"/>
    <x v="4"/>
    <x v="0"/>
    <s v="Toll Solution"/>
    <s v="Mid-Market"/>
    <x v="13"/>
    <b v="1"/>
    <x v="0"/>
    <s v="No"/>
    <m/>
    <m/>
    <m/>
    <d v="2025-02-25T00:00:00"/>
    <b v="1"/>
    <n v="1516.18"/>
  </r>
  <r>
    <s v="LEAD00152"/>
    <d v="2025-07-23T00:00:00"/>
    <x v="4"/>
    <x v="3"/>
    <x v="2"/>
    <s v="Fleet Expense Card"/>
    <s v="Mid-Market"/>
    <x v="10"/>
    <b v="1"/>
    <x v="2"/>
    <s v="Yes"/>
    <d v="2025-07-29T00:00:00"/>
    <d v="2025-08-01T00:00:00"/>
    <d v="2025-08-29T00:00:00"/>
    <m/>
    <b v="1"/>
    <n v="1822.37"/>
  </r>
  <r>
    <s v="LEAD00153"/>
    <d v="2025-12-19T00:00:00"/>
    <x v="1"/>
    <x v="3"/>
    <x v="3"/>
    <s v="Toll Solution"/>
    <s v="SME"/>
    <x v="10"/>
    <b v="1"/>
    <x v="4"/>
    <s v="No"/>
    <m/>
    <m/>
    <m/>
    <m/>
    <b v="1"/>
    <n v="381.48"/>
  </r>
  <r>
    <s v="LEAD00154"/>
    <d v="2025-03-13T00:00:00"/>
    <x v="7"/>
    <x v="2"/>
    <x v="3"/>
    <s v="Fuel Card"/>
    <s v="Enterprise"/>
    <x v="6"/>
    <b v="1"/>
    <x v="0"/>
    <s v="No"/>
    <m/>
    <m/>
    <m/>
    <d v="2025-03-31T00:00:00"/>
    <b v="1"/>
    <n v="7289.11"/>
  </r>
  <r>
    <s v="LEAD00155"/>
    <d v="2025-10-12T00:00:00"/>
    <x v="0"/>
    <x v="0"/>
    <x v="4"/>
    <s v="Fuel Card"/>
    <s v="Mid-Market"/>
    <x v="0"/>
    <b v="1"/>
    <x v="0"/>
    <s v="Yes"/>
    <d v="2025-10-18T00:00:00"/>
    <d v="2025-10-23T00:00:00"/>
    <m/>
    <d v="2025-11-27T00:00:00"/>
    <b v="1"/>
    <n v="2836.49"/>
  </r>
  <r>
    <s v="LEAD00156"/>
    <d v="2025-05-12T00:00:00"/>
    <x v="6"/>
    <x v="2"/>
    <x v="4"/>
    <s v="Toll Solution"/>
    <s v="Mid-Market"/>
    <x v="2"/>
    <b v="1"/>
    <x v="2"/>
    <s v="Yes"/>
    <d v="2025-05-15T00:00:00"/>
    <d v="2025-05-24T00:00:00"/>
    <d v="2025-05-30T00:00:00"/>
    <m/>
    <b v="1"/>
    <n v="1392.53"/>
  </r>
  <r>
    <s v="LEAD00157"/>
    <d v="2025-05-09T00:00:00"/>
    <x v="6"/>
    <x v="2"/>
    <x v="4"/>
    <s v="Fuel Card"/>
    <s v="SME"/>
    <x v="8"/>
    <b v="1"/>
    <x v="0"/>
    <s v="Yes"/>
    <d v="2025-05-17T00:00:00"/>
    <m/>
    <m/>
    <d v="2025-05-26T00:00:00"/>
    <b v="1"/>
    <n v="1085.17"/>
  </r>
  <r>
    <s v="LEAD00158"/>
    <d v="2025-09-02T00:00:00"/>
    <x v="11"/>
    <x v="0"/>
    <x v="2"/>
    <s v="Fuel Card"/>
    <s v="SME"/>
    <x v="3"/>
    <b v="1"/>
    <x v="0"/>
    <s v="Yes"/>
    <d v="2025-09-11T00:00:00"/>
    <m/>
    <m/>
    <d v="2025-10-05T00:00:00"/>
    <b v="1"/>
    <n v="690.07"/>
  </r>
  <r>
    <s v="LEAD00159"/>
    <d v="2025-04-12T00:00:00"/>
    <x v="3"/>
    <x v="4"/>
    <x v="3"/>
    <s v="Fuel Card"/>
    <s v="SME"/>
    <x v="13"/>
    <b v="1"/>
    <x v="0"/>
    <s v="Yes"/>
    <d v="2025-04-22T00:00:00"/>
    <d v="2025-04-29T00:00:00"/>
    <m/>
    <d v="2025-05-07T00:00:00"/>
    <b v="1"/>
    <n v="885.5"/>
  </r>
  <r>
    <s v="LEAD00160"/>
    <d v="2025-12-30T00:00:00"/>
    <x v="1"/>
    <x v="2"/>
    <x v="4"/>
    <s v="Toll Solution"/>
    <s v="Enterprise"/>
    <x v="8"/>
    <b v="1"/>
    <x v="4"/>
    <s v="No"/>
    <m/>
    <m/>
    <m/>
    <m/>
    <b v="1"/>
    <n v="5277.24"/>
  </r>
  <r>
    <s v="LEAD00161"/>
    <d v="2025-07-15T00:00:00"/>
    <x v="4"/>
    <x v="0"/>
    <x v="2"/>
    <s v="Fuel Card"/>
    <s v="Mid-Market"/>
    <x v="5"/>
    <b v="1"/>
    <x v="0"/>
    <s v="Yes"/>
    <d v="2025-07-25T00:00:00"/>
    <m/>
    <m/>
    <d v="2025-08-12T00:00:00"/>
    <b v="1"/>
    <n v="3071.77"/>
  </r>
  <r>
    <s v="LEAD00162"/>
    <d v="2025-07-26T00:00:00"/>
    <x v="4"/>
    <x v="3"/>
    <x v="2"/>
    <s v="Toll Solution"/>
    <s v="Mid-Market"/>
    <x v="9"/>
    <b v="1"/>
    <x v="2"/>
    <s v="Yes"/>
    <d v="2025-07-31T00:00:00"/>
    <d v="2025-08-04T00:00:00"/>
    <d v="2025-08-27T00:00:00"/>
    <m/>
    <b v="1"/>
    <n v="2050.27"/>
  </r>
  <r>
    <s v="LEAD00163"/>
    <d v="2025-09-16T00:00:00"/>
    <x v="11"/>
    <x v="0"/>
    <x v="1"/>
    <s v="Fleet Expense Card"/>
    <s v="SME"/>
    <x v="5"/>
    <b v="1"/>
    <x v="0"/>
    <s v="Yes"/>
    <d v="2025-09-23T00:00:00"/>
    <m/>
    <m/>
    <d v="2025-10-16T00:00:00"/>
    <b v="1"/>
    <n v="543.88"/>
  </r>
  <r>
    <s v="LEAD00164"/>
    <d v="2025-04-04T00:00:00"/>
    <x v="3"/>
    <x v="0"/>
    <x v="1"/>
    <s v="Fuel Card"/>
    <s v="SME"/>
    <x v="3"/>
    <b v="1"/>
    <x v="0"/>
    <s v="No"/>
    <m/>
    <m/>
    <m/>
    <d v="2025-04-19T00:00:00"/>
    <b v="1"/>
    <n v="655.73"/>
  </r>
  <r>
    <s v="LEAD00165"/>
    <d v="2025-07-02T00:00:00"/>
    <x v="4"/>
    <x v="3"/>
    <x v="1"/>
    <s v="Fleet Expense Card"/>
    <s v="Mid-Market"/>
    <x v="9"/>
    <b v="1"/>
    <x v="2"/>
    <s v="Yes"/>
    <d v="2025-07-12T00:00:00"/>
    <d v="2025-07-18T00:00:00"/>
    <d v="2025-08-12T00:00:00"/>
    <m/>
    <b v="1"/>
    <n v="1977.9"/>
  </r>
  <r>
    <s v="LEAD00166"/>
    <d v="2025-04-11T00:00:00"/>
    <x v="3"/>
    <x v="3"/>
    <x v="3"/>
    <s v="Fuel Card"/>
    <s v="SME"/>
    <x v="10"/>
    <b v="1"/>
    <x v="2"/>
    <s v="Yes"/>
    <d v="2025-04-17T00:00:00"/>
    <d v="2025-04-21T00:00:00"/>
    <d v="2025-05-07T00:00:00"/>
    <m/>
    <b v="1"/>
    <n v="1018.13"/>
  </r>
  <r>
    <s v="LEAD00167"/>
    <d v="2025-11-15T00:00:00"/>
    <x v="10"/>
    <x v="4"/>
    <x v="3"/>
    <s v="Fuel Card"/>
    <s v="SME"/>
    <x v="12"/>
    <b v="1"/>
    <x v="0"/>
    <s v="Yes"/>
    <d v="2025-11-22T00:00:00"/>
    <m/>
    <m/>
    <d v="2025-12-07T00:00:00"/>
    <b v="1"/>
    <n v="1086.83"/>
  </r>
  <r>
    <s v="LEAD00168"/>
    <d v="2025-10-23T00:00:00"/>
    <x v="0"/>
    <x v="0"/>
    <x v="1"/>
    <s v="Fleet Expense Card"/>
    <s v="Mid-Market"/>
    <x v="5"/>
    <b v="1"/>
    <x v="0"/>
    <s v="Yes"/>
    <d v="2025-10-24T00:00:00"/>
    <d v="2025-10-29T00:00:00"/>
    <m/>
    <d v="2025-11-11T00:00:00"/>
    <b v="1"/>
    <n v="2854.5"/>
  </r>
  <r>
    <s v="LEAD00169"/>
    <d v="2025-07-26T00:00:00"/>
    <x v="4"/>
    <x v="0"/>
    <x v="0"/>
    <s v="Fleet Expense Card"/>
    <s v="SME"/>
    <x v="3"/>
    <b v="1"/>
    <x v="0"/>
    <s v="No"/>
    <m/>
    <m/>
    <m/>
    <d v="2025-08-05T00:00:00"/>
    <b v="1"/>
    <n v="868.16"/>
  </r>
  <r>
    <s v="LEAD00170"/>
    <d v="2025-10-15T00:00:00"/>
    <x v="0"/>
    <x v="1"/>
    <x v="2"/>
    <s v="EV Charge Card"/>
    <s v="SME"/>
    <x v="11"/>
    <b v="1"/>
    <x v="0"/>
    <s v="Yes"/>
    <d v="2025-10-16T00:00:00"/>
    <m/>
    <m/>
    <d v="2025-11-10T00:00:00"/>
    <b v="1"/>
    <n v="752.1"/>
  </r>
  <r>
    <s v="LEAD00171"/>
    <d v="2025-01-25T00:00:00"/>
    <x v="9"/>
    <x v="0"/>
    <x v="3"/>
    <s v="Fleet Expense Card"/>
    <s v="Mid-Market"/>
    <x v="5"/>
    <b v="1"/>
    <x v="0"/>
    <s v="Yes"/>
    <d v="2025-01-28T00:00:00"/>
    <d v="2025-02-09T00:00:00"/>
    <m/>
    <d v="2025-02-15T00:00:00"/>
    <b v="1"/>
    <n v="2629.65"/>
  </r>
  <r>
    <s v="LEAD00172"/>
    <d v="2025-06-27T00:00:00"/>
    <x v="5"/>
    <x v="4"/>
    <x v="2"/>
    <s v="Fuel Card"/>
    <s v="SME"/>
    <x v="13"/>
    <b v="1"/>
    <x v="0"/>
    <s v="Yes"/>
    <d v="2025-07-07T00:00:00"/>
    <m/>
    <m/>
    <d v="2025-07-13T00:00:00"/>
    <b v="1"/>
    <n v="1003.3"/>
  </r>
  <r>
    <s v="LEAD00173"/>
    <d v="2025-05-23T00:00:00"/>
    <x v="6"/>
    <x v="0"/>
    <x v="2"/>
    <s v="Fleet Expense Card"/>
    <s v="SME"/>
    <x v="0"/>
    <b v="1"/>
    <x v="0"/>
    <s v="Yes"/>
    <d v="2025-06-02T00:00:00"/>
    <m/>
    <m/>
    <d v="2025-06-18T00:00:00"/>
    <b v="1"/>
    <n v="802.33"/>
  </r>
  <r>
    <s v="LEAD00174"/>
    <d v="2025-08-02T00:00:00"/>
    <x v="2"/>
    <x v="1"/>
    <x v="1"/>
    <s v="Toll Solution"/>
    <s v="SME"/>
    <x v="14"/>
    <b v="1"/>
    <x v="0"/>
    <s v="No"/>
    <m/>
    <m/>
    <m/>
    <d v="2025-08-21T00:00:00"/>
    <b v="1"/>
    <n v="611.01"/>
  </r>
  <r>
    <s v="LEAD00175"/>
    <d v="2025-06-17T00:00:00"/>
    <x v="5"/>
    <x v="2"/>
    <x v="3"/>
    <s v="Fleet Expense Card"/>
    <s v="Enterprise"/>
    <x v="6"/>
    <b v="1"/>
    <x v="0"/>
    <s v="Yes"/>
    <d v="2025-06-19T00:00:00"/>
    <d v="2025-06-24T00:00:00"/>
    <m/>
    <d v="2025-07-04T00:00:00"/>
    <b v="1"/>
    <n v="7890.12"/>
  </r>
  <r>
    <s v="LEAD00176"/>
    <d v="2025-12-01T00:00:00"/>
    <x v="1"/>
    <x v="3"/>
    <x v="3"/>
    <s v="Toll Solution"/>
    <s v="SME"/>
    <x v="10"/>
    <b v="1"/>
    <x v="0"/>
    <s v="No"/>
    <m/>
    <m/>
    <m/>
    <d v="2025-12-06T00:00:00"/>
    <b v="1"/>
    <n v="400.15"/>
  </r>
  <r>
    <s v="LEAD00177"/>
    <d v="2025-09-22T00:00:00"/>
    <x v="11"/>
    <x v="1"/>
    <x v="1"/>
    <s v="Fuel Card"/>
    <s v="Mid-Market"/>
    <x v="11"/>
    <b v="1"/>
    <x v="0"/>
    <s v="No"/>
    <m/>
    <m/>
    <m/>
    <d v="2025-09-27T00:00:00"/>
    <b v="1"/>
    <n v="2287.29"/>
  </r>
  <r>
    <s v="LEAD00178"/>
    <d v="2025-03-19T00:00:00"/>
    <x v="7"/>
    <x v="4"/>
    <x v="2"/>
    <s v="Fuel Card"/>
    <s v="SME"/>
    <x v="7"/>
    <b v="1"/>
    <x v="0"/>
    <s v="Yes"/>
    <d v="2025-03-27T00:00:00"/>
    <d v="2025-04-05T00:00:00"/>
    <m/>
    <d v="2025-04-27T00:00:00"/>
    <b v="1"/>
    <n v="1017"/>
  </r>
  <r>
    <s v="LEAD00179"/>
    <d v="2025-10-30T00:00:00"/>
    <x v="0"/>
    <x v="3"/>
    <x v="1"/>
    <s v="Fleet Expense Card"/>
    <s v="Mid-Market"/>
    <x v="4"/>
    <b v="1"/>
    <x v="0"/>
    <s v="No"/>
    <m/>
    <m/>
    <m/>
    <d v="2025-11-07T00:00:00"/>
    <b v="1"/>
    <n v="2439.12"/>
  </r>
  <r>
    <s v="LEAD00180"/>
    <d v="2025-05-05T00:00:00"/>
    <x v="6"/>
    <x v="0"/>
    <x v="0"/>
    <s v="Fleet Expense Card"/>
    <s v="Mid-Market"/>
    <x v="0"/>
    <b v="1"/>
    <x v="0"/>
    <s v="No"/>
    <m/>
    <m/>
    <m/>
    <d v="2025-05-18T00:00:00"/>
    <b v="1"/>
    <n v="2494.48"/>
  </r>
  <r>
    <s v="LEAD00181"/>
    <d v="2025-11-26T00:00:00"/>
    <x v="10"/>
    <x v="3"/>
    <x v="4"/>
    <s v="Fleet Expense Card"/>
    <s v="Mid-Market"/>
    <x v="10"/>
    <b v="1"/>
    <x v="2"/>
    <s v="Yes"/>
    <d v="2025-12-04T00:00:00"/>
    <d v="2025-12-16T00:00:00"/>
    <d v="2026-01-01T00:00:00"/>
    <m/>
    <b v="1"/>
    <n v="3214.92"/>
  </r>
  <r>
    <s v="LEAD00182"/>
    <d v="2025-06-12T00:00:00"/>
    <x v="5"/>
    <x v="0"/>
    <x v="2"/>
    <s v="Fuel Card"/>
    <s v="SME"/>
    <x v="5"/>
    <b v="1"/>
    <x v="0"/>
    <s v="Yes"/>
    <d v="2025-06-22T00:00:00"/>
    <m/>
    <m/>
    <d v="2025-07-09T00:00:00"/>
    <b v="1"/>
    <n v="900.82"/>
  </r>
  <r>
    <s v="LEAD00183"/>
    <d v="2025-08-18T00:00:00"/>
    <x v="2"/>
    <x v="4"/>
    <x v="0"/>
    <s v="Fuel Card"/>
    <s v="SME"/>
    <x v="13"/>
    <b v="1"/>
    <x v="0"/>
    <s v="Yes"/>
    <d v="2025-08-25T00:00:00"/>
    <d v="2025-09-02T00:00:00"/>
    <m/>
    <d v="2025-09-22T00:00:00"/>
    <b v="1"/>
    <n v="1074.49"/>
  </r>
  <r>
    <s v="LEAD00184"/>
    <d v="2025-07-10T00:00:00"/>
    <x v="4"/>
    <x v="0"/>
    <x v="0"/>
    <s v="Toll Solution"/>
    <s v="SME"/>
    <x v="3"/>
    <b v="1"/>
    <x v="0"/>
    <s v="Yes"/>
    <d v="2025-07-17T00:00:00"/>
    <d v="2025-07-29T00:00:00"/>
    <m/>
    <d v="2025-08-12T00:00:00"/>
    <b v="1"/>
    <n v="509.46"/>
  </r>
  <r>
    <s v="LEAD00185"/>
    <d v="2025-01-22T00:00:00"/>
    <x v="9"/>
    <x v="2"/>
    <x v="2"/>
    <s v="Fuel Card"/>
    <s v="SME"/>
    <x v="6"/>
    <b v="1"/>
    <x v="0"/>
    <s v="Yes"/>
    <d v="2025-01-27T00:00:00"/>
    <m/>
    <m/>
    <d v="2025-02-21T00:00:00"/>
    <b v="1"/>
    <n v="864.32"/>
  </r>
  <r>
    <s v="LEAD00186"/>
    <d v="2025-11-05T00:00:00"/>
    <x v="10"/>
    <x v="2"/>
    <x v="2"/>
    <s v="Fleet Expense Card"/>
    <s v="Mid-Market"/>
    <x v="6"/>
    <b v="1"/>
    <x v="2"/>
    <s v="Yes"/>
    <d v="2025-11-09T00:00:00"/>
    <d v="2025-11-11T00:00:00"/>
    <d v="2025-11-26T00:00:00"/>
    <m/>
    <b v="1"/>
    <n v="2603.91"/>
  </r>
  <r>
    <s v="LEAD00187"/>
    <d v="2025-11-28T00:00:00"/>
    <x v="10"/>
    <x v="1"/>
    <x v="1"/>
    <s v="Fleet Expense Card"/>
    <s v="SME"/>
    <x v="11"/>
    <b v="1"/>
    <x v="0"/>
    <s v="Yes"/>
    <d v="2025-12-08T00:00:00"/>
    <d v="2025-12-19T00:00:00"/>
    <m/>
    <d v="2026-01-22T00:00:00"/>
    <b v="1"/>
    <n v="786.61"/>
  </r>
  <r>
    <s v="LEAD00188"/>
    <d v="2025-03-04T00:00:00"/>
    <x v="7"/>
    <x v="0"/>
    <x v="0"/>
    <s v="Fleet Expense Card"/>
    <s v="SME"/>
    <x v="0"/>
    <b v="1"/>
    <x v="0"/>
    <s v="No"/>
    <m/>
    <m/>
    <m/>
    <d v="2025-03-07T00:00:00"/>
    <b v="1"/>
    <n v="581.13"/>
  </r>
  <r>
    <s v="LEAD00189"/>
    <d v="2025-08-10T00:00:00"/>
    <x v="2"/>
    <x v="4"/>
    <x v="2"/>
    <s v="Fuel Card"/>
    <s v="SME"/>
    <x v="7"/>
    <b v="1"/>
    <x v="2"/>
    <s v="Yes"/>
    <d v="2025-08-16T00:00:00"/>
    <d v="2025-08-18T00:00:00"/>
    <d v="2025-08-30T00:00:00"/>
    <m/>
    <b v="1"/>
    <n v="616.57000000000005"/>
  </r>
  <r>
    <s v="LEAD00190"/>
    <d v="2025-06-30T00:00:00"/>
    <x v="5"/>
    <x v="0"/>
    <x v="0"/>
    <s v="EV Charge Card"/>
    <s v="SME"/>
    <x v="0"/>
    <b v="1"/>
    <x v="0"/>
    <s v="No"/>
    <m/>
    <m/>
    <m/>
    <d v="2025-07-18T00:00:00"/>
    <b v="1"/>
    <n v="581.99"/>
  </r>
  <r>
    <s v="LEAD00191"/>
    <d v="2025-09-18T00:00:00"/>
    <x v="11"/>
    <x v="3"/>
    <x v="0"/>
    <s v="Toll Solution"/>
    <s v="Mid-Market"/>
    <x v="4"/>
    <b v="1"/>
    <x v="0"/>
    <s v="Yes"/>
    <d v="2025-09-28T00:00:00"/>
    <d v="2025-10-06T00:00:00"/>
    <m/>
    <d v="2025-11-10T00:00:00"/>
    <b v="1"/>
    <n v="1375.65"/>
  </r>
  <r>
    <s v="LEAD00192"/>
    <d v="2025-05-27T00:00:00"/>
    <x v="6"/>
    <x v="3"/>
    <x v="1"/>
    <s v="EV Charge Card"/>
    <s v="SME"/>
    <x v="10"/>
    <b v="1"/>
    <x v="0"/>
    <s v="Yes"/>
    <d v="2025-06-05T00:00:00"/>
    <d v="2025-06-16T00:00:00"/>
    <m/>
    <d v="2025-07-18T00:00:00"/>
    <b v="1"/>
    <n v="482.58"/>
  </r>
  <r>
    <s v="LEAD00193"/>
    <d v="2025-09-22T00:00:00"/>
    <x v="11"/>
    <x v="0"/>
    <x v="3"/>
    <s v="Toll Solution"/>
    <s v="Mid-Market"/>
    <x v="3"/>
    <b v="1"/>
    <x v="2"/>
    <s v="Yes"/>
    <d v="2025-09-23T00:00:00"/>
    <d v="2025-09-27T00:00:00"/>
    <d v="2025-10-09T00:00:00"/>
    <m/>
    <b v="1"/>
    <n v="1203.6400000000001"/>
  </r>
  <r>
    <s v="LEAD00194"/>
    <d v="2025-04-21T00:00:00"/>
    <x v="3"/>
    <x v="0"/>
    <x v="2"/>
    <s v="Fuel Card"/>
    <s v="SME"/>
    <x v="3"/>
    <b v="1"/>
    <x v="0"/>
    <s v="No"/>
    <m/>
    <m/>
    <m/>
    <d v="2025-04-27T00:00:00"/>
    <b v="1"/>
    <n v="650.04"/>
  </r>
  <r>
    <s v="LEAD00195"/>
    <d v="2025-05-12T00:00:00"/>
    <x v="6"/>
    <x v="2"/>
    <x v="0"/>
    <s v="Fuel Card"/>
    <s v="SME"/>
    <x v="2"/>
    <b v="1"/>
    <x v="0"/>
    <s v="Yes"/>
    <d v="2025-05-22T00:00:00"/>
    <d v="2025-05-28T00:00:00"/>
    <m/>
    <d v="2025-06-20T00:00:00"/>
    <b v="1"/>
    <n v="598.97"/>
  </r>
  <r>
    <s v="LEAD00196"/>
    <d v="2025-08-04T00:00:00"/>
    <x v="2"/>
    <x v="4"/>
    <x v="3"/>
    <s v="Fuel Card"/>
    <s v="SME"/>
    <x v="12"/>
    <b v="1"/>
    <x v="0"/>
    <s v="No"/>
    <m/>
    <m/>
    <m/>
    <d v="2025-08-11T00:00:00"/>
    <b v="1"/>
    <n v="866"/>
  </r>
  <r>
    <s v="LEAD00197"/>
    <d v="2025-05-31T00:00:00"/>
    <x v="6"/>
    <x v="4"/>
    <x v="4"/>
    <s v="EV Charge Card"/>
    <s v="SME"/>
    <x v="7"/>
    <b v="1"/>
    <x v="0"/>
    <s v="Yes"/>
    <d v="2025-06-06T00:00:00"/>
    <d v="2025-06-21T00:00:00"/>
    <m/>
    <d v="2025-07-03T00:00:00"/>
    <b v="1"/>
    <n v="560.97"/>
  </r>
  <r>
    <s v="LEAD00198"/>
    <d v="2025-06-01T00:00:00"/>
    <x v="5"/>
    <x v="0"/>
    <x v="1"/>
    <s v="EV Charge Card"/>
    <s v="SME"/>
    <x v="3"/>
    <b v="1"/>
    <x v="2"/>
    <s v="Yes"/>
    <d v="2025-06-09T00:00:00"/>
    <d v="2025-06-16T00:00:00"/>
    <d v="2025-06-28T00:00:00"/>
    <m/>
    <b v="1"/>
    <n v="711.74"/>
  </r>
  <r>
    <s v="LEAD00199"/>
    <d v="2025-06-08T00:00:00"/>
    <x v="5"/>
    <x v="0"/>
    <x v="1"/>
    <s v="Fuel Card"/>
    <s v="SME"/>
    <x v="5"/>
    <b v="1"/>
    <x v="2"/>
    <s v="Yes"/>
    <d v="2025-06-18T00:00:00"/>
    <d v="2025-06-24T00:00:00"/>
    <d v="2025-07-03T00:00:00"/>
    <m/>
    <b v="1"/>
    <n v="1083.67"/>
  </r>
  <r>
    <s v="LEAD00200"/>
    <d v="2025-12-08T00:00:00"/>
    <x v="1"/>
    <x v="1"/>
    <x v="3"/>
    <s v="Toll Solution"/>
    <s v="SME"/>
    <x v="1"/>
    <b v="1"/>
    <x v="4"/>
    <s v="No"/>
    <m/>
    <m/>
    <m/>
    <m/>
    <b v="1"/>
    <n v="424.82"/>
  </r>
  <r>
    <s v="LEAD00201"/>
    <d v="2025-02-19T00:00:00"/>
    <x v="8"/>
    <x v="0"/>
    <x v="0"/>
    <s v="Fuel Card"/>
    <s v="Enterprise"/>
    <x v="5"/>
    <b v="1"/>
    <x v="0"/>
    <s v="No"/>
    <m/>
    <m/>
    <m/>
    <d v="2025-03-11T00:00:00"/>
    <b v="1"/>
    <n v="6242.92"/>
  </r>
  <r>
    <s v="LEAD00202"/>
    <d v="2025-12-02T00:00:00"/>
    <x v="1"/>
    <x v="0"/>
    <x v="1"/>
    <s v="Fuel Card"/>
    <s v="SME"/>
    <x v="0"/>
    <b v="1"/>
    <x v="2"/>
    <s v="Yes"/>
    <d v="2025-12-09T00:00:00"/>
    <d v="2025-12-24T00:00:00"/>
    <d v="2026-01-15T00:00:00"/>
    <m/>
    <b v="1"/>
    <n v="848.18"/>
  </r>
  <r>
    <s v="LEAD00203"/>
    <d v="2025-09-12T00:00:00"/>
    <x v="11"/>
    <x v="4"/>
    <x v="0"/>
    <s v="Fuel Card"/>
    <s v="Mid-Market"/>
    <x v="7"/>
    <b v="1"/>
    <x v="0"/>
    <s v="Yes"/>
    <d v="2025-09-13T00:00:00"/>
    <d v="2025-09-25T00:00:00"/>
    <m/>
    <d v="2025-10-23T00:00:00"/>
    <b v="1"/>
    <n v="2316.3200000000002"/>
  </r>
  <r>
    <s v="LEAD00204"/>
    <d v="2025-07-08T00:00:00"/>
    <x v="4"/>
    <x v="0"/>
    <x v="1"/>
    <s v="Fuel Card"/>
    <s v="SME"/>
    <x v="3"/>
    <b v="1"/>
    <x v="0"/>
    <s v="Yes"/>
    <d v="2025-07-11T00:00:00"/>
    <d v="2025-07-20T00:00:00"/>
    <m/>
    <d v="2025-08-13T00:00:00"/>
    <b v="1"/>
    <n v="1026.05"/>
  </r>
  <r>
    <s v="LEAD00205"/>
    <d v="2025-08-10T00:00:00"/>
    <x v="2"/>
    <x v="2"/>
    <x v="5"/>
    <s v="Fuel Card"/>
    <s v="SME"/>
    <x v="6"/>
    <b v="1"/>
    <x v="0"/>
    <s v="Yes"/>
    <d v="2025-08-15T00:00:00"/>
    <m/>
    <m/>
    <d v="2025-08-26T00:00:00"/>
    <b v="1"/>
    <n v="845.53"/>
  </r>
  <r>
    <s v="LEAD00206"/>
    <d v="2025-03-31T00:00:00"/>
    <x v="7"/>
    <x v="2"/>
    <x v="0"/>
    <s v="Fleet Expense Card"/>
    <s v="Mid-Market"/>
    <x v="6"/>
    <b v="1"/>
    <x v="0"/>
    <s v="Yes"/>
    <d v="2025-04-03T00:00:00"/>
    <d v="2025-04-08T00:00:00"/>
    <m/>
    <d v="2025-04-28T00:00:00"/>
    <b v="1"/>
    <n v="2327.85"/>
  </r>
  <r>
    <s v="LEAD00207"/>
    <d v="2025-02-27T00:00:00"/>
    <x v="8"/>
    <x v="0"/>
    <x v="1"/>
    <s v="Fuel Card"/>
    <s v="SME"/>
    <x v="0"/>
    <b v="1"/>
    <x v="0"/>
    <s v="Yes"/>
    <d v="2025-03-04T00:00:00"/>
    <m/>
    <m/>
    <d v="2025-03-11T00:00:00"/>
    <b v="1"/>
    <n v="1085.96"/>
  </r>
  <r>
    <s v="LEAD00208"/>
    <d v="2025-07-25T00:00:00"/>
    <x v="4"/>
    <x v="0"/>
    <x v="2"/>
    <s v="Fuel Card"/>
    <s v="SME"/>
    <x v="0"/>
    <b v="1"/>
    <x v="2"/>
    <s v="Yes"/>
    <d v="2025-08-01T00:00:00"/>
    <d v="2025-08-15T00:00:00"/>
    <d v="2025-08-18T00:00:00"/>
    <m/>
    <b v="1"/>
    <n v="732.17"/>
  </r>
  <r>
    <s v="LEAD00209"/>
    <d v="2025-02-22T00:00:00"/>
    <x v="8"/>
    <x v="4"/>
    <x v="2"/>
    <s v="Fuel Card"/>
    <s v="Mid-Market"/>
    <x v="13"/>
    <b v="1"/>
    <x v="0"/>
    <s v="Yes"/>
    <d v="2025-02-28T00:00:00"/>
    <d v="2025-03-05T00:00:00"/>
    <m/>
    <d v="2025-04-08T00:00:00"/>
    <b v="1"/>
    <n v="2894.11"/>
  </r>
  <r>
    <s v="LEAD00210"/>
    <d v="2025-06-12T00:00:00"/>
    <x v="5"/>
    <x v="4"/>
    <x v="2"/>
    <s v="Toll Solution"/>
    <s v="SME"/>
    <x v="12"/>
    <b v="1"/>
    <x v="0"/>
    <s v="No"/>
    <m/>
    <m/>
    <m/>
    <d v="2025-06-21T00:00:00"/>
    <b v="1"/>
    <n v="591.82000000000005"/>
  </r>
  <r>
    <s v="LEAD00211"/>
    <d v="2025-08-14T00:00:00"/>
    <x v="2"/>
    <x v="4"/>
    <x v="1"/>
    <s v="Fleet Expense Card"/>
    <s v="Mid-Market"/>
    <x v="7"/>
    <b v="1"/>
    <x v="0"/>
    <s v="No"/>
    <m/>
    <m/>
    <m/>
    <d v="2025-08-31T00:00:00"/>
    <b v="1"/>
    <n v="1964.63"/>
  </r>
  <r>
    <s v="LEAD00212"/>
    <d v="2025-12-16T00:00:00"/>
    <x v="1"/>
    <x v="3"/>
    <x v="4"/>
    <s v="Fuel Card"/>
    <s v="SME"/>
    <x v="4"/>
    <b v="1"/>
    <x v="1"/>
    <s v="Yes"/>
    <d v="2025-12-19T00:00:00"/>
    <d v="2025-12-20T00:00:00"/>
    <m/>
    <m/>
    <b v="1"/>
    <n v="925.71"/>
  </r>
  <r>
    <s v="LEAD00213"/>
    <d v="2025-02-10T00:00:00"/>
    <x v="8"/>
    <x v="2"/>
    <x v="3"/>
    <s v="Toll Solution"/>
    <s v="SME"/>
    <x v="8"/>
    <b v="1"/>
    <x v="0"/>
    <s v="Yes"/>
    <d v="2025-02-19T00:00:00"/>
    <m/>
    <m/>
    <d v="2025-03-09T00:00:00"/>
    <b v="1"/>
    <n v="443.73"/>
  </r>
  <r>
    <s v="LEAD00214"/>
    <d v="2025-08-05T00:00:00"/>
    <x v="2"/>
    <x v="4"/>
    <x v="2"/>
    <s v="Fleet Expense Card"/>
    <s v="Enterprise"/>
    <x v="7"/>
    <b v="1"/>
    <x v="2"/>
    <s v="Yes"/>
    <d v="2025-08-11T00:00:00"/>
    <d v="2025-08-25T00:00:00"/>
    <d v="2025-09-03T00:00:00"/>
    <m/>
    <b v="1"/>
    <n v="5993.39"/>
  </r>
  <r>
    <s v="LEAD00215"/>
    <d v="2025-12-13T00:00:00"/>
    <x v="1"/>
    <x v="1"/>
    <x v="3"/>
    <s v="EV Charge Card"/>
    <s v="Mid-Market"/>
    <x v="14"/>
    <b v="1"/>
    <x v="2"/>
    <s v="Yes"/>
    <d v="2025-12-23T00:00:00"/>
    <d v="2026-01-07T00:00:00"/>
    <d v="2026-01-27T00:00:00"/>
    <m/>
    <b v="1"/>
    <n v="2794.31"/>
  </r>
  <r>
    <s v="LEAD00216"/>
    <d v="2025-11-02T00:00:00"/>
    <x v="10"/>
    <x v="1"/>
    <x v="1"/>
    <s v="EV Charge Card"/>
    <s v="SME"/>
    <x v="11"/>
    <b v="1"/>
    <x v="0"/>
    <s v="Yes"/>
    <d v="2025-11-11T00:00:00"/>
    <m/>
    <m/>
    <d v="2025-12-01T00:00:00"/>
    <b v="1"/>
    <n v="485.17"/>
  </r>
  <r>
    <s v="LEAD00217"/>
    <d v="2025-10-18T00:00:00"/>
    <x v="0"/>
    <x v="0"/>
    <x v="3"/>
    <s v="Fuel Card"/>
    <s v="Enterprise"/>
    <x v="0"/>
    <b v="1"/>
    <x v="0"/>
    <s v="No"/>
    <m/>
    <m/>
    <m/>
    <d v="2025-10-29T00:00:00"/>
    <b v="1"/>
    <n v="6692.85"/>
  </r>
  <r>
    <s v="LEAD00218"/>
    <d v="2025-04-17T00:00:00"/>
    <x v="3"/>
    <x v="3"/>
    <x v="2"/>
    <s v="EV Charge Card"/>
    <s v="Enterprise"/>
    <x v="10"/>
    <b v="1"/>
    <x v="0"/>
    <s v="Yes"/>
    <d v="2025-04-25T00:00:00"/>
    <d v="2025-05-10T00:00:00"/>
    <m/>
    <d v="2025-06-13T00:00:00"/>
    <b v="1"/>
    <n v="8806.5400000000009"/>
  </r>
  <r>
    <s v="LEAD00219"/>
    <d v="2025-05-22T00:00:00"/>
    <x v="6"/>
    <x v="0"/>
    <x v="1"/>
    <s v="Fuel Card"/>
    <s v="Enterprise"/>
    <x v="5"/>
    <b v="1"/>
    <x v="0"/>
    <s v="No"/>
    <m/>
    <m/>
    <m/>
    <d v="2025-05-24T00:00:00"/>
    <b v="1"/>
    <n v="5954.11"/>
  </r>
  <r>
    <s v="LEAD00220"/>
    <d v="2025-04-04T00:00:00"/>
    <x v="3"/>
    <x v="3"/>
    <x v="2"/>
    <s v="EV Charge Card"/>
    <s v="Mid-Market"/>
    <x v="9"/>
    <b v="1"/>
    <x v="2"/>
    <s v="Yes"/>
    <d v="2025-04-14T00:00:00"/>
    <d v="2025-04-21T00:00:00"/>
    <d v="2025-04-25T00:00:00"/>
    <m/>
    <b v="1"/>
    <n v="2371.38"/>
  </r>
  <r>
    <s v="LEAD00221"/>
    <d v="2025-03-29T00:00:00"/>
    <x v="7"/>
    <x v="2"/>
    <x v="2"/>
    <s v="Fuel Card"/>
    <s v="SME"/>
    <x v="6"/>
    <b v="1"/>
    <x v="0"/>
    <s v="No"/>
    <m/>
    <m/>
    <m/>
    <d v="2025-04-04T00:00:00"/>
    <b v="1"/>
    <n v="793.87"/>
  </r>
  <r>
    <s v="LEAD00222"/>
    <d v="2025-07-30T00:00:00"/>
    <x v="4"/>
    <x v="4"/>
    <x v="3"/>
    <s v="Fuel Card"/>
    <s v="Enterprise"/>
    <x v="13"/>
    <b v="1"/>
    <x v="0"/>
    <s v="No"/>
    <m/>
    <m/>
    <m/>
    <d v="2025-08-01T00:00:00"/>
    <b v="1"/>
    <n v="11162.71"/>
  </r>
  <r>
    <s v="LEAD00223"/>
    <d v="2025-10-31T00:00:00"/>
    <x v="0"/>
    <x v="4"/>
    <x v="2"/>
    <s v="Fleet Expense Card"/>
    <s v="Mid-Market"/>
    <x v="12"/>
    <b v="1"/>
    <x v="0"/>
    <s v="No"/>
    <m/>
    <m/>
    <m/>
    <d v="2025-11-05T00:00:00"/>
    <b v="1"/>
    <n v="2915.21"/>
  </r>
  <r>
    <s v="LEAD00224"/>
    <d v="2025-04-06T00:00:00"/>
    <x v="3"/>
    <x v="2"/>
    <x v="1"/>
    <s v="EV Charge Card"/>
    <s v="Mid-Market"/>
    <x v="2"/>
    <b v="1"/>
    <x v="0"/>
    <s v="No"/>
    <m/>
    <m/>
    <m/>
    <d v="2025-04-10T00:00:00"/>
    <b v="1"/>
    <n v="1801.97"/>
  </r>
  <r>
    <s v="LEAD00225"/>
    <d v="2025-12-31T00:00:00"/>
    <x v="1"/>
    <x v="3"/>
    <x v="1"/>
    <s v="Fleet Expense Card"/>
    <s v="SME"/>
    <x v="4"/>
    <b v="1"/>
    <x v="3"/>
    <s v="Yes"/>
    <d v="2026-01-07T00:00:00"/>
    <m/>
    <m/>
    <m/>
    <b v="1"/>
    <n v="871.57"/>
  </r>
  <r>
    <s v="LEAD00226"/>
    <d v="2025-05-06T00:00:00"/>
    <x v="6"/>
    <x v="2"/>
    <x v="1"/>
    <s v="EV Charge Card"/>
    <s v="SME"/>
    <x v="2"/>
    <b v="1"/>
    <x v="0"/>
    <s v="Yes"/>
    <d v="2025-05-09T00:00:00"/>
    <d v="2025-05-14T00:00:00"/>
    <m/>
    <d v="2025-06-03T00:00:00"/>
    <b v="1"/>
    <n v="842.06"/>
  </r>
  <r>
    <s v="LEAD00227"/>
    <d v="2025-11-10T00:00:00"/>
    <x v="10"/>
    <x v="4"/>
    <x v="2"/>
    <s v="Fuel Card"/>
    <s v="SME"/>
    <x v="7"/>
    <b v="1"/>
    <x v="2"/>
    <s v="Yes"/>
    <d v="2025-11-14T00:00:00"/>
    <d v="2025-11-23T00:00:00"/>
    <d v="2025-12-09T00:00:00"/>
    <m/>
    <b v="1"/>
    <n v="714.73"/>
  </r>
  <r>
    <s v="LEAD00228"/>
    <d v="2025-09-27T00:00:00"/>
    <x v="11"/>
    <x v="4"/>
    <x v="3"/>
    <s v="Fleet Expense Card"/>
    <s v="SME"/>
    <x v="12"/>
    <b v="1"/>
    <x v="0"/>
    <s v="Yes"/>
    <d v="2025-10-03T00:00:00"/>
    <d v="2025-10-09T00:00:00"/>
    <m/>
    <d v="2025-11-13T00:00:00"/>
    <b v="1"/>
    <n v="922.69"/>
  </r>
  <r>
    <s v="LEAD00229"/>
    <d v="2025-08-07T00:00:00"/>
    <x v="2"/>
    <x v="1"/>
    <x v="4"/>
    <s v="EV Charge Card"/>
    <s v="Enterprise"/>
    <x v="1"/>
    <b v="1"/>
    <x v="2"/>
    <s v="Yes"/>
    <d v="2025-08-08T00:00:00"/>
    <d v="2025-08-21T00:00:00"/>
    <d v="2025-08-26T00:00:00"/>
    <m/>
    <b v="1"/>
    <n v="7135"/>
  </r>
  <r>
    <s v="LEAD00230"/>
    <d v="2025-04-28T00:00:00"/>
    <x v="3"/>
    <x v="3"/>
    <x v="1"/>
    <s v="Fleet Expense Card"/>
    <s v="Mid-Market"/>
    <x v="4"/>
    <b v="1"/>
    <x v="0"/>
    <s v="Yes"/>
    <d v="2025-05-07T00:00:00"/>
    <d v="2025-05-19T00:00:00"/>
    <m/>
    <d v="2025-05-26T00:00:00"/>
    <b v="1"/>
    <n v="1747.77"/>
  </r>
  <r>
    <s v="LEAD00231"/>
    <d v="2025-03-06T00:00:00"/>
    <x v="7"/>
    <x v="0"/>
    <x v="3"/>
    <s v="Fuel Card"/>
    <s v="SME"/>
    <x v="0"/>
    <b v="1"/>
    <x v="0"/>
    <s v="No"/>
    <m/>
    <m/>
    <m/>
    <d v="2025-03-12T00:00:00"/>
    <b v="1"/>
    <n v="712.51"/>
  </r>
  <r>
    <s v="LEAD00232"/>
    <d v="2025-01-31T00:00:00"/>
    <x v="9"/>
    <x v="3"/>
    <x v="2"/>
    <s v="EV Charge Card"/>
    <s v="SME"/>
    <x v="10"/>
    <b v="1"/>
    <x v="2"/>
    <s v="Yes"/>
    <d v="2025-02-05T00:00:00"/>
    <d v="2025-02-20T00:00:00"/>
    <d v="2025-03-02T00:00:00"/>
    <m/>
    <b v="1"/>
    <n v="703.07"/>
  </r>
  <r>
    <s v="LEAD00233"/>
    <d v="2025-05-31T00:00:00"/>
    <x v="6"/>
    <x v="1"/>
    <x v="1"/>
    <s v="Fuel Card"/>
    <s v="Enterprise"/>
    <x v="14"/>
    <b v="1"/>
    <x v="0"/>
    <s v="Yes"/>
    <d v="2025-06-08T00:00:00"/>
    <m/>
    <m/>
    <d v="2025-06-26T00:00:00"/>
    <b v="1"/>
    <n v="8785.84"/>
  </r>
  <r>
    <s v="LEAD00234"/>
    <d v="2025-08-11T00:00:00"/>
    <x v="2"/>
    <x v="3"/>
    <x v="0"/>
    <s v="EV Charge Card"/>
    <s v="SME"/>
    <x v="4"/>
    <b v="1"/>
    <x v="0"/>
    <s v="Yes"/>
    <d v="2025-08-17T00:00:00"/>
    <m/>
    <m/>
    <d v="2025-08-22T00:00:00"/>
    <b v="1"/>
    <n v="675.83"/>
  </r>
  <r>
    <s v="LEAD00235"/>
    <d v="2025-10-29T00:00:00"/>
    <x v="0"/>
    <x v="2"/>
    <x v="2"/>
    <s v="EV Charge Card"/>
    <s v="Mid-Market"/>
    <x v="8"/>
    <b v="1"/>
    <x v="2"/>
    <s v="Yes"/>
    <d v="2025-11-04T00:00:00"/>
    <d v="2025-11-11T00:00:00"/>
    <d v="2025-11-27T00:00:00"/>
    <m/>
    <b v="1"/>
    <n v="2725.98"/>
  </r>
  <r>
    <s v="LEAD00236"/>
    <d v="2025-08-06T00:00:00"/>
    <x v="2"/>
    <x v="3"/>
    <x v="3"/>
    <s v="Toll Solution"/>
    <s v="Enterprise"/>
    <x v="4"/>
    <b v="1"/>
    <x v="2"/>
    <s v="Yes"/>
    <d v="2025-08-14T00:00:00"/>
    <d v="2025-08-21T00:00:00"/>
    <d v="2025-09-17T00:00:00"/>
    <m/>
    <b v="1"/>
    <n v="6448.96"/>
  </r>
  <r>
    <s v="LEAD00237"/>
    <d v="2025-01-11T00:00:00"/>
    <x v="9"/>
    <x v="4"/>
    <x v="4"/>
    <s v="Fuel Card"/>
    <s v="SME"/>
    <x v="12"/>
    <b v="1"/>
    <x v="2"/>
    <s v="Yes"/>
    <d v="2025-01-20T00:00:00"/>
    <d v="2025-01-24T00:00:00"/>
    <d v="2025-02-09T00:00:00"/>
    <m/>
    <b v="1"/>
    <n v="765.02"/>
  </r>
  <r>
    <s v="LEAD00238"/>
    <d v="2025-04-20T00:00:00"/>
    <x v="3"/>
    <x v="3"/>
    <x v="1"/>
    <s v="EV Charge Card"/>
    <s v="SME"/>
    <x v="4"/>
    <b v="1"/>
    <x v="2"/>
    <s v="Yes"/>
    <d v="2025-04-22T00:00:00"/>
    <d v="2025-04-30T00:00:00"/>
    <d v="2025-05-30T00:00:00"/>
    <m/>
    <b v="1"/>
    <n v="777.05"/>
  </r>
  <r>
    <s v="LEAD00239"/>
    <d v="2025-05-13T00:00:00"/>
    <x v="6"/>
    <x v="3"/>
    <x v="1"/>
    <s v="Toll Solution"/>
    <s v="SME"/>
    <x v="10"/>
    <b v="1"/>
    <x v="2"/>
    <s v="Yes"/>
    <d v="2025-05-14T00:00:00"/>
    <d v="2025-05-20T00:00:00"/>
    <d v="2025-05-27T00:00:00"/>
    <m/>
    <b v="1"/>
    <n v="540.37"/>
  </r>
  <r>
    <s v="LEAD00240"/>
    <d v="2025-06-22T00:00:00"/>
    <x v="5"/>
    <x v="3"/>
    <x v="1"/>
    <s v="Fuel Card"/>
    <s v="Mid-Market"/>
    <x v="10"/>
    <b v="1"/>
    <x v="0"/>
    <s v="Yes"/>
    <d v="2025-06-29T00:00:00"/>
    <d v="2025-07-12T00:00:00"/>
    <m/>
    <d v="2025-07-30T00:00:00"/>
    <b v="1"/>
    <n v="2931.18"/>
  </r>
  <r>
    <s v="LEAD00241"/>
    <d v="2025-07-02T00:00:00"/>
    <x v="4"/>
    <x v="4"/>
    <x v="2"/>
    <s v="Fuel Card"/>
    <s v="SME"/>
    <x v="12"/>
    <b v="1"/>
    <x v="2"/>
    <s v="Yes"/>
    <d v="2025-07-04T00:00:00"/>
    <d v="2025-07-19T00:00:00"/>
    <d v="2025-07-30T00:00:00"/>
    <m/>
    <b v="1"/>
    <n v="1005.07"/>
  </r>
  <r>
    <s v="LEAD00242"/>
    <d v="2025-06-15T00:00:00"/>
    <x v="5"/>
    <x v="3"/>
    <x v="3"/>
    <s v="Fuel Card"/>
    <s v="Mid-Market"/>
    <x v="9"/>
    <b v="1"/>
    <x v="0"/>
    <s v="No"/>
    <m/>
    <m/>
    <m/>
    <d v="2025-06-21T00:00:00"/>
    <b v="1"/>
    <n v="3202.34"/>
  </r>
  <r>
    <s v="LEAD00243"/>
    <d v="2025-03-12T00:00:00"/>
    <x v="7"/>
    <x v="3"/>
    <x v="1"/>
    <s v="Fuel Card"/>
    <s v="SME"/>
    <x v="4"/>
    <b v="1"/>
    <x v="0"/>
    <s v="No"/>
    <m/>
    <m/>
    <m/>
    <d v="2025-04-01T00:00:00"/>
    <b v="1"/>
    <n v="1059.95"/>
  </r>
  <r>
    <s v="LEAD00244"/>
    <d v="2025-03-04T00:00:00"/>
    <x v="7"/>
    <x v="4"/>
    <x v="4"/>
    <s v="Fuel Card"/>
    <s v="SME"/>
    <x v="7"/>
    <b v="1"/>
    <x v="0"/>
    <s v="Yes"/>
    <d v="2025-03-10T00:00:00"/>
    <d v="2025-03-24T00:00:00"/>
    <m/>
    <d v="2025-03-29T00:00:00"/>
    <b v="1"/>
    <n v="650.91"/>
  </r>
  <r>
    <s v="LEAD00245"/>
    <d v="2025-09-03T00:00:00"/>
    <x v="11"/>
    <x v="3"/>
    <x v="1"/>
    <s v="Fuel Card"/>
    <s v="Enterprise"/>
    <x v="9"/>
    <b v="1"/>
    <x v="0"/>
    <s v="Yes"/>
    <d v="2025-09-11T00:00:00"/>
    <d v="2025-09-21T00:00:00"/>
    <m/>
    <d v="2025-10-12T00:00:00"/>
    <b v="1"/>
    <n v="7417.17"/>
  </r>
  <r>
    <s v="LEAD00246"/>
    <d v="2025-09-10T00:00:00"/>
    <x v="11"/>
    <x v="4"/>
    <x v="0"/>
    <s v="Fuel Card"/>
    <s v="SME"/>
    <x v="7"/>
    <b v="1"/>
    <x v="2"/>
    <s v="Yes"/>
    <d v="2025-09-13T00:00:00"/>
    <d v="2025-09-16T00:00:00"/>
    <d v="2025-10-12T00:00:00"/>
    <m/>
    <b v="1"/>
    <n v="982.51"/>
  </r>
  <r>
    <s v="LEAD00247"/>
    <d v="2025-07-07T00:00:00"/>
    <x v="4"/>
    <x v="3"/>
    <x v="0"/>
    <s v="Fleet Expense Card"/>
    <s v="SME"/>
    <x v="9"/>
    <b v="1"/>
    <x v="0"/>
    <s v="No"/>
    <m/>
    <m/>
    <m/>
    <d v="2025-07-17T00:00:00"/>
    <b v="1"/>
    <n v="721.48"/>
  </r>
  <r>
    <s v="LEAD00248"/>
    <d v="2025-07-17T00:00:00"/>
    <x v="4"/>
    <x v="3"/>
    <x v="3"/>
    <s v="Fuel Card"/>
    <s v="Mid-Market"/>
    <x v="10"/>
    <b v="1"/>
    <x v="0"/>
    <s v="No"/>
    <m/>
    <m/>
    <m/>
    <d v="2025-07-22T00:00:00"/>
    <b v="1"/>
    <n v="2370.63"/>
  </r>
  <r>
    <s v="LEAD00249"/>
    <d v="2025-12-27T00:00:00"/>
    <x v="1"/>
    <x v="4"/>
    <x v="0"/>
    <s v="Fuel Card"/>
    <s v="SME"/>
    <x v="7"/>
    <b v="1"/>
    <x v="4"/>
    <s v="No"/>
    <m/>
    <m/>
    <m/>
    <m/>
    <b v="1"/>
    <n v="769.88"/>
  </r>
  <r>
    <s v="LEAD00250"/>
    <d v="2025-04-07T00:00:00"/>
    <x v="3"/>
    <x v="4"/>
    <x v="2"/>
    <s v="Fuel Card"/>
    <s v="SME"/>
    <x v="12"/>
    <b v="1"/>
    <x v="0"/>
    <s v="Yes"/>
    <d v="2025-04-13T00:00:00"/>
    <d v="2025-04-15T00:00:00"/>
    <m/>
    <d v="2025-04-30T00:00:00"/>
    <b v="1"/>
    <n v="1043.6099999999999"/>
  </r>
  <r>
    <s v="LEAD00251"/>
    <d v="2025-11-17T00:00:00"/>
    <x v="10"/>
    <x v="3"/>
    <x v="1"/>
    <s v="EV Charge Card"/>
    <s v="SME"/>
    <x v="9"/>
    <b v="1"/>
    <x v="0"/>
    <s v="Yes"/>
    <d v="2025-11-19T00:00:00"/>
    <m/>
    <m/>
    <d v="2025-12-13T00:00:00"/>
    <b v="1"/>
    <n v="489.41"/>
  </r>
  <r>
    <s v="LEAD00252"/>
    <d v="2025-05-28T00:00:00"/>
    <x v="6"/>
    <x v="0"/>
    <x v="3"/>
    <s v="Toll Solution"/>
    <s v="Enterprise"/>
    <x v="0"/>
    <b v="1"/>
    <x v="0"/>
    <s v="No"/>
    <m/>
    <m/>
    <m/>
    <d v="2025-06-08T00:00:00"/>
    <b v="1"/>
    <n v="6197.92"/>
  </r>
  <r>
    <s v="LEAD00253"/>
    <d v="2025-09-23T00:00:00"/>
    <x v="11"/>
    <x v="0"/>
    <x v="1"/>
    <s v="Fleet Expense Card"/>
    <s v="SME"/>
    <x v="5"/>
    <b v="1"/>
    <x v="2"/>
    <s v="Yes"/>
    <d v="2025-09-28T00:00:00"/>
    <d v="2025-10-06T00:00:00"/>
    <d v="2025-11-02T00:00:00"/>
    <m/>
    <b v="1"/>
    <n v="919.94"/>
  </r>
  <r>
    <s v="LEAD00254"/>
    <d v="2025-06-26T00:00:00"/>
    <x v="5"/>
    <x v="3"/>
    <x v="3"/>
    <s v="EV Charge Card"/>
    <s v="SME"/>
    <x v="4"/>
    <b v="1"/>
    <x v="0"/>
    <s v="Yes"/>
    <d v="2025-06-27T00:00:00"/>
    <d v="2025-07-11T00:00:00"/>
    <m/>
    <d v="2025-07-25T00:00:00"/>
    <b v="1"/>
    <n v="650.78"/>
  </r>
  <r>
    <s v="LEAD00255"/>
    <d v="2025-03-08T00:00:00"/>
    <x v="7"/>
    <x v="3"/>
    <x v="3"/>
    <s v="Toll Solution"/>
    <s v="SME"/>
    <x v="4"/>
    <b v="1"/>
    <x v="0"/>
    <s v="Yes"/>
    <d v="2025-03-11T00:00:00"/>
    <d v="2025-03-22T00:00:00"/>
    <m/>
    <d v="2025-03-28T00:00:00"/>
    <b v="1"/>
    <n v="399.79"/>
  </r>
  <r>
    <s v="LEAD00256"/>
    <d v="2025-05-05T00:00:00"/>
    <x v="6"/>
    <x v="0"/>
    <x v="2"/>
    <s v="Fuel Card"/>
    <s v="SME"/>
    <x v="5"/>
    <b v="1"/>
    <x v="0"/>
    <s v="Yes"/>
    <d v="2025-05-06T00:00:00"/>
    <m/>
    <m/>
    <d v="2025-05-16T00:00:00"/>
    <b v="1"/>
    <n v="1101.03"/>
  </r>
  <r>
    <s v="LEAD00257"/>
    <d v="2025-07-05T00:00:00"/>
    <x v="4"/>
    <x v="1"/>
    <x v="5"/>
    <s v="Fleet Expense Card"/>
    <s v="SME"/>
    <x v="14"/>
    <b v="1"/>
    <x v="0"/>
    <s v="No"/>
    <m/>
    <m/>
    <m/>
    <d v="2025-07-20T00:00:00"/>
    <b v="1"/>
    <n v="933.81"/>
  </r>
  <r>
    <s v="LEAD00258"/>
    <d v="2025-09-13T00:00:00"/>
    <x v="11"/>
    <x v="3"/>
    <x v="3"/>
    <s v="EV Charge Card"/>
    <s v="Mid-Market"/>
    <x v="15"/>
    <b v="0"/>
    <x v="0"/>
    <s v="No"/>
    <m/>
    <m/>
    <m/>
    <d v="2025-09-17T00:00:00"/>
    <b v="1"/>
    <n v="2054.59"/>
  </r>
  <r>
    <s v="LEAD00259"/>
    <d v="2025-08-24T00:00:00"/>
    <x v="2"/>
    <x v="3"/>
    <x v="0"/>
    <s v="Fuel Card"/>
    <s v="SME"/>
    <x v="9"/>
    <b v="1"/>
    <x v="0"/>
    <s v="No"/>
    <m/>
    <m/>
    <m/>
    <d v="2025-08-29T00:00:00"/>
    <b v="1"/>
    <n v="595.19000000000005"/>
  </r>
  <r>
    <s v="LEAD00260"/>
    <d v="2025-01-26T00:00:00"/>
    <x v="9"/>
    <x v="4"/>
    <x v="1"/>
    <s v="EV Charge Card"/>
    <s v="SME"/>
    <x v="13"/>
    <b v="1"/>
    <x v="0"/>
    <s v="No"/>
    <m/>
    <m/>
    <m/>
    <d v="2025-02-03T00:00:00"/>
    <b v="1"/>
    <n v="592.48"/>
  </r>
  <r>
    <s v="LEAD00261"/>
    <d v="2025-03-27T00:00:00"/>
    <x v="7"/>
    <x v="0"/>
    <x v="4"/>
    <s v="Fleet Expense Card"/>
    <s v="Enterprise"/>
    <x v="5"/>
    <b v="1"/>
    <x v="0"/>
    <s v="Yes"/>
    <d v="2025-04-03T00:00:00"/>
    <m/>
    <m/>
    <d v="2025-04-24T00:00:00"/>
    <b v="1"/>
    <n v="5667.75"/>
  </r>
  <r>
    <s v="LEAD00262"/>
    <d v="2025-05-31T00:00:00"/>
    <x v="6"/>
    <x v="4"/>
    <x v="2"/>
    <s v="Fuel Card"/>
    <s v="Enterprise"/>
    <x v="7"/>
    <b v="1"/>
    <x v="2"/>
    <s v="Yes"/>
    <d v="2025-06-01T00:00:00"/>
    <d v="2025-06-04T00:00:00"/>
    <d v="2025-06-23T00:00:00"/>
    <m/>
    <b v="1"/>
    <n v="10436.51"/>
  </r>
  <r>
    <s v="LEAD00263"/>
    <d v="2025-10-12T00:00:00"/>
    <x v="0"/>
    <x v="1"/>
    <x v="2"/>
    <s v="Fuel Card"/>
    <s v="SME"/>
    <x v="1"/>
    <b v="1"/>
    <x v="0"/>
    <s v="No"/>
    <m/>
    <m/>
    <m/>
    <d v="2025-10-17T00:00:00"/>
    <b v="1"/>
    <n v="590.61"/>
  </r>
  <r>
    <s v="LEAD00264"/>
    <d v="2025-10-30T00:00:00"/>
    <x v="0"/>
    <x v="1"/>
    <x v="3"/>
    <s v="EV Charge Card"/>
    <s v="Enterprise"/>
    <x v="11"/>
    <b v="1"/>
    <x v="0"/>
    <s v="No"/>
    <m/>
    <m/>
    <m/>
    <d v="2025-11-19T00:00:00"/>
    <b v="1"/>
    <n v="5797.56"/>
  </r>
  <r>
    <s v="LEAD00265"/>
    <d v="2025-10-25T00:00:00"/>
    <x v="0"/>
    <x v="4"/>
    <x v="2"/>
    <s v="EV Charge Card"/>
    <s v="Enterprise"/>
    <x v="12"/>
    <b v="1"/>
    <x v="0"/>
    <s v="Yes"/>
    <d v="2025-10-30T00:00:00"/>
    <m/>
    <m/>
    <d v="2025-11-16T00:00:00"/>
    <b v="1"/>
    <n v="8886.94"/>
  </r>
  <r>
    <s v="LEAD00266"/>
    <d v="2025-01-31T00:00:00"/>
    <x v="9"/>
    <x v="3"/>
    <x v="2"/>
    <s v="Fleet Expense Card"/>
    <s v="Mid-Market"/>
    <x v="10"/>
    <b v="1"/>
    <x v="0"/>
    <s v="Yes"/>
    <d v="2025-02-10T00:00:00"/>
    <m/>
    <m/>
    <d v="2025-02-27T00:00:00"/>
    <b v="1"/>
    <n v="2755.87"/>
  </r>
  <r>
    <s v="LEAD00267"/>
    <d v="2025-05-13T00:00:00"/>
    <x v="6"/>
    <x v="4"/>
    <x v="4"/>
    <s v="Fleet Expense Card"/>
    <s v="Mid-Market"/>
    <x v="7"/>
    <b v="1"/>
    <x v="2"/>
    <s v="Yes"/>
    <d v="2025-05-21T00:00:00"/>
    <d v="2025-05-23T00:00:00"/>
    <d v="2025-06-06T00:00:00"/>
    <m/>
    <b v="1"/>
    <n v="2697.38"/>
  </r>
  <r>
    <s v="LEAD00268"/>
    <d v="2025-12-07T00:00:00"/>
    <x v="1"/>
    <x v="4"/>
    <x v="0"/>
    <s v="Toll Solution"/>
    <s v="SME"/>
    <x v="7"/>
    <b v="1"/>
    <x v="4"/>
    <s v="No"/>
    <m/>
    <m/>
    <m/>
    <m/>
    <b v="1"/>
    <n v="661.69"/>
  </r>
  <r>
    <s v="LEAD00269"/>
    <d v="2025-03-23T00:00:00"/>
    <x v="7"/>
    <x v="4"/>
    <x v="4"/>
    <s v="Fleet Expense Card"/>
    <s v="SME"/>
    <x v="13"/>
    <b v="1"/>
    <x v="0"/>
    <s v="Yes"/>
    <d v="2025-04-02T00:00:00"/>
    <d v="2025-04-13T00:00:00"/>
    <m/>
    <d v="2025-04-18T00:00:00"/>
    <b v="1"/>
    <n v="999.07"/>
  </r>
  <r>
    <s v="LEAD00270"/>
    <d v="2025-06-12T00:00:00"/>
    <x v="5"/>
    <x v="1"/>
    <x v="4"/>
    <s v="Fuel Card"/>
    <s v="SME"/>
    <x v="1"/>
    <b v="1"/>
    <x v="2"/>
    <s v="Yes"/>
    <d v="2025-06-22T00:00:00"/>
    <d v="2025-06-24T00:00:00"/>
    <d v="2025-07-08T00:00:00"/>
    <m/>
    <b v="1"/>
    <n v="1094.9000000000001"/>
  </r>
  <r>
    <s v="LEAD00271"/>
    <d v="2025-02-09T00:00:00"/>
    <x v="8"/>
    <x v="1"/>
    <x v="3"/>
    <s v="Toll Solution"/>
    <s v="Mid-Market"/>
    <x v="11"/>
    <b v="1"/>
    <x v="0"/>
    <s v="Yes"/>
    <d v="2025-02-12T00:00:00"/>
    <d v="2025-02-17T00:00:00"/>
    <m/>
    <d v="2025-03-01T00:00:00"/>
    <b v="1"/>
    <n v="1336.37"/>
  </r>
  <r>
    <s v="LEAD00272"/>
    <d v="2025-08-27T00:00:00"/>
    <x v="2"/>
    <x v="4"/>
    <x v="2"/>
    <s v="Fleet Expense Card"/>
    <s v="SME"/>
    <x v="7"/>
    <b v="1"/>
    <x v="0"/>
    <s v="No"/>
    <m/>
    <m/>
    <m/>
    <d v="2025-09-01T00:00:00"/>
    <b v="1"/>
    <n v="675.42"/>
  </r>
  <r>
    <s v="LEAD00273"/>
    <d v="2025-02-04T00:00:00"/>
    <x v="8"/>
    <x v="0"/>
    <x v="0"/>
    <s v="Toll Solution"/>
    <s v="Mid-Market"/>
    <x v="3"/>
    <b v="1"/>
    <x v="0"/>
    <s v="No"/>
    <m/>
    <m/>
    <m/>
    <d v="2025-02-24T00:00:00"/>
    <b v="1"/>
    <n v="1609.69"/>
  </r>
  <r>
    <s v="LEAD00274"/>
    <d v="2025-06-15T00:00:00"/>
    <x v="5"/>
    <x v="1"/>
    <x v="4"/>
    <s v="EV Charge Card"/>
    <s v="SME"/>
    <x v="11"/>
    <b v="1"/>
    <x v="0"/>
    <s v="Yes"/>
    <d v="2025-06-17T00:00:00"/>
    <d v="2025-06-22T00:00:00"/>
    <m/>
    <d v="2025-07-15T00:00:00"/>
    <b v="1"/>
    <n v="602.97"/>
  </r>
  <r>
    <s v="LEAD00275"/>
    <d v="2025-11-16T00:00:00"/>
    <x v="10"/>
    <x v="0"/>
    <x v="0"/>
    <s v="Toll Solution"/>
    <s v="SME"/>
    <x v="0"/>
    <b v="1"/>
    <x v="0"/>
    <s v="Yes"/>
    <d v="2025-11-26T00:00:00"/>
    <d v="2025-12-03T00:00:00"/>
    <m/>
    <d v="2025-12-20T00:00:00"/>
    <b v="1"/>
    <n v="540.42999999999995"/>
  </r>
  <r>
    <s v="LEAD00276"/>
    <d v="2025-01-05T00:00:00"/>
    <x v="9"/>
    <x v="1"/>
    <x v="4"/>
    <s v="Fuel Card"/>
    <s v="SME"/>
    <x v="1"/>
    <b v="1"/>
    <x v="0"/>
    <s v="Yes"/>
    <d v="2025-01-14T00:00:00"/>
    <m/>
    <m/>
    <d v="2025-01-28T00:00:00"/>
    <b v="1"/>
    <n v="1117.5"/>
  </r>
  <r>
    <s v="LEAD00277"/>
    <d v="2025-09-11T00:00:00"/>
    <x v="11"/>
    <x v="3"/>
    <x v="1"/>
    <s v="Toll Solution"/>
    <s v="Mid-Market"/>
    <x v="10"/>
    <b v="1"/>
    <x v="0"/>
    <s v="Yes"/>
    <d v="2025-09-20T00:00:00"/>
    <m/>
    <m/>
    <d v="2025-10-04T00:00:00"/>
    <b v="1"/>
    <n v="2045.62"/>
  </r>
  <r>
    <s v="LEAD00278"/>
    <d v="2025-11-20T00:00:00"/>
    <x v="10"/>
    <x v="3"/>
    <x v="1"/>
    <s v="Fleet Expense Card"/>
    <s v="SME"/>
    <x v="4"/>
    <b v="1"/>
    <x v="0"/>
    <s v="No"/>
    <m/>
    <m/>
    <m/>
    <d v="2025-11-29T00:00:00"/>
    <b v="1"/>
    <n v="644.52"/>
  </r>
  <r>
    <s v="LEAD00279"/>
    <d v="2025-11-16T00:00:00"/>
    <x v="10"/>
    <x v="4"/>
    <x v="2"/>
    <s v="Fuel Card"/>
    <s v="Mid-Market"/>
    <x v="12"/>
    <b v="1"/>
    <x v="0"/>
    <s v="No"/>
    <m/>
    <m/>
    <m/>
    <d v="2025-11-18T00:00:00"/>
    <b v="1"/>
    <n v="3002.02"/>
  </r>
  <r>
    <s v="LEAD00280"/>
    <d v="2025-05-17T00:00:00"/>
    <x v="6"/>
    <x v="0"/>
    <x v="1"/>
    <s v="Fuel Card"/>
    <s v="Mid-Market"/>
    <x v="3"/>
    <b v="1"/>
    <x v="0"/>
    <s v="Yes"/>
    <d v="2025-05-19T00:00:00"/>
    <d v="2025-06-02T00:00:00"/>
    <m/>
    <d v="2025-06-29T00:00:00"/>
    <b v="1"/>
    <n v="2076.33"/>
  </r>
  <r>
    <s v="LEAD00281"/>
    <d v="2025-06-01T00:00:00"/>
    <x v="5"/>
    <x v="3"/>
    <x v="3"/>
    <s v="Toll Solution"/>
    <s v="SME"/>
    <x v="9"/>
    <b v="1"/>
    <x v="2"/>
    <s v="Yes"/>
    <d v="2025-06-10T00:00:00"/>
    <d v="2025-06-21T00:00:00"/>
    <d v="2025-07-11T00:00:00"/>
    <m/>
    <b v="1"/>
    <n v="446.26"/>
  </r>
  <r>
    <s v="LEAD00282"/>
    <d v="2025-07-22T00:00:00"/>
    <x v="4"/>
    <x v="0"/>
    <x v="1"/>
    <s v="Fuel Card"/>
    <s v="Mid-Market"/>
    <x v="5"/>
    <b v="1"/>
    <x v="0"/>
    <s v="No"/>
    <m/>
    <m/>
    <m/>
    <d v="2025-08-05T00:00:00"/>
    <b v="1"/>
    <n v="3037.84"/>
  </r>
  <r>
    <s v="LEAD00283"/>
    <d v="2025-11-18T00:00:00"/>
    <x v="10"/>
    <x v="4"/>
    <x v="2"/>
    <s v="Fuel Card"/>
    <s v="SME"/>
    <x v="12"/>
    <b v="1"/>
    <x v="2"/>
    <s v="Yes"/>
    <d v="2025-11-20T00:00:00"/>
    <d v="2025-11-29T00:00:00"/>
    <d v="2025-12-11T00:00:00"/>
    <m/>
    <b v="1"/>
    <n v="807.92"/>
  </r>
  <r>
    <s v="LEAD00284"/>
    <d v="2025-07-06T00:00:00"/>
    <x v="4"/>
    <x v="0"/>
    <x v="1"/>
    <s v="Fuel Card"/>
    <s v="Mid-Market"/>
    <x v="0"/>
    <b v="1"/>
    <x v="0"/>
    <s v="Yes"/>
    <d v="2025-07-13T00:00:00"/>
    <m/>
    <m/>
    <d v="2025-07-18T00:00:00"/>
    <b v="1"/>
    <n v="3391.07"/>
  </r>
  <r>
    <s v="LEAD00285"/>
    <d v="2025-06-07T00:00:00"/>
    <x v="5"/>
    <x v="3"/>
    <x v="1"/>
    <s v="Fuel Card"/>
    <s v="Mid-Market"/>
    <x v="9"/>
    <b v="1"/>
    <x v="0"/>
    <s v="No"/>
    <m/>
    <m/>
    <m/>
    <d v="2025-06-24T00:00:00"/>
    <b v="1"/>
    <n v="2808.59"/>
  </r>
  <r>
    <s v="LEAD00286"/>
    <d v="2025-12-07T00:00:00"/>
    <x v="1"/>
    <x v="0"/>
    <x v="5"/>
    <s v="Toll Solution"/>
    <s v="SME"/>
    <x v="3"/>
    <b v="1"/>
    <x v="4"/>
    <s v="No"/>
    <m/>
    <m/>
    <m/>
    <m/>
    <b v="1"/>
    <n v="497.78"/>
  </r>
  <r>
    <s v="LEAD00287"/>
    <d v="2025-03-14T00:00:00"/>
    <x v="7"/>
    <x v="3"/>
    <x v="3"/>
    <s v="Toll Solution"/>
    <s v="Enterprise"/>
    <x v="9"/>
    <b v="1"/>
    <x v="2"/>
    <s v="Yes"/>
    <d v="2025-03-22T00:00:00"/>
    <d v="2025-03-30T00:00:00"/>
    <d v="2025-04-22T00:00:00"/>
    <m/>
    <b v="1"/>
    <n v="6517.51"/>
  </r>
  <r>
    <s v="LEAD00288"/>
    <d v="2025-04-05T00:00:00"/>
    <x v="3"/>
    <x v="2"/>
    <x v="2"/>
    <s v="Toll Solution"/>
    <s v="SME"/>
    <x v="2"/>
    <b v="1"/>
    <x v="2"/>
    <s v="Yes"/>
    <d v="2025-04-06T00:00:00"/>
    <d v="2025-04-13T00:00:00"/>
    <d v="2025-05-12T00:00:00"/>
    <m/>
    <b v="1"/>
    <n v="706"/>
  </r>
  <r>
    <s v="LEAD00289"/>
    <d v="2025-11-11T00:00:00"/>
    <x v="10"/>
    <x v="1"/>
    <x v="1"/>
    <s v="EV Charge Card"/>
    <s v="Mid-Market"/>
    <x v="14"/>
    <b v="1"/>
    <x v="0"/>
    <s v="Yes"/>
    <d v="2025-11-14T00:00:00"/>
    <d v="2025-11-18T00:00:00"/>
    <m/>
    <d v="2025-12-10T00:00:00"/>
    <b v="1"/>
    <n v="1526.91"/>
  </r>
  <r>
    <s v="LEAD00290"/>
    <d v="2025-12-29T00:00:00"/>
    <x v="1"/>
    <x v="3"/>
    <x v="1"/>
    <s v="Fuel Card"/>
    <s v="SME"/>
    <x v="9"/>
    <b v="1"/>
    <x v="4"/>
    <s v="No"/>
    <m/>
    <m/>
    <m/>
    <m/>
    <b v="1"/>
    <n v="797.59"/>
  </r>
  <r>
    <s v="LEAD00291"/>
    <d v="2025-11-05T00:00:00"/>
    <x v="10"/>
    <x v="1"/>
    <x v="3"/>
    <s v="Fuel Card"/>
    <s v="Mid-Market"/>
    <x v="11"/>
    <b v="1"/>
    <x v="0"/>
    <s v="Yes"/>
    <d v="2025-11-08T00:00:00"/>
    <d v="2025-11-14T00:00:00"/>
    <m/>
    <d v="2025-11-23T00:00:00"/>
    <b v="1"/>
    <n v="1913.26"/>
  </r>
  <r>
    <s v="LEAD00292"/>
    <d v="2025-05-30T00:00:00"/>
    <x v="6"/>
    <x v="0"/>
    <x v="3"/>
    <s v="Fuel Card"/>
    <s v="SME"/>
    <x v="3"/>
    <b v="1"/>
    <x v="0"/>
    <s v="Yes"/>
    <d v="2025-06-08T00:00:00"/>
    <m/>
    <m/>
    <d v="2025-07-03T00:00:00"/>
    <b v="1"/>
    <n v="642.55999999999995"/>
  </r>
  <r>
    <s v="LEAD00293"/>
    <d v="2025-06-14T00:00:00"/>
    <x v="5"/>
    <x v="3"/>
    <x v="0"/>
    <s v="Fuel Card"/>
    <s v="SME"/>
    <x v="9"/>
    <b v="1"/>
    <x v="2"/>
    <s v="Yes"/>
    <d v="2025-06-15T00:00:00"/>
    <d v="2025-06-19T00:00:00"/>
    <d v="2025-07-01T00:00:00"/>
    <m/>
    <b v="1"/>
    <n v="758.21"/>
  </r>
  <r>
    <s v="LEAD00294"/>
    <d v="2025-11-06T00:00:00"/>
    <x v="10"/>
    <x v="3"/>
    <x v="3"/>
    <s v="Fuel Card"/>
    <s v="Enterprise"/>
    <x v="4"/>
    <b v="1"/>
    <x v="0"/>
    <s v="No"/>
    <m/>
    <m/>
    <m/>
    <d v="2025-11-23T00:00:00"/>
    <b v="1"/>
    <n v="7055.89"/>
  </r>
  <r>
    <s v="LEAD00295"/>
    <d v="2025-10-30T00:00:00"/>
    <x v="0"/>
    <x v="1"/>
    <x v="3"/>
    <s v="Fuel Card"/>
    <s v="Mid-Market"/>
    <x v="1"/>
    <b v="1"/>
    <x v="0"/>
    <s v="Yes"/>
    <d v="2025-11-06T00:00:00"/>
    <d v="2025-11-13T00:00:00"/>
    <m/>
    <d v="2025-11-30T00:00:00"/>
    <b v="1"/>
    <n v="3537.4"/>
  </r>
  <r>
    <s v="LEAD00296"/>
    <d v="2025-05-28T00:00:00"/>
    <x v="6"/>
    <x v="2"/>
    <x v="2"/>
    <s v="Fleet Expense Card"/>
    <s v="Mid-Market"/>
    <x v="2"/>
    <b v="1"/>
    <x v="2"/>
    <s v="Yes"/>
    <d v="2025-06-04T00:00:00"/>
    <d v="2025-06-12T00:00:00"/>
    <d v="2025-07-06T00:00:00"/>
    <m/>
    <b v="1"/>
    <n v="2807.03"/>
  </r>
  <r>
    <s v="LEAD00297"/>
    <d v="2025-12-25T00:00:00"/>
    <x v="1"/>
    <x v="2"/>
    <x v="1"/>
    <s v="Fuel Card"/>
    <s v="Enterprise"/>
    <x v="8"/>
    <b v="1"/>
    <x v="1"/>
    <s v="Yes"/>
    <d v="2025-12-30T00:00:00"/>
    <d v="2026-01-10T00:00:00"/>
    <m/>
    <m/>
    <b v="1"/>
    <n v="5938.13"/>
  </r>
  <r>
    <s v="LEAD00298"/>
    <d v="2025-02-24T00:00:00"/>
    <x v="8"/>
    <x v="3"/>
    <x v="2"/>
    <s v="EV Charge Card"/>
    <s v="SME"/>
    <x v="9"/>
    <b v="1"/>
    <x v="2"/>
    <s v="Yes"/>
    <d v="2025-03-03T00:00:00"/>
    <d v="2025-03-14T00:00:00"/>
    <d v="2025-03-21T00:00:00"/>
    <m/>
    <b v="1"/>
    <n v="784.27"/>
  </r>
  <r>
    <s v="LEAD00299"/>
    <d v="2025-04-04T00:00:00"/>
    <x v="3"/>
    <x v="1"/>
    <x v="1"/>
    <s v="Fleet Expense Card"/>
    <s v="Mid-Market"/>
    <x v="14"/>
    <b v="1"/>
    <x v="0"/>
    <s v="Yes"/>
    <d v="2025-04-11T00:00:00"/>
    <d v="2025-04-21T00:00:00"/>
    <m/>
    <d v="2025-05-20T00:00:00"/>
    <b v="1"/>
    <n v="2757.7"/>
  </r>
  <r>
    <s v="LEAD00300"/>
    <d v="2025-05-10T00:00:00"/>
    <x v="6"/>
    <x v="1"/>
    <x v="3"/>
    <s v="EV Charge Card"/>
    <s v="SME"/>
    <x v="11"/>
    <b v="1"/>
    <x v="2"/>
    <s v="Yes"/>
    <d v="2025-05-15T00:00:00"/>
    <d v="2025-05-19T00:00:00"/>
    <d v="2025-05-29T00:00:00"/>
    <m/>
    <b v="1"/>
    <n v="733.76"/>
  </r>
  <r>
    <s v="LEAD00301"/>
    <d v="2025-02-01T00:00:00"/>
    <x v="8"/>
    <x v="0"/>
    <x v="0"/>
    <s v="EV Charge Card"/>
    <s v="Enterprise"/>
    <x v="5"/>
    <b v="1"/>
    <x v="2"/>
    <s v="Yes"/>
    <d v="2025-02-08T00:00:00"/>
    <d v="2025-02-09T00:00:00"/>
    <d v="2025-02-23T00:00:00"/>
    <m/>
    <b v="1"/>
    <n v="5537.49"/>
  </r>
  <r>
    <s v="LEAD00302"/>
    <d v="2025-09-05T00:00:00"/>
    <x v="11"/>
    <x v="0"/>
    <x v="0"/>
    <s v="Fuel Card"/>
    <s v="Mid-Market"/>
    <x v="3"/>
    <b v="1"/>
    <x v="0"/>
    <s v="Yes"/>
    <d v="2025-09-08T00:00:00"/>
    <d v="2025-09-14T00:00:00"/>
    <m/>
    <d v="2025-10-02T00:00:00"/>
    <b v="1"/>
    <n v="2023.94"/>
  </r>
  <r>
    <s v="LEAD00303"/>
    <d v="2025-05-03T00:00:00"/>
    <x v="6"/>
    <x v="2"/>
    <x v="1"/>
    <s v="Toll Solution"/>
    <s v="SME"/>
    <x v="2"/>
    <b v="1"/>
    <x v="0"/>
    <s v="No"/>
    <m/>
    <m/>
    <m/>
    <d v="2025-05-14T00:00:00"/>
    <b v="1"/>
    <n v="534.48"/>
  </r>
  <r>
    <s v="LEAD00304"/>
    <d v="2025-12-09T00:00:00"/>
    <x v="1"/>
    <x v="3"/>
    <x v="4"/>
    <s v="EV Charge Card"/>
    <s v="SME"/>
    <x v="4"/>
    <b v="1"/>
    <x v="1"/>
    <s v="Yes"/>
    <d v="2025-12-16T00:00:00"/>
    <d v="2025-12-23T00:00:00"/>
    <m/>
    <m/>
    <b v="1"/>
    <n v="657.51"/>
  </r>
  <r>
    <s v="LEAD00305"/>
    <d v="2025-04-18T00:00:00"/>
    <x v="3"/>
    <x v="3"/>
    <x v="3"/>
    <s v="Fleet Expense Card"/>
    <s v="Enterprise"/>
    <x v="4"/>
    <b v="1"/>
    <x v="0"/>
    <s v="No"/>
    <m/>
    <m/>
    <m/>
    <d v="2025-05-06T00:00:00"/>
    <b v="1"/>
    <n v="7525.63"/>
  </r>
  <r>
    <s v="LEAD00306"/>
    <d v="2025-07-20T00:00:00"/>
    <x v="4"/>
    <x v="1"/>
    <x v="0"/>
    <s v="EV Charge Card"/>
    <s v="SME"/>
    <x v="14"/>
    <b v="1"/>
    <x v="0"/>
    <s v="Yes"/>
    <d v="2025-07-26T00:00:00"/>
    <d v="2025-08-03T00:00:00"/>
    <m/>
    <d v="2025-08-25T00:00:00"/>
    <b v="1"/>
    <n v="747.08"/>
  </r>
  <r>
    <s v="LEAD00307"/>
    <d v="2025-09-20T00:00:00"/>
    <x v="11"/>
    <x v="3"/>
    <x v="1"/>
    <s v="Toll Solution"/>
    <s v="SME"/>
    <x v="10"/>
    <b v="1"/>
    <x v="0"/>
    <s v="No"/>
    <m/>
    <m/>
    <m/>
    <d v="2025-09-29T00:00:00"/>
    <b v="1"/>
    <n v="419.27"/>
  </r>
  <r>
    <s v="LEAD00308"/>
    <d v="2025-10-26T00:00:00"/>
    <x v="0"/>
    <x v="4"/>
    <x v="2"/>
    <s v="Fuel Card"/>
    <s v="Enterprise"/>
    <x v="7"/>
    <b v="1"/>
    <x v="0"/>
    <s v="Yes"/>
    <d v="2025-11-04T00:00:00"/>
    <m/>
    <m/>
    <d v="2025-11-27T00:00:00"/>
    <b v="1"/>
    <n v="9655.25"/>
  </r>
  <r>
    <s v="LEAD00309"/>
    <d v="2025-03-28T00:00:00"/>
    <x v="7"/>
    <x v="0"/>
    <x v="2"/>
    <s v="EV Charge Card"/>
    <s v="Enterprise"/>
    <x v="3"/>
    <b v="1"/>
    <x v="2"/>
    <s v="Yes"/>
    <d v="2025-04-07T00:00:00"/>
    <d v="2025-04-22T00:00:00"/>
    <d v="2025-05-02T00:00:00"/>
    <m/>
    <b v="1"/>
    <n v="6198.69"/>
  </r>
  <r>
    <s v="LEAD00310"/>
    <d v="2025-11-28T00:00:00"/>
    <x v="10"/>
    <x v="1"/>
    <x v="1"/>
    <s v="Toll Solution"/>
    <s v="SME"/>
    <x v="11"/>
    <b v="1"/>
    <x v="0"/>
    <s v="No"/>
    <m/>
    <m/>
    <m/>
    <d v="2025-12-05T00:00:00"/>
    <b v="1"/>
    <n v="663.7"/>
  </r>
  <r>
    <s v="LEAD00311"/>
    <d v="2025-08-10T00:00:00"/>
    <x v="2"/>
    <x v="2"/>
    <x v="4"/>
    <s v="Fuel Card"/>
    <s v="Mid-Market"/>
    <x v="6"/>
    <b v="1"/>
    <x v="2"/>
    <s v="Yes"/>
    <d v="2025-08-13T00:00:00"/>
    <d v="2025-08-20T00:00:00"/>
    <d v="2025-08-31T00:00:00"/>
    <m/>
    <b v="1"/>
    <n v="3464.47"/>
  </r>
  <r>
    <s v="LEAD00312"/>
    <d v="2025-03-24T00:00:00"/>
    <x v="7"/>
    <x v="3"/>
    <x v="4"/>
    <s v="Fuel Card"/>
    <s v="Mid-Market"/>
    <x v="4"/>
    <b v="1"/>
    <x v="0"/>
    <s v="Yes"/>
    <d v="2025-03-31T00:00:00"/>
    <d v="2025-04-10T00:00:00"/>
    <m/>
    <d v="2025-04-26T00:00:00"/>
    <b v="1"/>
    <n v="2821.6"/>
  </r>
  <r>
    <s v="LEAD00313"/>
    <d v="2025-12-09T00:00:00"/>
    <x v="1"/>
    <x v="2"/>
    <x v="2"/>
    <s v="Toll Solution"/>
    <s v="Enterprise"/>
    <x v="8"/>
    <b v="1"/>
    <x v="2"/>
    <s v="Yes"/>
    <d v="2025-12-14T00:00:00"/>
    <d v="2025-12-19T00:00:00"/>
    <d v="2026-01-06T00:00:00"/>
    <m/>
    <b v="1"/>
    <n v="3840.21"/>
  </r>
  <r>
    <s v="LEAD00314"/>
    <d v="2025-04-13T00:00:00"/>
    <x v="3"/>
    <x v="1"/>
    <x v="2"/>
    <s v="Fleet Expense Card"/>
    <s v="SME"/>
    <x v="1"/>
    <b v="1"/>
    <x v="0"/>
    <s v="Yes"/>
    <d v="2025-04-19T00:00:00"/>
    <d v="2025-04-28T00:00:00"/>
    <m/>
    <d v="2025-05-16T00:00:00"/>
    <b v="1"/>
    <n v="561.36"/>
  </r>
  <r>
    <s v="LEAD00315"/>
    <d v="2025-07-10T00:00:00"/>
    <x v="4"/>
    <x v="2"/>
    <x v="1"/>
    <s v="EV Charge Card"/>
    <s v="SME"/>
    <x v="6"/>
    <b v="1"/>
    <x v="0"/>
    <s v="No"/>
    <m/>
    <m/>
    <m/>
    <d v="2025-07-14T00:00:00"/>
    <b v="1"/>
    <n v="595.70000000000005"/>
  </r>
  <r>
    <s v="LEAD00316"/>
    <d v="2025-08-02T00:00:00"/>
    <x v="2"/>
    <x v="0"/>
    <x v="2"/>
    <s v="Fuel Card"/>
    <s v="Mid-Market"/>
    <x v="5"/>
    <b v="1"/>
    <x v="0"/>
    <s v="Yes"/>
    <d v="2025-08-06T00:00:00"/>
    <d v="2025-08-12T00:00:00"/>
    <m/>
    <d v="2025-09-03T00:00:00"/>
    <b v="1"/>
    <n v="2965.03"/>
  </r>
  <r>
    <s v="LEAD00317"/>
    <d v="2025-05-11T00:00:00"/>
    <x v="6"/>
    <x v="0"/>
    <x v="4"/>
    <s v="Fuel Card"/>
    <s v="Mid-Market"/>
    <x v="0"/>
    <b v="1"/>
    <x v="0"/>
    <s v="Yes"/>
    <d v="2025-05-16T00:00:00"/>
    <d v="2025-05-25T00:00:00"/>
    <m/>
    <d v="2025-05-31T00:00:00"/>
    <b v="1"/>
    <n v="2617.89"/>
  </r>
  <r>
    <s v="LEAD00318"/>
    <d v="2025-10-21T00:00:00"/>
    <x v="0"/>
    <x v="3"/>
    <x v="0"/>
    <s v="Toll Solution"/>
    <s v="Enterprise"/>
    <x v="10"/>
    <b v="1"/>
    <x v="0"/>
    <s v="No"/>
    <m/>
    <m/>
    <m/>
    <d v="2025-10-30T00:00:00"/>
    <b v="1"/>
    <n v="5561.62"/>
  </r>
  <r>
    <s v="LEAD00319"/>
    <d v="2025-07-07T00:00:00"/>
    <x v="4"/>
    <x v="0"/>
    <x v="3"/>
    <s v="Fuel Card"/>
    <s v="SME"/>
    <x v="0"/>
    <b v="1"/>
    <x v="0"/>
    <s v="Yes"/>
    <d v="2025-07-08T00:00:00"/>
    <d v="2025-07-15T00:00:00"/>
    <m/>
    <d v="2025-08-08T00:00:00"/>
    <b v="1"/>
    <n v="604.62"/>
  </r>
  <r>
    <s v="LEAD00320"/>
    <d v="2025-05-07T00:00:00"/>
    <x v="6"/>
    <x v="1"/>
    <x v="0"/>
    <s v="Fuel Card"/>
    <s v="SME"/>
    <x v="11"/>
    <b v="1"/>
    <x v="0"/>
    <s v="Yes"/>
    <d v="2025-05-10T00:00:00"/>
    <d v="2025-05-19T00:00:00"/>
    <m/>
    <d v="2025-05-27T00:00:00"/>
    <b v="1"/>
    <n v="870.11"/>
  </r>
  <r>
    <s v="LEAD00321"/>
    <d v="2025-11-03T00:00:00"/>
    <x v="10"/>
    <x v="1"/>
    <x v="3"/>
    <s v="Fuel Card"/>
    <s v="Enterprise"/>
    <x v="1"/>
    <b v="1"/>
    <x v="2"/>
    <s v="Yes"/>
    <d v="2025-11-12T00:00:00"/>
    <d v="2025-11-15T00:00:00"/>
    <d v="2025-11-21T00:00:00"/>
    <m/>
    <b v="1"/>
    <n v="10097.299999999999"/>
  </r>
  <r>
    <s v="LEAD00322"/>
    <d v="2025-08-23T00:00:00"/>
    <x v="2"/>
    <x v="3"/>
    <x v="2"/>
    <s v="Fuel Card"/>
    <s v="Enterprise"/>
    <x v="10"/>
    <b v="1"/>
    <x v="2"/>
    <s v="Yes"/>
    <d v="2025-08-26T00:00:00"/>
    <d v="2025-09-07T00:00:00"/>
    <d v="2025-09-19T00:00:00"/>
    <m/>
    <b v="1"/>
    <n v="9640.93"/>
  </r>
  <r>
    <s v="LEAD00323"/>
    <d v="2025-01-17T00:00:00"/>
    <x v="9"/>
    <x v="0"/>
    <x v="2"/>
    <s v="Fuel Card"/>
    <s v="SME"/>
    <x v="5"/>
    <b v="1"/>
    <x v="0"/>
    <s v="Yes"/>
    <d v="2025-01-20T00:00:00"/>
    <d v="2025-01-28T00:00:00"/>
    <m/>
    <d v="2025-03-01T00:00:00"/>
    <b v="1"/>
    <n v="609.9"/>
  </r>
  <r>
    <s v="LEAD00324"/>
    <d v="2025-06-14T00:00:00"/>
    <x v="5"/>
    <x v="4"/>
    <x v="4"/>
    <s v="Fuel Card"/>
    <s v="Enterprise"/>
    <x v="12"/>
    <b v="1"/>
    <x v="0"/>
    <s v="Yes"/>
    <d v="2025-06-15T00:00:00"/>
    <d v="2025-06-26T00:00:00"/>
    <m/>
    <d v="2025-07-18T00:00:00"/>
    <b v="1"/>
    <n v="11041.13"/>
  </r>
  <r>
    <s v="LEAD00325"/>
    <d v="2025-07-25T00:00:00"/>
    <x v="4"/>
    <x v="2"/>
    <x v="2"/>
    <s v="EV Charge Card"/>
    <s v="SME"/>
    <x v="2"/>
    <b v="1"/>
    <x v="0"/>
    <s v="Yes"/>
    <d v="2025-07-30T00:00:00"/>
    <d v="2025-08-10T00:00:00"/>
    <m/>
    <d v="2025-09-10T00:00:00"/>
    <b v="1"/>
    <n v="561.30999999999995"/>
  </r>
  <r>
    <s v="LEAD00326"/>
    <d v="2025-09-29T00:00:00"/>
    <x v="11"/>
    <x v="0"/>
    <x v="2"/>
    <s v="Toll Solution"/>
    <s v="Enterprise"/>
    <x v="3"/>
    <b v="1"/>
    <x v="0"/>
    <s v="No"/>
    <m/>
    <m/>
    <m/>
    <d v="2025-10-17T00:00:00"/>
    <b v="1"/>
    <n v="4766.88"/>
  </r>
  <r>
    <s v="LEAD00327"/>
    <d v="2025-01-03T00:00:00"/>
    <x v="9"/>
    <x v="0"/>
    <x v="3"/>
    <s v="EV Charge Card"/>
    <s v="SME"/>
    <x v="5"/>
    <b v="1"/>
    <x v="0"/>
    <s v="Yes"/>
    <d v="2025-01-08T00:00:00"/>
    <m/>
    <m/>
    <d v="2025-01-27T00:00:00"/>
    <b v="1"/>
    <n v="862.15"/>
  </r>
  <r>
    <s v="LEAD00328"/>
    <d v="2025-07-19T00:00:00"/>
    <x v="4"/>
    <x v="3"/>
    <x v="3"/>
    <s v="EV Charge Card"/>
    <s v="Mid-Market"/>
    <x v="10"/>
    <b v="1"/>
    <x v="0"/>
    <s v="Yes"/>
    <d v="2025-07-24T00:00:00"/>
    <d v="2025-08-01T00:00:00"/>
    <m/>
    <d v="2025-08-26T00:00:00"/>
    <b v="1"/>
    <n v="2214.2600000000002"/>
  </r>
  <r>
    <s v="LEAD00329"/>
    <d v="2025-02-28T00:00:00"/>
    <x v="8"/>
    <x v="4"/>
    <x v="3"/>
    <s v="Fleet Expense Card"/>
    <s v="SME"/>
    <x v="13"/>
    <b v="1"/>
    <x v="0"/>
    <s v="Yes"/>
    <d v="2025-03-05T00:00:00"/>
    <d v="2025-03-13T00:00:00"/>
    <m/>
    <d v="2025-04-16T00:00:00"/>
    <b v="1"/>
    <n v="817.19"/>
  </r>
  <r>
    <s v="LEAD00330"/>
    <d v="2025-07-25T00:00:00"/>
    <x v="4"/>
    <x v="1"/>
    <x v="2"/>
    <s v="Fuel Card"/>
    <s v="Mid-Market"/>
    <x v="1"/>
    <b v="1"/>
    <x v="0"/>
    <s v="Yes"/>
    <d v="2025-07-31T00:00:00"/>
    <d v="2025-08-02T00:00:00"/>
    <m/>
    <d v="2025-08-08T00:00:00"/>
    <b v="1"/>
    <n v="2478.7399999999998"/>
  </r>
  <r>
    <s v="LEAD00331"/>
    <d v="2025-10-24T00:00:00"/>
    <x v="0"/>
    <x v="3"/>
    <x v="3"/>
    <s v="Toll Solution"/>
    <s v="SME"/>
    <x v="10"/>
    <b v="1"/>
    <x v="0"/>
    <s v="No"/>
    <m/>
    <m/>
    <m/>
    <d v="2025-11-11T00:00:00"/>
    <b v="1"/>
    <n v="374.63"/>
  </r>
  <r>
    <s v="LEAD00332"/>
    <d v="2025-03-03T00:00:00"/>
    <x v="7"/>
    <x v="2"/>
    <x v="2"/>
    <s v="EV Charge Card"/>
    <s v="Mid-Market"/>
    <x v="6"/>
    <b v="1"/>
    <x v="2"/>
    <s v="Yes"/>
    <d v="2025-03-04T00:00:00"/>
    <d v="2025-03-05T00:00:00"/>
    <d v="2025-03-20T00:00:00"/>
    <m/>
    <b v="1"/>
    <n v="2559.14"/>
  </r>
  <r>
    <s v="LEAD00333"/>
    <d v="2025-01-22T00:00:00"/>
    <x v="9"/>
    <x v="1"/>
    <x v="0"/>
    <s v="Toll Solution"/>
    <s v="SME"/>
    <x v="1"/>
    <b v="1"/>
    <x v="0"/>
    <s v="Yes"/>
    <d v="2025-01-26T00:00:00"/>
    <d v="2025-01-27T00:00:00"/>
    <m/>
    <d v="2025-02-13T00:00:00"/>
    <b v="1"/>
    <n v="644.17999999999995"/>
  </r>
  <r>
    <s v="LEAD00334"/>
    <d v="2025-12-25T00:00:00"/>
    <x v="1"/>
    <x v="3"/>
    <x v="4"/>
    <s v="Fuel Card"/>
    <s v="Mid-Market"/>
    <x v="9"/>
    <b v="1"/>
    <x v="1"/>
    <s v="Yes"/>
    <d v="2026-01-03T00:00:00"/>
    <d v="2026-01-11T00:00:00"/>
    <m/>
    <m/>
    <b v="1"/>
    <n v="2048.81"/>
  </r>
  <r>
    <s v="LEAD00335"/>
    <d v="2025-04-06T00:00:00"/>
    <x v="3"/>
    <x v="3"/>
    <x v="4"/>
    <s v="EV Charge Card"/>
    <s v="Mid-Market"/>
    <x v="4"/>
    <b v="1"/>
    <x v="0"/>
    <s v="No"/>
    <m/>
    <m/>
    <m/>
    <d v="2025-04-17T00:00:00"/>
    <b v="1"/>
    <n v="1909.06"/>
  </r>
  <r>
    <s v="LEAD00336"/>
    <d v="2025-03-03T00:00:00"/>
    <x v="7"/>
    <x v="4"/>
    <x v="2"/>
    <s v="Toll Solution"/>
    <s v="Enterprise"/>
    <x v="13"/>
    <b v="1"/>
    <x v="2"/>
    <s v="Yes"/>
    <d v="2025-03-08T00:00:00"/>
    <d v="2025-03-23T00:00:00"/>
    <d v="2025-03-30T00:00:00"/>
    <m/>
    <b v="1"/>
    <n v="5133.84"/>
  </r>
  <r>
    <s v="LEAD00337"/>
    <d v="2025-12-21T00:00:00"/>
    <x v="1"/>
    <x v="1"/>
    <x v="1"/>
    <s v="EV Charge Card"/>
    <s v="SME"/>
    <x v="11"/>
    <b v="1"/>
    <x v="2"/>
    <s v="Yes"/>
    <d v="2025-12-23T00:00:00"/>
    <d v="2025-12-28T00:00:00"/>
    <d v="2026-01-06T00:00:00"/>
    <m/>
    <b v="1"/>
    <n v="751.66"/>
  </r>
  <r>
    <s v="LEAD00338"/>
    <d v="2025-09-28T00:00:00"/>
    <x v="11"/>
    <x v="2"/>
    <x v="1"/>
    <s v="Toll Solution"/>
    <s v="SME"/>
    <x v="2"/>
    <b v="1"/>
    <x v="0"/>
    <s v="No"/>
    <m/>
    <m/>
    <m/>
    <d v="2025-10-09T00:00:00"/>
    <b v="1"/>
    <n v="598.71"/>
  </r>
  <r>
    <s v="LEAD00339"/>
    <d v="2025-02-15T00:00:00"/>
    <x v="8"/>
    <x v="0"/>
    <x v="2"/>
    <s v="Fuel Card"/>
    <s v="SME"/>
    <x v="5"/>
    <b v="1"/>
    <x v="2"/>
    <s v="Yes"/>
    <d v="2025-02-24T00:00:00"/>
    <d v="2025-02-25T00:00:00"/>
    <d v="2025-03-01T00:00:00"/>
    <m/>
    <b v="1"/>
    <n v="904.76"/>
  </r>
  <r>
    <s v="LEAD00340"/>
    <d v="2025-12-30T00:00:00"/>
    <x v="1"/>
    <x v="0"/>
    <x v="1"/>
    <s v="Fleet Expense Card"/>
    <s v="SME"/>
    <x v="0"/>
    <b v="1"/>
    <x v="4"/>
    <s v="No"/>
    <m/>
    <m/>
    <m/>
    <m/>
    <b v="1"/>
    <n v="956.52"/>
  </r>
  <r>
    <s v="LEAD00341"/>
    <d v="2025-01-11T00:00:00"/>
    <x v="9"/>
    <x v="3"/>
    <x v="0"/>
    <s v="Fleet Expense Card"/>
    <s v="SME"/>
    <x v="4"/>
    <b v="1"/>
    <x v="0"/>
    <s v="Yes"/>
    <d v="2025-01-16T00:00:00"/>
    <d v="2025-01-31T00:00:00"/>
    <m/>
    <d v="2025-03-07T00:00:00"/>
    <b v="1"/>
    <n v="828.03"/>
  </r>
  <r>
    <s v="LEAD00342"/>
    <d v="2025-11-01T00:00:00"/>
    <x v="10"/>
    <x v="2"/>
    <x v="3"/>
    <s v="EV Charge Card"/>
    <s v="Mid-Market"/>
    <x v="2"/>
    <b v="1"/>
    <x v="0"/>
    <s v="Yes"/>
    <d v="2025-11-06T00:00:00"/>
    <d v="2025-11-12T00:00:00"/>
    <m/>
    <d v="2025-12-12T00:00:00"/>
    <b v="1"/>
    <n v="1816.37"/>
  </r>
  <r>
    <s v="LEAD00343"/>
    <d v="2025-03-16T00:00:00"/>
    <x v="7"/>
    <x v="4"/>
    <x v="0"/>
    <s v="Toll Solution"/>
    <s v="SME"/>
    <x v="7"/>
    <b v="1"/>
    <x v="0"/>
    <s v="Yes"/>
    <d v="2025-03-23T00:00:00"/>
    <d v="2025-04-01T00:00:00"/>
    <m/>
    <d v="2025-05-02T00:00:00"/>
    <b v="1"/>
    <n v="371.3"/>
  </r>
  <r>
    <s v="LEAD00344"/>
    <d v="2025-09-29T00:00:00"/>
    <x v="11"/>
    <x v="4"/>
    <x v="0"/>
    <s v="Fuel Card"/>
    <s v="SME"/>
    <x v="7"/>
    <b v="1"/>
    <x v="0"/>
    <s v="Yes"/>
    <d v="2025-10-04T00:00:00"/>
    <d v="2025-10-07T00:00:00"/>
    <m/>
    <d v="2025-10-27T00:00:00"/>
    <b v="1"/>
    <n v="895.48"/>
  </r>
  <r>
    <s v="LEAD00345"/>
    <d v="2025-01-05T00:00:00"/>
    <x v="9"/>
    <x v="2"/>
    <x v="1"/>
    <s v="EV Charge Card"/>
    <s v="Enterprise"/>
    <x v="2"/>
    <b v="1"/>
    <x v="0"/>
    <s v="Yes"/>
    <d v="2025-01-14T00:00:00"/>
    <d v="2025-01-20T00:00:00"/>
    <m/>
    <d v="2025-02-12T00:00:00"/>
    <b v="1"/>
    <n v="6555.45"/>
  </r>
  <r>
    <s v="LEAD00346"/>
    <d v="2025-06-05T00:00:00"/>
    <x v="5"/>
    <x v="4"/>
    <x v="0"/>
    <s v="Fuel Card"/>
    <s v="SME"/>
    <x v="7"/>
    <b v="1"/>
    <x v="0"/>
    <s v="No"/>
    <m/>
    <m/>
    <m/>
    <d v="2025-06-15T00:00:00"/>
    <b v="1"/>
    <n v="1062.27"/>
  </r>
  <r>
    <s v="LEAD00347"/>
    <d v="2025-03-07T00:00:00"/>
    <x v="7"/>
    <x v="4"/>
    <x v="1"/>
    <s v="Toll Solution"/>
    <s v="Mid-Market"/>
    <x v="13"/>
    <b v="1"/>
    <x v="0"/>
    <s v="No"/>
    <m/>
    <m/>
    <m/>
    <d v="2025-03-20T00:00:00"/>
    <b v="1"/>
    <n v="2060.23"/>
  </r>
  <r>
    <s v="LEAD00348"/>
    <d v="2025-09-18T00:00:00"/>
    <x v="11"/>
    <x v="3"/>
    <x v="1"/>
    <s v="Fuel Card"/>
    <s v="Enterprise"/>
    <x v="10"/>
    <b v="1"/>
    <x v="0"/>
    <s v="Yes"/>
    <d v="2025-09-20T00:00:00"/>
    <m/>
    <m/>
    <d v="2025-09-27T00:00:00"/>
    <b v="1"/>
    <n v="11322.73"/>
  </r>
  <r>
    <s v="LEAD00349"/>
    <d v="2025-05-16T00:00:00"/>
    <x v="6"/>
    <x v="4"/>
    <x v="2"/>
    <s v="Toll Solution"/>
    <s v="SME"/>
    <x v="7"/>
    <b v="1"/>
    <x v="0"/>
    <s v="Yes"/>
    <d v="2025-05-19T00:00:00"/>
    <d v="2025-05-28T00:00:00"/>
    <m/>
    <d v="2025-06-28T00:00:00"/>
    <b v="1"/>
    <n v="599.79"/>
  </r>
  <r>
    <s v="LEAD00350"/>
    <d v="2025-04-04T00:00:00"/>
    <x v="3"/>
    <x v="4"/>
    <x v="3"/>
    <s v="Fuel Card"/>
    <s v="Enterprise"/>
    <x v="7"/>
    <b v="1"/>
    <x v="0"/>
    <s v="Yes"/>
    <d v="2025-04-07T00:00:00"/>
    <d v="2025-04-08T00:00:00"/>
    <m/>
    <d v="2025-04-27T00:00:00"/>
    <b v="1"/>
    <n v="7994.33"/>
  </r>
  <r>
    <s v="LEAD00351"/>
    <d v="2025-05-21T00:00:00"/>
    <x v="6"/>
    <x v="2"/>
    <x v="1"/>
    <s v="Fuel Card"/>
    <s v="SME"/>
    <x v="2"/>
    <b v="1"/>
    <x v="0"/>
    <s v="Yes"/>
    <d v="2025-05-30T00:00:00"/>
    <m/>
    <m/>
    <d v="2025-06-06T00:00:00"/>
    <b v="1"/>
    <n v="1014"/>
  </r>
  <r>
    <s v="LEAD00352"/>
    <d v="2025-10-01T00:00:00"/>
    <x v="0"/>
    <x v="3"/>
    <x v="2"/>
    <s v="Fuel Card"/>
    <s v="Mid-Market"/>
    <x v="4"/>
    <b v="1"/>
    <x v="0"/>
    <s v="Yes"/>
    <d v="2025-10-08T00:00:00"/>
    <m/>
    <m/>
    <d v="2025-10-14T00:00:00"/>
    <b v="1"/>
    <n v="2416.84"/>
  </r>
  <r>
    <s v="LEAD00353"/>
    <d v="2025-02-11T00:00:00"/>
    <x v="8"/>
    <x v="4"/>
    <x v="2"/>
    <s v="Toll Solution"/>
    <s v="Enterprise"/>
    <x v="13"/>
    <b v="1"/>
    <x v="2"/>
    <s v="Yes"/>
    <d v="2025-02-18T00:00:00"/>
    <d v="2025-02-25T00:00:00"/>
    <d v="2025-02-28T00:00:00"/>
    <m/>
    <b v="1"/>
    <n v="6559.66"/>
  </r>
  <r>
    <s v="LEAD00354"/>
    <d v="2025-02-05T00:00:00"/>
    <x v="8"/>
    <x v="1"/>
    <x v="0"/>
    <s v="Fuel Card"/>
    <s v="Enterprise"/>
    <x v="11"/>
    <b v="1"/>
    <x v="2"/>
    <s v="Yes"/>
    <d v="2025-02-08T00:00:00"/>
    <d v="2025-02-17T00:00:00"/>
    <d v="2025-02-28T00:00:00"/>
    <m/>
    <b v="1"/>
    <n v="10492.14"/>
  </r>
  <r>
    <s v="LEAD00355"/>
    <d v="2025-07-21T00:00:00"/>
    <x v="4"/>
    <x v="1"/>
    <x v="2"/>
    <s v="EV Charge Card"/>
    <s v="SME"/>
    <x v="11"/>
    <b v="1"/>
    <x v="0"/>
    <s v="Yes"/>
    <d v="2025-07-24T00:00:00"/>
    <d v="2025-08-04T00:00:00"/>
    <m/>
    <d v="2025-09-01T00:00:00"/>
    <b v="1"/>
    <n v="824.49"/>
  </r>
  <r>
    <s v="LEAD00356"/>
    <d v="2025-10-10T00:00:00"/>
    <x v="0"/>
    <x v="3"/>
    <x v="2"/>
    <s v="EV Charge Card"/>
    <s v="SME"/>
    <x v="10"/>
    <b v="1"/>
    <x v="2"/>
    <s v="Yes"/>
    <d v="2025-10-11T00:00:00"/>
    <d v="2025-10-23T00:00:00"/>
    <d v="2025-11-01T00:00:00"/>
    <m/>
    <b v="1"/>
    <n v="635.51"/>
  </r>
  <r>
    <s v="LEAD00357"/>
    <d v="2025-02-02T00:00:00"/>
    <x v="8"/>
    <x v="1"/>
    <x v="2"/>
    <s v="EV Charge Card"/>
    <s v="SME"/>
    <x v="11"/>
    <b v="1"/>
    <x v="0"/>
    <s v="Yes"/>
    <d v="2025-02-04T00:00:00"/>
    <d v="2025-02-11T00:00:00"/>
    <m/>
    <d v="2025-03-04T00:00:00"/>
    <b v="1"/>
    <n v="557.61"/>
  </r>
  <r>
    <s v="LEAD00358"/>
    <d v="2025-09-28T00:00:00"/>
    <x v="11"/>
    <x v="0"/>
    <x v="0"/>
    <s v="EV Charge Card"/>
    <s v="Enterprise"/>
    <x v="3"/>
    <b v="1"/>
    <x v="0"/>
    <s v="Yes"/>
    <d v="2025-10-01T00:00:00"/>
    <d v="2025-10-04T00:00:00"/>
    <m/>
    <d v="2025-10-22T00:00:00"/>
    <b v="1"/>
    <n v="7515.93"/>
  </r>
  <r>
    <s v="LEAD00359"/>
    <d v="2025-02-27T00:00:00"/>
    <x v="8"/>
    <x v="3"/>
    <x v="2"/>
    <s v="Fleet Expense Card"/>
    <s v="Mid-Market"/>
    <x v="10"/>
    <b v="1"/>
    <x v="0"/>
    <s v="No"/>
    <m/>
    <m/>
    <m/>
    <d v="2025-03-08T00:00:00"/>
    <b v="1"/>
    <n v="2043.42"/>
  </r>
  <r>
    <s v="LEAD00360"/>
    <d v="2025-09-12T00:00:00"/>
    <x v="11"/>
    <x v="3"/>
    <x v="0"/>
    <s v="Fuel Card"/>
    <s v="Mid-Market"/>
    <x v="4"/>
    <b v="1"/>
    <x v="2"/>
    <s v="Yes"/>
    <d v="2025-09-22T00:00:00"/>
    <d v="2025-09-24T00:00:00"/>
    <d v="2025-10-07T00:00:00"/>
    <m/>
    <b v="1"/>
    <n v="2812.76"/>
  </r>
  <r>
    <s v="LEAD00361"/>
    <d v="2025-05-06T00:00:00"/>
    <x v="6"/>
    <x v="1"/>
    <x v="3"/>
    <s v="Fleet Expense Card"/>
    <s v="Mid-Market"/>
    <x v="1"/>
    <b v="1"/>
    <x v="0"/>
    <s v="No"/>
    <m/>
    <m/>
    <m/>
    <d v="2025-05-16T00:00:00"/>
    <b v="1"/>
    <n v="1730.19"/>
  </r>
  <r>
    <s v="LEAD00362"/>
    <d v="2025-07-06T00:00:00"/>
    <x v="4"/>
    <x v="0"/>
    <x v="3"/>
    <s v="Fleet Expense Card"/>
    <s v="SME"/>
    <x v="5"/>
    <b v="1"/>
    <x v="0"/>
    <s v="No"/>
    <m/>
    <m/>
    <m/>
    <d v="2025-07-10T00:00:00"/>
    <b v="1"/>
    <n v="765.02"/>
  </r>
  <r>
    <s v="LEAD00363"/>
    <d v="2025-03-26T00:00:00"/>
    <x v="7"/>
    <x v="2"/>
    <x v="3"/>
    <s v="Fuel Card"/>
    <s v="SME"/>
    <x v="2"/>
    <b v="1"/>
    <x v="0"/>
    <s v="No"/>
    <m/>
    <m/>
    <m/>
    <d v="2025-04-01T00:00:00"/>
    <b v="1"/>
    <n v="975.65"/>
  </r>
  <r>
    <s v="LEAD00364"/>
    <d v="2025-03-17T00:00:00"/>
    <x v="7"/>
    <x v="0"/>
    <x v="1"/>
    <s v="EV Charge Card"/>
    <s v="Mid-Market"/>
    <x v="3"/>
    <b v="1"/>
    <x v="0"/>
    <s v="No"/>
    <m/>
    <m/>
    <m/>
    <d v="2025-04-06T00:00:00"/>
    <b v="1"/>
    <n v="1698.16"/>
  </r>
  <r>
    <s v="LEAD00365"/>
    <d v="2025-03-22T00:00:00"/>
    <x v="7"/>
    <x v="4"/>
    <x v="3"/>
    <s v="Fuel Card"/>
    <s v="SME"/>
    <x v="12"/>
    <b v="1"/>
    <x v="0"/>
    <s v="No"/>
    <m/>
    <m/>
    <m/>
    <d v="2025-04-05T00:00:00"/>
    <b v="1"/>
    <n v="1095.32"/>
  </r>
  <r>
    <s v="LEAD00366"/>
    <d v="2025-01-05T00:00:00"/>
    <x v="9"/>
    <x v="2"/>
    <x v="1"/>
    <s v="EV Charge Card"/>
    <s v="SME"/>
    <x v="6"/>
    <b v="1"/>
    <x v="0"/>
    <s v="No"/>
    <m/>
    <m/>
    <m/>
    <d v="2025-01-18T00:00:00"/>
    <b v="1"/>
    <n v="863.65"/>
  </r>
  <r>
    <s v="LEAD00367"/>
    <d v="2025-09-30T00:00:00"/>
    <x v="11"/>
    <x v="4"/>
    <x v="1"/>
    <s v="Fuel Card"/>
    <s v="SME"/>
    <x v="13"/>
    <b v="1"/>
    <x v="2"/>
    <s v="Yes"/>
    <d v="2025-10-08T00:00:00"/>
    <d v="2025-10-17T00:00:00"/>
    <d v="2025-10-28T00:00:00"/>
    <m/>
    <b v="1"/>
    <n v="598.11"/>
  </r>
  <r>
    <s v="LEAD00368"/>
    <d v="2025-06-11T00:00:00"/>
    <x v="5"/>
    <x v="2"/>
    <x v="2"/>
    <s v="Toll Solution"/>
    <s v="SME"/>
    <x v="8"/>
    <b v="1"/>
    <x v="2"/>
    <s v="Yes"/>
    <d v="2025-06-17T00:00:00"/>
    <d v="2025-06-18T00:00:00"/>
    <d v="2025-07-17T00:00:00"/>
    <m/>
    <b v="1"/>
    <n v="542.29"/>
  </r>
  <r>
    <s v="LEAD00369"/>
    <d v="2025-06-25T00:00:00"/>
    <x v="5"/>
    <x v="4"/>
    <x v="3"/>
    <s v="Fuel Card"/>
    <s v="Enterprise"/>
    <x v="13"/>
    <b v="1"/>
    <x v="0"/>
    <s v="No"/>
    <m/>
    <m/>
    <m/>
    <d v="2025-06-30T00:00:00"/>
    <b v="1"/>
    <n v="8436.67"/>
  </r>
  <r>
    <s v="LEAD00370"/>
    <d v="2025-07-13T00:00:00"/>
    <x v="4"/>
    <x v="4"/>
    <x v="0"/>
    <s v="Fuel Card"/>
    <s v="SME"/>
    <x v="12"/>
    <b v="1"/>
    <x v="2"/>
    <s v="Yes"/>
    <d v="2025-07-22T00:00:00"/>
    <d v="2025-07-30T00:00:00"/>
    <d v="2025-08-13T00:00:00"/>
    <m/>
    <b v="1"/>
    <n v="1018.33"/>
  </r>
  <r>
    <s v="LEAD00371"/>
    <d v="2025-12-06T00:00:00"/>
    <x v="1"/>
    <x v="4"/>
    <x v="3"/>
    <s v="Fuel Card"/>
    <s v="Mid-Market"/>
    <x v="13"/>
    <b v="1"/>
    <x v="1"/>
    <s v="Yes"/>
    <d v="2025-12-15T00:00:00"/>
    <d v="2025-12-22T00:00:00"/>
    <m/>
    <m/>
    <b v="1"/>
    <n v="2422.1799999999998"/>
  </r>
  <r>
    <s v="LEAD00372"/>
    <d v="2025-10-23T00:00:00"/>
    <x v="0"/>
    <x v="0"/>
    <x v="2"/>
    <s v="EV Charge Card"/>
    <s v="SME"/>
    <x v="3"/>
    <b v="1"/>
    <x v="0"/>
    <s v="Yes"/>
    <d v="2025-10-31T00:00:00"/>
    <m/>
    <m/>
    <d v="2025-11-23T00:00:00"/>
    <b v="1"/>
    <n v="483.97"/>
  </r>
  <r>
    <s v="LEAD00373"/>
    <d v="2025-02-23T00:00:00"/>
    <x v="8"/>
    <x v="4"/>
    <x v="4"/>
    <s v="EV Charge Card"/>
    <s v="SME"/>
    <x v="7"/>
    <b v="1"/>
    <x v="0"/>
    <s v="Yes"/>
    <d v="2025-02-24T00:00:00"/>
    <m/>
    <m/>
    <d v="2025-03-18T00:00:00"/>
    <b v="1"/>
    <n v="611.49"/>
  </r>
  <r>
    <s v="LEAD00374"/>
    <d v="2025-11-14T00:00:00"/>
    <x v="10"/>
    <x v="3"/>
    <x v="4"/>
    <s v="Fuel Card"/>
    <s v="SME"/>
    <x v="10"/>
    <b v="1"/>
    <x v="2"/>
    <s v="Yes"/>
    <d v="2025-11-23T00:00:00"/>
    <d v="2025-11-26T00:00:00"/>
    <d v="2025-12-04T00:00:00"/>
    <m/>
    <b v="1"/>
    <n v="849.91"/>
  </r>
  <r>
    <s v="LEAD00375"/>
    <d v="2025-12-06T00:00:00"/>
    <x v="1"/>
    <x v="3"/>
    <x v="2"/>
    <s v="Fuel Card"/>
    <s v="Mid-Market"/>
    <x v="4"/>
    <b v="1"/>
    <x v="0"/>
    <s v="No"/>
    <m/>
    <m/>
    <m/>
    <d v="2025-12-10T00:00:00"/>
    <b v="1"/>
    <n v="3245.71"/>
  </r>
  <r>
    <s v="LEAD00376"/>
    <d v="2025-09-14T00:00:00"/>
    <x v="11"/>
    <x v="2"/>
    <x v="1"/>
    <s v="Fuel Card"/>
    <s v="SME"/>
    <x v="8"/>
    <b v="1"/>
    <x v="2"/>
    <s v="Yes"/>
    <d v="2025-09-23T00:00:00"/>
    <d v="2025-09-29T00:00:00"/>
    <d v="2025-10-04T00:00:00"/>
    <m/>
    <b v="1"/>
    <n v="697.3"/>
  </r>
  <r>
    <s v="LEAD00377"/>
    <d v="2025-05-07T00:00:00"/>
    <x v="6"/>
    <x v="3"/>
    <x v="2"/>
    <s v="Fuel Card"/>
    <s v="Enterprise"/>
    <x v="9"/>
    <b v="1"/>
    <x v="2"/>
    <s v="Yes"/>
    <d v="2025-05-12T00:00:00"/>
    <d v="2025-05-13T00:00:00"/>
    <d v="2025-05-16T00:00:00"/>
    <m/>
    <b v="1"/>
    <n v="6827.52"/>
  </r>
  <r>
    <s v="LEAD00378"/>
    <d v="2025-09-10T00:00:00"/>
    <x v="11"/>
    <x v="4"/>
    <x v="1"/>
    <s v="Fuel Card"/>
    <s v="SME"/>
    <x v="7"/>
    <b v="1"/>
    <x v="0"/>
    <s v="Yes"/>
    <d v="2025-09-15T00:00:00"/>
    <d v="2025-09-27T00:00:00"/>
    <m/>
    <d v="2025-10-26T00:00:00"/>
    <b v="1"/>
    <n v="646.41999999999996"/>
  </r>
  <r>
    <s v="LEAD00379"/>
    <d v="2025-10-26T00:00:00"/>
    <x v="0"/>
    <x v="4"/>
    <x v="2"/>
    <s v="Fuel Card"/>
    <s v="SME"/>
    <x v="7"/>
    <b v="1"/>
    <x v="2"/>
    <s v="Yes"/>
    <d v="2025-10-30T00:00:00"/>
    <d v="2025-11-06T00:00:00"/>
    <d v="2025-11-29T00:00:00"/>
    <m/>
    <b v="1"/>
    <n v="878.74"/>
  </r>
  <r>
    <s v="LEAD00380"/>
    <d v="2025-12-19T00:00:00"/>
    <x v="1"/>
    <x v="2"/>
    <x v="0"/>
    <s v="Fuel Card"/>
    <s v="SME"/>
    <x v="8"/>
    <b v="1"/>
    <x v="2"/>
    <s v="Yes"/>
    <d v="2025-12-25T00:00:00"/>
    <d v="2025-12-31T00:00:00"/>
    <d v="2026-01-14T00:00:00"/>
    <m/>
    <b v="1"/>
    <n v="725.42"/>
  </r>
  <r>
    <s v="LEAD00381"/>
    <d v="2025-03-07T00:00:00"/>
    <x v="7"/>
    <x v="4"/>
    <x v="1"/>
    <s v="Fuel Card"/>
    <s v="Enterprise"/>
    <x v="12"/>
    <b v="1"/>
    <x v="0"/>
    <s v="Yes"/>
    <d v="2025-03-14T00:00:00"/>
    <d v="2025-03-17T00:00:00"/>
    <m/>
    <d v="2025-04-17T00:00:00"/>
    <b v="1"/>
    <n v="7848.66"/>
  </r>
  <r>
    <s v="LEAD00382"/>
    <d v="2025-07-24T00:00:00"/>
    <x v="4"/>
    <x v="3"/>
    <x v="2"/>
    <s v="EV Charge Card"/>
    <s v="Enterprise"/>
    <x v="10"/>
    <b v="1"/>
    <x v="0"/>
    <s v="Yes"/>
    <d v="2025-08-01T00:00:00"/>
    <d v="2025-08-05T00:00:00"/>
    <m/>
    <d v="2025-08-25T00:00:00"/>
    <b v="1"/>
    <n v="7449.47"/>
  </r>
  <r>
    <s v="LEAD00383"/>
    <d v="2025-08-30T00:00:00"/>
    <x v="2"/>
    <x v="4"/>
    <x v="2"/>
    <s v="Fuel Card"/>
    <s v="SME"/>
    <x v="12"/>
    <b v="1"/>
    <x v="0"/>
    <s v="No"/>
    <m/>
    <m/>
    <m/>
    <d v="2025-09-11T00:00:00"/>
    <b v="1"/>
    <n v="1133.51"/>
  </r>
  <r>
    <s v="LEAD00384"/>
    <d v="2025-09-22T00:00:00"/>
    <x v="11"/>
    <x v="4"/>
    <x v="0"/>
    <s v="Fuel Card"/>
    <s v="SME"/>
    <x v="7"/>
    <b v="1"/>
    <x v="0"/>
    <s v="Yes"/>
    <d v="2025-09-28T00:00:00"/>
    <d v="2025-09-29T00:00:00"/>
    <m/>
    <d v="2025-10-12T00:00:00"/>
    <b v="1"/>
    <n v="1082.23"/>
  </r>
  <r>
    <s v="LEAD00385"/>
    <d v="2025-06-13T00:00:00"/>
    <x v="5"/>
    <x v="4"/>
    <x v="3"/>
    <s v="Fleet Expense Card"/>
    <s v="Mid-Market"/>
    <x v="7"/>
    <b v="1"/>
    <x v="0"/>
    <s v="No"/>
    <m/>
    <m/>
    <m/>
    <d v="2025-06-30T00:00:00"/>
    <b v="1"/>
    <n v="2351.0100000000002"/>
  </r>
  <r>
    <s v="LEAD00386"/>
    <d v="2025-06-29T00:00:00"/>
    <x v="5"/>
    <x v="2"/>
    <x v="3"/>
    <s v="Toll Solution"/>
    <s v="Mid-Market"/>
    <x v="6"/>
    <b v="1"/>
    <x v="0"/>
    <s v="Yes"/>
    <d v="2025-07-05T00:00:00"/>
    <m/>
    <m/>
    <d v="2025-07-14T00:00:00"/>
    <b v="1"/>
    <n v="1645.53"/>
  </r>
  <r>
    <s v="LEAD00387"/>
    <d v="2025-01-06T00:00:00"/>
    <x v="9"/>
    <x v="0"/>
    <x v="4"/>
    <s v="Toll Solution"/>
    <s v="Mid-Market"/>
    <x v="5"/>
    <b v="1"/>
    <x v="2"/>
    <s v="Yes"/>
    <d v="2025-01-11T00:00:00"/>
    <d v="2025-01-17T00:00:00"/>
    <d v="2025-01-27T00:00:00"/>
    <m/>
    <b v="1"/>
    <n v="1561.49"/>
  </r>
  <r>
    <s v="LEAD00388"/>
    <d v="2025-08-20T00:00:00"/>
    <x v="2"/>
    <x v="2"/>
    <x v="3"/>
    <s v="Fuel Card"/>
    <s v="SME"/>
    <x v="6"/>
    <b v="1"/>
    <x v="0"/>
    <s v="Yes"/>
    <d v="2025-08-25T00:00:00"/>
    <d v="2025-09-03T00:00:00"/>
    <m/>
    <d v="2025-10-03T00:00:00"/>
    <b v="1"/>
    <n v="604.59"/>
  </r>
  <r>
    <s v="LEAD00389"/>
    <d v="2025-08-15T00:00:00"/>
    <x v="2"/>
    <x v="3"/>
    <x v="2"/>
    <s v="Fuel Card"/>
    <s v="SME"/>
    <x v="10"/>
    <b v="1"/>
    <x v="0"/>
    <s v="Yes"/>
    <d v="2025-08-16T00:00:00"/>
    <d v="2025-08-27T00:00:00"/>
    <m/>
    <d v="2025-09-06T00:00:00"/>
    <b v="1"/>
    <n v="787.69"/>
  </r>
  <r>
    <s v="LEAD00390"/>
    <d v="2025-09-09T00:00:00"/>
    <x v="11"/>
    <x v="4"/>
    <x v="2"/>
    <s v="EV Charge Card"/>
    <s v="SME"/>
    <x v="13"/>
    <b v="1"/>
    <x v="2"/>
    <s v="Yes"/>
    <d v="2025-09-10T00:00:00"/>
    <d v="2025-09-13T00:00:00"/>
    <d v="2025-09-21T00:00:00"/>
    <m/>
    <b v="1"/>
    <n v="880.85"/>
  </r>
  <r>
    <s v="LEAD00391"/>
    <d v="2025-04-06T00:00:00"/>
    <x v="3"/>
    <x v="0"/>
    <x v="2"/>
    <s v="Fuel Card"/>
    <s v="SME"/>
    <x v="3"/>
    <b v="1"/>
    <x v="2"/>
    <s v="Yes"/>
    <d v="2025-04-12T00:00:00"/>
    <d v="2025-04-25T00:00:00"/>
    <d v="2025-05-10T00:00:00"/>
    <m/>
    <b v="1"/>
    <n v="765.99"/>
  </r>
  <r>
    <s v="LEAD00392"/>
    <d v="2025-10-20T00:00:00"/>
    <x v="0"/>
    <x v="2"/>
    <x v="3"/>
    <s v="Toll Solution"/>
    <s v="Mid-Market"/>
    <x v="2"/>
    <b v="1"/>
    <x v="0"/>
    <s v="Yes"/>
    <d v="2025-10-27T00:00:00"/>
    <m/>
    <m/>
    <d v="2025-11-01T00:00:00"/>
    <b v="1"/>
    <n v="2120.7800000000002"/>
  </r>
  <r>
    <s v="LEAD00393"/>
    <d v="2025-02-05T00:00:00"/>
    <x v="8"/>
    <x v="3"/>
    <x v="4"/>
    <s v="Fleet Expense Card"/>
    <s v="Enterprise"/>
    <x v="9"/>
    <b v="1"/>
    <x v="0"/>
    <s v="Yes"/>
    <d v="2025-02-06T00:00:00"/>
    <d v="2025-02-20T00:00:00"/>
    <m/>
    <d v="2025-03-01T00:00:00"/>
    <b v="1"/>
    <n v="9945.07"/>
  </r>
  <r>
    <s v="LEAD00394"/>
    <d v="2025-08-01T00:00:00"/>
    <x v="2"/>
    <x v="3"/>
    <x v="2"/>
    <s v="Toll Solution"/>
    <s v="Enterprise"/>
    <x v="10"/>
    <b v="1"/>
    <x v="0"/>
    <s v="No"/>
    <m/>
    <m/>
    <m/>
    <d v="2025-08-05T00:00:00"/>
    <b v="1"/>
    <n v="6988.75"/>
  </r>
  <r>
    <s v="LEAD00395"/>
    <d v="2025-07-04T00:00:00"/>
    <x v="4"/>
    <x v="0"/>
    <x v="2"/>
    <s v="EV Charge Card"/>
    <s v="SME"/>
    <x v="3"/>
    <b v="1"/>
    <x v="0"/>
    <s v="Yes"/>
    <d v="2025-07-08T00:00:00"/>
    <d v="2025-07-10T00:00:00"/>
    <m/>
    <d v="2025-07-30T00:00:00"/>
    <b v="1"/>
    <n v="722.41"/>
  </r>
  <r>
    <s v="LEAD00396"/>
    <d v="2025-04-22T00:00:00"/>
    <x v="3"/>
    <x v="3"/>
    <x v="0"/>
    <s v="EV Charge Card"/>
    <s v="Mid-Market"/>
    <x v="10"/>
    <b v="1"/>
    <x v="0"/>
    <s v="Yes"/>
    <d v="2025-04-27T00:00:00"/>
    <d v="2025-05-03T00:00:00"/>
    <m/>
    <d v="2025-05-21T00:00:00"/>
    <b v="1"/>
    <n v="2663.78"/>
  </r>
  <r>
    <s v="LEAD00397"/>
    <d v="2025-04-22T00:00:00"/>
    <x v="3"/>
    <x v="3"/>
    <x v="0"/>
    <s v="Fuel Card"/>
    <s v="SME"/>
    <x v="10"/>
    <b v="1"/>
    <x v="0"/>
    <s v="Yes"/>
    <d v="2025-04-29T00:00:00"/>
    <m/>
    <m/>
    <d v="2025-05-19T00:00:00"/>
    <b v="1"/>
    <n v="1065.81"/>
  </r>
  <r>
    <s v="LEAD00398"/>
    <d v="2025-05-13T00:00:00"/>
    <x v="6"/>
    <x v="0"/>
    <x v="1"/>
    <s v="Fuel Card"/>
    <s v="Mid-Market"/>
    <x v="5"/>
    <b v="1"/>
    <x v="0"/>
    <s v="Yes"/>
    <d v="2025-05-22T00:00:00"/>
    <d v="2025-06-01T00:00:00"/>
    <m/>
    <d v="2025-06-12T00:00:00"/>
    <b v="1"/>
    <n v="2702.17"/>
  </r>
  <r>
    <s v="LEAD00399"/>
    <d v="2025-06-17T00:00:00"/>
    <x v="5"/>
    <x v="0"/>
    <x v="1"/>
    <s v="EV Charge Card"/>
    <s v="Mid-Market"/>
    <x v="5"/>
    <b v="1"/>
    <x v="0"/>
    <s v="Yes"/>
    <d v="2025-06-23T00:00:00"/>
    <d v="2025-07-04T00:00:00"/>
    <m/>
    <d v="2025-07-20T00:00:00"/>
    <b v="1"/>
    <n v="2165.98"/>
  </r>
  <r>
    <s v="LEAD00400"/>
    <d v="2025-11-14T00:00:00"/>
    <x v="10"/>
    <x v="0"/>
    <x v="2"/>
    <s v="Toll Solution"/>
    <s v="SME"/>
    <x v="3"/>
    <b v="1"/>
    <x v="0"/>
    <s v="Yes"/>
    <d v="2025-11-18T00:00:00"/>
    <d v="2025-11-28T00:00:00"/>
    <m/>
    <d v="2025-12-29T00:00:00"/>
    <b v="1"/>
    <n v="544.1"/>
  </r>
  <r>
    <s v="LEAD00401"/>
    <d v="2025-09-02T00:00:00"/>
    <x v="11"/>
    <x v="0"/>
    <x v="0"/>
    <s v="Toll Solution"/>
    <s v="Mid-Market"/>
    <x v="3"/>
    <b v="1"/>
    <x v="0"/>
    <s v="Yes"/>
    <d v="2025-09-10T00:00:00"/>
    <d v="2025-09-23T00:00:00"/>
    <m/>
    <d v="2025-10-24T00:00:00"/>
    <b v="1"/>
    <n v="1651.32"/>
  </r>
  <r>
    <s v="LEAD00402"/>
    <d v="2025-03-24T00:00:00"/>
    <x v="7"/>
    <x v="1"/>
    <x v="4"/>
    <s v="Toll Solution"/>
    <s v="SME"/>
    <x v="11"/>
    <b v="1"/>
    <x v="2"/>
    <s v="Yes"/>
    <d v="2025-03-30T00:00:00"/>
    <d v="2025-04-01T00:00:00"/>
    <d v="2025-04-22T00:00:00"/>
    <m/>
    <b v="1"/>
    <n v="615.38"/>
  </r>
  <r>
    <s v="LEAD00403"/>
    <d v="2025-03-12T00:00:00"/>
    <x v="7"/>
    <x v="3"/>
    <x v="2"/>
    <s v="Fuel Card"/>
    <s v="Mid-Market"/>
    <x v="10"/>
    <b v="1"/>
    <x v="0"/>
    <s v="No"/>
    <m/>
    <m/>
    <m/>
    <d v="2025-03-28T00:00:00"/>
    <b v="1"/>
    <n v="1950.09"/>
  </r>
  <r>
    <s v="LEAD00404"/>
    <d v="2025-12-30T00:00:00"/>
    <x v="1"/>
    <x v="4"/>
    <x v="0"/>
    <s v="Toll Solution"/>
    <s v="Mid-Market"/>
    <x v="12"/>
    <b v="1"/>
    <x v="4"/>
    <s v="No"/>
    <m/>
    <m/>
    <m/>
    <m/>
    <b v="1"/>
    <n v="2082.79"/>
  </r>
  <r>
    <s v="LEAD00405"/>
    <d v="2025-04-12T00:00:00"/>
    <x v="3"/>
    <x v="3"/>
    <x v="2"/>
    <s v="Fleet Expense Card"/>
    <s v="Mid-Market"/>
    <x v="10"/>
    <b v="1"/>
    <x v="0"/>
    <s v="Yes"/>
    <d v="2025-04-14T00:00:00"/>
    <d v="2025-04-21T00:00:00"/>
    <m/>
    <d v="2025-05-13T00:00:00"/>
    <b v="1"/>
    <n v="2489.84"/>
  </r>
  <r>
    <s v="LEAD00406"/>
    <d v="2025-09-28T00:00:00"/>
    <x v="11"/>
    <x v="0"/>
    <x v="1"/>
    <s v="Fuel Card"/>
    <s v="SME"/>
    <x v="0"/>
    <b v="1"/>
    <x v="0"/>
    <s v="No"/>
    <m/>
    <m/>
    <m/>
    <d v="2025-10-14T00:00:00"/>
    <b v="1"/>
    <n v="753.51"/>
  </r>
  <r>
    <s v="LEAD00407"/>
    <d v="2025-01-24T00:00:00"/>
    <x v="9"/>
    <x v="2"/>
    <x v="3"/>
    <s v="Fuel Card"/>
    <s v="Enterprise"/>
    <x v="8"/>
    <b v="1"/>
    <x v="0"/>
    <s v="No"/>
    <m/>
    <m/>
    <m/>
    <d v="2025-02-07T00:00:00"/>
    <b v="1"/>
    <n v="6328.36"/>
  </r>
  <r>
    <s v="LEAD00408"/>
    <d v="2025-12-14T00:00:00"/>
    <x v="1"/>
    <x v="3"/>
    <x v="3"/>
    <s v="Fuel Card"/>
    <s v="Mid-Market"/>
    <x v="4"/>
    <b v="1"/>
    <x v="1"/>
    <s v="Yes"/>
    <d v="2025-12-17T00:00:00"/>
    <d v="2025-12-19T00:00:00"/>
    <m/>
    <m/>
    <b v="1"/>
    <n v="2285.0500000000002"/>
  </r>
  <r>
    <s v="LEAD00409"/>
    <d v="2025-09-27T00:00:00"/>
    <x v="11"/>
    <x v="3"/>
    <x v="1"/>
    <s v="Toll Solution"/>
    <s v="Mid-Market"/>
    <x v="10"/>
    <b v="1"/>
    <x v="0"/>
    <s v="No"/>
    <m/>
    <m/>
    <m/>
    <d v="2025-10-08T00:00:00"/>
    <b v="1"/>
    <n v="1639.08"/>
  </r>
  <r>
    <s v="LEAD00410"/>
    <d v="2025-07-23T00:00:00"/>
    <x v="4"/>
    <x v="3"/>
    <x v="4"/>
    <s v="Fuel Card"/>
    <s v="Mid-Market"/>
    <x v="9"/>
    <b v="1"/>
    <x v="0"/>
    <s v="Yes"/>
    <d v="2025-07-24T00:00:00"/>
    <d v="2025-07-29T00:00:00"/>
    <m/>
    <d v="2025-08-03T00:00:00"/>
    <b v="1"/>
    <n v="2161.44"/>
  </r>
  <r>
    <s v="LEAD00411"/>
    <d v="2025-03-17T00:00:00"/>
    <x v="7"/>
    <x v="2"/>
    <x v="3"/>
    <s v="Fuel Card"/>
    <s v="SME"/>
    <x v="2"/>
    <b v="1"/>
    <x v="2"/>
    <s v="Yes"/>
    <d v="2025-03-20T00:00:00"/>
    <d v="2025-03-29T00:00:00"/>
    <d v="2025-04-19T00:00:00"/>
    <m/>
    <b v="1"/>
    <n v="748.72"/>
  </r>
  <r>
    <s v="LEAD00412"/>
    <d v="2025-01-04T00:00:00"/>
    <x v="9"/>
    <x v="4"/>
    <x v="2"/>
    <s v="Fuel Card"/>
    <s v="Mid-Market"/>
    <x v="13"/>
    <b v="1"/>
    <x v="0"/>
    <s v="Yes"/>
    <d v="2025-01-11T00:00:00"/>
    <d v="2025-01-22T00:00:00"/>
    <m/>
    <d v="2025-02-15T00:00:00"/>
    <b v="1"/>
    <n v="2017.09"/>
  </r>
  <r>
    <s v="LEAD00413"/>
    <d v="2025-07-27T00:00:00"/>
    <x v="4"/>
    <x v="4"/>
    <x v="3"/>
    <s v="Fleet Expense Card"/>
    <s v="Mid-Market"/>
    <x v="12"/>
    <b v="1"/>
    <x v="0"/>
    <s v="Yes"/>
    <d v="2025-08-01T00:00:00"/>
    <d v="2025-08-04T00:00:00"/>
    <m/>
    <d v="2025-08-30T00:00:00"/>
    <b v="1"/>
    <n v="2528.12"/>
  </r>
  <r>
    <s v="LEAD00414"/>
    <d v="2025-12-15T00:00:00"/>
    <x v="1"/>
    <x v="3"/>
    <x v="3"/>
    <s v="Toll Solution"/>
    <s v="Enterprise"/>
    <x v="4"/>
    <b v="1"/>
    <x v="4"/>
    <s v="No"/>
    <m/>
    <m/>
    <m/>
    <m/>
    <b v="1"/>
    <n v="5194.21"/>
  </r>
  <r>
    <s v="LEAD00415"/>
    <d v="2025-07-06T00:00:00"/>
    <x v="4"/>
    <x v="3"/>
    <x v="1"/>
    <s v="EV Charge Card"/>
    <s v="SME"/>
    <x v="10"/>
    <b v="1"/>
    <x v="0"/>
    <s v="Yes"/>
    <d v="2025-07-10T00:00:00"/>
    <m/>
    <m/>
    <d v="2025-07-19T00:00:00"/>
    <b v="1"/>
    <n v="468.9"/>
  </r>
  <r>
    <s v="LEAD00416"/>
    <d v="2025-06-12T00:00:00"/>
    <x v="5"/>
    <x v="4"/>
    <x v="3"/>
    <s v="Fuel Card"/>
    <s v="SME"/>
    <x v="7"/>
    <b v="1"/>
    <x v="0"/>
    <s v="Yes"/>
    <d v="2025-06-22T00:00:00"/>
    <d v="2025-07-05T00:00:00"/>
    <m/>
    <d v="2025-07-13T00:00:00"/>
    <b v="1"/>
    <n v="626.88"/>
  </r>
  <r>
    <s v="LEAD00417"/>
    <d v="2025-08-10T00:00:00"/>
    <x v="2"/>
    <x v="3"/>
    <x v="2"/>
    <s v="Fuel Card"/>
    <s v="SME"/>
    <x v="10"/>
    <b v="1"/>
    <x v="0"/>
    <s v="Yes"/>
    <d v="2025-08-18T00:00:00"/>
    <d v="2025-08-23T00:00:00"/>
    <m/>
    <d v="2025-09-18T00:00:00"/>
    <b v="1"/>
    <n v="1032.8499999999999"/>
  </r>
  <r>
    <s v="LEAD00418"/>
    <d v="2025-01-29T00:00:00"/>
    <x v="9"/>
    <x v="4"/>
    <x v="1"/>
    <s v="Fuel Card"/>
    <s v="Mid-Market"/>
    <x v="7"/>
    <b v="1"/>
    <x v="0"/>
    <s v="Yes"/>
    <d v="2025-02-01T00:00:00"/>
    <d v="2025-02-15T00:00:00"/>
    <m/>
    <d v="2025-02-25T00:00:00"/>
    <b v="1"/>
    <n v="2228.67"/>
  </r>
  <r>
    <s v="LEAD00419"/>
    <d v="2025-11-10T00:00:00"/>
    <x v="10"/>
    <x v="3"/>
    <x v="1"/>
    <s v="EV Charge Card"/>
    <s v="Mid-Market"/>
    <x v="4"/>
    <b v="1"/>
    <x v="0"/>
    <s v="Yes"/>
    <d v="2025-11-12T00:00:00"/>
    <d v="2025-11-25T00:00:00"/>
    <m/>
    <d v="2025-12-27T00:00:00"/>
    <b v="1"/>
    <n v="2557.64"/>
  </r>
  <r>
    <s v="LEAD00420"/>
    <d v="2025-07-22T00:00:00"/>
    <x v="4"/>
    <x v="3"/>
    <x v="2"/>
    <s v="Fuel Card"/>
    <s v="SME"/>
    <x v="4"/>
    <b v="1"/>
    <x v="0"/>
    <s v="Yes"/>
    <d v="2025-07-27T00:00:00"/>
    <d v="2025-07-28T00:00:00"/>
    <m/>
    <d v="2025-08-18T00:00:00"/>
    <b v="1"/>
    <n v="656"/>
  </r>
  <r>
    <s v="LEAD00421"/>
    <d v="2025-01-30T00:00:00"/>
    <x v="9"/>
    <x v="0"/>
    <x v="4"/>
    <s v="EV Charge Card"/>
    <s v="SME"/>
    <x v="3"/>
    <b v="1"/>
    <x v="2"/>
    <s v="Yes"/>
    <d v="2025-02-04T00:00:00"/>
    <d v="2025-02-10T00:00:00"/>
    <d v="2025-03-08T00:00:00"/>
    <m/>
    <b v="1"/>
    <n v="819.04"/>
  </r>
  <r>
    <s v="LEAD00422"/>
    <d v="2025-04-28T00:00:00"/>
    <x v="3"/>
    <x v="0"/>
    <x v="2"/>
    <s v="Fuel Card"/>
    <s v="SME"/>
    <x v="5"/>
    <b v="1"/>
    <x v="2"/>
    <s v="Yes"/>
    <d v="2025-05-03T00:00:00"/>
    <d v="2025-05-12T00:00:00"/>
    <d v="2025-05-29T00:00:00"/>
    <m/>
    <b v="1"/>
    <n v="763.39"/>
  </r>
  <r>
    <s v="LEAD00423"/>
    <d v="2025-03-18T00:00:00"/>
    <x v="7"/>
    <x v="2"/>
    <x v="1"/>
    <s v="Fuel Card"/>
    <s v="Mid-Market"/>
    <x v="6"/>
    <b v="1"/>
    <x v="2"/>
    <s v="Yes"/>
    <d v="2025-03-19T00:00:00"/>
    <d v="2025-04-03T00:00:00"/>
    <d v="2025-05-03T00:00:00"/>
    <m/>
    <b v="1"/>
    <n v="2809.94"/>
  </r>
  <r>
    <s v="LEAD00424"/>
    <d v="2025-07-26T00:00:00"/>
    <x v="4"/>
    <x v="0"/>
    <x v="1"/>
    <s v="Fuel Card"/>
    <s v="Mid-Market"/>
    <x v="5"/>
    <b v="1"/>
    <x v="0"/>
    <s v="Yes"/>
    <d v="2025-08-04T00:00:00"/>
    <d v="2025-08-16T00:00:00"/>
    <m/>
    <d v="2025-08-23T00:00:00"/>
    <b v="1"/>
    <n v="3281.37"/>
  </r>
  <r>
    <s v="LEAD00425"/>
    <d v="2025-03-31T00:00:00"/>
    <x v="7"/>
    <x v="3"/>
    <x v="3"/>
    <s v="Fleet Expense Card"/>
    <s v="Enterprise"/>
    <x v="4"/>
    <b v="1"/>
    <x v="0"/>
    <s v="Yes"/>
    <d v="2025-04-10T00:00:00"/>
    <d v="2025-04-16T00:00:00"/>
    <m/>
    <d v="2025-05-01T00:00:00"/>
    <b v="1"/>
    <n v="8404.68"/>
  </r>
  <r>
    <s v="LEAD00426"/>
    <d v="2025-08-14T00:00:00"/>
    <x v="2"/>
    <x v="1"/>
    <x v="3"/>
    <s v="Toll Solution"/>
    <s v="Mid-Market"/>
    <x v="14"/>
    <b v="1"/>
    <x v="0"/>
    <s v="No"/>
    <m/>
    <m/>
    <m/>
    <d v="2025-08-19T00:00:00"/>
    <b v="1"/>
    <n v="1640.93"/>
  </r>
  <r>
    <s v="LEAD00427"/>
    <d v="2025-05-31T00:00:00"/>
    <x v="6"/>
    <x v="0"/>
    <x v="1"/>
    <s v="Toll Solution"/>
    <s v="Mid-Market"/>
    <x v="5"/>
    <b v="1"/>
    <x v="0"/>
    <s v="No"/>
    <m/>
    <m/>
    <m/>
    <d v="2025-06-19T00:00:00"/>
    <b v="1"/>
    <n v="2005"/>
  </r>
  <r>
    <s v="LEAD00428"/>
    <d v="2025-10-25T00:00:00"/>
    <x v="0"/>
    <x v="0"/>
    <x v="1"/>
    <s v="Fuel Card"/>
    <s v="Mid-Market"/>
    <x v="5"/>
    <b v="1"/>
    <x v="2"/>
    <s v="Yes"/>
    <d v="2025-10-29T00:00:00"/>
    <d v="2025-11-06T00:00:00"/>
    <d v="2025-12-02T00:00:00"/>
    <m/>
    <b v="1"/>
    <n v="3061.41"/>
  </r>
  <r>
    <s v="LEAD00429"/>
    <d v="2025-06-25T00:00:00"/>
    <x v="5"/>
    <x v="4"/>
    <x v="1"/>
    <s v="Toll Solution"/>
    <s v="SME"/>
    <x v="7"/>
    <b v="1"/>
    <x v="0"/>
    <s v="No"/>
    <m/>
    <m/>
    <m/>
    <d v="2025-07-01T00:00:00"/>
    <b v="1"/>
    <n v="468.84"/>
  </r>
  <r>
    <s v="LEAD00430"/>
    <d v="2025-11-18T00:00:00"/>
    <x v="10"/>
    <x v="2"/>
    <x v="1"/>
    <s v="Fuel Card"/>
    <s v="Enterprise"/>
    <x v="2"/>
    <b v="1"/>
    <x v="0"/>
    <s v="No"/>
    <m/>
    <m/>
    <m/>
    <d v="2025-11-27T00:00:00"/>
    <b v="1"/>
    <n v="9516.5499999999993"/>
  </r>
  <r>
    <s v="LEAD00431"/>
    <d v="2025-01-21T00:00:00"/>
    <x v="9"/>
    <x v="3"/>
    <x v="2"/>
    <s v="Toll Solution"/>
    <s v="SME"/>
    <x v="10"/>
    <b v="1"/>
    <x v="0"/>
    <s v="Yes"/>
    <d v="2025-01-26T00:00:00"/>
    <d v="2025-02-03T00:00:00"/>
    <m/>
    <d v="2025-02-17T00:00:00"/>
    <b v="1"/>
    <n v="506.68"/>
  </r>
  <r>
    <s v="LEAD00432"/>
    <d v="2025-05-29T00:00:00"/>
    <x v="6"/>
    <x v="3"/>
    <x v="4"/>
    <s v="Fleet Expense Card"/>
    <s v="SME"/>
    <x v="4"/>
    <b v="1"/>
    <x v="0"/>
    <s v="Yes"/>
    <d v="2025-06-02T00:00:00"/>
    <d v="2025-06-09T00:00:00"/>
    <m/>
    <d v="2025-07-10T00:00:00"/>
    <b v="1"/>
    <n v="932.56"/>
  </r>
  <r>
    <s v="LEAD00433"/>
    <d v="2025-07-20T00:00:00"/>
    <x v="4"/>
    <x v="0"/>
    <x v="2"/>
    <s v="EV Charge Card"/>
    <s v="SME"/>
    <x v="5"/>
    <b v="1"/>
    <x v="2"/>
    <s v="Yes"/>
    <d v="2025-07-26T00:00:00"/>
    <d v="2025-08-08T00:00:00"/>
    <d v="2025-09-04T00:00:00"/>
    <m/>
    <b v="1"/>
    <n v="834.52"/>
  </r>
  <r>
    <s v="LEAD00434"/>
    <d v="2025-05-31T00:00:00"/>
    <x v="6"/>
    <x v="1"/>
    <x v="0"/>
    <s v="Fuel Card"/>
    <s v="SME"/>
    <x v="14"/>
    <b v="1"/>
    <x v="0"/>
    <s v="No"/>
    <m/>
    <m/>
    <m/>
    <d v="2025-06-09T00:00:00"/>
    <b v="1"/>
    <n v="805.33"/>
  </r>
  <r>
    <s v="LEAD00435"/>
    <d v="2025-07-07T00:00:00"/>
    <x v="4"/>
    <x v="0"/>
    <x v="2"/>
    <s v="EV Charge Card"/>
    <s v="SME"/>
    <x v="5"/>
    <b v="1"/>
    <x v="0"/>
    <s v="Yes"/>
    <d v="2025-07-14T00:00:00"/>
    <m/>
    <m/>
    <d v="2025-08-02T00:00:00"/>
    <b v="1"/>
    <n v="623.14"/>
  </r>
  <r>
    <s v="LEAD00436"/>
    <d v="2025-09-20T00:00:00"/>
    <x v="11"/>
    <x v="0"/>
    <x v="4"/>
    <s v="EV Charge Card"/>
    <s v="Mid-Market"/>
    <x v="0"/>
    <b v="1"/>
    <x v="0"/>
    <s v="Yes"/>
    <d v="2025-09-28T00:00:00"/>
    <d v="2025-10-01T00:00:00"/>
    <m/>
    <d v="2025-10-31T00:00:00"/>
    <b v="1"/>
    <n v="2415.19"/>
  </r>
  <r>
    <s v="LEAD00437"/>
    <d v="2025-06-18T00:00:00"/>
    <x v="5"/>
    <x v="3"/>
    <x v="0"/>
    <s v="Fuel Card"/>
    <s v="Mid-Market"/>
    <x v="4"/>
    <b v="1"/>
    <x v="0"/>
    <s v="Yes"/>
    <d v="2025-06-19T00:00:00"/>
    <d v="2025-06-22T00:00:00"/>
    <m/>
    <d v="2025-07-20T00:00:00"/>
    <b v="1"/>
    <n v="2644.04"/>
  </r>
  <r>
    <s v="LEAD00438"/>
    <d v="2025-04-24T00:00:00"/>
    <x v="3"/>
    <x v="3"/>
    <x v="1"/>
    <s v="Fuel Card"/>
    <s v="SME"/>
    <x v="4"/>
    <b v="1"/>
    <x v="0"/>
    <s v="Yes"/>
    <d v="2025-04-25T00:00:00"/>
    <d v="2025-04-29T00:00:00"/>
    <m/>
    <d v="2025-05-07T00:00:00"/>
    <b v="1"/>
    <n v="816.32"/>
  </r>
  <r>
    <s v="LEAD00439"/>
    <d v="2025-03-20T00:00:00"/>
    <x v="7"/>
    <x v="2"/>
    <x v="2"/>
    <s v="Fuel Card"/>
    <s v="Mid-Market"/>
    <x v="8"/>
    <b v="1"/>
    <x v="0"/>
    <s v="No"/>
    <m/>
    <m/>
    <m/>
    <d v="2025-04-06T00:00:00"/>
    <b v="1"/>
    <n v="2851.88"/>
  </r>
  <r>
    <s v="LEAD00440"/>
    <d v="2025-10-19T00:00:00"/>
    <x v="0"/>
    <x v="0"/>
    <x v="1"/>
    <s v="EV Charge Card"/>
    <s v="Enterprise"/>
    <x v="3"/>
    <b v="1"/>
    <x v="0"/>
    <s v="Yes"/>
    <d v="2025-10-25T00:00:00"/>
    <m/>
    <m/>
    <d v="2025-11-14T00:00:00"/>
    <b v="1"/>
    <n v="4939.3999999999996"/>
  </r>
  <r>
    <s v="LEAD00441"/>
    <d v="2025-03-25T00:00:00"/>
    <x v="7"/>
    <x v="3"/>
    <x v="1"/>
    <s v="Toll Solution"/>
    <s v="Mid-Market"/>
    <x v="4"/>
    <b v="1"/>
    <x v="0"/>
    <s v="Yes"/>
    <d v="2025-03-27T00:00:00"/>
    <m/>
    <m/>
    <d v="2025-04-01T00:00:00"/>
    <b v="1"/>
    <n v="1647.03"/>
  </r>
  <r>
    <s v="LEAD00442"/>
    <d v="2025-12-31T00:00:00"/>
    <x v="1"/>
    <x v="3"/>
    <x v="0"/>
    <s v="EV Charge Card"/>
    <s v="Mid-Market"/>
    <x v="4"/>
    <b v="1"/>
    <x v="3"/>
    <s v="Yes"/>
    <d v="2026-01-09T00:00:00"/>
    <m/>
    <m/>
    <m/>
    <b v="1"/>
    <n v="2635.72"/>
  </r>
  <r>
    <s v="LEAD00443"/>
    <d v="2025-03-03T00:00:00"/>
    <x v="7"/>
    <x v="3"/>
    <x v="4"/>
    <s v="Fuel Card"/>
    <s v="SME"/>
    <x v="10"/>
    <b v="1"/>
    <x v="2"/>
    <s v="Yes"/>
    <d v="2025-03-06T00:00:00"/>
    <d v="2025-03-11T00:00:00"/>
    <d v="2025-03-25T00:00:00"/>
    <m/>
    <b v="1"/>
    <n v="699.36"/>
  </r>
  <r>
    <s v="LEAD00444"/>
    <d v="2025-02-21T00:00:00"/>
    <x v="8"/>
    <x v="0"/>
    <x v="2"/>
    <s v="Fleet Expense Card"/>
    <s v="SME"/>
    <x v="0"/>
    <b v="1"/>
    <x v="0"/>
    <s v="Yes"/>
    <d v="2025-02-26T00:00:00"/>
    <d v="2025-03-07T00:00:00"/>
    <m/>
    <d v="2025-03-26T00:00:00"/>
    <b v="1"/>
    <n v="825.74"/>
  </r>
  <r>
    <s v="LEAD00445"/>
    <d v="2025-09-16T00:00:00"/>
    <x v="11"/>
    <x v="0"/>
    <x v="2"/>
    <s v="Fuel Card"/>
    <s v="Mid-Market"/>
    <x v="0"/>
    <b v="1"/>
    <x v="0"/>
    <s v="Yes"/>
    <d v="2025-09-22T00:00:00"/>
    <m/>
    <m/>
    <d v="2025-10-05T00:00:00"/>
    <b v="1"/>
    <n v="1910.58"/>
  </r>
  <r>
    <s v="LEAD00446"/>
    <d v="2025-10-07T00:00:00"/>
    <x v="0"/>
    <x v="2"/>
    <x v="3"/>
    <s v="Fuel Card"/>
    <s v="SME"/>
    <x v="6"/>
    <b v="1"/>
    <x v="0"/>
    <s v="No"/>
    <m/>
    <m/>
    <m/>
    <d v="2025-10-17T00:00:00"/>
    <b v="1"/>
    <n v="1067.55"/>
  </r>
  <r>
    <s v="LEAD00447"/>
    <d v="2025-01-10T00:00:00"/>
    <x v="9"/>
    <x v="0"/>
    <x v="0"/>
    <s v="Fuel Card"/>
    <s v="SME"/>
    <x v="5"/>
    <b v="1"/>
    <x v="0"/>
    <s v="Yes"/>
    <d v="2025-01-18T00:00:00"/>
    <d v="2025-01-22T00:00:00"/>
    <m/>
    <d v="2025-02-19T00:00:00"/>
    <b v="1"/>
    <n v="1069.79"/>
  </r>
  <r>
    <s v="LEAD00448"/>
    <d v="2025-02-21T00:00:00"/>
    <x v="8"/>
    <x v="2"/>
    <x v="3"/>
    <s v="Fuel Card"/>
    <s v="SME"/>
    <x v="8"/>
    <b v="1"/>
    <x v="0"/>
    <s v="No"/>
    <m/>
    <m/>
    <m/>
    <d v="2025-03-10T00:00:00"/>
    <b v="1"/>
    <n v="1123.6199999999999"/>
  </r>
  <r>
    <s v="LEAD00449"/>
    <d v="2025-06-08T00:00:00"/>
    <x v="5"/>
    <x v="3"/>
    <x v="2"/>
    <s v="Toll Solution"/>
    <s v="SME"/>
    <x v="10"/>
    <b v="1"/>
    <x v="0"/>
    <s v="No"/>
    <m/>
    <m/>
    <m/>
    <d v="2025-06-20T00:00:00"/>
    <b v="1"/>
    <n v="609.73"/>
  </r>
  <r>
    <s v="LEAD00450"/>
    <d v="2025-04-26T00:00:00"/>
    <x v="3"/>
    <x v="2"/>
    <x v="1"/>
    <s v="Fuel Card"/>
    <s v="SME"/>
    <x v="8"/>
    <b v="1"/>
    <x v="0"/>
    <s v="Yes"/>
    <d v="2025-04-28T00:00:00"/>
    <d v="2025-04-30T00:00:00"/>
    <m/>
    <d v="2025-05-15T00:00:00"/>
    <b v="1"/>
    <n v="990.38"/>
  </r>
  <r>
    <s v="LEAD00451"/>
    <d v="2025-06-13T00:00:00"/>
    <x v="5"/>
    <x v="3"/>
    <x v="0"/>
    <s v="EV Charge Card"/>
    <s v="Mid-Market"/>
    <x v="10"/>
    <b v="1"/>
    <x v="0"/>
    <s v="Yes"/>
    <d v="2025-06-15T00:00:00"/>
    <d v="2025-06-21T00:00:00"/>
    <m/>
    <d v="2025-07-17T00:00:00"/>
    <b v="1"/>
    <n v="2818.69"/>
  </r>
  <r>
    <s v="LEAD00452"/>
    <d v="2025-07-15T00:00:00"/>
    <x v="4"/>
    <x v="1"/>
    <x v="1"/>
    <s v="EV Charge Card"/>
    <s v="Mid-Market"/>
    <x v="11"/>
    <b v="1"/>
    <x v="0"/>
    <s v="Yes"/>
    <d v="2025-07-24T00:00:00"/>
    <m/>
    <m/>
    <d v="2025-08-07T00:00:00"/>
    <b v="1"/>
    <n v="2370.8000000000002"/>
  </r>
  <r>
    <s v="LEAD00453"/>
    <d v="2025-10-30T00:00:00"/>
    <x v="0"/>
    <x v="3"/>
    <x v="0"/>
    <s v="Fuel Card"/>
    <s v="Mid-Market"/>
    <x v="9"/>
    <b v="1"/>
    <x v="0"/>
    <s v="Yes"/>
    <d v="2025-11-06T00:00:00"/>
    <d v="2025-11-15T00:00:00"/>
    <m/>
    <d v="2025-12-10T00:00:00"/>
    <b v="1"/>
    <n v="1928.41"/>
  </r>
  <r>
    <s v="LEAD00454"/>
    <d v="2025-03-15T00:00:00"/>
    <x v="7"/>
    <x v="0"/>
    <x v="2"/>
    <s v="Fuel Card"/>
    <s v="Mid-Market"/>
    <x v="3"/>
    <b v="1"/>
    <x v="0"/>
    <s v="No"/>
    <m/>
    <m/>
    <m/>
    <d v="2025-03-31T00:00:00"/>
    <b v="1"/>
    <n v="2247.1799999999998"/>
  </r>
  <r>
    <s v="LEAD00455"/>
    <d v="2025-06-20T00:00:00"/>
    <x v="5"/>
    <x v="3"/>
    <x v="0"/>
    <s v="Fuel Card"/>
    <s v="SME"/>
    <x v="9"/>
    <b v="1"/>
    <x v="0"/>
    <s v="Yes"/>
    <d v="2025-06-21T00:00:00"/>
    <m/>
    <m/>
    <d v="2025-06-27T00:00:00"/>
    <b v="1"/>
    <n v="862.07"/>
  </r>
  <r>
    <s v="LEAD00456"/>
    <d v="2025-05-13T00:00:00"/>
    <x v="6"/>
    <x v="1"/>
    <x v="0"/>
    <s v="Fuel Card"/>
    <s v="Mid-Market"/>
    <x v="11"/>
    <b v="1"/>
    <x v="0"/>
    <s v="Yes"/>
    <d v="2025-05-22T00:00:00"/>
    <d v="2025-05-30T00:00:00"/>
    <m/>
    <d v="2025-06-16T00:00:00"/>
    <b v="1"/>
    <n v="2954"/>
  </r>
  <r>
    <s v="LEAD00457"/>
    <d v="2025-05-07T00:00:00"/>
    <x v="6"/>
    <x v="0"/>
    <x v="0"/>
    <s v="Fuel Card"/>
    <s v="Enterprise"/>
    <x v="3"/>
    <b v="1"/>
    <x v="0"/>
    <s v="Yes"/>
    <d v="2025-05-13T00:00:00"/>
    <d v="2025-05-26T00:00:00"/>
    <m/>
    <d v="2025-06-01T00:00:00"/>
    <b v="1"/>
    <n v="8976.69"/>
  </r>
  <r>
    <s v="LEAD00458"/>
    <d v="2025-10-16T00:00:00"/>
    <x v="0"/>
    <x v="4"/>
    <x v="1"/>
    <s v="EV Charge Card"/>
    <s v="SME"/>
    <x v="13"/>
    <b v="1"/>
    <x v="2"/>
    <s v="Yes"/>
    <d v="2025-10-18T00:00:00"/>
    <d v="2025-10-20T00:00:00"/>
    <d v="2025-11-19T00:00:00"/>
    <m/>
    <b v="1"/>
    <n v="840.18"/>
  </r>
  <r>
    <s v="LEAD00459"/>
    <d v="2025-01-19T00:00:00"/>
    <x v="9"/>
    <x v="3"/>
    <x v="2"/>
    <s v="Toll Solution"/>
    <s v="SME"/>
    <x v="10"/>
    <b v="1"/>
    <x v="2"/>
    <s v="Yes"/>
    <d v="2025-01-22T00:00:00"/>
    <d v="2025-01-29T00:00:00"/>
    <d v="2025-02-12T00:00:00"/>
    <m/>
    <b v="1"/>
    <n v="522.46"/>
  </r>
  <r>
    <s v="LEAD00460"/>
    <d v="2025-02-08T00:00:00"/>
    <x v="8"/>
    <x v="3"/>
    <x v="3"/>
    <s v="Fleet Expense Card"/>
    <s v="SME"/>
    <x v="9"/>
    <b v="1"/>
    <x v="0"/>
    <s v="No"/>
    <m/>
    <m/>
    <m/>
    <d v="2025-02-17T00:00:00"/>
    <b v="1"/>
    <n v="879.26"/>
  </r>
  <r>
    <s v="LEAD00461"/>
    <d v="2025-06-02T00:00:00"/>
    <x v="5"/>
    <x v="1"/>
    <x v="0"/>
    <s v="EV Charge Card"/>
    <s v="Mid-Market"/>
    <x v="14"/>
    <b v="1"/>
    <x v="0"/>
    <s v="Yes"/>
    <d v="2025-06-12T00:00:00"/>
    <d v="2025-06-13T00:00:00"/>
    <m/>
    <d v="2025-07-07T00:00:00"/>
    <b v="1"/>
    <n v="2718.26"/>
  </r>
  <r>
    <s v="LEAD00462"/>
    <d v="2025-06-15T00:00:00"/>
    <x v="5"/>
    <x v="0"/>
    <x v="1"/>
    <s v="Fuel Card"/>
    <s v="SME"/>
    <x v="0"/>
    <b v="1"/>
    <x v="0"/>
    <s v="Yes"/>
    <d v="2025-06-24T00:00:00"/>
    <d v="2025-07-06T00:00:00"/>
    <m/>
    <d v="2025-07-29T00:00:00"/>
    <b v="1"/>
    <n v="842.92"/>
  </r>
  <r>
    <s v="LEAD00463"/>
    <d v="2025-07-06T00:00:00"/>
    <x v="4"/>
    <x v="3"/>
    <x v="2"/>
    <s v="Fleet Expense Card"/>
    <s v="SME"/>
    <x v="10"/>
    <b v="1"/>
    <x v="2"/>
    <s v="Yes"/>
    <d v="2025-07-11T00:00:00"/>
    <d v="2025-07-19T00:00:00"/>
    <d v="2025-08-14T00:00:00"/>
    <m/>
    <b v="1"/>
    <n v="822.3"/>
  </r>
  <r>
    <s v="LEAD00464"/>
    <d v="2025-09-13T00:00:00"/>
    <x v="11"/>
    <x v="4"/>
    <x v="2"/>
    <s v="Fleet Expense Card"/>
    <s v="SME"/>
    <x v="13"/>
    <b v="1"/>
    <x v="0"/>
    <s v="No"/>
    <m/>
    <m/>
    <m/>
    <d v="2025-09-30T00:00:00"/>
    <b v="1"/>
    <n v="577.16"/>
  </r>
  <r>
    <s v="LEAD00465"/>
    <d v="2025-08-23T00:00:00"/>
    <x v="2"/>
    <x v="2"/>
    <x v="4"/>
    <s v="Toll Solution"/>
    <s v="SME"/>
    <x v="6"/>
    <b v="1"/>
    <x v="0"/>
    <s v="Yes"/>
    <d v="2025-08-28T00:00:00"/>
    <d v="2025-09-04T00:00:00"/>
    <m/>
    <d v="2025-09-13T00:00:00"/>
    <b v="1"/>
    <n v="657.62"/>
  </r>
  <r>
    <s v="LEAD00466"/>
    <d v="2025-06-06T00:00:00"/>
    <x v="5"/>
    <x v="3"/>
    <x v="2"/>
    <s v="Toll Solution"/>
    <s v="SME"/>
    <x v="9"/>
    <b v="1"/>
    <x v="0"/>
    <s v="Yes"/>
    <d v="2025-06-07T00:00:00"/>
    <m/>
    <m/>
    <d v="2025-06-18T00:00:00"/>
    <b v="1"/>
    <n v="410.58"/>
  </r>
  <r>
    <s v="LEAD00467"/>
    <d v="2025-11-19T00:00:00"/>
    <x v="10"/>
    <x v="3"/>
    <x v="5"/>
    <s v="Fleet Expense Card"/>
    <s v="Mid-Market"/>
    <x v="4"/>
    <b v="1"/>
    <x v="2"/>
    <s v="Yes"/>
    <d v="2025-11-22T00:00:00"/>
    <d v="2025-12-07T00:00:00"/>
    <d v="2026-01-03T00:00:00"/>
    <m/>
    <b v="1"/>
    <n v="1889.8"/>
  </r>
  <r>
    <s v="LEAD00468"/>
    <d v="2025-09-08T00:00:00"/>
    <x v="11"/>
    <x v="2"/>
    <x v="0"/>
    <s v="Fleet Expense Card"/>
    <s v="Enterprise"/>
    <x v="8"/>
    <b v="1"/>
    <x v="0"/>
    <s v="Yes"/>
    <d v="2025-09-17T00:00:00"/>
    <d v="2025-09-26T00:00:00"/>
    <m/>
    <d v="2025-10-07T00:00:00"/>
    <b v="1"/>
    <n v="7815.86"/>
  </r>
  <r>
    <s v="LEAD00469"/>
    <d v="2025-06-28T00:00:00"/>
    <x v="5"/>
    <x v="2"/>
    <x v="2"/>
    <s v="Fleet Expense Card"/>
    <s v="Enterprise"/>
    <x v="2"/>
    <b v="1"/>
    <x v="0"/>
    <s v="No"/>
    <m/>
    <m/>
    <m/>
    <d v="2025-07-06T00:00:00"/>
    <b v="1"/>
    <n v="6907.56"/>
  </r>
  <r>
    <s v="LEAD00470"/>
    <d v="2025-08-23T00:00:00"/>
    <x v="2"/>
    <x v="0"/>
    <x v="0"/>
    <s v="Fleet Expense Card"/>
    <s v="SME"/>
    <x v="3"/>
    <b v="1"/>
    <x v="0"/>
    <s v="Yes"/>
    <d v="2025-08-26T00:00:00"/>
    <m/>
    <m/>
    <d v="2025-09-05T00:00:00"/>
    <b v="1"/>
    <n v="954.68"/>
  </r>
  <r>
    <s v="LEAD00471"/>
    <d v="2025-10-21T00:00:00"/>
    <x v="0"/>
    <x v="3"/>
    <x v="2"/>
    <s v="EV Charge Card"/>
    <s v="Enterprise"/>
    <x v="4"/>
    <b v="1"/>
    <x v="0"/>
    <s v="Yes"/>
    <d v="2025-10-28T00:00:00"/>
    <d v="2025-11-11T00:00:00"/>
    <m/>
    <d v="2025-12-16T00:00:00"/>
    <b v="1"/>
    <n v="8050.5"/>
  </r>
  <r>
    <s v="LEAD00472"/>
    <d v="2025-07-12T00:00:00"/>
    <x v="4"/>
    <x v="3"/>
    <x v="3"/>
    <s v="Fuel Card"/>
    <s v="Mid-Market"/>
    <x v="9"/>
    <b v="1"/>
    <x v="0"/>
    <s v="No"/>
    <m/>
    <m/>
    <m/>
    <d v="2025-07-24T00:00:00"/>
    <b v="1"/>
    <n v="3072.92"/>
  </r>
  <r>
    <s v="LEAD00473"/>
    <d v="2025-01-15T00:00:00"/>
    <x v="9"/>
    <x v="3"/>
    <x v="3"/>
    <s v="Fuel Card"/>
    <s v="Enterprise"/>
    <x v="10"/>
    <b v="1"/>
    <x v="2"/>
    <s v="Yes"/>
    <d v="2025-01-23T00:00:00"/>
    <d v="2025-02-04T00:00:00"/>
    <d v="2025-03-04T00:00:00"/>
    <m/>
    <b v="1"/>
    <n v="8251.14"/>
  </r>
  <r>
    <s v="LEAD00474"/>
    <d v="2025-02-01T00:00:00"/>
    <x v="8"/>
    <x v="2"/>
    <x v="1"/>
    <s v="Fuel Card"/>
    <s v="SME"/>
    <x v="6"/>
    <b v="1"/>
    <x v="0"/>
    <s v="Yes"/>
    <d v="2025-02-08T00:00:00"/>
    <m/>
    <m/>
    <d v="2025-03-03T00:00:00"/>
    <b v="1"/>
    <n v="955.14"/>
  </r>
  <r>
    <s v="LEAD00475"/>
    <d v="2025-11-30T00:00:00"/>
    <x v="10"/>
    <x v="4"/>
    <x v="3"/>
    <s v="EV Charge Card"/>
    <s v="Mid-Market"/>
    <x v="12"/>
    <b v="1"/>
    <x v="0"/>
    <s v="No"/>
    <m/>
    <m/>
    <m/>
    <d v="2025-12-19T00:00:00"/>
    <b v="1"/>
    <n v="2305.0300000000002"/>
  </r>
  <r>
    <s v="LEAD00476"/>
    <d v="2025-05-10T00:00:00"/>
    <x v="6"/>
    <x v="3"/>
    <x v="1"/>
    <s v="Toll Solution"/>
    <s v="SME"/>
    <x v="4"/>
    <b v="1"/>
    <x v="0"/>
    <s v="Yes"/>
    <d v="2025-05-13T00:00:00"/>
    <d v="2025-05-22T00:00:00"/>
    <m/>
    <d v="2025-06-02T00:00:00"/>
    <b v="1"/>
    <n v="699.35"/>
  </r>
  <r>
    <s v="LEAD00477"/>
    <d v="2025-07-22T00:00:00"/>
    <x v="4"/>
    <x v="3"/>
    <x v="2"/>
    <s v="Toll Solution"/>
    <s v="SME"/>
    <x v="9"/>
    <b v="1"/>
    <x v="2"/>
    <s v="Yes"/>
    <d v="2025-07-31T00:00:00"/>
    <d v="2025-08-07T00:00:00"/>
    <d v="2025-08-10T00:00:00"/>
    <m/>
    <b v="1"/>
    <n v="673.11"/>
  </r>
  <r>
    <s v="LEAD00478"/>
    <d v="2025-05-14T00:00:00"/>
    <x v="6"/>
    <x v="2"/>
    <x v="0"/>
    <s v="Fleet Expense Card"/>
    <s v="SME"/>
    <x v="8"/>
    <b v="1"/>
    <x v="0"/>
    <s v="Yes"/>
    <d v="2025-05-24T00:00:00"/>
    <d v="2025-06-04T00:00:00"/>
    <m/>
    <d v="2025-06-20T00:00:00"/>
    <b v="1"/>
    <n v="819.69"/>
  </r>
  <r>
    <s v="LEAD00479"/>
    <d v="2025-03-20T00:00:00"/>
    <x v="7"/>
    <x v="0"/>
    <x v="2"/>
    <s v="EV Charge Card"/>
    <s v="Enterprise"/>
    <x v="0"/>
    <b v="1"/>
    <x v="0"/>
    <s v="Yes"/>
    <d v="2025-03-22T00:00:00"/>
    <d v="2025-04-02T00:00:00"/>
    <m/>
    <d v="2025-04-20T00:00:00"/>
    <b v="1"/>
    <n v="6623.82"/>
  </r>
  <r>
    <s v="LEAD00480"/>
    <d v="2025-01-07T00:00:00"/>
    <x v="9"/>
    <x v="4"/>
    <x v="4"/>
    <s v="Toll Solution"/>
    <s v="SME"/>
    <x v="13"/>
    <b v="1"/>
    <x v="0"/>
    <s v="Yes"/>
    <d v="2025-01-16T00:00:00"/>
    <d v="2025-01-24T00:00:00"/>
    <m/>
    <d v="2025-02-04T00:00:00"/>
    <b v="1"/>
    <n v="483.38"/>
  </r>
  <r>
    <s v="LEAD00481"/>
    <d v="2025-05-13T00:00:00"/>
    <x v="6"/>
    <x v="1"/>
    <x v="3"/>
    <s v="Fuel Card"/>
    <s v="SME"/>
    <x v="11"/>
    <b v="1"/>
    <x v="0"/>
    <s v="No"/>
    <m/>
    <m/>
    <m/>
    <d v="2025-05-20T00:00:00"/>
    <b v="1"/>
    <n v="937.33"/>
  </r>
  <r>
    <s v="LEAD00482"/>
    <d v="2025-08-22T00:00:00"/>
    <x v="2"/>
    <x v="0"/>
    <x v="3"/>
    <s v="Fuel Card"/>
    <s v="SME"/>
    <x v="0"/>
    <b v="1"/>
    <x v="0"/>
    <s v="No"/>
    <m/>
    <m/>
    <m/>
    <d v="2025-09-06T00:00:00"/>
    <b v="1"/>
    <n v="910.46"/>
  </r>
  <r>
    <s v="LEAD00483"/>
    <d v="2025-01-16T00:00:00"/>
    <x v="9"/>
    <x v="1"/>
    <x v="3"/>
    <s v="Fuel Card"/>
    <s v="Mid-Market"/>
    <x v="14"/>
    <b v="1"/>
    <x v="2"/>
    <s v="Yes"/>
    <d v="2025-01-26T00:00:00"/>
    <d v="2025-01-28T00:00:00"/>
    <d v="2025-01-31T00:00:00"/>
    <m/>
    <b v="1"/>
    <n v="2163.86"/>
  </r>
  <r>
    <s v="LEAD00484"/>
    <d v="2025-08-27T00:00:00"/>
    <x v="2"/>
    <x v="0"/>
    <x v="2"/>
    <s v="Toll Solution"/>
    <s v="Mid-Market"/>
    <x v="0"/>
    <b v="1"/>
    <x v="0"/>
    <s v="Yes"/>
    <d v="2025-08-28T00:00:00"/>
    <d v="2025-09-04T00:00:00"/>
    <m/>
    <d v="2025-10-07T00:00:00"/>
    <b v="1"/>
    <n v="1524.38"/>
  </r>
  <r>
    <s v="LEAD00485"/>
    <d v="2025-01-21T00:00:00"/>
    <x v="9"/>
    <x v="2"/>
    <x v="3"/>
    <s v="EV Charge Card"/>
    <s v="SME"/>
    <x v="8"/>
    <b v="1"/>
    <x v="0"/>
    <s v="No"/>
    <m/>
    <m/>
    <m/>
    <d v="2025-01-29T00:00:00"/>
    <b v="1"/>
    <n v="474.64"/>
  </r>
  <r>
    <s v="LEAD00486"/>
    <d v="2025-02-25T00:00:00"/>
    <x v="8"/>
    <x v="0"/>
    <x v="2"/>
    <s v="Fuel Card"/>
    <s v="SME"/>
    <x v="3"/>
    <b v="1"/>
    <x v="0"/>
    <s v="Yes"/>
    <d v="2025-03-06T00:00:00"/>
    <m/>
    <m/>
    <d v="2025-03-20T00:00:00"/>
    <b v="1"/>
    <n v="1115.27"/>
  </r>
  <r>
    <s v="LEAD00487"/>
    <d v="2025-10-12T00:00:00"/>
    <x v="0"/>
    <x v="0"/>
    <x v="0"/>
    <s v="Fuel Card"/>
    <s v="SME"/>
    <x v="3"/>
    <b v="1"/>
    <x v="0"/>
    <s v="Yes"/>
    <d v="2025-10-13T00:00:00"/>
    <m/>
    <m/>
    <d v="2025-10-21T00:00:00"/>
    <b v="1"/>
    <n v="747.75"/>
  </r>
  <r>
    <s v="LEAD00488"/>
    <d v="2025-03-17T00:00:00"/>
    <x v="7"/>
    <x v="1"/>
    <x v="3"/>
    <s v="Fuel Card"/>
    <s v="SME"/>
    <x v="1"/>
    <b v="1"/>
    <x v="0"/>
    <s v="Yes"/>
    <d v="2025-03-26T00:00:00"/>
    <d v="2025-04-05T00:00:00"/>
    <m/>
    <d v="2025-04-19T00:00:00"/>
    <b v="1"/>
    <n v="752.83"/>
  </r>
  <r>
    <s v="LEAD00489"/>
    <d v="2025-05-11T00:00:00"/>
    <x v="6"/>
    <x v="3"/>
    <x v="4"/>
    <s v="Fuel Card"/>
    <s v="Mid-Market"/>
    <x v="10"/>
    <b v="1"/>
    <x v="0"/>
    <s v="Yes"/>
    <d v="2025-05-15T00:00:00"/>
    <d v="2025-05-22T00:00:00"/>
    <m/>
    <d v="2025-06-21T00:00:00"/>
    <b v="1"/>
    <n v="2417.48"/>
  </r>
  <r>
    <s v="LEAD00490"/>
    <d v="2025-09-21T00:00:00"/>
    <x v="11"/>
    <x v="0"/>
    <x v="3"/>
    <s v="Toll Solution"/>
    <s v="SME"/>
    <x v="0"/>
    <b v="1"/>
    <x v="0"/>
    <s v="No"/>
    <m/>
    <m/>
    <m/>
    <d v="2025-10-10T00:00:00"/>
    <b v="1"/>
    <n v="400.64"/>
  </r>
  <r>
    <s v="LEAD00491"/>
    <d v="2025-08-11T00:00:00"/>
    <x v="2"/>
    <x v="0"/>
    <x v="3"/>
    <s v="Fuel Card"/>
    <s v="Mid-Market"/>
    <x v="3"/>
    <b v="1"/>
    <x v="2"/>
    <s v="Yes"/>
    <d v="2025-08-16T00:00:00"/>
    <d v="2025-08-18T00:00:00"/>
    <d v="2025-08-27T00:00:00"/>
    <m/>
    <b v="1"/>
    <n v="3086.02"/>
  </r>
  <r>
    <s v="LEAD00492"/>
    <d v="2025-06-25T00:00:00"/>
    <x v="5"/>
    <x v="0"/>
    <x v="4"/>
    <s v="Fleet Expense Card"/>
    <s v="SME"/>
    <x v="5"/>
    <b v="1"/>
    <x v="0"/>
    <s v="No"/>
    <m/>
    <m/>
    <m/>
    <d v="2025-07-08T00:00:00"/>
    <b v="1"/>
    <n v="539.38"/>
  </r>
  <r>
    <s v="LEAD00493"/>
    <d v="2025-06-07T00:00:00"/>
    <x v="5"/>
    <x v="0"/>
    <x v="1"/>
    <s v="Fleet Expense Card"/>
    <s v="SME"/>
    <x v="0"/>
    <b v="1"/>
    <x v="2"/>
    <s v="Yes"/>
    <d v="2025-06-10T00:00:00"/>
    <d v="2025-06-23T00:00:00"/>
    <d v="2025-07-18T00:00:00"/>
    <m/>
    <b v="1"/>
    <n v="846.03"/>
  </r>
  <r>
    <s v="LEAD00494"/>
    <d v="2025-10-22T00:00:00"/>
    <x v="0"/>
    <x v="2"/>
    <x v="5"/>
    <s v="Fuel Card"/>
    <s v="SME"/>
    <x v="8"/>
    <b v="1"/>
    <x v="0"/>
    <s v="No"/>
    <m/>
    <m/>
    <m/>
    <d v="2025-11-06T00:00:00"/>
    <b v="1"/>
    <n v="740.32"/>
  </r>
  <r>
    <s v="LEAD00495"/>
    <d v="2025-07-02T00:00:00"/>
    <x v="4"/>
    <x v="3"/>
    <x v="3"/>
    <s v="Fleet Expense Card"/>
    <s v="SME"/>
    <x v="9"/>
    <b v="1"/>
    <x v="0"/>
    <s v="Yes"/>
    <d v="2025-07-05T00:00:00"/>
    <d v="2025-07-19T00:00:00"/>
    <m/>
    <d v="2025-08-05T00:00:00"/>
    <b v="1"/>
    <n v="617.53"/>
  </r>
  <r>
    <s v="LEAD00496"/>
    <d v="2025-04-27T00:00:00"/>
    <x v="3"/>
    <x v="3"/>
    <x v="2"/>
    <s v="Fleet Expense Card"/>
    <s v="Mid-Market"/>
    <x v="10"/>
    <b v="1"/>
    <x v="0"/>
    <s v="Yes"/>
    <d v="2025-04-28T00:00:00"/>
    <d v="2025-05-08T00:00:00"/>
    <m/>
    <d v="2025-05-20T00:00:00"/>
    <b v="1"/>
    <n v="2355.5500000000002"/>
  </r>
  <r>
    <s v="LEAD00497"/>
    <d v="2025-03-01T00:00:00"/>
    <x v="7"/>
    <x v="0"/>
    <x v="4"/>
    <s v="Fleet Expense Card"/>
    <s v="SME"/>
    <x v="5"/>
    <b v="1"/>
    <x v="2"/>
    <s v="Yes"/>
    <d v="2025-03-07T00:00:00"/>
    <d v="2025-03-18T00:00:00"/>
    <d v="2025-02-24T00:00:00"/>
    <m/>
    <b v="0"/>
    <n v="918.35"/>
  </r>
  <r>
    <s v="LEAD00498"/>
    <d v="2025-05-21T00:00:00"/>
    <x v="6"/>
    <x v="2"/>
    <x v="0"/>
    <s v="Fuel Card"/>
    <s v="SME"/>
    <x v="2"/>
    <b v="1"/>
    <x v="0"/>
    <s v="Yes"/>
    <d v="2025-05-24T00:00:00"/>
    <d v="2025-05-27T00:00:00"/>
    <m/>
    <d v="2025-06-15T00:00:00"/>
    <b v="1"/>
    <n v="834.69"/>
  </r>
  <r>
    <s v="LEAD00499"/>
    <d v="2025-11-13T00:00:00"/>
    <x v="10"/>
    <x v="3"/>
    <x v="0"/>
    <s v="Fuel Card"/>
    <s v="Mid-Market"/>
    <x v="4"/>
    <b v="1"/>
    <x v="0"/>
    <s v="No"/>
    <m/>
    <m/>
    <m/>
    <d v="2025-11-27T00:00:00"/>
    <b v="1"/>
    <n v="2310.2600000000002"/>
  </r>
  <r>
    <s v="LEAD00500"/>
    <d v="2025-08-17T00:00:00"/>
    <x v="2"/>
    <x v="3"/>
    <x v="0"/>
    <s v="Toll Solution"/>
    <s v="Enterprise"/>
    <x v="9"/>
    <b v="1"/>
    <x v="0"/>
    <s v="No"/>
    <m/>
    <m/>
    <m/>
    <d v="2025-08-28T00:00:00"/>
    <b v="1"/>
    <n v="4811.5200000000004"/>
  </r>
  <r>
    <s v="LEAD00501"/>
    <d v="2025-11-04T00:00:00"/>
    <x v="10"/>
    <x v="0"/>
    <x v="4"/>
    <s v="EV Charge Card"/>
    <s v="Enterprise"/>
    <x v="5"/>
    <b v="1"/>
    <x v="0"/>
    <s v="Yes"/>
    <d v="2025-11-11T00:00:00"/>
    <d v="2025-11-25T00:00:00"/>
    <m/>
    <d v="2025-12-17T00:00:00"/>
    <b v="1"/>
    <n v="7174.48"/>
  </r>
  <r>
    <s v="LEAD00502"/>
    <d v="2025-08-07T00:00:00"/>
    <x v="2"/>
    <x v="1"/>
    <x v="2"/>
    <s v="Fleet Expense Card"/>
    <s v="SME"/>
    <x v="14"/>
    <b v="1"/>
    <x v="0"/>
    <s v="Yes"/>
    <d v="2025-08-15T00:00:00"/>
    <d v="2025-08-22T00:00:00"/>
    <m/>
    <d v="2025-09-21T00:00:00"/>
    <b v="1"/>
    <n v="893.92"/>
  </r>
  <r>
    <s v="LEAD00503"/>
    <d v="2025-02-21T00:00:00"/>
    <x v="8"/>
    <x v="3"/>
    <x v="4"/>
    <s v="Fuel Card"/>
    <s v="SME"/>
    <x v="10"/>
    <b v="1"/>
    <x v="0"/>
    <s v="Yes"/>
    <d v="2025-02-23T00:00:00"/>
    <d v="2025-03-07T00:00:00"/>
    <m/>
    <d v="2025-03-20T00:00:00"/>
    <b v="1"/>
    <n v="618.27"/>
  </r>
  <r>
    <s v="LEAD00504"/>
    <d v="2025-04-13T00:00:00"/>
    <x v="3"/>
    <x v="3"/>
    <x v="1"/>
    <s v="Fuel Card"/>
    <s v="Mid-Market"/>
    <x v="4"/>
    <b v="1"/>
    <x v="2"/>
    <s v="Yes"/>
    <d v="2025-04-23T00:00:00"/>
    <d v="2025-04-30T00:00:00"/>
    <d v="2025-05-05T00:00:00"/>
    <m/>
    <b v="1"/>
    <n v="3027.87"/>
  </r>
  <r>
    <s v="LEAD00505"/>
    <d v="2025-08-14T00:00:00"/>
    <x v="2"/>
    <x v="0"/>
    <x v="2"/>
    <s v="EV Charge Card"/>
    <s v="SME"/>
    <x v="3"/>
    <b v="1"/>
    <x v="2"/>
    <s v="Yes"/>
    <d v="2025-08-22T00:00:00"/>
    <d v="2025-08-25T00:00:00"/>
    <d v="2025-09-20T00:00:00"/>
    <m/>
    <b v="1"/>
    <n v="590.99"/>
  </r>
  <r>
    <s v="LEAD00506"/>
    <d v="2025-01-19T00:00:00"/>
    <x v="9"/>
    <x v="1"/>
    <x v="2"/>
    <s v="Fuel Card"/>
    <s v="Mid-Market"/>
    <x v="1"/>
    <b v="1"/>
    <x v="0"/>
    <s v="Yes"/>
    <d v="2025-01-26T00:00:00"/>
    <d v="2025-01-30T00:00:00"/>
    <m/>
    <d v="2025-02-14T00:00:00"/>
    <b v="1"/>
    <n v="2870.03"/>
  </r>
  <r>
    <s v="LEAD00507"/>
    <d v="2025-06-12T00:00:00"/>
    <x v="5"/>
    <x v="3"/>
    <x v="1"/>
    <s v="Toll Solution"/>
    <s v="SME"/>
    <x v="10"/>
    <b v="1"/>
    <x v="0"/>
    <s v="Yes"/>
    <d v="2025-06-13T00:00:00"/>
    <d v="2025-06-14T00:00:00"/>
    <m/>
    <d v="2025-06-26T00:00:00"/>
    <b v="1"/>
    <n v="394.44"/>
  </r>
  <r>
    <s v="LEAD00508"/>
    <d v="2025-12-02T00:00:00"/>
    <x v="1"/>
    <x v="4"/>
    <x v="3"/>
    <s v="Fuel Card"/>
    <s v="SME"/>
    <x v="13"/>
    <b v="1"/>
    <x v="3"/>
    <s v="Yes"/>
    <d v="2025-12-04T00:00:00"/>
    <m/>
    <m/>
    <m/>
    <b v="1"/>
    <n v="1114.72"/>
  </r>
  <r>
    <s v="LEAD00509"/>
    <d v="2025-08-12T00:00:00"/>
    <x v="2"/>
    <x v="1"/>
    <x v="3"/>
    <s v="Fuel Card"/>
    <s v="Mid-Market"/>
    <x v="14"/>
    <b v="1"/>
    <x v="0"/>
    <s v="Yes"/>
    <d v="2025-08-14T00:00:00"/>
    <d v="2025-08-22T00:00:00"/>
    <m/>
    <d v="2025-09-16T00:00:00"/>
    <b v="1"/>
    <n v="3028.63"/>
  </r>
  <r>
    <s v="LEAD00510"/>
    <d v="2025-02-14T00:00:00"/>
    <x v="8"/>
    <x v="0"/>
    <x v="3"/>
    <s v="Fuel Card"/>
    <s v="Mid-Market"/>
    <x v="0"/>
    <b v="1"/>
    <x v="0"/>
    <s v="Yes"/>
    <d v="2025-02-15T00:00:00"/>
    <d v="2025-02-22T00:00:00"/>
    <m/>
    <d v="2025-03-08T00:00:00"/>
    <b v="1"/>
    <n v="3064.74"/>
  </r>
  <r>
    <s v="LEAD00511"/>
    <d v="2025-05-21T00:00:00"/>
    <x v="6"/>
    <x v="2"/>
    <x v="3"/>
    <s v="EV Charge Card"/>
    <s v="SME"/>
    <x v="6"/>
    <b v="1"/>
    <x v="0"/>
    <s v="No"/>
    <m/>
    <m/>
    <m/>
    <d v="2025-06-03T00:00:00"/>
    <b v="1"/>
    <n v="523.94000000000005"/>
  </r>
  <r>
    <s v="LEAD00512"/>
    <d v="2025-10-21T00:00:00"/>
    <x v="0"/>
    <x v="0"/>
    <x v="1"/>
    <s v="EV Charge Card"/>
    <s v="Enterprise"/>
    <x v="5"/>
    <b v="1"/>
    <x v="2"/>
    <s v="Yes"/>
    <d v="2025-10-23T00:00:00"/>
    <d v="2025-10-28T00:00:00"/>
    <d v="2025-11-04T00:00:00"/>
    <m/>
    <b v="1"/>
    <n v="6825.3"/>
  </r>
  <r>
    <s v="LEAD00513"/>
    <d v="2025-05-17T00:00:00"/>
    <x v="6"/>
    <x v="1"/>
    <x v="3"/>
    <s v="Fuel Card"/>
    <s v="Enterprise"/>
    <x v="1"/>
    <b v="1"/>
    <x v="0"/>
    <s v="No"/>
    <m/>
    <m/>
    <m/>
    <d v="2025-05-24T00:00:00"/>
    <b v="1"/>
    <n v="5979.16"/>
  </r>
  <r>
    <s v="LEAD00514"/>
    <d v="2025-05-19T00:00:00"/>
    <x v="6"/>
    <x v="4"/>
    <x v="2"/>
    <s v="EV Charge Card"/>
    <s v="SME"/>
    <x v="13"/>
    <b v="1"/>
    <x v="2"/>
    <s v="Yes"/>
    <d v="2025-05-24T00:00:00"/>
    <d v="2025-05-29T00:00:00"/>
    <d v="2025-06-02T00:00:00"/>
    <m/>
    <b v="1"/>
    <n v="687.3"/>
  </r>
  <r>
    <s v="LEAD00515"/>
    <d v="2025-09-15T00:00:00"/>
    <x v="11"/>
    <x v="4"/>
    <x v="3"/>
    <s v="Fuel Card"/>
    <s v="SME"/>
    <x v="7"/>
    <b v="1"/>
    <x v="0"/>
    <s v="Yes"/>
    <d v="2025-09-22T00:00:00"/>
    <m/>
    <m/>
    <d v="2025-09-30T00:00:00"/>
    <b v="1"/>
    <n v="661.52"/>
  </r>
  <r>
    <s v="LEAD00516"/>
    <d v="2025-06-21T00:00:00"/>
    <x v="5"/>
    <x v="0"/>
    <x v="2"/>
    <s v="EV Charge Card"/>
    <s v="SME"/>
    <x v="5"/>
    <b v="1"/>
    <x v="0"/>
    <s v="Yes"/>
    <d v="2025-06-30T00:00:00"/>
    <m/>
    <m/>
    <d v="2025-07-12T00:00:00"/>
    <b v="1"/>
    <n v="614.39"/>
  </r>
  <r>
    <s v="LEAD00517"/>
    <d v="2025-01-21T00:00:00"/>
    <x v="9"/>
    <x v="0"/>
    <x v="2"/>
    <s v="Fuel Card"/>
    <s v="SME"/>
    <x v="3"/>
    <b v="1"/>
    <x v="0"/>
    <s v="No"/>
    <m/>
    <m/>
    <m/>
    <d v="2025-02-06T00:00:00"/>
    <b v="1"/>
    <n v="1090.3399999999999"/>
  </r>
  <r>
    <s v="LEAD00518"/>
    <d v="2025-12-06T00:00:00"/>
    <x v="1"/>
    <x v="4"/>
    <x v="3"/>
    <s v="Fleet Expense Card"/>
    <s v="SME"/>
    <x v="13"/>
    <b v="1"/>
    <x v="0"/>
    <s v="No"/>
    <m/>
    <m/>
    <m/>
    <d v="2025-12-12T00:00:00"/>
    <b v="1"/>
    <n v="768.91"/>
  </r>
  <r>
    <s v="LEAD00519"/>
    <d v="2025-08-05T00:00:00"/>
    <x v="2"/>
    <x v="1"/>
    <x v="1"/>
    <s v="Fleet Expense Card"/>
    <s v="Enterprise"/>
    <x v="1"/>
    <b v="1"/>
    <x v="2"/>
    <s v="Yes"/>
    <d v="2025-08-13T00:00:00"/>
    <d v="2025-08-15T00:00:00"/>
    <d v="2025-08-30T00:00:00"/>
    <m/>
    <b v="1"/>
    <n v="5691.94"/>
  </r>
  <r>
    <s v="LEAD00520"/>
    <d v="2025-11-30T00:00:00"/>
    <x v="10"/>
    <x v="0"/>
    <x v="0"/>
    <s v="Fuel Card"/>
    <s v="Enterprise"/>
    <x v="5"/>
    <b v="1"/>
    <x v="3"/>
    <s v="Yes"/>
    <d v="2025-12-07T00:00:00"/>
    <m/>
    <m/>
    <m/>
    <b v="1"/>
    <n v="7794.54"/>
  </r>
  <r>
    <s v="LEAD00521"/>
    <d v="2025-01-21T00:00:00"/>
    <x v="9"/>
    <x v="4"/>
    <x v="1"/>
    <s v="EV Charge Card"/>
    <s v="Mid-Market"/>
    <x v="12"/>
    <b v="1"/>
    <x v="0"/>
    <s v="Yes"/>
    <d v="2025-01-27T00:00:00"/>
    <d v="2025-02-08T00:00:00"/>
    <m/>
    <d v="2025-03-15T00:00:00"/>
    <b v="1"/>
    <n v="1705.41"/>
  </r>
  <r>
    <s v="LEAD00522"/>
    <d v="2025-10-25T00:00:00"/>
    <x v="0"/>
    <x v="0"/>
    <x v="2"/>
    <s v="Fuel Card"/>
    <s v="SME"/>
    <x v="3"/>
    <b v="1"/>
    <x v="2"/>
    <s v="Yes"/>
    <d v="2025-10-27T00:00:00"/>
    <d v="2025-10-30T00:00:00"/>
    <d v="2025-11-07T00:00:00"/>
    <m/>
    <b v="1"/>
    <n v="799.37"/>
  </r>
  <r>
    <s v="LEAD00523"/>
    <d v="2025-03-25T00:00:00"/>
    <x v="7"/>
    <x v="4"/>
    <x v="1"/>
    <s v="Fuel Card"/>
    <s v="Mid-Market"/>
    <x v="7"/>
    <b v="1"/>
    <x v="0"/>
    <s v="No"/>
    <m/>
    <m/>
    <m/>
    <d v="2025-04-03T00:00:00"/>
    <b v="1"/>
    <n v="2169"/>
  </r>
  <r>
    <s v="LEAD00524"/>
    <d v="2025-11-30T00:00:00"/>
    <x v="10"/>
    <x v="0"/>
    <x v="3"/>
    <s v="Fuel Card"/>
    <s v="SME"/>
    <x v="0"/>
    <b v="1"/>
    <x v="0"/>
    <s v="No"/>
    <m/>
    <m/>
    <m/>
    <d v="2025-12-20T00:00:00"/>
    <b v="1"/>
    <n v="896.87"/>
  </r>
  <r>
    <s v="LEAD00525"/>
    <d v="2025-01-30T00:00:00"/>
    <x v="9"/>
    <x v="0"/>
    <x v="4"/>
    <s v="Fuel Card"/>
    <s v="Mid-Market"/>
    <x v="5"/>
    <b v="1"/>
    <x v="2"/>
    <s v="Yes"/>
    <d v="2025-02-07T00:00:00"/>
    <d v="2025-02-21T00:00:00"/>
    <d v="2025-02-27T00:00:00"/>
    <m/>
    <b v="1"/>
    <n v="2684.85"/>
  </r>
  <r>
    <s v="LEAD00526"/>
    <d v="2025-10-04T00:00:00"/>
    <x v="0"/>
    <x v="0"/>
    <x v="2"/>
    <s v="Fuel Card"/>
    <s v="SME"/>
    <x v="3"/>
    <b v="1"/>
    <x v="2"/>
    <s v="Yes"/>
    <d v="2025-10-11T00:00:00"/>
    <d v="2025-10-15T00:00:00"/>
    <d v="2025-10-30T00:00:00"/>
    <m/>
    <b v="1"/>
    <n v="609.73"/>
  </r>
  <r>
    <s v="LEAD00527"/>
    <d v="2025-04-01T00:00:00"/>
    <x v="3"/>
    <x v="3"/>
    <x v="0"/>
    <s v="Toll Solution"/>
    <s v="Mid-Market"/>
    <x v="9"/>
    <b v="1"/>
    <x v="2"/>
    <s v="Yes"/>
    <d v="2025-04-11T00:00:00"/>
    <d v="2025-04-20T00:00:00"/>
    <d v="2025-05-02T00:00:00"/>
    <m/>
    <b v="1"/>
    <n v="1328.09"/>
  </r>
  <r>
    <s v="LEAD00528"/>
    <d v="2025-02-08T00:00:00"/>
    <x v="8"/>
    <x v="3"/>
    <x v="2"/>
    <s v="Fleet Expense Card"/>
    <s v="Mid-Market"/>
    <x v="9"/>
    <b v="1"/>
    <x v="0"/>
    <s v="No"/>
    <m/>
    <m/>
    <m/>
    <d v="2025-02-16T00:00:00"/>
    <b v="1"/>
    <n v="2754.47"/>
  </r>
  <r>
    <s v="LEAD00529"/>
    <d v="2025-12-27T00:00:00"/>
    <x v="1"/>
    <x v="3"/>
    <x v="0"/>
    <s v="Toll Solution"/>
    <s v="Mid-Market"/>
    <x v="4"/>
    <b v="1"/>
    <x v="4"/>
    <s v="No"/>
    <m/>
    <m/>
    <m/>
    <m/>
    <b v="1"/>
    <n v="1716.32"/>
  </r>
  <r>
    <s v="LEAD00530"/>
    <d v="2025-05-04T00:00:00"/>
    <x v="6"/>
    <x v="4"/>
    <x v="3"/>
    <s v="Fuel Card"/>
    <s v="Mid-Market"/>
    <x v="13"/>
    <b v="1"/>
    <x v="0"/>
    <s v="Yes"/>
    <d v="2025-05-10T00:00:00"/>
    <m/>
    <m/>
    <d v="2025-05-15T00:00:00"/>
    <b v="1"/>
    <n v="2608.25"/>
  </r>
  <r>
    <s v="LEAD00531"/>
    <d v="2025-07-21T00:00:00"/>
    <x v="4"/>
    <x v="3"/>
    <x v="3"/>
    <s v="Toll Solution"/>
    <s v="SME"/>
    <x v="4"/>
    <b v="1"/>
    <x v="0"/>
    <s v="Yes"/>
    <d v="2025-07-29T00:00:00"/>
    <d v="2025-07-31T00:00:00"/>
    <m/>
    <d v="2025-08-25T00:00:00"/>
    <b v="1"/>
    <n v="489.1"/>
  </r>
  <r>
    <s v="LEAD00532"/>
    <d v="2025-11-01T00:00:00"/>
    <x v="10"/>
    <x v="4"/>
    <x v="0"/>
    <s v="Fleet Expense Card"/>
    <s v="SME"/>
    <x v="13"/>
    <b v="1"/>
    <x v="0"/>
    <s v="Yes"/>
    <d v="2025-11-02T00:00:00"/>
    <d v="2025-11-14T00:00:00"/>
    <m/>
    <d v="2025-12-10T00:00:00"/>
    <b v="1"/>
    <n v="583.66"/>
  </r>
  <r>
    <s v="LEAD00533"/>
    <d v="2025-09-05T00:00:00"/>
    <x v="11"/>
    <x v="2"/>
    <x v="2"/>
    <s v="Fuel Card"/>
    <s v="Enterprise"/>
    <x v="2"/>
    <b v="1"/>
    <x v="0"/>
    <s v="Yes"/>
    <d v="2025-09-08T00:00:00"/>
    <d v="2025-09-22T00:00:00"/>
    <m/>
    <d v="2025-10-08T00:00:00"/>
    <b v="1"/>
    <n v="8514.7099999999991"/>
  </r>
  <r>
    <s v="LEAD00534"/>
    <d v="2025-09-25T00:00:00"/>
    <x v="11"/>
    <x v="4"/>
    <x v="1"/>
    <s v="EV Charge Card"/>
    <s v="SME"/>
    <x v="12"/>
    <b v="1"/>
    <x v="0"/>
    <s v="Yes"/>
    <d v="2025-10-05T00:00:00"/>
    <m/>
    <m/>
    <d v="2025-10-22T00:00:00"/>
    <b v="1"/>
    <n v="570.89"/>
  </r>
  <r>
    <s v="LEAD00535"/>
    <d v="2025-01-25T00:00:00"/>
    <x v="9"/>
    <x v="3"/>
    <x v="2"/>
    <s v="EV Charge Card"/>
    <s v="Mid-Market"/>
    <x v="4"/>
    <b v="1"/>
    <x v="0"/>
    <s v="Yes"/>
    <d v="2025-01-31T00:00:00"/>
    <m/>
    <m/>
    <d v="2025-02-11T00:00:00"/>
    <b v="1"/>
    <n v="1965.22"/>
  </r>
  <r>
    <s v="LEAD00536"/>
    <d v="2025-01-03T00:00:00"/>
    <x v="9"/>
    <x v="3"/>
    <x v="4"/>
    <s v="Fleet Expense Card"/>
    <s v="Enterprise"/>
    <x v="4"/>
    <b v="1"/>
    <x v="2"/>
    <s v="Yes"/>
    <d v="2025-01-10T00:00:00"/>
    <d v="2025-01-15T00:00:00"/>
    <d v="2025-02-05T00:00:00"/>
    <m/>
    <b v="1"/>
    <n v="9137.25"/>
  </r>
  <r>
    <s v="LEAD00537"/>
    <d v="2025-11-14T00:00:00"/>
    <x v="10"/>
    <x v="2"/>
    <x v="1"/>
    <s v="Fuel Card"/>
    <s v="SME"/>
    <x v="8"/>
    <b v="1"/>
    <x v="0"/>
    <s v="Yes"/>
    <d v="2025-11-24T00:00:00"/>
    <m/>
    <m/>
    <d v="2025-12-11T00:00:00"/>
    <b v="1"/>
    <n v="810.14"/>
  </r>
  <r>
    <s v="LEAD00538"/>
    <d v="2025-01-25T00:00:00"/>
    <x v="9"/>
    <x v="2"/>
    <x v="2"/>
    <s v="Fleet Expense Card"/>
    <s v="SME"/>
    <x v="8"/>
    <b v="1"/>
    <x v="0"/>
    <s v="Yes"/>
    <d v="2025-01-31T00:00:00"/>
    <d v="2025-02-12T00:00:00"/>
    <m/>
    <d v="2025-02-23T00:00:00"/>
    <b v="1"/>
    <n v="982.64"/>
  </r>
  <r>
    <s v="LEAD00539"/>
    <d v="2025-09-07T00:00:00"/>
    <x v="11"/>
    <x v="4"/>
    <x v="2"/>
    <s v="Toll Solution"/>
    <s v="Mid-Market"/>
    <x v="7"/>
    <b v="1"/>
    <x v="0"/>
    <s v="No"/>
    <m/>
    <m/>
    <m/>
    <d v="2025-09-23T00:00:00"/>
    <b v="1"/>
    <n v="1896.07"/>
  </r>
  <r>
    <s v="LEAD00540"/>
    <d v="2025-06-10T00:00:00"/>
    <x v="5"/>
    <x v="0"/>
    <x v="0"/>
    <s v="Fuel Card"/>
    <s v="SME"/>
    <x v="0"/>
    <b v="1"/>
    <x v="0"/>
    <s v="Yes"/>
    <d v="2025-06-14T00:00:00"/>
    <m/>
    <m/>
    <d v="2025-06-23T00:00:00"/>
    <b v="1"/>
    <n v="758.84"/>
  </r>
  <r>
    <s v="LEAD00541"/>
    <d v="2025-07-22T00:00:00"/>
    <x v="4"/>
    <x v="1"/>
    <x v="3"/>
    <s v="Fuel Card"/>
    <s v="SME"/>
    <x v="14"/>
    <b v="1"/>
    <x v="0"/>
    <s v="Yes"/>
    <d v="2025-07-27T00:00:00"/>
    <d v="2025-08-05T00:00:00"/>
    <m/>
    <d v="2025-08-29T00:00:00"/>
    <b v="1"/>
    <n v="1036.24"/>
  </r>
  <r>
    <s v="LEAD00542"/>
    <d v="2025-05-22T00:00:00"/>
    <x v="6"/>
    <x v="0"/>
    <x v="3"/>
    <s v="Toll Solution"/>
    <s v="SME"/>
    <x v="0"/>
    <b v="1"/>
    <x v="0"/>
    <s v="No"/>
    <m/>
    <m/>
    <m/>
    <d v="2025-05-31T00:00:00"/>
    <b v="1"/>
    <n v="437.86"/>
  </r>
  <r>
    <s v="LEAD00543"/>
    <d v="2025-12-13T00:00:00"/>
    <x v="1"/>
    <x v="4"/>
    <x v="1"/>
    <s v="Toll Solution"/>
    <s v="SME"/>
    <x v="7"/>
    <b v="1"/>
    <x v="1"/>
    <s v="Yes"/>
    <d v="2025-12-22T00:00:00"/>
    <d v="2026-01-01T00:00:00"/>
    <m/>
    <m/>
    <b v="1"/>
    <n v="566.63"/>
  </r>
  <r>
    <s v="LEAD00544"/>
    <d v="2025-11-23T00:00:00"/>
    <x v="10"/>
    <x v="2"/>
    <x v="3"/>
    <s v="Fuel Card"/>
    <s v="Mid-Market"/>
    <x v="6"/>
    <b v="1"/>
    <x v="0"/>
    <s v="Yes"/>
    <d v="2025-12-01T00:00:00"/>
    <d v="2025-12-11T00:00:00"/>
    <m/>
    <d v="2025-12-23T00:00:00"/>
    <b v="1"/>
    <n v="2478.6799999999998"/>
  </r>
  <r>
    <s v="LEAD00545"/>
    <d v="2025-10-31T00:00:00"/>
    <x v="0"/>
    <x v="0"/>
    <x v="3"/>
    <s v="Fuel Card"/>
    <s v="SME"/>
    <x v="5"/>
    <b v="1"/>
    <x v="0"/>
    <s v="No"/>
    <m/>
    <m/>
    <m/>
    <d v="2025-11-07T00:00:00"/>
    <b v="1"/>
    <n v="1062.6199999999999"/>
  </r>
  <r>
    <s v="LEAD00546"/>
    <d v="2025-06-27T00:00:00"/>
    <x v="5"/>
    <x v="3"/>
    <x v="2"/>
    <s v="Toll Solution"/>
    <s v="Mid-Market"/>
    <x v="9"/>
    <b v="1"/>
    <x v="0"/>
    <s v="No"/>
    <m/>
    <m/>
    <m/>
    <d v="2025-07-11T00:00:00"/>
    <b v="1"/>
    <n v="2030.94"/>
  </r>
  <r>
    <s v="LEAD00547"/>
    <d v="2025-05-13T00:00:00"/>
    <x v="6"/>
    <x v="2"/>
    <x v="2"/>
    <s v="Toll Solution"/>
    <s v="SME"/>
    <x v="2"/>
    <b v="1"/>
    <x v="0"/>
    <s v="Yes"/>
    <d v="2025-05-20T00:00:00"/>
    <m/>
    <m/>
    <d v="2025-05-29T00:00:00"/>
    <b v="1"/>
    <n v="537.45000000000005"/>
  </r>
  <r>
    <s v="LEAD00548"/>
    <d v="2025-03-29T00:00:00"/>
    <x v="7"/>
    <x v="0"/>
    <x v="2"/>
    <s v="Toll Solution"/>
    <s v="Mid-Market"/>
    <x v="3"/>
    <b v="1"/>
    <x v="0"/>
    <s v="No"/>
    <m/>
    <m/>
    <m/>
    <d v="2025-04-15T00:00:00"/>
    <b v="1"/>
    <n v="1219.5999999999999"/>
  </r>
  <r>
    <s v="LEAD00549"/>
    <d v="2025-02-25T00:00:00"/>
    <x v="8"/>
    <x v="3"/>
    <x v="0"/>
    <s v="Fuel Card"/>
    <s v="Mid-Market"/>
    <x v="9"/>
    <b v="1"/>
    <x v="0"/>
    <s v="Yes"/>
    <d v="2025-03-05T00:00:00"/>
    <m/>
    <m/>
    <d v="2025-03-11T00:00:00"/>
    <b v="1"/>
    <n v="1918.19"/>
  </r>
  <r>
    <s v="LEAD00550"/>
    <d v="2025-05-10T00:00:00"/>
    <x v="6"/>
    <x v="1"/>
    <x v="3"/>
    <s v="Fleet Expense Card"/>
    <s v="SME"/>
    <x v="11"/>
    <b v="1"/>
    <x v="0"/>
    <s v="No"/>
    <m/>
    <m/>
    <m/>
    <d v="2025-05-14T00:00:00"/>
    <b v="1"/>
    <n v="844.47"/>
  </r>
  <r>
    <s v="LEAD00551"/>
    <d v="2025-04-17T00:00:00"/>
    <x v="3"/>
    <x v="4"/>
    <x v="1"/>
    <s v="EV Charge Card"/>
    <s v="Enterprise"/>
    <x v="7"/>
    <b v="1"/>
    <x v="2"/>
    <s v="Yes"/>
    <d v="2025-04-24T00:00:00"/>
    <d v="2025-04-25T00:00:00"/>
    <d v="2025-05-08T00:00:00"/>
    <m/>
    <b v="1"/>
    <n v="8612.4599999999991"/>
  </r>
  <r>
    <s v="LEAD00552"/>
    <d v="2025-04-01T00:00:00"/>
    <x v="3"/>
    <x v="3"/>
    <x v="4"/>
    <s v="Fleet Expense Card"/>
    <s v="SME"/>
    <x v="4"/>
    <b v="1"/>
    <x v="0"/>
    <s v="No"/>
    <m/>
    <m/>
    <m/>
    <d v="2025-04-18T00:00:00"/>
    <b v="1"/>
    <n v="950.31"/>
  </r>
  <r>
    <s v="LEAD00553"/>
    <d v="2025-12-10T00:00:00"/>
    <x v="1"/>
    <x v="4"/>
    <x v="1"/>
    <s v="Fleet Expense Card"/>
    <s v="Mid-Market"/>
    <x v="12"/>
    <b v="1"/>
    <x v="3"/>
    <s v="Yes"/>
    <d v="2025-12-17T00:00:00"/>
    <m/>
    <m/>
    <m/>
    <b v="1"/>
    <n v="2661.01"/>
  </r>
  <r>
    <s v="LEAD00554"/>
    <d v="2025-06-24T00:00:00"/>
    <x v="5"/>
    <x v="3"/>
    <x v="4"/>
    <s v="EV Charge Card"/>
    <s v="SME"/>
    <x v="9"/>
    <b v="1"/>
    <x v="0"/>
    <s v="Yes"/>
    <d v="2025-07-04T00:00:00"/>
    <d v="2025-07-12T00:00:00"/>
    <m/>
    <d v="2025-08-04T00:00:00"/>
    <b v="1"/>
    <n v="767.33"/>
  </r>
  <r>
    <s v="LEAD00555"/>
    <d v="2025-06-21T00:00:00"/>
    <x v="5"/>
    <x v="0"/>
    <x v="4"/>
    <s v="Toll Solution"/>
    <s v="Mid-Market"/>
    <x v="3"/>
    <b v="1"/>
    <x v="0"/>
    <s v="Yes"/>
    <d v="2025-07-01T00:00:00"/>
    <m/>
    <m/>
    <d v="2025-07-07T00:00:00"/>
    <b v="1"/>
    <n v="1228.25"/>
  </r>
  <r>
    <s v="LEAD00556"/>
    <d v="2025-09-12T00:00:00"/>
    <x v="11"/>
    <x v="2"/>
    <x v="3"/>
    <s v="Fuel Card"/>
    <s v="Mid-Market"/>
    <x v="8"/>
    <b v="1"/>
    <x v="0"/>
    <s v="No"/>
    <m/>
    <m/>
    <m/>
    <d v="2025-09-14T00:00:00"/>
    <b v="1"/>
    <n v="3264.47"/>
  </r>
  <r>
    <s v="LEAD00557"/>
    <d v="2025-03-14T00:00:00"/>
    <x v="7"/>
    <x v="3"/>
    <x v="1"/>
    <s v="Fuel Card"/>
    <s v="SME"/>
    <x v="9"/>
    <b v="1"/>
    <x v="0"/>
    <s v="No"/>
    <m/>
    <m/>
    <m/>
    <d v="2025-03-23T00:00:00"/>
    <b v="1"/>
    <n v="1006.78"/>
  </r>
  <r>
    <s v="LEAD00558"/>
    <d v="2025-12-08T00:00:00"/>
    <x v="1"/>
    <x v="1"/>
    <x v="1"/>
    <s v="Fleet Expense Card"/>
    <s v="SME"/>
    <x v="11"/>
    <b v="1"/>
    <x v="2"/>
    <s v="Yes"/>
    <d v="2025-12-14T00:00:00"/>
    <d v="2025-12-24T00:00:00"/>
    <d v="2026-01-15T00:00:00"/>
    <m/>
    <b v="1"/>
    <n v="627.35"/>
  </r>
  <r>
    <s v="LEAD00559"/>
    <d v="2025-10-12T00:00:00"/>
    <x v="0"/>
    <x v="0"/>
    <x v="2"/>
    <s v="Fleet Expense Card"/>
    <s v="Mid-Market"/>
    <x v="5"/>
    <b v="1"/>
    <x v="0"/>
    <s v="No"/>
    <m/>
    <m/>
    <m/>
    <d v="2025-10-17T00:00:00"/>
    <b v="1"/>
    <n v="3169.82"/>
  </r>
  <r>
    <s v="LEAD00560"/>
    <d v="2025-02-19T00:00:00"/>
    <x v="8"/>
    <x v="3"/>
    <x v="2"/>
    <s v="EV Charge Card"/>
    <s v="SME"/>
    <x v="10"/>
    <b v="1"/>
    <x v="2"/>
    <s v="Yes"/>
    <d v="2025-02-21T00:00:00"/>
    <d v="2025-03-04T00:00:00"/>
    <d v="2025-03-08T00:00:00"/>
    <m/>
    <b v="1"/>
    <n v="673.59"/>
  </r>
  <r>
    <s v="LEAD00561"/>
    <d v="2025-06-23T00:00:00"/>
    <x v="5"/>
    <x v="3"/>
    <x v="2"/>
    <s v="Toll Solution"/>
    <s v="SME"/>
    <x v="4"/>
    <b v="1"/>
    <x v="2"/>
    <s v="Yes"/>
    <d v="2025-06-26T00:00:00"/>
    <d v="2025-07-05T00:00:00"/>
    <d v="2025-07-21T00:00:00"/>
    <m/>
    <b v="1"/>
    <n v="657.93"/>
  </r>
  <r>
    <s v="LEAD00562"/>
    <d v="2025-07-27T00:00:00"/>
    <x v="4"/>
    <x v="4"/>
    <x v="4"/>
    <s v="Fuel Card"/>
    <s v="SME"/>
    <x v="13"/>
    <b v="1"/>
    <x v="0"/>
    <s v="Yes"/>
    <d v="2025-07-31T00:00:00"/>
    <d v="2025-08-13T00:00:00"/>
    <m/>
    <d v="2025-08-30T00:00:00"/>
    <b v="1"/>
    <n v="1086.55"/>
  </r>
  <r>
    <s v="LEAD00563"/>
    <d v="2025-11-16T00:00:00"/>
    <x v="10"/>
    <x v="0"/>
    <x v="4"/>
    <s v="EV Charge Card"/>
    <s v="SME"/>
    <x v="3"/>
    <b v="1"/>
    <x v="2"/>
    <s v="Yes"/>
    <d v="2025-11-21T00:00:00"/>
    <d v="2025-11-24T00:00:00"/>
    <d v="2025-12-20T00:00:00"/>
    <m/>
    <b v="1"/>
    <n v="849.15"/>
  </r>
  <r>
    <s v="LEAD00564"/>
    <d v="2025-05-16T00:00:00"/>
    <x v="6"/>
    <x v="0"/>
    <x v="0"/>
    <s v="Fuel Card"/>
    <s v="SME"/>
    <x v="0"/>
    <b v="1"/>
    <x v="0"/>
    <s v="No"/>
    <m/>
    <m/>
    <m/>
    <d v="2025-05-28T00:00:00"/>
    <b v="1"/>
    <n v="972.87"/>
  </r>
  <r>
    <s v="LEAD00565"/>
    <d v="2025-01-22T00:00:00"/>
    <x v="9"/>
    <x v="4"/>
    <x v="4"/>
    <s v="Toll Solution"/>
    <s v="SME"/>
    <x v="7"/>
    <b v="1"/>
    <x v="0"/>
    <s v="No"/>
    <m/>
    <m/>
    <m/>
    <d v="2025-01-26T00:00:00"/>
    <b v="1"/>
    <n v="393.17"/>
  </r>
  <r>
    <s v="LEAD00566"/>
    <d v="2025-12-29T00:00:00"/>
    <x v="1"/>
    <x v="2"/>
    <x v="4"/>
    <s v="Fleet Expense Card"/>
    <s v="SME"/>
    <x v="8"/>
    <b v="1"/>
    <x v="3"/>
    <s v="Yes"/>
    <d v="2026-01-02T00:00:00"/>
    <m/>
    <m/>
    <m/>
    <b v="1"/>
    <n v="908.67"/>
  </r>
  <r>
    <s v="LEAD00567"/>
    <d v="2025-10-16T00:00:00"/>
    <x v="0"/>
    <x v="0"/>
    <x v="1"/>
    <s v="Fuel Card"/>
    <s v="SME"/>
    <x v="3"/>
    <b v="1"/>
    <x v="0"/>
    <s v="Yes"/>
    <d v="2025-10-22T00:00:00"/>
    <m/>
    <m/>
    <d v="2025-10-31T00:00:00"/>
    <b v="1"/>
    <n v="706.5"/>
  </r>
  <r>
    <s v="LEAD00568"/>
    <d v="2025-02-14T00:00:00"/>
    <x v="8"/>
    <x v="3"/>
    <x v="0"/>
    <s v="Fuel Card"/>
    <s v="Mid-Market"/>
    <x v="9"/>
    <b v="1"/>
    <x v="0"/>
    <s v="Yes"/>
    <d v="2025-02-24T00:00:00"/>
    <d v="2025-03-07T00:00:00"/>
    <m/>
    <d v="2025-04-03T00:00:00"/>
    <b v="1"/>
    <n v="1910.46"/>
  </r>
  <r>
    <s v="LEAD00569"/>
    <d v="2025-09-12T00:00:00"/>
    <x v="11"/>
    <x v="4"/>
    <x v="0"/>
    <s v="Fuel Card"/>
    <s v="SME"/>
    <x v="12"/>
    <b v="1"/>
    <x v="0"/>
    <s v="Yes"/>
    <d v="2025-09-15T00:00:00"/>
    <d v="2025-09-28T00:00:00"/>
    <m/>
    <d v="2025-10-21T00:00:00"/>
    <b v="1"/>
    <n v="825.19"/>
  </r>
  <r>
    <s v="LEAD00570"/>
    <d v="2025-01-25T00:00:00"/>
    <x v="9"/>
    <x v="1"/>
    <x v="2"/>
    <s v="EV Charge Card"/>
    <s v="SME"/>
    <x v="11"/>
    <b v="1"/>
    <x v="0"/>
    <s v="Yes"/>
    <d v="2025-01-31T00:00:00"/>
    <m/>
    <m/>
    <d v="2025-02-07T00:00:00"/>
    <b v="1"/>
    <n v="853.28"/>
  </r>
  <r>
    <s v="LEAD00571"/>
    <d v="2025-04-08T00:00:00"/>
    <x v="3"/>
    <x v="1"/>
    <x v="1"/>
    <s v="Toll Solution"/>
    <s v="SME"/>
    <x v="1"/>
    <b v="1"/>
    <x v="0"/>
    <s v="No"/>
    <m/>
    <m/>
    <m/>
    <d v="2025-04-24T00:00:00"/>
    <b v="1"/>
    <n v="423.77"/>
  </r>
  <r>
    <s v="LEAD00572"/>
    <d v="2025-11-29T00:00:00"/>
    <x v="10"/>
    <x v="3"/>
    <x v="1"/>
    <s v="Toll Solution"/>
    <s v="SME"/>
    <x v="10"/>
    <b v="1"/>
    <x v="3"/>
    <s v="Yes"/>
    <d v="2025-12-01T00:00:00"/>
    <m/>
    <m/>
    <m/>
    <b v="1"/>
    <n v="476.79"/>
  </r>
  <r>
    <s v="LEAD00573"/>
    <d v="2025-12-31T00:00:00"/>
    <x v="1"/>
    <x v="2"/>
    <x v="2"/>
    <s v="EV Charge Card"/>
    <s v="SME"/>
    <x v="2"/>
    <b v="1"/>
    <x v="1"/>
    <s v="Yes"/>
    <d v="2026-01-08T00:00:00"/>
    <d v="2026-01-11T00:00:00"/>
    <m/>
    <m/>
    <b v="1"/>
    <n v="687.46"/>
  </r>
  <r>
    <s v="LEAD00574"/>
    <d v="2025-04-12T00:00:00"/>
    <x v="3"/>
    <x v="3"/>
    <x v="1"/>
    <s v="Fuel Card"/>
    <s v="Enterprise"/>
    <x v="9"/>
    <b v="1"/>
    <x v="0"/>
    <s v="No"/>
    <m/>
    <m/>
    <m/>
    <d v="2025-04-29T00:00:00"/>
    <b v="1"/>
    <n v="6486.89"/>
  </r>
  <r>
    <s v="LEAD00575"/>
    <d v="2025-05-19T00:00:00"/>
    <x v="6"/>
    <x v="3"/>
    <x v="2"/>
    <s v="EV Charge Card"/>
    <s v="Mid-Market"/>
    <x v="9"/>
    <b v="1"/>
    <x v="2"/>
    <s v="Yes"/>
    <d v="2025-05-23T00:00:00"/>
    <d v="2025-05-24T00:00:00"/>
    <d v="2025-06-02T00:00:00"/>
    <m/>
    <b v="1"/>
    <n v="2736.44"/>
  </r>
  <r>
    <s v="LEAD00576"/>
    <d v="2025-05-17T00:00:00"/>
    <x v="6"/>
    <x v="2"/>
    <x v="2"/>
    <s v="Fleet Expense Card"/>
    <s v="Mid-Market"/>
    <x v="8"/>
    <b v="1"/>
    <x v="2"/>
    <s v="Yes"/>
    <d v="2025-05-20T00:00:00"/>
    <d v="2025-05-24T00:00:00"/>
    <d v="2025-06-18T00:00:00"/>
    <m/>
    <b v="1"/>
    <n v="1713.99"/>
  </r>
  <r>
    <s v="LEAD00577"/>
    <d v="2025-08-29T00:00:00"/>
    <x v="2"/>
    <x v="0"/>
    <x v="0"/>
    <s v="Toll Solution"/>
    <s v="SME"/>
    <x v="5"/>
    <b v="1"/>
    <x v="0"/>
    <s v="No"/>
    <m/>
    <m/>
    <m/>
    <d v="2025-09-17T00:00:00"/>
    <b v="1"/>
    <n v="619.33000000000004"/>
  </r>
  <r>
    <s v="LEAD00578"/>
    <d v="2025-08-20T00:00:00"/>
    <x v="2"/>
    <x v="4"/>
    <x v="4"/>
    <s v="EV Charge Card"/>
    <s v="SME"/>
    <x v="13"/>
    <b v="1"/>
    <x v="0"/>
    <s v="Yes"/>
    <d v="2025-08-22T00:00:00"/>
    <m/>
    <m/>
    <d v="2025-08-30T00:00:00"/>
    <b v="1"/>
    <n v="546.11"/>
  </r>
  <r>
    <s v="LEAD00579"/>
    <d v="2025-02-22T00:00:00"/>
    <x v="8"/>
    <x v="4"/>
    <x v="0"/>
    <s v="Fleet Expense Card"/>
    <s v="SME"/>
    <x v="7"/>
    <b v="1"/>
    <x v="0"/>
    <s v="No"/>
    <m/>
    <m/>
    <m/>
    <d v="2025-02-27T00:00:00"/>
    <b v="1"/>
    <n v="778.84"/>
  </r>
  <r>
    <s v="LEAD00580"/>
    <d v="2025-12-28T00:00:00"/>
    <x v="1"/>
    <x v="0"/>
    <x v="2"/>
    <s v="Fuel Card"/>
    <s v="SME"/>
    <x v="3"/>
    <b v="1"/>
    <x v="1"/>
    <s v="Yes"/>
    <d v="2026-01-01T00:00:00"/>
    <d v="2026-01-11T00:00:00"/>
    <m/>
    <m/>
    <b v="1"/>
    <n v="721.31"/>
  </r>
  <r>
    <s v="LEAD00581"/>
    <d v="2025-11-17T00:00:00"/>
    <x v="10"/>
    <x v="3"/>
    <x v="4"/>
    <s v="Fuel Card"/>
    <s v="SME"/>
    <x v="10"/>
    <b v="1"/>
    <x v="0"/>
    <s v="Yes"/>
    <d v="2025-11-26T00:00:00"/>
    <d v="2025-12-03T00:00:00"/>
    <m/>
    <d v="2025-12-09T00:00:00"/>
    <b v="1"/>
    <n v="1131.93"/>
  </r>
  <r>
    <s v="LEAD00582"/>
    <d v="2025-03-24T00:00:00"/>
    <x v="7"/>
    <x v="3"/>
    <x v="5"/>
    <s v="Fuel Card"/>
    <s v="Mid-Market"/>
    <x v="10"/>
    <b v="1"/>
    <x v="2"/>
    <s v="Yes"/>
    <d v="2025-03-28T00:00:00"/>
    <d v="2025-04-12T00:00:00"/>
    <d v="2025-04-15T00:00:00"/>
    <m/>
    <b v="1"/>
    <n v="1958.34"/>
  </r>
  <r>
    <s v="LEAD00583"/>
    <d v="2025-12-27T00:00:00"/>
    <x v="1"/>
    <x v="1"/>
    <x v="1"/>
    <s v="Toll Solution"/>
    <s v="SME"/>
    <x v="1"/>
    <b v="1"/>
    <x v="2"/>
    <s v="Yes"/>
    <d v="2026-01-02T00:00:00"/>
    <d v="2026-01-04T00:00:00"/>
    <d v="2026-01-13T00:00:00"/>
    <m/>
    <b v="1"/>
    <n v="605.41"/>
  </r>
  <r>
    <s v="LEAD00584"/>
    <d v="2025-11-25T00:00:00"/>
    <x v="10"/>
    <x v="0"/>
    <x v="2"/>
    <s v="Fuel Card"/>
    <s v="SME"/>
    <x v="3"/>
    <b v="1"/>
    <x v="0"/>
    <s v="No"/>
    <m/>
    <m/>
    <m/>
    <d v="2025-12-13T00:00:00"/>
    <b v="1"/>
    <n v="644.42999999999995"/>
  </r>
  <r>
    <s v="LEAD00585"/>
    <d v="2025-10-20T00:00:00"/>
    <x v="0"/>
    <x v="1"/>
    <x v="3"/>
    <s v="Toll Solution"/>
    <s v="Mid-Market"/>
    <x v="11"/>
    <b v="1"/>
    <x v="0"/>
    <s v="No"/>
    <m/>
    <m/>
    <m/>
    <d v="2025-11-03T00:00:00"/>
    <b v="1"/>
    <n v="1415.94"/>
  </r>
  <r>
    <s v="LEAD00586"/>
    <d v="2025-11-20T00:00:00"/>
    <x v="10"/>
    <x v="0"/>
    <x v="2"/>
    <s v="Fleet Expense Card"/>
    <s v="SME"/>
    <x v="3"/>
    <b v="1"/>
    <x v="0"/>
    <s v="Yes"/>
    <d v="2025-11-26T00:00:00"/>
    <d v="2025-11-29T00:00:00"/>
    <m/>
    <d v="2025-12-20T00:00:00"/>
    <b v="1"/>
    <n v="778.33"/>
  </r>
  <r>
    <s v="LEAD00587"/>
    <d v="2025-07-31T00:00:00"/>
    <x v="4"/>
    <x v="2"/>
    <x v="2"/>
    <s v="Fuel Card"/>
    <s v="SME"/>
    <x v="6"/>
    <b v="1"/>
    <x v="2"/>
    <s v="Yes"/>
    <d v="2025-08-01T00:00:00"/>
    <d v="2025-08-16T00:00:00"/>
    <d v="2025-09-12T00:00:00"/>
    <m/>
    <b v="1"/>
    <n v="776.55"/>
  </r>
  <r>
    <s v="LEAD00588"/>
    <d v="2025-11-29T00:00:00"/>
    <x v="10"/>
    <x v="1"/>
    <x v="1"/>
    <s v="Fuel Card"/>
    <s v="SME"/>
    <x v="11"/>
    <b v="1"/>
    <x v="0"/>
    <s v="No"/>
    <m/>
    <m/>
    <m/>
    <d v="2025-12-19T00:00:00"/>
    <b v="1"/>
    <n v="692.45"/>
  </r>
  <r>
    <s v="LEAD00589"/>
    <d v="2025-08-11T00:00:00"/>
    <x v="2"/>
    <x v="2"/>
    <x v="0"/>
    <s v="EV Charge Card"/>
    <s v="SME"/>
    <x v="8"/>
    <b v="1"/>
    <x v="0"/>
    <s v="Yes"/>
    <d v="2025-08-18T00:00:00"/>
    <m/>
    <m/>
    <d v="2025-08-27T00:00:00"/>
    <b v="1"/>
    <n v="611.19000000000005"/>
  </r>
  <r>
    <s v="LEAD00590"/>
    <d v="2025-12-27T00:00:00"/>
    <x v="1"/>
    <x v="3"/>
    <x v="0"/>
    <s v="Fuel Card"/>
    <s v="SME"/>
    <x v="9"/>
    <b v="1"/>
    <x v="1"/>
    <s v="Yes"/>
    <d v="2025-12-30T00:00:00"/>
    <d v="2026-01-11T00:00:00"/>
    <m/>
    <m/>
    <b v="1"/>
    <n v="995.23"/>
  </r>
  <r>
    <s v="LEAD00591"/>
    <d v="2025-10-28T00:00:00"/>
    <x v="0"/>
    <x v="3"/>
    <x v="3"/>
    <s v="Fuel Card"/>
    <s v="Enterprise"/>
    <x v="10"/>
    <b v="1"/>
    <x v="2"/>
    <s v="Yes"/>
    <d v="2025-11-05T00:00:00"/>
    <d v="2025-11-19T00:00:00"/>
    <d v="2025-12-06T00:00:00"/>
    <m/>
    <b v="1"/>
    <n v="10577.12"/>
  </r>
  <r>
    <s v="LEAD00592"/>
    <d v="2025-04-21T00:00:00"/>
    <x v="3"/>
    <x v="3"/>
    <x v="1"/>
    <s v="Fuel Card"/>
    <s v="Mid-Market"/>
    <x v="4"/>
    <b v="1"/>
    <x v="0"/>
    <s v="Yes"/>
    <d v="2025-04-25T00:00:00"/>
    <d v="2025-05-07T00:00:00"/>
    <m/>
    <d v="2025-06-07T00:00:00"/>
    <b v="1"/>
    <n v="3322.04"/>
  </r>
  <r>
    <s v="LEAD00593"/>
    <d v="2025-12-15T00:00:00"/>
    <x v="1"/>
    <x v="2"/>
    <x v="0"/>
    <s v="Toll Solution"/>
    <s v="Mid-Market"/>
    <x v="6"/>
    <b v="1"/>
    <x v="4"/>
    <s v="No"/>
    <m/>
    <m/>
    <m/>
    <m/>
    <b v="1"/>
    <n v="1767.73"/>
  </r>
  <r>
    <s v="LEAD00594"/>
    <d v="2025-04-14T00:00:00"/>
    <x v="3"/>
    <x v="4"/>
    <x v="4"/>
    <s v="Fuel Card"/>
    <s v="Enterprise"/>
    <x v="13"/>
    <b v="1"/>
    <x v="0"/>
    <s v="Yes"/>
    <d v="2025-04-23T00:00:00"/>
    <d v="2025-04-28T00:00:00"/>
    <m/>
    <d v="2025-05-10T00:00:00"/>
    <b v="1"/>
    <n v="11047.93"/>
  </r>
  <r>
    <s v="LEAD00595"/>
    <d v="2025-11-29T00:00:00"/>
    <x v="10"/>
    <x v="0"/>
    <x v="3"/>
    <s v="Fleet Expense Card"/>
    <s v="SME"/>
    <x v="3"/>
    <b v="1"/>
    <x v="2"/>
    <s v="Yes"/>
    <d v="2025-12-05T00:00:00"/>
    <d v="2025-12-17T00:00:00"/>
    <d v="2026-01-11T00:00:00"/>
    <m/>
    <b v="1"/>
    <n v="553.88"/>
  </r>
  <r>
    <s v="LEAD00596"/>
    <d v="2025-08-23T00:00:00"/>
    <x v="2"/>
    <x v="3"/>
    <x v="4"/>
    <s v="EV Charge Card"/>
    <s v="SME"/>
    <x v="4"/>
    <b v="1"/>
    <x v="0"/>
    <s v="Yes"/>
    <d v="2025-08-26T00:00:00"/>
    <m/>
    <m/>
    <d v="2025-09-12T00:00:00"/>
    <b v="1"/>
    <n v="526.91"/>
  </r>
  <r>
    <s v="LEAD00597"/>
    <d v="2025-11-17T00:00:00"/>
    <x v="10"/>
    <x v="0"/>
    <x v="3"/>
    <s v="Fleet Expense Card"/>
    <s v="SME"/>
    <x v="0"/>
    <b v="1"/>
    <x v="0"/>
    <s v="No"/>
    <m/>
    <m/>
    <m/>
    <d v="2025-12-05T00:00:00"/>
    <b v="1"/>
    <n v="872.24"/>
  </r>
  <r>
    <s v="LEAD00598"/>
    <d v="2025-09-08T00:00:00"/>
    <x v="11"/>
    <x v="2"/>
    <x v="1"/>
    <s v="Fuel Card"/>
    <s v="Mid-Market"/>
    <x v="2"/>
    <b v="1"/>
    <x v="0"/>
    <s v="No"/>
    <m/>
    <m/>
    <m/>
    <d v="2025-09-10T00:00:00"/>
    <b v="1"/>
    <n v="2957.02"/>
  </r>
  <r>
    <s v="LEAD00599"/>
    <d v="2025-05-27T00:00:00"/>
    <x v="6"/>
    <x v="4"/>
    <x v="3"/>
    <s v="Toll Solution"/>
    <s v="Mid-Market"/>
    <x v="13"/>
    <b v="1"/>
    <x v="0"/>
    <s v="Yes"/>
    <d v="2025-06-03T00:00:00"/>
    <d v="2025-06-05T00:00:00"/>
    <m/>
    <d v="2025-07-09T00:00:00"/>
    <b v="1"/>
    <n v="1371.17"/>
  </r>
  <r>
    <s v="LEAD00600"/>
    <d v="2025-10-11T00:00:00"/>
    <x v="0"/>
    <x v="0"/>
    <x v="3"/>
    <s v="Fleet Expense Card"/>
    <s v="Enterprise"/>
    <x v="5"/>
    <b v="1"/>
    <x v="0"/>
    <s v="Yes"/>
    <d v="2025-10-19T00:00:00"/>
    <d v="2025-10-20T00:00:00"/>
    <m/>
    <d v="2025-11-15T00:00:00"/>
    <b v="1"/>
    <n v="7651.3"/>
  </r>
  <r>
    <s v="LEAD00601"/>
    <d v="2025-08-14T00:00:00"/>
    <x v="2"/>
    <x v="2"/>
    <x v="2"/>
    <s v="Fuel Card"/>
    <s v="SME"/>
    <x v="6"/>
    <b v="1"/>
    <x v="2"/>
    <s v="Yes"/>
    <d v="2025-08-23T00:00:00"/>
    <d v="2025-08-27T00:00:00"/>
    <d v="2025-09-18T00:00:00"/>
    <m/>
    <b v="1"/>
    <n v="794.5"/>
  </r>
  <r>
    <s v="LEAD00602"/>
    <d v="2025-04-22T00:00:00"/>
    <x v="3"/>
    <x v="3"/>
    <x v="2"/>
    <s v="Fuel Card"/>
    <s v="SME"/>
    <x v="10"/>
    <b v="1"/>
    <x v="0"/>
    <s v="Yes"/>
    <d v="2025-05-01T00:00:00"/>
    <m/>
    <m/>
    <d v="2025-05-13T00:00:00"/>
    <b v="1"/>
    <n v="928.67"/>
  </r>
  <r>
    <s v="LEAD00603"/>
    <d v="2025-11-17T00:00:00"/>
    <x v="10"/>
    <x v="3"/>
    <x v="1"/>
    <s v="Fleet Expense Card"/>
    <s v="Mid-Market"/>
    <x v="9"/>
    <b v="1"/>
    <x v="0"/>
    <s v="Yes"/>
    <d v="2025-11-22T00:00:00"/>
    <m/>
    <m/>
    <d v="2025-12-02T00:00:00"/>
    <b v="1"/>
    <n v="2106.75"/>
  </r>
  <r>
    <s v="LEAD00604"/>
    <d v="2025-06-10T00:00:00"/>
    <x v="5"/>
    <x v="0"/>
    <x v="2"/>
    <s v="EV Charge Card"/>
    <s v="SME"/>
    <x v="3"/>
    <b v="1"/>
    <x v="0"/>
    <s v="Yes"/>
    <d v="2025-06-19T00:00:00"/>
    <d v="2025-07-01T00:00:00"/>
    <m/>
    <d v="2025-07-13T00:00:00"/>
    <b v="1"/>
    <n v="565.51"/>
  </r>
  <r>
    <s v="LEAD00605"/>
    <d v="2025-12-09T00:00:00"/>
    <x v="1"/>
    <x v="4"/>
    <x v="1"/>
    <s v="Fleet Expense Card"/>
    <s v="SME"/>
    <x v="13"/>
    <b v="1"/>
    <x v="1"/>
    <s v="Yes"/>
    <d v="2025-12-19T00:00:00"/>
    <d v="2025-12-23T00:00:00"/>
    <m/>
    <m/>
    <b v="1"/>
    <n v="575.29"/>
  </r>
  <r>
    <s v="LEAD00606"/>
    <d v="2025-12-07T00:00:00"/>
    <x v="1"/>
    <x v="2"/>
    <x v="3"/>
    <s v="Toll Solution"/>
    <s v="Enterprise"/>
    <x v="8"/>
    <b v="1"/>
    <x v="1"/>
    <s v="Yes"/>
    <d v="2025-12-17T00:00:00"/>
    <d v="2025-12-29T00:00:00"/>
    <m/>
    <m/>
    <b v="1"/>
    <n v="6291.82"/>
  </r>
  <r>
    <s v="LEAD00607"/>
    <d v="2025-06-27T00:00:00"/>
    <x v="5"/>
    <x v="2"/>
    <x v="3"/>
    <s v="Fuel Card"/>
    <s v="SME"/>
    <x v="6"/>
    <b v="1"/>
    <x v="0"/>
    <s v="No"/>
    <m/>
    <m/>
    <m/>
    <d v="2025-07-05T00:00:00"/>
    <b v="1"/>
    <n v="824.89"/>
  </r>
  <r>
    <s v="LEAD00608"/>
    <d v="2025-07-23T00:00:00"/>
    <x v="4"/>
    <x v="4"/>
    <x v="1"/>
    <s v="Fleet Expense Card"/>
    <s v="SME"/>
    <x v="12"/>
    <b v="1"/>
    <x v="0"/>
    <s v="Yes"/>
    <d v="2025-07-24T00:00:00"/>
    <m/>
    <m/>
    <d v="2025-08-04T00:00:00"/>
    <b v="1"/>
    <n v="624.65"/>
  </r>
  <r>
    <s v="LEAD00609"/>
    <d v="2025-04-16T00:00:00"/>
    <x v="3"/>
    <x v="4"/>
    <x v="1"/>
    <s v="Fuel Card"/>
    <s v="Enterprise"/>
    <x v="12"/>
    <b v="1"/>
    <x v="0"/>
    <s v="Yes"/>
    <d v="2025-04-22T00:00:00"/>
    <d v="2025-04-26T00:00:00"/>
    <m/>
    <d v="2025-05-26T00:00:00"/>
    <b v="1"/>
    <n v="10623.52"/>
  </r>
  <r>
    <s v="LEAD00610"/>
    <d v="2025-10-17T00:00:00"/>
    <x v="0"/>
    <x v="1"/>
    <x v="0"/>
    <s v="EV Charge Card"/>
    <s v="Enterprise"/>
    <x v="14"/>
    <b v="1"/>
    <x v="2"/>
    <s v="Yes"/>
    <d v="2025-10-18T00:00:00"/>
    <d v="2025-10-28T00:00:00"/>
    <d v="2025-11-07T00:00:00"/>
    <m/>
    <b v="1"/>
    <n v="5268.6"/>
  </r>
  <r>
    <s v="LEAD00611"/>
    <d v="2025-01-03T00:00:00"/>
    <x v="9"/>
    <x v="3"/>
    <x v="3"/>
    <s v="Fleet Expense Card"/>
    <s v="Mid-Market"/>
    <x v="4"/>
    <b v="1"/>
    <x v="0"/>
    <s v="Yes"/>
    <d v="2025-01-09T00:00:00"/>
    <m/>
    <m/>
    <d v="2025-01-18T00:00:00"/>
    <b v="1"/>
    <n v="2862.48"/>
  </r>
  <r>
    <s v="LEAD00612"/>
    <d v="2025-02-15T00:00:00"/>
    <x v="8"/>
    <x v="0"/>
    <x v="0"/>
    <s v="Fuel Card"/>
    <s v="SME"/>
    <x v="3"/>
    <b v="1"/>
    <x v="0"/>
    <s v="No"/>
    <m/>
    <m/>
    <m/>
    <d v="2025-02-22T00:00:00"/>
    <b v="1"/>
    <n v="846.51"/>
  </r>
  <r>
    <s v="LEAD00613"/>
    <d v="2025-01-06T00:00:00"/>
    <x v="9"/>
    <x v="2"/>
    <x v="1"/>
    <s v="Fleet Expense Card"/>
    <s v="SME"/>
    <x v="2"/>
    <b v="1"/>
    <x v="0"/>
    <s v="Yes"/>
    <d v="2025-01-16T00:00:00"/>
    <d v="2025-01-18T00:00:00"/>
    <m/>
    <d v="2025-02-05T00:00:00"/>
    <b v="1"/>
    <n v="599.32000000000005"/>
  </r>
  <r>
    <s v="LEAD00614"/>
    <d v="2025-02-21T00:00:00"/>
    <x v="8"/>
    <x v="1"/>
    <x v="2"/>
    <s v="Fleet Expense Card"/>
    <s v="Mid-Market"/>
    <x v="11"/>
    <b v="1"/>
    <x v="0"/>
    <s v="No"/>
    <m/>
    <m/>
    <m/>
    <d v="2025-02-25T00:00:00"/>
    <b v="1"/>
    <n v="2791"/>
  </r>
  <r>
    <s v="LEAD00615"/>
    <d v="2025-06-08T00:00:00"/>
    <x v="5"/>
    <x v="1"/>
    <x v="2"/>
    <s v="Toll Solution"/>
    <s v="Enterprise"/>
    <x v="14"/>
    <b v="1"/>
    <x v="2"/>
    <s v="Yes"/>
    <d v="2025-06-10T00:00:00"/>
    <d v="2025-06-16T00:00:00"/>
    <d v="2025-06-20T00:00:00"/>
    <m/>
    <b v="1"/>
    <n v="6559.39"/>
  </r>
  <r>
    <s v="LEAD00616"/>
    <d v="2025-08-04T00:00:00"/>
    <x v="2"/>
    <x v="0"/>
    <x v="2"/>
    <s v="Toll Solution"/>
    <s v="SME"/>
    <x v="0"/>
    <b v="1"/>
    <x v="0"/>
    <s v="Yes"/>
    <d v="2025-08-10T00:00:00"/>
    <d v="2025-08-20T00:00:00"/>
    <m/>
    <d v="2025-09-03T00:00:00"/>
    <b v="1"/>
    <n v="412.05"/>
  </r>
  <r>
    <s v="LEAD00617"/>
    <d v="2025-10-09T00:00:00"/>
    <x v="0"/>
    <x v="2"/>
    <x v="2"/>
    <s v="Fuel Card"/>
    <s v="SME"/>
    <x v="6"/>
    <b v="1"/>
    <x v="2"/>
    <s v="Yes"/>
    <d v="2025-10-14T00:00:00"/>
    <d v="2025-10-29T00:00:00"/>
    <d v="2025-11-09T00:00:00"/>
    <m/>
    <b v="1"/>
    <n v="733.94"/>
  </r>
  <r>
    <s v="LEAD00618"/>
    <d v="2025-05-23T00:00:00"/>
    <x v="6"/>
    <x v="4"/>
    <x v="3"/>
    <s v="Toll Solution"/>
    <s v="SME"/>
    <x v="13"/>
    <b v="1"/>
    <x v="0"/>
    <s v="No"/>
    <m/>
    <m/>
    <m/>
    <d v="2025-06-03T00:00:00"/>
    <b v="1"/>
    <n v="389.59"/>
  </r>
  <r>
    <s v="LEAD00619"/>
    <d v="2025-09-07T00:00:00"/>
    <x v="11"/>
    <x v="3"/>
    <x v="2"/>
    <s v="Fuel Card"/>
    <s v="SME"/>
    <x v="10"/>
    <b v="1"/>
    <x v="0"/>
    <s v="Yes"/>
    <d v="2025-09-10T00:00:00"/>
    <d v="2025-09-23T00:00:00"/>
    <m/>
    <d v="2025-10-22T00:00:00"/>
    <b v="1"/>
    <n v="1034.79"/>
  </r>
  <r>
    <s v="LEAD00620"/>
    <d v="2025-11-09T00:00:00"/>
    <x v="10"/>
    <x v="3"/>
    <x v="2"/>
    <s v="Fuel Card"/>
    <s v="Mid-Market"/>
    <x v="10"/>
    <b v="1"/>
    <x v="2"/>
    <s v="Yes"/>
    <d v="2025-11-13T00:00:00"/>
    <d v="2025-11-25T00:00:00"/>
    <d v="2025-12-14T00:00:00"/>
    <m/>
    <b v="1"/>
    <n v="2171.0100000000002"/>
  </r>
  <r>
    <s v="LEAD00621"/>
    <d v="2025-02-01T00:00:00"/>
    <x v="8"/>
    <x v="4"/>
    <x v="1"/>
    <s v="Fuel Card"/>
    <s v="Mid-Market"/>
    <x v="12"/>
    <b v="1"/>
    <x v="0"/>
    <s v="No"/>
    <m/>
    <m/>
    <m/>
    <d v="2025-02-06T00:00:00"/>
    <b v="1"/>
    <n v="2595.9699999999998"/>
  </r>
  <r>
    <s v="LEAD00622"/>
    <d v="2025-07-19T00:00:00"/>
    <x v="4"/>
    <x v="3"/>
    <x v="3"/>
    <s v="Fuel Card"/>
    <s v="SME"/>
    <x v="10"/>
    <b v="1"/>
    <x v="0"/>
    <s v="Yes"/>
    <d v="2025-07-27T00:00:00"/>
    <d v="2025-07-28T00:00:00"/>
    <m/>
    <d v="2025-08-22T00:00:00"/>
    <b v="1"/>
    <n v="789.55"/>
  </r>
  <r>
    <s v="LEAD00623"/>
    <d v="2025-01-04T00:00:00"/>
    <x v="9"/>
    <x v="2"/>
    <x v="3"/>
    <s v="Fuel Card"/>
    <s v="SME"/>
    <x v="2"/>
    <b v="1"/>
    <x v="0"/>
    <s v="Yes"/>
    <d v="2025-01-08T00:00:00"/>
    <m/>
    <m/>
    <d v="2025-01-28T00:00:00"/>
    <b v="1"/>
    <n v="627.11"/>
  </r>
  <r>
    <s v="LEAD00624"/>
    <d v="2025-08-10T00:00:00"/>
    <x v="2"/>
    <x v="4"/>
    <x v="0"/>
    <s v="Fleet Expense Card"/>
    <s v="Enterprise"/>
    <x v="7"/>
    <b v="1"/>
    <x v="0"/>
    <s v="No"/>
    <m/>
    <m/>
    <m/>
    <d v="2025-08-21T00:00:00"/>
    <b v="1"/>
    <n v="9033.2999999999993"/>
  </r>
  <r>
    <s v="LEAD00625"/>
    <d v="2025-09-29T00:00:00"/>
    <x v="11"/>
    <x v="0"/>
    <x v="1"/>
    <s v="Fuel Card"/>
    <s v="Mid-Market"/>
    <x v="0"/>
    <b v="1"/>
    <x v="2"/>
    <s v="Yes"/>
    <d v="2025-10-08T00:00:00"/>
    <d v="2025-10-12T00:00:00"/>
    <d v="2025-10-29T00:00:00"/>
    <m/>
    <b v="1"/>
    <n v="2212.92"/>
  </r>
  <r>
    <s v="LEAD00626"/>
    <d v="2025-12-24T00:00:00"/>
    <x v="1"/>
    <x v="3"/>
    <x v="4"/>
    <s v="Fuel Card"/>
    <s v="SME"/>
    <x v="4"/>
    <b v="1"/>
    <x v="1"/>
    <s v="Yes"/>
    <d v="2026-01-01T00:00:00"/>
    <d v="2026-01-13T00:00:00"/>
    <m/>
    <m/>
    <b v="1"/>
    <n v="1001.45"/>
  </r>
  <r>
    <s v="LEAD00627"/>
    <d v="2025-04-08T00:00:00"/>
    <x v="3"/>
    <x v="4"/>
    <x v="3"/>
    <s v="Fleet Expense Card"/>
    <s v="SME"/>
    <x v="12"/>
    <b v="1"/>
    <x v="0"/>
    <s v="No"/>
    <m/>
    <m/>
    <m/>
    <d v="2025-04-22T00:00:00"/>
    <b v="1"/>
    <n v="608.72"/>
  </r>
  <r>
    <s v="LEAD00628"/>
    <d v="2025-04-13T00:00:00"/>
    <x v="3"/>
    <x v="1"/>
    <x v="3"/>
    <s v="Fuel Card"/>
    <s v="SME"/>
    <x v="14"/>
    <b v="1"/>
    <x v="0"/>
    <s v="Yes"/>
    <d v="2025-04-15T00:00:00"/>
    <d v="2025-04-25T00:00:00"/>
    <m/>
    <d v="2025-05-27T00:00:00"/>
    <b v="1"/>
    <n v="620.82000000000005"/>
  </r>
  <r>
    <s v="LEAD00629"/>
    <d v="2025-09-05T00:00:00"/>
    <x v="11"/>
    <x v="0"/>
    <x v="0"/>
    <s v="EV Charge Card"/>
    <s v="SME"/>
    <x v="5"/>
    <b v="1"/>
    <x v="0"/>
    <s v="Yes"/>
    <d v="2025-09-10T00:00:00"/>
    <d v="2025-09-14T00:00:00"/>
    <m/>
    <d v="2025-09-20T00:00:00"/>
    <b v="1"/>
    <n v="845.07"/>
  </r>
  <r>
    <s v="LEAD00630"/>
    <d v="2025-08-12T00:00:00"/>
    <x v="2"/>
    <x v="2"/>
    <x v="1"/>
    <s v="Fuel Card"/>
    <s v="Mid-Market"/>
    <x v="8"/>
    <b v="1"/>
    <x v="2"/>
    <s v="Yes"/>
    <d v="2025-08-22T00:00:00"/>
    <d v="2025-09-06T00:00:00"/>
    <d v="2025-10-04T00:00:00"/>
    <m/>
    <b v="1"/>
    <n v="2878.06"/>
  </r>
  <r>
    <s v="LEAD00631"/>
    <d v="2025-07-07T00:00:00"/>
    <x v="4"/>
    <x v="3"/>
    <x v="0"/>
    <s v="Fleet Expense Card"/>
    <s v="Mid-Market"/>
    <x v="10"/>
    <b v="1"/>
    <x v="0"/>
    <s v="Yes"/>
    <d v="2025-07-09T00:00:00"/>
    <d v="2025-07-14T00:00:00"/>
    <m/>
    <d v="2025-07-19T00:00:00"/>
    <b v="1"/>
    <n v="2294.59"/>
  </r>
  <r>
    <s v="LEAD00632"/>
    <d v="2025-12-07T00:00:00"/>
    <x v="1"/>
    <x v="0"/>
    <x v="3"/>
    <s v="EV Charge Card"/>
    <s v="Mid-Market"/>
    <x v="5"/>
    <b v="1"/>
    <x v="4"/>
    <s v="No"/>
    <m/>
    <m/>
    <m/>
    <m/>
    <b v="1"/>
    <n v="2188.75"/>
  </r>
  <r>
    <s v="LEAD00633"/>
    <d v="2025-11-17T00:00:00"/>
    <x v="10"/>
    <x v="2"/>
    <x v="1"/>
    <s v="Toll Solution"/>
    <s v="SME"/>
    <x v="8"/>
    <b v="1"/>
    <x v="0"/>
    <s v="Yes"/>
    <d v="2025-11-25T00:00:00"/>
    <d v="2025-12-08T00:00:00"/>
    <m/>
    <d v="2026-01-01T00:00:00"/>
    <b v="1"/>
    <n v="560.04"/>
  </r>
  <r>
    <s v="LEAD00634"/>
    <d v="2025-10-31T00:00:00"/>
    <x v="0"/>
    <x v="3"/>
    <x v="1"/>
    <s v="Fuel Card"/>
    <s v="SME"/>
    <x v="9"/>
    <b v="1"/>
    <x v="0"/>
    <s v="Yes"/>
    <d v="2025-11-05T00:00:00"/>
    <m/>
    <m/>
    <d v="2025-11-19T00:00:00"/>
    <b v="1"/>
    <n v="790.65"/>
  </r>
  <r>
    <s v="LEAD00635"/>
    <d v="2025-06-22T00:00:00"/>
    <x v="5"/>
    <x v="0"/>
    <x v="3"/>
    <s v="Fleet Expense Card"/>
    <s v="Mid-Market"/>
    <x v="0"/>
    <b v="1"/>
    <x v="0"/>
    <s v="No"/>
    <m/>
    <m/>
    <m/>
    <d v="2025-06-27T00:00:00"/>
    <b v="1"/>
    <n v="2613.1999999999998"/>
  </r>
  <r>
    <s v="LEAD00636"/>
    <d v="2025-11-15T00:00:00"/>
    <x v="10"/>
    <x v="0"/>
    <x v="2"/>
    <s v="Fleet Expense Card"/>
    <s v="SME"/>
    <x v="0"/>
    <b v="1"/>
    <x v="0"/>
    <s v="Yes"/>
    <d v="2025-11-23T00:00:00"/>
    <m/>
    <m/>
    <d v="2025-11-28T00:00:00"/>
    <b v="1"/>
    <n v="705.2"/>
  </r>
  <r>
    <s v="LEAD00637"/>
    <d v="2025-12-05T00:00:00"/>
    <x v="1"/>
    <x v="3"/>
    <x v="3"/>
    <s v="Fuel Card"/>
    <s v="SME"/>
    <x v="10"/>
    <b v="1"/>
    <x v="0"/>
    <s v="No"/>
    <m/>
    <m/>
    <m/>
    <d v="2025-12-19T00:00:00"/>
    <b v="1"/>
    <n v="712.56"/>
  </r>
  <r>
    <s v="LEAD00638"/>
    <d v="2025-10-27T00:00:00"/>
    <x v="0"/>
    <x v="1"/>
    <x v="3"/>
    <s v="Fuel Card"/>
    <s v="SME"/>
    <x v="14"/>
    <b v="1"/>
    <x v="0"/>
    <s v="Yes"/>
    <d v="2025-10-29T00:00:00"/>
    <d v="2025-11-11T00:00:00"/>
    <m/>
    <d v="2025-12-08T00:00:00"/>
    <b v="1"/>
    <n v="603.66999999999996"/>
  </r>
  <r>
    <s v="LEAD00639"/>
    <d v="2025-04-18T00:00:00"/>
    <x v="3"/>
    <x v="4"/>
    <x v="2"/>
    <s v="EV Charge Card"/>
    <s v="Mid-Market"/>
    <x v="12"/>
    <b v="1"/>
    <x v="0"/>
    <s v="Yes"/>
    <d v="2025-04-25T00:00:00"/>
    <m/>
    <m/>
    <d v="2025-05-12T00:00:00"/>
    <b v="1"/>
    <n v="2227.77"/>
  </r>
  <r>
    <s v="LEAD00640"/>
    <d v="2025-09-03T00:00:00"/>
    <x v="11"/>
    <x v="4"/>
    <x v="2"/>
    <s v="Fuel Card"/>
    <s v="SME"/>
    <x v="7"/>
    <b v="1"/>
    <x v="2"/>
    <s v="Yes"/>
    <d v="2025-09-10T00:00:00"/>
    <d v="2025-09-13T00:00:00"/>
    <d v="2025-10-10T00:00:00"/>
    <m/>
    <b v="1"/>
    <n v="775.08"/>
  </r>
  <r>
    <s v="LEAD00641"/>
    <d v="2025-06-05T00:00:00"/>
    <x v="5"/>
    <x v="3"/>
    <x v="4"/>
    <s v="Fleet Expense Card"/>
    <s v="SME"/>
    <x v="4"/>
    <b v="1"/>
    <x v="0"/>
    <s v="Yes"/>
    <d v="2025-06-07T00:00:00"/>
    <d v="2025-06-14T00:00:00"/>
    <m/>
    <d v="2025-07-17T00:00:00"/>
    <b v="1"/>
    <n v="753.66"/>
  </r>
  <r>
    <s v="LEAD00642"/>
    <d v="2025-10-09T00:00:00"/>
    <x v="0"/>
    <x v="4"/>
    <x v="0"/>
    <s v="Fuel Card"/>
    <s v="Mid-Market"/>
    <x v="7"/>
    <b v="1"/>
    <x v="0"/>
    <s v="No"/>
    <m/>
    <m/>
    <m/>
    <d v="2025-10-13T00:00:00"/>
    <b v="1"/>
    <n v="2376.5700000000002"/>
  </r>
  <r>
    <s v="LEAD00643"/>
    <d v="2025-07-06T00:00:00"/>
    <x v="4"/>
    <x v="2"/>
    <x v="1"/>
    <s v="EV Charge Card"/>
    <s v="SME"/>
    <x v="2"/>
    <b v="1"/>
    <x v="0"/>
    <s v="No"/>
    <m/>
    <m/>
    <m/>
    <d v="2025-07-12T00:00:00"/>
    <b v="1"/>
    <n v="741.52"/>
  </r>
  <r>
    <s v="LEAD00644"/>
    <d v="2025-08-12T00:00:00"/>
    <x v="2"/>
    <x v="4"/>
    <x v="2"/>
    <s v="EV Charge Card"/>
    <s v="Mid-Market"/>
    <x v="12"/>
    <b v="1"/>
    <x v="0"/>
    <s v="No"/>
    <m/>
    <m/>
    <m/>
    <d v="2025-09-01T00:00:00"/>
    <b v="1"/>
    <n v="2401.84"/>
  </r>
  <r>
    <s v="LEAD00645"/>
    <d v="2025-07-18T00:00:00"/>
    <x v="4"/>
    <x v="2"/>
    <x v="3"/>
    <s v="Toll Solution"/>
    <s v="Mid-Market"/>
    <x v="6"/>
    <b v="1"/>
    <x v="0"/>
    <s v="No"/>
    <m/>
    <m/>
    <m/>
    <d v="2025-07-24T00:00:00"/>
    <b v="1"/>
    <n v="1368.93"/>
  </r>
  <r>
    <s v="LEAD00646"/>
    <d v="2025-01-06T00:00:00"/>
    <x v="9"/>
    <x v="3"/>
    <x v="1"/>
    <s v="Fleet Expense Card"/>
    <s v="Mid-Market"/>
    <x v="10"/>
    <b v="1"/>
    <x v="0"/>
    <s v="Yes"/>
    <d v="2025-01-14T00:00:00"/>
    <d v="2025-01-22T00:00:00"/>
    <m/>
    <d v="2025-01-30T00:00:00"/>
    <b v="1"/>
    <n v="2152.0100000000002"/>
  </r>
  <r>
    <s v="LEAD00647"/>
    <d v="2025-01-13T00:00:00"/>
    <x v="9"/>
    <x v="3"/>
    <x v="2"/>
    <s v="EV Charge Card"/>
    <s v="SME"/>
    <x v="10"/>
    <b v="1"/>
    <x v="0"/>
    <s v="Yes"/>
    <d v="2025-01-20T00:00:00"/>
    <m/>
    <m/>
    <d v="2025-02-01T00:00:00"/>
    <b v="1"/>
    <n v="650.73"/>
  </r>
  <r>
    <s v="LEAD00648"/>
    <d v="2025-02-15T00:00:00"/>
    <x v="8"/>
    <x v="3"/>
    <x v="1"/>
    <s v="Fuel Card"/>
    <s v="SME"/>
    <x v="9"/>
    <b v="1"/>
    <x v="2"/>
    <s v="Yes"/>
    <d v="2025-02-21T00:00:00"/>
    <d v="2025-02-24T00:00:00"/>
    <d v="2025-03-10T00:00:00"/>
    <m/>
    <b v="1"/>
    <n v="604.07000000000005"/>
  </r>
  <r>
    <s v="LEAD00649"/>
    <d v="2025-12-18T00:00:00"/>
    <x v="1"/>
    <x v="3"/>
    <x v="2"/>
    <s v="Fleet Expense Card"/>
    <s v="Mid-Market"/>
    <x v="4"/>
    <b v="1"/>
    <x v="1"/>
    <s v="Yes"/>
    <d v="2025-12-19T00:00:00"/>
    <d v="2026-01-01T00:00:00"/>
    <m/>
    <m/>
    <b v="1"/>
    <n v="2870.38"/>
  </r>
  <r>
    <s v="LEAD00650"/>
    <d v="2025-08-15T00:00:00"/>
    <x v="2"/>
    <x v="3"/>
    <x v="3"/>
    <s v="Fuel Card"/>
    <s v="Enterprise"/>
    <x v="4"/>
    <b v="1"/>
    <x v="0"/>
    <s v="Yes"/>
    <d v="2025-08-20T00:00:00"/>
    <d v="2025-09-03T00:00:00"/>
    <m/>
    <d v="2025-09-29T00:00:00"/>
    <b v="1"/>
    <n v="8501.91"/>
  </r>
  <r>
    <s v="LEAD00651"/>
    <d v="2025-05-11T00:00:00"/>
    <x v="6"/>
    <x v="2"/>
    <x v="1"/>
    <s v="Fleet Expense Card"/>
    <s v="SME"/>
    <x v="2"/>
    <b v="1"/>
    <x v="2"/>
    <s v="Yes"/>
    <d v="2025-05-17T00:00:00"/>
    <d v="2025-05-19T00:00:00"/>
    <d v="2025-06-04T00:00:00"/>
    <m/>
    <b v="1"/>
    <n v="955.93"/>
  </r>
  <r>
    <s v="LEAD00652"/>
    <d v="2025-12-24T00:00:00"/>
    <x v="1"/>
    <x v="0"/>
    <x v="2"/>
    <s v="Fuel Card"/>
    <s v="SME"/>
    <x v="5"/>
    <b v="1"/>
    <x v="4"/>
    <s v="No"/>
    <m/>
    <m/>
    <m/>
    <m/>
    <b v="1"/>
    <n v="879.38"/>
  </r>
  <r>
    <s v="LEAD00653"/>
    <d v="2025-08-17T00:00:00"/>
    <x v="2"/>
    <x v="4"/>
    <x v="0"/>
    <s v="Fuel Card"/>
    <s v="Mid-Market"/>
    <x v="13"/>
    <b v="1"/>
    <x v="0"/>
    <s v="No"/>
    <m/>
    <m/>
    <m/>
    <d v="2025-08-30T00:00:00"/>
    <b v="1"/>
    <n v="2179.7399999999998"/>
  </r>
  <r>
    <s v="LEAD00654"/>
    <d v="2025-11-22T00:00:00"/>
    <x v="10"/>
    <x v="3"/>
    <x v="2"/>
    <s v="Fuel Card"/>
    <s v="SME"/>
    <x v="10"/>
    <b v="1"/>
    <x v="2"/>
    <s v="Yes"/>
    <d v="2025-12-02T00:00:00"/>
    <d v="2025-12-07T00:00:00"/>
    <d v="2025-12-12T00:00:00"/>
    <m/>
    <b v="1"/>
    <n v="783.14"/>
  </r>
  <r>
    <s v="LEAD00655"/>
    <d v="2025-11-20T00:00:00"/>
    <x v="10"/>
    <x v="0"/>
    <x v="3"/>
    <s v="EV Charge Card"/>
    <s v="SME"/>
    <x v="3"/>
    <b v="1"/>
    <x v="0"/>
    <s v="Yes"/>
    <d v="2025-11-30T00:00:00"/>
    <m/>
    <m/>
    <d v="2025-12-07T00:00:00"/>
    <b v="1"/>
    <n v="872.33"/>
  </r>
  <r>
    <s v="LEAD00656"/>
    <d v="2025-04-05T00:00:00"/>
    <x v="3"/>
    <x v="0"/>
    <x v="2"/>
    <s v="Fleet Expense Card"/>
    <s v="SME"/>
    <x v="3"/>
    <b v="1"/>
    <x v="0"/>
    <s v="No"/>
    <m/>
    <m/>
    <m/>
    <d v="2025-04-14T00:00:00"/>
    <b v="1"/>
    <n v="632.6"/>
  </r>
  <r>
    <s v="LEAD00657"/>
    <d v="2025-07-12T00:00:00"/>
    <x v="4"/>
    <x v="2"/>
    <x v="0"/>
    <s v="Fleet Expense Card"/>
    <s v="Mid-Market"/>
    <x v="6"/>
    <b v="1"/>
    <x v="0"/>
    <s v="Yes"/>
    <d v="2025-07-15T00:00:00"/>
    <m/>
    <m/>
    <d v="2025-08-05T00:00:00"/>
    <b v="1"/>
    <n v="2306.46"/>
  </r>
  <r>
    <s v="LEAD00658"/>
    <d v="2025-10-19T00:00:00"/>
    <x v="0"/>
    <x v="0"/>
    <x v="1"/>
    <s v="Fuel Card"/>
    <s v="SME"/>
    <x v="0"/>
    <b v="1"/>
    <x v="0"/>
    <s v="No"/>
    <m/>
    <m/>
    <m/>
    <d v="2025-10-24T00:00:00"/>
    <b v="1"/>
    <n v="627.41999999999996"/>
  </r>
  <r>
    <s v="LEAD00659"/>
    <d v="2025-11-15T00:00:00"/>
    <x v="10"/>
    <x v="0"/>
    <x v="3"/>
    <s v="Fuel Card"/>
    <s v="SME"/>
    <x v="5"/>
    <b v="1"/>
    <x v="0"/>
    <s v="Yes"/>
    <d v="2025-11-18T00:00:00"/>
    <m/>
    <m/>
    <d v="2025-11-30T00:00:00"/>
    <b v="1"/>
    <n v="1126.04"/>
  </r>
  <r>
    <s v="LEAD00660"/>
    <d v="2025-07-19T00:00:00"/>
    <x v="4"/>
    <x v="0"/>
    <x v="2"/>
    <s v="Fuel Card"/>
    <s v="Mid-Market"/>
    <x v="0"/>
    <b v="1"/>
    <x v="0"/>
    <s v="Yes"/>
    <d v="2025-07-25T00:00:00"/>
    <m/>
    <m/>
    <d v="2025-08-01T00:00:00"/>
    <b v="1"/>
    <n v="2127.66"/>
  </r>
  <r>
    <s v="LEAD00661"/>
    <d v="2025-10-29T00:00:00"/>
    <x v="0"/>
    <x v="0"/>
    <x v="0"/>
    <s v="Toll Solution"/>
    <s v="SME"/>
    <x v="0"/>
    <b v="1"/>
    <x v="2"/>
    <s v="Yes"/>
    <d v="2025-11-08T00:00:00"/>
    <d v="2025-11-15T00:00:00"/>
    <d v="2025-11-29T00:00:00"/>
    <m/>
    <b v="1"/>
    <n v="385"/>
  </r>
  <r>
    <s v="LEAD00662"/>
    <d v="2025-11-26T00:00:00"/>
    <x v="10"/>
    <x v="0"/>
    <x v="2"/>
    <s v="Toll Solution"/>
    <s v="Mid-Market"/>
    <x v="5"/>
    <b v="1"/>
    <x v="0"/>
    <s v="No"/>
    <m/>
    <m/>
    <m/>
    <d v="2025-11-28T00:00:00"/>
    <b v="1"/>
    <n v="2020.92"/>
  </r>
  <r>
    <s v="LEAD00663"/>
    <d v="2025-08-12T00:00:00"/>
    <x v="2"/>
    <x v="1"/>
    <x v="1"/>
    <s v="EV Charge Card"/>
    <s v="Enterprise"/>
    <x v="14"/>
    <b v="1"/>
    <x v="2"/>
    <s v="Yes"/>
    <d v="2025-08-13T00:00:00"/>
    <d v="2025-08-28T00:00:00"/>
    <d v="2025-09-14T00:00:00"/>
    <m/>
    <b v="1"/>
    <n v="8147.72"/>
  </r>
  <r>
    <s v="LEAD00664"/>
    <d v="2025-09-24T00:00:00"/>
    <x v="11"/>
    <x v="1"/>
    <x v="2"/>
    <s v="Toll Solution"/>
    <s v="Mid-Market"/>
    <x v="14"/>
    <b v="1"/>
    <x v="0"/>
    <s v="Yes"/>
    <d v="2025-09-25T00:00:00"/>
    <d v="2025-10-07T00:00:00"/>
    <m/>
    <d v="2025-11-07T00:00:00"/>
    <b v="1"/>
    <n v="1438.48"/>
  </r>
  <r>
    <s v="LEAD00665"/>
    <d v="2025-12-28T00:00:00"/>
    <x v="1"/>
    <x v="1"/>
    <x v="1"/>
    <s v="Fleet Expense Card"/>
    <s v="Mid-Market"/>
    <x v="1"/>
    <b v="1"/>
    <x v="2"/>
    <s v="Yes"/>
    <d v="2026-01-05T00:00:00"/>
    <d v="2026-01-17T00:00:00"/>
    <d v="2026-01-20T00:00:00"/>
    <m/>
    <b v="1"/>
    <n v="1970.71"/>
  </r>
  <r>
    <s v="LEAD00666"/>
    <d v="2025-07-02T00:00:00"/>
    <x v="4"/>
    <x v="3"/>
    <x v="3"/>
    <s v="Toll Solution"/>
    <s v="Enterprise"/>
    <x v="4"/>
    <b v="1"/>
    <x v="0"/>
    <s v="No"/>
    <m/>
    <m/>
    <m/>
    <d v="2025-07-13T00:00:00"/>
    <b v="1"/>
    <n v="6009.35"/>
  </r>
  <r>
    <s v="LEAD00667"/>
    <d v="2025-12-09T00:00:00"/>
    <x v="1"/>
    <x v="3"/>
    <x v="3"/>
    <s v="Fuel Card"/>
    <s v="SME"/>
    <x v="9"/>
    <b v="1"/>
    <x v="3"/>
    <s v="Yes"/>
    <d v="2025-12-11T00:00:00"/>
    <m/>
    <m/>
    <m/>
    <b v="1"/>
    <n v="871.54"/>
  </r>
  <r>
    <s v="LEAD00668"/>
    <d v="2025-06-24T00:00:00"/>
    <x v="5"/>
    <x v="3"/>
    <x v="2"/>
    <s v="Fleet Expense Card"/>
    <s v="Mid-Market"/>
    <x v="10"/>
    <b v="1"/>
    <x v="0"/>
    <s v="Yes"/>
    <d v="2025-07-02T00:00:00"/>
    <d v="2025-07-08T00:00:00"/>
    <m/>
    <d v="2025-07-17T00:00:00"/>
    <b v="1"/>
    <n v="1805.38"/>
  </r>
  <r>
    <s v="LEAD00669"/>
    <d v="2025-07-30T00:00:00"/>
    <x v="4"/>
    <x v="4"/>
    <x v="4"/>
    <s v="Fleet Expense Card"/>
    <s v="Mid-Market"/>
    <x v="12"/>
    <b v="1"/>
    <x v="0"/>
    <s v="Yes"/>
    <d v="2025-08-04T00:00:00"/>
    <d v="2025-08-10T00:00:00"/>
    <m/>
    <d v="2025-08-18T00:00:00"/>
    <b v="1"/>
    <n v="1815.27"/>
  </r>
  <r>
    <s v="LEAD00670"/>
    <d v="2025-09-01T00:00:00"/>
    <x v="11"/>
    <x v="2"/>
    <x v="2"/>
    <s v="Fleet Expense Card"/>
    <s v="Mid-Market"/>
    <x v="2"/>
    <b v="1"/>
    <x v="0"/>
    <s v="Yes"/>
    <d v="2025-09-06T00:00:00"/>
    <m/>
    <m/>
    <d v="2025-09-29T00:00:00"/>
    <b v="1"/>
    <n v="1694.16"/>
  </r>
  <r>
    <s v="LEAD00671"/>
    <d v="2025-05-15T00:00:00"/>
    <x v="6"/>
    <x v="2"/>
    <x v="4"/>
    <s v="Toll Solution"/>
    <s v="SME"/>
    <x v="2"/>
    <b v="1"/>
    <x v="0"/>
    <s v="No"/>
    <m/>
    <m/>
    <m/>
    <d v="2025-05-23T00:00:00"/>
    <b v="1"/>
    <n v="406.37"/>
  </r>
  <r>
    <s v="LEAD00672"/>
    <d v="2025-10-20T00:00:00"/>
    <x v="0"/>
    <x v="0"/>
    <x v="0"/>
    <s v="Toll Solution"/>
    <s v="Mid-Market"/>
    <x v="3"/>
    <b v="1"/>
    <x v="2"/>
    <s v="Yes"/>
    <d v="2025-10-23T00:00:00"/>
    <d v="2025-11-04T00:00:00"/>
    <d v="2025-11-22T00:00:00"/>
    <m/>
    <b v="1"/>
    <n v="1999.69"/>
  </r>
  <r>
    <s v="LEAD00673"/>
    <d v="2025-11-27T00:00:00"/>
    <x v="10"/>
    <x v="3"/>
    <x v="2"/>
    <s v="EV Charge Card"/>
    <s v="SME"/>
    <x v="9"/>
    <b v="1"/>
    <x v="2"/>
    <s v="Yes"/>
    <d v="2025-12-07T00:00:00"/>
    <d v="2025-12-12T00:00:00"/>
    <d v="2026-01-07T00:00:00"/>
    <m/>
    <b v="1"/>
    <n v="886.41"/>
  </r>
  <r>
    <s v="LEAD00674"/>
    <d v="2025-06-30T00:00:00"/>
    <x v="5"/>
    <x v="1"/>
    <x v="2"/>
    <s v="EV Charge Card"/>
    <s v="SME"/>
    <x v="1"/>
    <b v="1"/>
    <x v="0"/>
    <s v="Yes"/>
    <d v="2025-07-01T00:00:00"/>
    <d v="2025-07-09T00:00:00"/>
    <m/>
    <d v="2025-08-02T00:00:00"/>
    <b v="1"/>
    <n v="586.27"/>
  </r>
  <r>
    <s v="LEAD00675"/>
    <d v="2025-02-28T00:00:00"/>
    <x v="8"/>
    <x v="2"/>
    <x v="2"/>
    <s v="Fleet Expense Card"/>
    <s v="SME"/>
    <x v="6"/>
    <b v="1"/>
    <x v="0"/>
    <s v="No"/>
    <m/>
    <m/>
    <m/>
    <d v="2025-03-19T00:00:00"/>
    <b v="1"/>
    <n v="615.48"/>
  </r>
  <r>
    <s v="LEAD00676"/>
    <d v="2025-03-09T00:00:00"/>
    <x v="7"/>
    <x v="2"/>
    <x v="2"/>
    <s v="Fuel Card"/>
    <s v="SME"/>
    <x v="8"/>
    <b v="1"/>
    <x v="0"/>
    <s v="Yes"/>
    <d v="2025-03-18T00:00:00"/>
    <m/>
    <m/>
    <d v="2025-03-27T00:00:00"/>
    <b v="1"/>
    <n v="599.74"/>
  </r>
  <r>
    <s v="LEAD00677"/>
    <d v="2025-11-27T00:00:00"/>
    <x v="10"/>
    <x v="1"/>
    <x v="2"/>
    <s v="Fuel Card"/>
    <s v="SME"/>
    <x v="1"/>
    <b v="1"/>
    <x v="0"/>
    <s v="Yes"/>
    <d v="2025-12-01T00:00:00"/>
    <d v="2025-12-05T00:00:00"/>
    <m/>
    <d v="2025-12-20T00:00:00"/>
    <b v="1"/>
    <n v="1085.55"/>
  </r>
  <r>
    <s v="LEAD00678"/>
    <d v="2025-07-22T00:00:00"/>
    <x v="4"/>
    <x v="2"/>
    <x v="3"/>
    <s v="Fleet Expense Card"/>
    <s v="SME"/>
    <x v="6"/>
    <b v="1"/>
    <x v="0"/>
    <s v="Yes"/>
    <d v="2025-07-26T00:00:00"/>
    <d v="2025-07-27T00:00:00"/>
    <m/>
    <d v="2025-08-03T00:00:00"/>
    <b v="1"/>
    <n v="898.07"/>
  </r>
  <r>
    <s v="LEAD00679"/>
    <d v="2025-03-12T00:00:00"/>
    <x v="7"/>
    <x v="4"/>
    <x v="2"/>
    <s v="Fuel Card"/>
    <s v="Mid-Market"/>
    <x v="7"/>
    <b v="1"/>
    <x v="0"/>
    <s v="Yes"/>
    <d v="2025-03-15T00:00:00"/>
    <d v="2025-03-21T00:00:00"/>
    <m/>
    <d v="2025-04-08T00:00:00"/>
    <b v="1"/>
    <n v="3490.83"/>
  </r>
  <r>
    <s v="LEAD00680"/>
    <d v="2025-03-12T00:00:00"/>
    <x v="7"/>
    <x v="0"/>
    <x v="2"/>
    <s v="Toll Solution"/>
    <s v="Mid-Market"/>
    <x v="0"/>
    <b v="1"/>
    <x v="2"/>
    <s v="Yes"/>
    <d v="2025-03-14T00:00:00"/>
    <d v="2025-03-28T00:00:00"/>
    <d v="2025-04-10T00:00:00"/>
    <m/>
    <b v="1"/>
    <n v="1873.77"/>
  </r>
  <r>
    <s v="LEAD00681"/>
    <d v="2025-12-02T00:00:00"/>
    <x v="1"/>
    <x v="2"/>
    <x v="3"/>
    <s v="EV Charge Card"/>
    <s v="SME"/>
    <x v="6"/>
    <b v="1"/>
    <x v="0"/>
    <s v="No"/>
    <m/>
    <m/>
    <m/>
    <d v="2025-12-11T00:00:00"/>
    <b v="1"/>
    <n v="615"/>
  </r>
  <r>
    <s v="LEAD00682"/>
    <d v="2025-01-12T00:00:00"/>
    <x v="9"/>
    <x v="4"/>
    <x v="2"/>
    <s v="EV Charge Card"/>
    <s v="Enterprise"/>
    <x v="13"/>
    <b v="1"/>
    <x v="2"/>
    <s v="Yes"/>
    <d v="2025-01-14T00:00:00"/>
    <d v="2025-01-27T00:00:00"/>
    <d v="2025-02-11T00:00:00"/>
    <m/>
    <b v="1"/>
    <n v="5649.33"/>
  </r>
  <r>
    <s v="LEAD00683"/>
    <d v="2025-08-12T00:00:00"/>
    <x v="2"/>
    <x v="1"/>
    <x v="1"/>
    <s v="Fuel Card"/>
    <s v="Enterprise"/>
    <x v="1"/>
    <b v="1"/>
    <x v="0"/>
    <s v="No"/>
    <m/>
    <m/>
    <m/>
    <d v="2025-08-22T00:00:00"/>
    <b v="1"/>
    <n v="9676.94"/>
  </r>
  <r>
    <s v="LEAD00684"/>
    <d v="2025-07-18T00:00:00"/>
    <x v="4"/>
    <x v="0"/>
    <x v="2"/>
    <s v="Fleet Expense Card"/>
    <s v="SME"/>
    <x v="0"/>
    <b v="1"/>
    <x v="0"/>
    <s v="Yes"/>
    <d v="2025-07-25T00:00:00"/>
    <m/>
    <m/>
    <d v="2025-08-06T00:00:00"/>
    <b v="1"/>
    <n v="882.77"/>
  </r>
  <r>
    <s v="LEAD00685"/>
    <d v="2025-04-22T00:00:00"/>
    <x v="3"/>
    <x v="0"/>
    <x v="0"/>
    <s v="Toll Solution"/>
    <s v="SME"/>
    <x v="3"/>
    <b v="1"/>
    <x v="0"/>
    <s v="No"/>
    <m/>
    <m/>
    <m/>
    <d v="2025-05-11T00:00:00"/>
    <b v="1"/>
    <n v="586.49"/>
  </r>
  <r>
    <s v="LEAD00686"/>
    <d v="2025-06-06T00:00:00"/>
    <x v="5"/>
    <x v="2"/>
    <x v="0"/>
    <s v="Fuel Card"/>
    <s v="Enterprise"/>
    <x v="6"/>
    <b v="1"/>
    <x v="0"/>
    <s v="No"/>
    <m/>
    <m/>
    <m/>
    <d v="2025-06-25T00:00:00"/>
    <b v="1"/>
    <n v="8675.4599999999991"/>
  </r>
  <r>
    <s v="LEAD00687"/>
    <d v="2025-03-01T00:00:00"/>
    <x v="7"/>
    <x v="0"/>
    <x v="4"/>
    <s v="Fleet Expense Card"/>
    <s v="SME"/>
    <x v="0"/>
    <b v="1"/>
    <x v="0"/>
    <s v="Yes"/>
    <d v="2025-03-11T00:00:00"/>
    <m/>
    <m/>
    <d v="2025-03-23T00:00:00"/>
    <b v="1"/>
    <n v="809.07"/>
  </r>
  <r>
    <s v="LEAD00688"/>
    <d v="2025-05-18T00:00:00"/>
    <x v="6"/>
    <x v="0"/>
    <x v="2"/>
    <s v="Fuel Card"/>
    <s v="SME"/>
    <x v="0"/>
    <b v="1"/>
    <x v="2"/>
    <s v="Yes"/>
    <d v="2025-05-23T00:00:00"/>
    <d v="2025-05-31T00:00:00"/>
    <d v="2025-06-09T00:00:00"/>
    <m/>
    <b v="1"/>
    <n v="823.24"/>
  </r>
  <r>
    <s v="LEAD00689"/>
    <d v="2025-12-26T00:00:00"/>
    <x v="1"/>
    <x v="0"/>
    <x v="2"/>
    <s v="Fleet Expense Card"/>
    <s v="Mid-Market"/>
    <x v="5"/>
    <b v="1"/>
    <x v="2"/>
    <s v="Yes"/>
    <d v="2026-01-05T00:00:00"/>
    <d v="2026-01-07T00:00:00"/>
    <d v="2026-01-29T00:00:00"/>
    <m/>
    <b v="1"/>
    <n v="2599.6799999999998"/>
  </r>
  <r>
    <s v="LEAD00690"/>
    <d v="2025-04-29T00:00:00"/>
    <x v="3"/>
    <x v="4"/>
    <x v="2"/>
    <s v="EV Charge Card"/>
    <s v="SME"/>
    <x v="13"/>
    <b v="1"/>
    <x v="0"/>
    <s v="Yes"/>
    <d v="2025-05-04T00:00:00"/>
    <d v="2025-05-13T00:00:00"/>
    <m/>
    <d v="2025-06-10T00:00:00"/>
    <b v="1"/>
    <n v="789.78"/>
  </r>
  <r>
    <s v="LEAD00691"/>
    <d v="2025-02-05T00:00:00"/>
    <x v="8"/>
    <x v="3"/>
    <x v="3"/>
    <s v="Fuel Card"/>
    <s v="Mid-Market"/>
    <x v="9"/>
    <b v="1"/>
    <x v="0"/>
    <s v="No"/>
    <m/>
    <m/>
    <m/>
    <d v="2025-02-15T00:00:00"/>
    <b v="1"/>
    <n v="1862.8"/>
  </r>
  <r>
    <s v="LEAD00692"/>
    <d v="2025-12-23T00:00:00"/>
    <x v="1"/>
    <x v="2"/>
    <x v="1"/>
    <s v="Fleet Expense Card"/>
    <s v="SME"/>
    <x v="8"/>
    <b v="1"/>
    <x v="1"/>
    <s v="Yes"/>
    <d v="2026-01-01T00:00:00"/>
    <d v="2026-01-15T00:00:00"/>
    <m/>
    <m/>
    <b v="1"/>
    <n v="816.83"/>
  </r>
  <r>
    <s v="LEAD00693"/>
    <d v="2025-12-01T00:00:00"/>
    <x v="1"/>
    <x v="3"/>
    <x v="2"/>
    <s v="EV Charge Card"/>
    <s v="Mid-Market"/>
    <x v="9"/>
    <b v="1"/>
    <x v="0"/>
    <s v="No"/>
    <m/>
    <m/>
    <m/>
    <d v="2025-12-15T00:00:00"/>
    <b v="1"/>
    <n v="1880.04"/>
  </r>
  <r>
    <s v="LEAD00694"/>
    <d v="2025-12-06T00:00:00"/>
    <x v="1"/>
    <x v="2"/>
    <x v="3"/>
    <s v="Toll Solution"/>
    <s v="SME"/>
    <x v="2"/>
    <b v="1"/>
    <x v="1"/>
    <s v="Yes"/>
    <d v="2025-12-16T00:00:00"/>
    <d v="2025-12-23T00:00:00"/>
    <m/>
    <m/>
    <b v="1"/>
    <n v="533.75"/>
  </r>
  <r>
    <s v="LEAD00695"/>
    <d v="2025-08-20T00:00:00"/>
    <x v="2"/>
    <x v="3"/>
    <x v="1"/>
    <s v="Fuel Card"/>
    <s v="Enterprise"/>
    <x v="4"/>
    <b v="1"/>
    <x v="0"/>
    <s v="No"/>
    <m/>
    <m/>
    <m/>
    <d v="2025-08-27T00:00:00"/>
    <b v="1"/>
    <n v="8748.7999999999993"/>
  </r>
  <r>
    <s v="LEAD00696"/>
    <d v="2025-06-12T00:00:00"/>
    <x v="5"/>
    <x v="3"/>
    <x v="1"/>
    <s v="Fuel Card"/>
    <s v="SME"/>
    <x v="4"/>
    <b v="1"/>
    <x v="0"/>
    <s v="Yes"/>
    <d v="2025-06-15T00:00:00"/>
    <d v="2025-06-23T00:00:00"/>
    <m/>
    <d v="2025-07-21T00:00:00"/>
    <b v="1"/>
    <n v="830.47"/>
  </r>
  <r>
    <s v="LEAD00697"/>
    <d v="2025-06-20T00:00:00"/>
    <x v="5"/>
    <x v="4"/>
    <x v="3"/>
    <s v="Fuel Card"/>
    <s v="Mid-Market"/>
    <x v="7"/>
    <b v="1"/>
    <x v="0"/>
    <s v="No"/>
    <m/>
    <m/>
    <m/>
    <d v="2025-06-24T00:00:00"/>
    <b v="1"/>
    <n v="2643.11"/>
  </r>
  <r>
    <s v="LEAD00698"/>
    <d v="2025-11-03T00:00:00"/>
    <x v="10"/>
    <x v="0"/>
    <x v="3"/>
    <s v="Fleet Expense Card"/>
    <s v="Mid-Market"/>
    <x v="5"/>
    <b v="1"/>
    <x v="0"/>
    <s v="Yes"/>
    <d v="2025-11-06T00:00:00"/>
    <d v="2025-11-12T00:00:00"/>
    <m/>
    <d v="2025-11-22T00:00:00"/>
    <b v="1"/>
    <n v="2003.2"/>
  </r>
  <r>
    <s v="LEAD00699"/>
    <d v="2025-06-23T00:00:00"/>
    <x v="5"/>
    <x v="3"/>
    <x v="3"/>
    <s v="EV Charge Card"/>
    <s v="Mid-Market"/>
    <x v="10"/>
    <b v="1"/>
    <x v="0"/>
    <s v="Yes"/>
    <d v="2025-06-28T00:00:00"/>
    <d v="2025-07-09T00:00:00"/>
    <m/>
    <d v="2025-07-18T00:00:00"/>
    <b v="1"/>
    <n v="1830.98"/>
  </r>
  <r>
    <s v="LEAD00700"/>
    <d v="2025-05-11T00:00:00"/>
    <x v="6"/>
    <x v="3"/>
    <x v="2"/>
    <s v="Fuel Card"/>
    <s v="Mid-Market"/>
    <x v="9"/>
    <b v="1"/>
    <x v="0"/>
    <s v="Yes"/>
    <d v="2025-05-12T00:00:00"/>
    <d v="2025-05-15T00:00:00"/>
    <m/>
    <d v="2025-05-28T00:00:00"/>
    <b v="1"/>
    <n v="3256.84"/>
  </r>
  <r>
    <s v="LEAD00701"/>
    <d v="2025-08-24T00:00:00"/>
    <x v="2"/>
    <x v="4"/>
    <x v="0"/>
    <s v="Fleet Expense Card"/>
    <s v="Mid-Market"/>
    <x v="13"/>
    <b v="1"/>
    <x v="0"/>
    <s v="Yes"/>
    <d v="2025-08-26T00:00:00"/>
    <m/>
    <m/>
    <d v="2025-09-20T00:00:00"/>
    <b v="1"/>
    <n v="2470.77"/>
  </r>
  <r>
    <s v="LEAD00702"/>
    <d v="2025-02-05T00:00:00"/>
    <x v="8"/>
    <x v="4"/>
    <x v="1"/>
    <s v="Fuel Card"/>
    <s v="Enterprise"/>
    <x v="12"/>
    <b v="1"/>
    <x v="0"/>
    <s v="Yes"/>
    <d v="2025-02-10T00:00:00"/>
    <d v="2025-02-23T00:00:00"/>
    <m/>
    <d v="2025-03-23T00:00:00"/>
    <b v="1"/>
    <n v="11126.21"/>
  </r>
  <r>
    <s v="LEAD00703"/>
    <d v="2025-10-10T00:00:00"/>
    <x v="0"/>
    <x v="3"/>
    <x v="3"/>
    <s v="Fleet Expense Card"/>
    <s v="SME"/>
    <x v="4"/>
    <b v="1"/>
    <x v="0"/>
    <s v="No"/>
    <m/>
    <m/>
    <m/>
    <d v="2025-10-14T00:00:00"/>
    <b v="1"/>
    <n v="1009.37"/>
  </r>
  <r>
    <s v="LEAD00704"/>
    <d v="2025-08-16T00:00:00"/>
    <x v="2"/>
    <x v="0"/>
    <x v="1"/>
    <s v="EV Charge Card"/>
    <s v="SME"/>
    <x v="0"/>
    <b v="1"/>
    <x v="0"/>
    <s v="Yes"/>
    <d v="2025-08-22T00:00:00"/>
    <d v="2025-09-02T00:00:00"/>
    <m/>
    <d v="2025-09-14T00:00:00"/>
    <b v="1"/>
    <n v="533.51"/>
  </r>
  <r>
    <s v="LEAD00705"/>
    <d v="2025-12-05T00:00:00"/>
    <x v="1"/>
    <x v="4"/>
    <x v="0"/>
    <s v="Toll Solution"/>
    <s v="Mid-Market"/>
    <x v="7"/>
    <b v="1"/>
    <x v="3"/>
    <s v="Yes"/>
    <d v="2025-12-13T00:00:00"/>
    <m/>
    <m/>
    <m/>
    <b v="1"/>
    <n v="1362.72"/>
  </r>
  <r>
    <s v="LEAD00706"/>
    <d v="2025-12-05T00:00:00"/>
    <x v="1"/>
    <x v="3"/>
    <x v="1"/>
    <s v="Fuel Card"/>
    <s v="Enterprise"/>
    <x v="4"/>
    <b v="1"/>
    <x v="1"/>
    <s v="Yes"/>
    <d v="2025-12-13T00:00:00"/>
    <d v="2025-12-24T00:00:00"/>
    <m/>
    <m/>
    <b v="1"/>
    <n v="7659.07"/>
  </r>
  <r>
    <s v="LEAD00707"/>
    <d v="2025-11-05T00:00:00"/>
    <x v="10"/>
    <x v="2"/>
    <x v="2"/>
    <s v="EV Charge Card"/>
    <s v="Mid-Market"/>
    <x v="2"/>
    <b v="1"/>
    <x v="0"/>
    <s v="Yes"/>
    <d v="2025-11-11T00:00:00"/>
    <m/>
    <m/>
    <d v="2025-11-27T00:00:00"/>
    <b v="1"/>
    <n v="1934.6"/>
  </r>
  <r>
    <s v="LEAD00708"/>
    <d v="2025-06-20T00:00:00"/>
    <x v="5"/>
    <x v="0"/>
    <x v="0"/>
    <s v="Fuel Card"/>
    <s v="SME"/>
    <x v="3"/>
    <b v="1"/>
    <x v="0"/>
    <s v="Yes"/>
    <d v="2025-06-26T00:00:00"/>
    <m/>
    <m/>
    <d v="2025-07-13T00:00:00"/>
    <b v="1"/>
    <n v="824.48"/>
  </r>
  <r>
    <s v="LEAD00709"/>
    <d v="2025-12-28T00:00:00"/>
    <x v="1"/>
    <x v="3"/>
    <x v="1"/>
    <s v="EV Charge Card"/>
    <s v="SME"/>
    <x v="10"/>
    <b v="1"/>
    <x v="1"/>
    <s v="Yes"/>
    <d v="2026-01-04T00:00:00"/>
    <d v="2026-01-18T00:00:00"/>
    <m/>
    <m/>
    <b v="1"/>
    <n v="725.8"/>
  </r>
  <r>
    <s v="LEAD00710"/>
    <d v="2025-08-30T00:00:00"/>
    <x v="2"/>
    <x v="0"/>
    <x v="2"/>
    <s v="Fuel Card"/>
    <s v="SME"/>
    <x v="0"/>
    <b v="1"/>
    <x v="0"/>
    <s v="Yes"/>
    <d v="2025-09-03T00:00:00"/>
    <m/>
    <m/>
    <d v="2025-09-08T00:00:00"/>
    <b v="1"/>
    <n v="849.12"/>
  </r>
  <r>
    <s v="LEAD00711"/>
    <d v="2025-04-18T00:00:00"/>
    <x v="3"/>
    <x v="3"/>
    <x v="2"/>
    <s v="Fuel Card"/>
    <s v="Mid-Market"/>
    <x v="10"/>
    <b v="1"/>
    <x v="0"/>
    <s v="Yes"/>
    <d v="2025-04-24T00:00:00"/>
    <m/>
    <m/>
    <d v="2025-05-02T00:00:00"/>
    <b v="1"/>
    <n v="3340.2"/>
  </r>
  <r>
    <s v="LEAD00712"/>
    <d v="2025-11-02T00:00:00"/>
    <x v="10"/>
    <x v="2"/>
    <x v="0"/>
    <s v="Fuel Card"/>
    <s v="SME"/>
    <x v="2"/>
    <b v="1"/>
    <x v="2"/>
    <s v="Yes"/>
    <d v="2025-11-07T00:00:00"/>
    <d v="2025-11-14T00:00:00"/>
    <d v="2025-12-14T00:00:00"/>
    <m/>
    <b v="1"/>
    <n v="638.5"/>
  </r>
  <r>
    <s v="LEAD00713"/>
    <d v="2025-08-24T00:00:00"/>
    <x v="2"/>
    <x v="0"/>
    <x v="3"/>
    <s v="Fleet Expense Card"/>
    <s v="SME"/>
    <x v="0"/>
    <b v="1"/>
    <x v="0"/>
    <s v="Yes"/>
    <d v="2025-08-30T00:00:00"/>
    <d v="2025-09-08T00:00:00"/>
    <m/>
    <d v="2025-10-06T00:00:00"/>
    <b v="1"/>
    <n v="939.6"/>
  </r>
  <r>
    <s v="LEAD00714"/>
    <d v="2025-10-15T00:00:00"/>
    <x v="0"/>
    <x v="2"/>
    <x v="3"/>
    <s v="Toll Solution"/>
    <s v="SME"/>
    <x v="2"/>
    <b v="1"/>
    <x v="0"/>
    <s v="No"/>
    <m/>
    <m/>
    <m/>
    <d v="2025-10-27T00:00:00"/>
    <b v="1"/>
    <n v="541.11"/>
  </r>
  <r>
    <s v="LEAD00715"/>
    <d v="2025-09-15T00:00:00"/>
    <x v="11"/>
    <x v="3"/>
    <x v="1"/>
    <s v="Fuel Card"/>
    <s v="SME"/>
    <x v="10"/>
    <b v="1"/>
    <x v="0"/>
    <s v="Yes"/>
    <d v="2025-09-23T00:00:00"/>
    <m/>
    <m/>
    <d v="2025-10-03T00:00:00"/>
    <b v="1"/>
    <n v="903.56"/>
  </r>
  <r>
    <s v="LEAD00716"/>
    <d v="2025-09-03T00:00:00"/>
    <x v="11"/>
    <x v="3"/>
    <x v="3"/>
    <s v="EV Charge Card"/>
    <s v="Mid-Market"/>
    <x v="9"/>
    <b v="1"/>
    <x v="0"/>
    <s v="No"/>
    <m/>
    <m/>
    <m/>
    <d v="2025-09-17T00:00:00"/>
    <b v="1"/>
    <n v="2534.42"/>
  </r>
  <r>
    <s v="LEAD00717"/>
    <d v="2025-08-04T00:00:00"/>
    <x v="2"/>
    <x v="4"/>
    <x v="2"/>
    <s v="Toll Solution"/>
    <s v="SME"/>
    <x v="12"/>
    <b v="1"/>
    <x v="2"/>
    <s v="Yes"/>
    <d v="2025-08-10T00:00:00"/>
    <d v="2025-08-18T00:00:00"/>
    <d v="2025-09-03T00:00:00"/>
    <m/>
    <b v="1"/>
    <n v="598.77"/>
  </r>
  <r>
    <s v="LEAD00718"/>
    <d v="2025-08-06T00:00:00"/>
    <x v="2"/>
    <x v="1"/>
    <x v="2"/>
    <s v="EV Charge Card"/>
    <s v="Mid-Market"/>
    <x v="1"/>
    <b v="1"/>
    <x v="2"/>
    <s v="Yes"/>
    <d v="2025-08-16T00:00:00"/>
    <d v="2025-08-22T00:00:00"/>
    <d v="2025-09-15T00:00:00"/>
    <m/>
    <b v="1"/>
    <n v="1511.29"/>
  </r>
  <r>
    <s v="LEAD00719"/>
    <d v="2025-09-10T00:00:00"/>
    <x v="11"/>
    <x v="3"/>
    <x v="2"/>
    <s v="Fuel Card"/>
    <s v="Mid-Market"/>
    <x v="9"/>
    <b v="1"/>
    <x v="0"/>
    <s v="Yes"/>
    <d v="2025-09-20T00:00:00"/>
    <m/>
    <m/>
    <d v="2025-09-28T00:00:00"/>
    <b v="1"/>
    <n v="2044.34"/>
  </r>
  <r>
    <s v="LEAD00720"/>
    <d v="2025-12-05T00:00:00"/>
    <x v="1"/>
    <x v="1"/>
    <x v="1"/>
    <s v="Toll Solution"/>
    <s v="SME"/>
    <x v="14"/>
    <b v="1"/>
    <x v="0"/>
    <s v="No"/>
    <m/>
    <m/>
    <m/>
    <d v="2025-12-11T00:00:00"/>
    <b v="1"/>
    <n v="474.89"/>
  </r>
  <r>
    <s v="LEAD00721"/>
    <d v="2025-03-22T00:00:00"/>
    <x v="7"/>
    <x v="0"/>
    <x v="3"/>
    <s v="Fuel Card"/>
    <s v="Mid-Market"/>
    <x v="0"/>
    <b v="1"/>
    <x v="0"/>
    <s v="Yes"/>
    <d v="2025-04-01T00:00:00"/>
    <m/>
    <m/>
    <d v="2025-04-15T00:00:00"/>
    <b v="1"/>
    <n v="1970.87"/>
  </r>
  <r>
    <s v="LEAD00722"/>
    <d v="2025-10-12T00:00:00"/>
    <x v="0"/>
    <x v="3"/>
    <x v="1"/>
    <s v="Fleet Expense Card"/>
    <s v="Mid-Market"/>
    <x v="4"/>
    <b v="1"/>
    <x v="2"/>
    <s v="Yes"/>
    <d v="2025-10-21T00:00:00"/>
    <d v="2025-10-27T00:00:00"/>
    <d v="2025-11-01T00:00:00"/>
    <m/>
    <b v="1"/>
    <n v="2345.0300000000002"/>
  </r>
  <r>
    <s v="LEAD00723"/>
    <d v="2025-08-17T00:00:00"/>
    <x v="2"/>
    <x v="1"/>
    <x v="3"/>
    <s v="Fleet Expense Card"/>
    <s v="Mid-Market"/>
    <x v="11"/>
    <b v="1"/>
    <x v="0"/>
    <s v="No"/>
    <m/>
    <m/>
    <m/>
    <d v="2025-09-02T00:00:00"/>
    <b v="1"/>
    <n v="3006.93"/>
  </r>
  <r>
    <s v="LEAD00724"/>
    <d v="2025-02-02T00:00:00"/>
    <x v="8"/>
    <x v="2"/>
    <x v="0"/>
    <s v="Fleet Expense Card"/>
    <s v="Enterprise"/>
    <x v="6"/>
    <b v="1"/>
    <x v="0"/>
    <s v="Yes"/>
    <d v="2025-02-09T00:00:00"/>
    <d v="2025-02-23T00:00:00"/>
    <m/>
    <d v="2025-03-07T00:00:00"/>
    <b v="1"/>
    <n v="5618.24"/>
  </r>
  <r>
    <s v="LEAD00725"/>
    <d v="2025-06-25T00:00:00"/>
    <x v="5"/>
    <x v="1"/>
    <x v="3"/>
    <s v="Fuel Card"/>
    <s v="Mid-Market"/>
    <x v="14"/>
    <b v="1"/>
    <x v="2"/>
    <s v="Yes"/>
    <d v="2025-06-30T00:00:00"/>
    <d v="2025-07-04T00:00:00"/>
    <d v="2025-07-24T00:00:00"/>
    <m/>
    <b v="1"/>
    <n v="3160.18"/>
  </r>
  <r>
    <s v="LEAD00726"/>
    <d v="2025-04-22T00:00:00"/>
    <x v="3"/>
    <x v="0"/>
    <x v="3"/>
    <s v="Fuel Card"/>
    <s v="Enterprise"/>
    <x v="0"/>
    <b v="1"/>
    <x v="0"/>
    <s v="No"/>
    <m/>
    <m/>
    <m/>
    <d v="2025-05-10T00:00:00"/>
    <b v="1"/>
    <n v="10829.55"/>
  </r>
  <r>
    <s v="LEAD00727"/>
    <d v="2025-06-02T00:00:00"/>
    <x v="5"/>
    <x v="0"/>
    <x v="3"/>
    <s v="Fleet Expense Card"/>
    <s v="Mid-Market"/>
    <x v="0"/>
    <b v="1"/>
    <x v="0"/>
    <s v="Yes"/>
    <d v="2025-06-10T00:00:00"/>
    <m/>
    <m/>
    <d v="2025-06-29T00:00:00"/>
    <b v="1"/>
    <n v="2824.18"/>
  </r>
  <r>
    <s v="LEAD00728"/>
    <d v="2025-04-12T00:00:00"/>
    <x v="3"/>
    <x v="1"/>
    <x v="3"/>
    <s v="Fuel Card"/>
    <s v="SME"/>
    <x v="11"/>
    <b v="1"/>
    <x v="0"/>
    <s v="Yes"/>
    <d v="2025-04-14T00:00:00"/>
    <d v="2025-04-24T00:00:00"/>
    <m/>
    <d v="2025-05-23T00:00:00"/>
    <b v="1"/>
    <n v="881.13"/>
  </r>
  <r>
    <s v="LEAD00729"/>
    <d v="2025-07-25T00:00:00"/>
    <x v="4"/>
    <x v="2"/>
    <x v="1"/>
    <s v="Fuel Card"/>
    <s v="Mid-Market"/>
    <x v="2"/>
    <b v="1"/>
    <x v="0"/>
    <s v="No"/>
    <m/>
    <m/>
    <m/>
    <d v="2025-08-13T00:00:00"/>
    <b v="1"/>
    <n v="3284.24"/>
  </r>
  <r>
    <s v="LEAD00730"/>
    <d v="2025-03-05T00:00:00"/>
    <x v="7"/>
    <x v="0"/>
    <x v="0"/>
    <s v="Toll Solution"/>
    <s v="SME"/>
    <x v="3"/>
    <b v="1"/>
    <x v="2"/>
    <s v="Yes"/>
    <d v="2025-03-07T00:00:00"/>
    <d v="2025-03-22T00:00:00"/>
    <d v="2025-03-28T00:00:00"/>
    <m/>
    <b v="1"/>
    <n v="704.68"/>
  </r>
  <r>
    <s v="LEAD00731"/>
    <d v="2025-07-13T00:00:00"/>
    <x v="4"/>
    <x v="3"/>
    <x v="2"/>
    <s v="Fuel Card"/>
    <s v="Enterprise"/>
    <x v="4"/>
    <b v="1"/>
    <x v="2"/>
    <s v="Yes"/>
    <d v="2025-07-18T00:00:00"/>
    <d v="2025-07-19T00:00:00"/>
    <d v="2025-07-26T00:00:00"/>
    <m/>
    <b v="1"/>
    <n v="7405.37"/>
  </r>
  <r>
    <s v="LEAD00732"/>
    <d v="2025-11-06T00:00:00"/>
    <x v="10"/>
    <x v="2"/>
    <x v="2"/>
    <s v="Fleet Expense Card"/>
    <s v="SME"/>
    <x v="8"/>
    <b v="1"/>
    <x v="2"/>
    <s v="Yes"/>
    <d v="2025-11-08T00:00:00"/>
    <d v="2025-11-16T00:00:00"/>
    <d v="2025-11-23T00:00:00"/>
    <m/>
    <b v="1"/>
    <n v="948.19"/>
  </r>
  <r>
    <s v="LEAD00733"/>
    <d v="2025-11-29T00:00:00"/>
    <x v="10"/>
    <x v="4"/>
    <x v="3"/>
    <s v="Fleet Expense Card"/>
    <s v="Mid-Market"/>
    <x v="13"/>
    <b v="1"/>
    <x v="0"/>
    <s v="No"/>
    <m/>
    <m/>
    <m/>
    <d v="2025-12-11T00:00:00"/>
    <b v="1"/>
    <n v="2091.25"/>
  </r>
  <r>
    <s v="LEAD00734"/>
    <d v="2025-09-23T00:00:00"/>
    <x v="11"/>
    <x v="0"/>
    <x v="0"/>
    <s v="Fuel Card"/>
    <s v="SME"/>
    <x v="0"/>
    <b v="1"/>
    <x v="0"/>
    <s v="Yes"/>
    <d v="2025-09-27T00:00:00"/>
    <d v="2025-09-28T00:00:00"/>
    <m/>
    <d v="2025-10-15T00:00:00"/>
    <b v="1"/>
    <n v="630.41"/>
  </r>
  <r>
    <s v="LEAD00735"/>
    <d v="2025-12-25T00:00:00"/>
    <x v="1"/>
    <x v="3"/>
    <x v="2"/>
    <s v="Fuel Card"/>
    <s v="Mid-Market"/>
    <x v="9"/>
    <b v="1"/>
    <x v="4"/>
    <s v="No"/>
    <m/>
    <m/>
    <m/>
    <m/>
    <b v="1"/>
    <n v="2687.02"/>
  </r>
  <r>
    <s v="LEAD00736"/>
    <d v="2025-04-26T00:00:00"/>
    <x v="3"/>
    <x v="4"/>
    <x v="3"/>
    <s v="Fleet Expense Card"/>
    <s v="Enterprise"/>
    <x v="7"/>
    <b v="1"/>
    <x v="0"/>
    <s v="Yes"/>
    <d v="2025-05-03T00:00:00"/>
    <d v="2025-05-14T00:00:00"/>
    <m/>
    <d v="2025-06-08T00:00:00"/>
    <b v="1"/>
    <n v="10074.93"/>
  </r>
  <r>
    <s v="LEAD00737"/>
    <d v="2025-02-10T00:00:00"/>
    <x v="8"/>
    <x v="3"/>
    <x v="1"/>
    <s v="Fuel Card"/>
    <s v="SME"/>
    <x v="4"/>
    <b v="1"/>
    <x v="0"/>
    <s v="Yes"/>
    <d v="2025-02-12T00:00:00"/>
    <m/>
    <m/>
    <d v="2025-02-23T00:00:00"/>
    <b v="1"/>
    <n v="905.33"/>
  </r>
  <r>
    <s v="LEAD00738"/>
    <d v="2025-02-20T00:00:00"/>
    <x v="8"/>
    <x v="1"/>
    <x v="3"/>
    <s v="Fuel Card"/>
    <s v="SME"/>
    <x v="1"/>
    <b v="1"/>
    <x v="2"/>
    <s v="Yes"/>
    <d v="2025-02-22T00:00:00"/>
    <d v="2025-02-27T00:00:00"/>
    <d v="2025-03-11T00:00:00"/>
    <m/>
    <b v="1"/>
    <n v="615.98"/>
  </r>
  <r>
    <s v="LEAD00739"/>
    <d v="2025-06-14T00:00:00"/>
    <x v="5"/>
    <x v="3"/>
    <x v="1"/>
    <s v="Fuel Card"/>
    <s v="Mid-Market"/>
    <x v="10"/>
    <b v="1"/>
    <x v="0"/>
    <s v="Yes"/>
    <d v="2025-06-21T00:00:00"/>
    <d v="2025-06-26T00:00:00"/>
    <m/>
    <d v="2025-07-04T00:00:00"/>
    <b v="1"/>
    <n v="3031.23"/>
  </r>
  <r>
    <s v="LEAD00740"/>
    <d v="2025-07-02T00:00:00"/>
    <x v="4"/>
    <x v="3"/>
    <x v="3"/>
    <s v="Fuel Card"/>
    <s v="SME"/>
    <x v="10"/>
    <b v="1"/>
    <x v="2"/>
    <s v="Yes"/>
    <d v="2025-07-03T00:00:00"/>
    <d v="2025-07-15T00:00:00"/>
    <d v="2025-07-23T00:00:00"/>
    <m/>
    <b v="1"/>
    <n v="1056.8"/>
  </r>
  <r>
    <s v="LEAD00741"/>
    <d v="2025-01-12T00:00:00"/>
    <x v="9"/>
    <x v="2"/>
    <x v="1"/>
    <s v="EV Charge Card"/>
    <s v="SME"/>
    <x v="8"/>
    <b v="1"/>
    <x v="0"/>
    <s v="Yes"/>
    <d v="2025-01-13T00:00:00"/>
    <m/>
    <m/>
    <d v="2025-01-20T00:00:00"/>
    <b v="1"/>
    <n v="540.21"/>
  </r>
  <r>
    <s v="LEAD00742"/>
    <d v="2025-06-05T00:00:00"/>
    <x v="5"/>
    <x v="3"/>
    <x v="3"/>
    <s v="Fuel Card"/>
    <s v="Enterprise"/>
    <x v="10"/>
    <b v="1"/>
    <x v="0"/>
    <s v="No"/>
    <m/>
    <m/>
    <m/>
    <d v="2025-06-10T00:00:00"/>
    <b v="1"/>
    <n v="6544.29"/>
  </r>
  <r>
    <s v="LEAD00743"/>
    <d v="2025-04-11T00:00:00"/>
    <x v="3"/>
    <x v="3"/>
    <x v="2"/>
    <s v="Toll Solution"/>
    <s v="SME"/>
    <x v="4"/>
    <b v="1"/>
    <x v="0"/>
    <s v="Yes"/>
    <d v="2025-04-20T00:00:00"/>
    <m/>
    <m/>
    <d v="2025-04-25T00:00:00"/>
    <b v="1"/>
    <n v="503.98"/>
  </r>
  <r>
    <s v="LEAD00744"/>
    <d v="2025-04-30T00:00:00"/>
    <x v="3"/>
    <x v="3"/>
    <x v="3"/>
    <s v="Fleet Expense Card"/>
    <s v="SME"/>
    <x v="10"/>
    <b v="1"/>
    <x v="0"/>
    <s v="Yes"/>
    <d v="2025-05-01T00:00:00"/>
    <m/>
    <m/>
    <d v="2025-05-09T00:00:00"/>
    <b v="1"/>
    <n v="973.56"/>
  </r>
  <r>
    <s v="LEAD00745"/>
    <d v="2025-09-29T00:00:00"/>
    <x v="11"/>
    <x v="2"/>
    <x v="2"/>
    <s v="Fuel Card"/>
    <s v="Mid-Market"/>
    <x v="15"/>
    <b v="0"/>
    <x v="2"/>
    <s v="Yes"/>
    <d v="2025-10-05T00:00:00"/>
    <d v="2025-10-18T00:00:00"/>
    <d v="2025-11-17T00:00:00"/>
    <m/>
    <b v="1"/>
    <n v="2765.94"/>
  </r>
  <r>
    <s v="LEAD00746"/>
    <d v="2025-10-11T00:00:00"/>
    <x v="0"/>
    <x v="0"/>
    <x v="1"/>
    <s v="Toll Solution"/>
    <s v="SME"/>
    <x v="5"/>
    <b v="1"/>
    <x v="0"/>
    <s v="No"/>
    <m/>
    <m/>
    <m/>
    <d v="2025-10-24T00:00:00"/>
    <b v="1"/>
    <n v="392.08"/>
  </r>
  <r>
    <s v="LEAD00747"/>
    <d v="2025-09-08T00:00:00"/>
    <x v="11"/>
    <x v="0"/>
    <x v="3"/>
    <s v="Toll Solution"/>
    <s v="Mid-Market"/>
    <x v="0"/>
    <b v="1"/>
    <x v="0"/>
    <s v="No"/>
    <m/>
    <m/>
    <m/>
    <d v="2025-09-20T00:00:00"/>
    <b v="1"/>
    <n v="1895.06"/>
  </r>
  <r>
    <s v="LEAD00748"/>
    <d v="2025-07-23T00:00:00"/>
    <x v="4"/>
    <x v="2"/>
    <x v="0"/>
    <s v="Fuel Card"/>
    <s v="SME"/>
    <x v="2"/>
    <b v="1"/>
    <x v="0"/>
    <s v="No"/>
    <m/>
    <m/>
    <m/>
    <d v="2025-08-08T00:00:00"/>
    <b v="1"/>
    <n v="656.83"/>
  </r>
  <r>
    <s v="LEAD00749"/>
    <d v="2025-01-26T00:00:00"/>
    <x v="9"/>
    <x v="2"/>
    <x v="0"/>
    <s v="Fuel Card"/>
    <s v="SME"/>
    <x v="2"/>
    <b v="1"/>
    <x v="0"/>
    <s v="Yes"/>
    <d v="2025-02-01T00:00:00"/>
    <d v="2025-02-13T00:00:00"/>
    <m/>
    <d v="2025-02-25T00:00:00"/>
    <b v="1"/>
    <n v="1085.67"/>
  </r>
  <r>
    <s v="LEAD00750"/>
    <d v="2025-09-10T00:00:00"/>
    <x v="11"/>
    <x v="3"/>
    <x v="2"/>
    <s v="Toll Solution"/>
    <s v="SME"/>
    <x v="4"/>
    <b v="1"/>
    <x v="0"/>
    <s v="Yes"/>
    <d v="2025-09-16T00:00:00"/>
    <m/>
    <m/>
    <d v="2025-09-21T00:00:00"/>
    <b v="1"/>
    <n v="557.08000000000004"/>
  </r>
  <r>
    <s v="LEAD00751"/>
    <d v="2025-05-13T00:00:00"/>
    <x v="6"/>
    <x v="1"/>
    <x v="3"/>
    <s v="Toll Solution"/>
    <s v="SME"/>
    <x v="11"/>
    <b v="1"/>
    <x v="0"/>
    <s v="Yes"/>
    <d v="2025-05-14T00:00:00"/>
    <d v="2025-05-25T00:00:00"/>
    <m/>
    <d v="2025-06-25T00:00:00"/>
    <b v="1"/>
    <n v="692.58"/>
  </r>
  <r>
    <s v="LEAD00752"/>
    <d v="2025-11-02T00:00:00"/>
    <x v="10"/>
    <x v="2"/>
    <x v="2"/>
    <s v="Fuel Card"/>
    <s v="Mid-Market"/>
    <x v="6"/>
    <b v="1"/>
    <x v="0"/>
    <s v="No"/>
    <m/>
    <m/>
    <m/>
    <d v="2025-11-22T00:00:00"/>
    <b v="1"/>
    <n v="2766.79"/>
  </r>
  <r>
    <s v="LEAD00753"/>
    <d v="2025-10-24T00:00:00"/>
    <x v="0"/>
    <x v="3"/>
    <x v="3"/>
    <s v="Fuel Card"/>
    <s v="SME"/>
    <x v="10"/>
    <b v="1"/>
    <x v="0"/>
    <s v="No"/>
    <m/>
    <m/>
    <m/>
    <d v="2025-10-29T00:00:00"/>
    <b v="1"/>
    <n v="997.3"/>
  </r>
  <r>
    <s v="LEAD00754"/>
    <d v="2025-04-15T00:00:00"/>
    <x v="3"/>
    <x v="2"/>
    <x v="3"/>
    <s v="Fleet Expense Card"/>
    <s v="SME"/>
    <x v="8"/>
    <b v="1"/>
    <x v="0"/>
    <s v="Yes"/>
    <d v="2025-04-19T00:00:00"/>
    <d v="2025-04-25T00:00:00"/>
    <m/>
    <d v="2025-05-19T00:00:00"/>
    <b v="1"/>
    <n v="902.56"/>
  </r>
  <r>
    <s v="LEAD00755"/>
    <d v="2025-07-07T00:00:00"/>
    <x v="4"/>
    <x v="0"/>
    <x v="0"/>
    <s v="Fleet Expense Card"/>
    <s v="SME"/>
    <x v="0"/>
    <b v="1"/>
    <x v="0"/>
    <s v="No"/>
    <m/>
    <m/>
    <m/>
    <d v="2025-07-22T00:00:00"/>
    <b v="1"/>
    <n v="945.53"/>
  </r>
  <r>
    <s v="LEAD00756"/>
    <d v="2025-12-26T00:00:00"/>
    <x v="1"/>
    <x v="0"/>
    <x v="0"/>
    <s v="Fuel Card"/>
    <s v="SME"/>
    <x v="0"/>
    <b v="1"/>
    <x v="3"/>
    <s v="Yes"/>
    <d v="2026-01-01T00:00:00"/>
    <m/>
    <m/>
    <m/>
    <b v="1"/>
    <n v="925.07"/>
  </r>
  <r>
    <s v="LEAD00757"/>
    <d v="2025-02-09T00:00:00"/>
    <x v="8"/>
    <x v="2"/>
    <x v="2"/>
    <s v="Toll Solution"/>
    <s v="Mid-Market"/>
    <x v="6"/>
    <b v="1"/>
    <x v="0"/>
    <s v="No"/>
    <m/>
    <m/>
    <m/>
    <d v="2025-02-22T00:00:00"/>
    <b v="1"/>
    <n v="1621.93"/>
  </r>
  <r>
    <s v="LEAD00758"/>
    <d v="2025-03-30T00:00:00"/>
    <x v="7"/>
    <x v="3"/>
    <x v="2"/>
    <s v="Fleet Expense Card"/>
    <s v="SME"/>
    <x v="4"/>
    <b v="1"/>
    <x v="2"/>
    <s v="Yes"/>
    <d v="2025-04-01T00:00:00"/>
    <d v="2025-04-03T00:00:00"/>
    <d v="2025-04-09T00:00:00"/>
    <m/>
    <b v="1"/>
    <n v="583.16999999999996"/>
  </r>
  <r>
    <s v="LEAD00759"/>
    <d v="2025-03-19T00:00:00"/>
    <x v="7"/>
    <x v="3"/>
    <x v="5"/>
    <s v="Fleet Expense Card"/>
    <s v="SME"/>
    <x v="4"/>
    <b v="1"/>
    <x v="2"/>
    <s v="Yes"/>
    <d v="2025-03-24T00:00:00"/>
    <d v="2025-04-06T00:00:00"/>
    <d v="2025-04-22T00:00:00"/>
    <m/>
    <b v="1"/>
    <n v="911.67"/>
  </r>
  <r>
    <s v="LEAD00760"/>
    <d v="2025-02-20T00:00:00"/>
    <x v="8"/>
    <x v="3"/>
    <x v="0"/>
    <s v="EV Charge Card"/>
    <s v="Mid-Market"/>
    <x v="10"/>
    <b v="1"/>
    <x v="0"/>
    <s v="Yes"/>
    <d v="2025-03-02T00:00:00"/>
    <d v="2025-03-03T00:00:00"/>
    <m/>
    <d v="2025-03-15T00:00:00"/>
    <b v="1"/>
    <n v="2475.2600000000002"/>
  </r>
  <r>
    <s v="LEAD00761"/>
    <d v="2025-05-07T00:00:00"/>
    <x v="6"/>
    <x v="1"/>
    <x v="4"/>
    <s v="Fuel Card"/>
    <s v="Mid-Market"/>
    <x v="1"/>
    <b v="1"/>
    <x v="2"/>
    <s v="Yes"/>
    <d v="2025-05-14T00:00:00"/>
    <d v="2025-05-15T00:00:00"/>
    <d v="2025-05-02T00:00:00"/>
    <m/>
    <b v="0"/>
    <n v="2988.94"/>
  </r>
  <r>
    <s v="LEAD00762"/>
    <d v="2025-07-06T00:00:00"/>
    <x v="4"/>
    <x v="3"/>
    <x v="3"/>
    <s v="Fuel Card"/>
    <s v="Mid-Market"/>
    <x v="4"/>
    <b v="1"/>
    <x v="0"/>
    <s v="No"/>
    <m/>
    <m/>
    <m/>
    <d v="2025-07-19T00:00:00"/>
    <b v="1"/>
    <n v="1877.69"/>
  </r>
  <r>
    <s v="LEAD00763"/>
    <d v="2025-06-25T00:00:00"/>
    <x v="5"/>
    <x v="4"/>
    <x v="4"/>
    <s v="Fuel Card"/>
    <s v="SME"/>
    <x v="12"/>
    <b v="1"/>
    <x v="0"/>
    <s v="Yes"/>
    <d v="2025-06-27T00:00:00"/>
    <d v="2025-07-09T00:00:00"/>
    <m/>
    <d v="2025-08-05T00:00:00"/>
    <b v="1"/>
    <n v="1000.87"/>
  </r>
  <r>
    <s v="LEAD00764"/>
    <d v="2025-12-23T00:00:00"/>
    <x v="1"/>
    <x v="1"/>
    <x v="3"/>
    <s v="Toll Solution"/>
    <s v="SME"/>
    <x v="11"/>
    <b v="1"/>
    <x v="4"/>
    <s v="No"/>
    <m/>
    <m/>
    <m/>
    <m/>
    <b v="1"/>
    <n v="476.57"/>
  </r>
  <r>
    <s v="LEAD00765"/>
    <d v="2025-03-16T00:00:00"/>
    <x v="7"/>
    <x v="2"/>
    <x v="4"/>
    <s v="Fuel Card"/>
    <s v="Mid-Market"/>
    <x v="6"/>
    <b v="1"/>
    <x v="0"/>
    <s v="Yes"/>
    <d v="2025-03-24T00:00:00"/>
    <d v="2025-03-27T00:00:00"/>
    <m/>
    <d v="2025-04-01T00:00:00"/>
    <b v="1"/>
    <n v="2685.48"/>
  </r>
  <r>
    <s v="LEAD00766"/>
    <d v="2025-09-12T00:00:00"/>
    <x v="11"/>
    <x v="0"/>
    <x v="3"/>
    <s v="EV Charge Card"/>
    <s v="SME"/>
    <x v="5"/>
    <b v="1"/>
    <x v="0"/>
    <s v="No"/>
    <m/>
    <m/>
    <m/>
    <d v="2025-10-01T00:00:00"/>
    <b v="1"/>
    <n v="488.75"/>
  </r>
  <r>
    <s v="LEAD00767"/>
    <d v="2025-11-08T00:00:00"/>
    <x v="10"/>
    <x v="0"/>
    <x v="2"/>
    <s v="Fleet Expense Card"/>
    <s v="Enterprise"/>
    <x v="0"/>
    <b v="1"/>
    <x v="0"/>
    <s v="Yes"/>
    <d v="2025-11-09T00:00:00"/>
    <d v="2025-11-10T00:00:00"/>
    <m/>
    <d v="2025-12-02T00:00:00"/>
    <b v="1"/>
    <n v="8057.95"/>
  </r>
  <r>
    <s v="LEAD00768"/>
    <d v="2025-08-04T00:00:00"/>
    <x v="2"/>
    <x v="1"/>
    <x v="2"/>
    <s v="Fleet Expense Card"/>
    <s v="SME"/>
    <x v="1"/>
    <b v="1"/>
    <x v="0"/>
    <s v="Yes"/>
    <d v="2025-08-11T00:00:00"/>
    <m/>
    <m/>
    <d v="2025-08-21T00:00:00"/>
    <b v="1"/>
    <n v="882.79"/>
  </r>
  <r>
    <s v="LEAD00769"/>
    <d v="2025-09-21T00:00:00"/>
    <x v="11"/>
    <x v="0"/>
    <x v="1"/>
    <s v="Fuel Card"/>
    <s v="Enterprise"/>
    <x v="0"/>
    <b v="1"/>
    <x v="0"/>
    <s v="Yes"/>
    <d v="2025-09-30T00:00:00"/>
    <m/>
    <m/>
    <d v="2025-10-21T00:00:00"/>
    <b v="1"/>
    <n v="9581.2099999999991"/>
  </r>
  <r>
    <s v="LEAD00770"/>
    <d v="2025-05-18T00:00:00"/>
    <x v="6"/>
    <x v="2"/>
    <x v="3"/>
    <s v="Fuel Card"/>
    <s v="Mid-Market"/>
    <x v="6"/>
    <b v="1"/>
    <x v="2"/>
    <s v="Yes"/>
    <d v="2025-05-19T00:00:00"/>
    <d v="2025-06-01T00:00:00"/>
    <d v="2025-06-04T00:00:00"/>
    <m/>
    <b v="1"/>
    <n v="2470.5700000000002"/>
  </r>
  <r>
    <s v="LEAD00771"/>
    <d v="2025-01-20T00:00:00"/>
    <x v="9"/>
    <x v="3"/>
    <x v="1"/>
    <s v="Fleet Expense Card"/>
    <s v="SME"/>
    <x v="4"/>
    <b v="1"/>
    <x v="0"/>
    <s v="Yes"/>
    <d v="2025-01-26T00:00:00"/>
    <d v="2025-01-31T00:00:00"/>
    <m/>
    <d v="2025-02-10T00:00:00"/>
    <b v="1"/>
    <n v="913.77"/>
  </r>
  <r>
    <s v="LEAD00772"/>
    <d v="2025-12-05T00:00:00"/>
    <x v="1"/>
    <x v="0"/>
    <x v="2"/>
    <s v="Fuel Card"/>
    <s v="SME"/>
    <x v="5"/>
    <b v="1"/>
    <x v="1"/>
    <s v="Yes"/>
    <d v="2025-12-15T00:00:00"/>
    <d v="2025-12-26T00:00:00"/>
    <m/>
    <m/>
    <b v="1"/>
    <n v="636.67999999999995"/>
  </r>
  <r>
    <s v="LEAD00773"/>
    <d v="2025-05-04T00:00:00"/>
    <x v="6"/>
    <x v="4"/>
    <x v="2"/>
    <s v="EV Charge Card"/>
    <s v="Mid-Market"/>
    <x v="13"/>
    <b v="1"/>
    <x v="0"/>
    <s v="Yes"/>
    <d v="2025-05-07T00:00:00"/>
    <m/>
    <m/>
    <d v="2025-05-25T00:00:00"/>
    <b v="1"/>
    <n v="1828.65"/>
  </r>
  <r>
    <s v="LEAD00774"/>
    <d v="2025-12-30T00:00:00"/>
    <x v="1"/>
    <x v="3"/>
    <x v="0"/>
    <s v="EV Charge Card"/>
    <s v="Mid-Market"/>
    <x v="9"/>
    <b v="1"/>
    <x v="1"/>
    <s v="Yes"/>
    <d v="2026-01-09T00:00:00"/>
    <d v="2026-01-18T00:00:00"/>
    <m/>
    <m/>
    <b v="1"/>
    <n v="2079.9299999999998"/>
  </r>
  <r>
    <s v="LEAD00775"/>
    <d v="2025-07-07T00:00:00"/>
    <x v="4"/>
    <x v="0"/>
    <x v="0"/>
    <s v="Fuel Card"/>
    <s v="SME"/>
    <x v="0"/>
    <b v="1"/>
    <x v="0"/>
    <s v="Yes"/>
    <d v="2025-07-17T00:00:00"/>
    <m/>
    <m/>
    <d v="2025-07-28T00:00:00"/>
    <b v="1"/>
    <n v="620.52"/>
  </r>
  <r>
    <s v="LEAD00776"/>
    <d v="2025-01-13T00:00:00"/>
    <x v="9"/>
    <x v="3"/>
    <x v="3"/>
    <s v="Fuel Card"/>
    <s v="Mid-Market"/>
    <x v="10"/>
    <b v="1"/>
    <x v="2"/>
    <s v="Yes"/>
    <d v="2025-01-17T00:00:00"/>
    <d v="2025-01-29T00:00:00"/>
    <d v="2025-02-07T00:00:00"/>
    <m/>
    <b v="1"/>
    <n v="3276.01"/>
  </r>
  <r>
    <s v="LEAD00777"/>
    <d v="2025-03-29T00:00:00"/>
    <x v="7"/>
    <x v="4"/>
    <x v="3"/>
    <s v="Toll Solution"/>
    <s v="Mid-Market"/>
    <x v="12"/>
    <b v="1"/>
    <x v="0"/>
    <s v="Yes"/>
    <d v="2025-04-03T00:00:00"/>
    <d v="2025-04-14T00:00:00"/>
    <m/>
    <d v="2025-05-17T00:00:00"/>
    <b v="1"/>
    <n v="1575.36"/>
  </r>
  <r>
    <s v="LEAD00778"/>
    <d v="2025-06-25T00:00:00"/>
    <x v="5"/>
    <x v="1"/>
    <x v="3"/>
    <s v="EV Charge Card"/>
    <s v="SME"/>
    <x v="14"/>
    <b v="1"/>
    <x v="0"/>
    <s v="No"/>
    <m/>
    <m/>
    <m/>
    <d v="2025-07-13T00:00:00"/>
    <b v="1"/>
    <n v="754.87"/>
  </r>
  <r>
    <s v="LEAD00779"/>
    <d v="2025-09-14T00:00:00"/>
    <x v="11"/>
    <x v="2"/>
    <x v="1"/>
    <s v="EV Charge Card"/>
    <s v="SME"/>
    <x v="2"/>
    <b v="1"/>
    <x v="0"/>
    <s v="No"/>
    <m/>
    <m/>
    <m/>
    <d v="2025-09-23T00:00:00"/>
    <b v="1"/>
    <n v="674.53"/>
  </r>
  <r>
    <s v="LEAD00780"/>
    <d v="2025-03-24T00:00:00"/>
    <x v="7"/>
    <x v="4"/>
    <x v="1"/>
    <s v="Toll Solution"/>
    <s v="SME"/>
    <x v="13"/>
    <b v="1"/>
    <x v="0"/>
    <s v="Yes"/>
    <d v="2025-03-27T00:00:00"/>
    <d v="2025-04-07T00:00:00"/>
    <m/>
    <d v="2025-05-12T00:00:00"/>
    <b v="1"/>
    <n v="424.74"/>
  </r>
  <r>
    <s v="LEAD00781"/>
    <d v="2025-07-17T00:00:00"/>
    <x v="4"/>
    <x v="3"/>
    <x v="1"/>
    <s v="Toll Solution"/>
    <s v="Mid-Market"/>
    <x v="10"/>
    <b v="1"/>
    <x v="0"/>
    <s v="No"/>
    <m/>
    <m/>
    <m/>
    <d v="2025-07-25T00:00:00"/>
    <b v="1"/>
    <n v="1589.05"/>
  </r>
  <r>
    <s v="LEAD00782"/>
    <d v="2025-08-30T00:00:00"/>
    <x v="2"/>
    <x v="0"/>
    <x v="0"/>
    <s v="EV Charge Card"/>
    <s v="SME"/>
    <x v="5"/>
    <b v="1"/>
    <x v="0"/>
    <s v="Yes"/>
    <d v="2025-09-08T00:00:00"/>
    <d v="2025-09-15T00:00:00"/>
    <m/>
    <d v="2025-10-09T00:00:00"/>
    <b v="1"/>
    <n v="864.83"/>
  </r>
  <r>
    <s v="LEAD00783"/>
    <d v="2025-02-06T00:00:00"/>
    <x v="8"/>
    <x v="1"/>
    <x v="3"/>
    <s v="Fuel Card"/>
    <s v="Mid-Market"/>
    <x v="11"/>
    <b v="1"/>
    <x v="0"/>
    <s v="No"/>
    <m/>
    <m/>
    <m/>
    <d v="2025-02-24T00:00:00"/>
    <b v="1"/>
    <n v="2143.83"/>
  </r>
  <r>
    <s v="LEAD00784"/>
    <d v="2025-03-11T00:00:00"/>
    <x v="7"/>
    <x v="3"/>
    <x v="1"/>
    <s v="Fuel Card"/>
    <s v="Mid-Market"/>
    <x v="10"/>
    <b v="1"/>
    <x v="0"/>
    <s v="Yes"/>
    <d v="2025-03-18T00:00:00"/>
    <m/>
    <m/>
    <d v="2025-03-23T00:00:00"/>
    <b v="1"/>
    <n v="2277.83"/>
  </r>
  <r>
    <s v="LEAD00785"/>
    <d v="2025-09-30T00:00:00"/>
    <x v="11"/>
    <x v="0"/>
    <x v="1"/>
    <s v="Fuel Card"/>
    <s v="Mid-Market"/>
    <x v="0"/>
    <b v="1"/>
    <x v="0"/>
    <s v="No"/>
    <m/>
    <m/>
    <m/>
    <d v="2025-10-19T00:00:00"/>
    <b v="1"/>
    <n v="2043.58"/>
  </r>
  <r>
    <s v="LEAD00786"/>
    <d v="2025-04-07T00:00:00"/>
    <x v="3"/>
    <x v="2"/>
    <x v="3"/>
    <s v="Fleet Expense Card"/>
    <s v="Mid-Market"/>
    <x v="8"/>
    <b v="1"/>
    <x v="0"/>
    <s v="Yes"/>
    <d v="2025-04-08T00:00:00"/>
    <d v="2025-04-13T00:00:00"/>
    <m/>
    <d v="2025-04-23T00:00:00"/>
    <b v="1"/>
    <n v="3111.3"/>
  </r>
  <r>
    <s v="LEAD00787"/>
    <d v="2025-07-05T00:00:00"/>
    <x v="4"/>
    <x v="2"/>
    <x v="1"/>
    <s v="Fuel Card"/>
    <s v="SME"/>
    <x v="8"/>
    <b v="1"/>
    <x v="0"/>
    <s v="Yes"/>
    <d v="2025-07-08T00:00:00"/>
    <m/>
    <m/>
    <d v="2025-07-13T00:00:00"/>
    <b v="1"/>
    <n v="655.63"/>
  </r>
  <r>
    <s v="LEAD00788"/>
    <d v="2025-11-02T00:00:00"/>
    <x v="10"/>
    <x v="2"/>
    <x v="4"/>
    <s v="EV Charge Card"/>
    <s v="Mid-Market"/>
    <x v="6"/>
    <b v="1"/>
    <x v="2"/>
    <s v="Yes"/>
    <d v="2025-11-06T00:00:00"/>
    <d v="2025-11-16T00:00:00"/>
    <d v="2025-12-04T00:00:00"/>
    <m/>
    <b v="1"/>
    <n v="2600.23"/>
  </r>
  <r>
    <s v="LEAD00789"/>
    <d v="2025-03-21T00:00:00"/>
    <x v="7"/>
    <x v="1"/>
    <x v="0"/>
    <s v="Fuel Card"/>
    <s v="SME"/>
    <x v="14"/>
    <b v="1"/>
    <x v="0"/>
    <s v="Yes"/>
    <d v="2025-03-23T00:00:00"/>
    <d v="2025-03-26T00:00:00"/>
    <m/>
    <d v="2025-04-03T00:00:00"/>
    <b v="1"/>
    <n v="1050.98"/>
  </r>
  <r>
    <s v="LEAD00790"/>
    <d v="2025-07-01T00:00:00"/>
    <x v="4"/>
    <x v="2"/>
    <x v="0"/>
    <s v="Toll Solution"/>
    <s v="SME"/>
    <x v="6"/>
    <b v="1"/>
    <x v="2"/>
    <s v="Yes"/>
    <d v="2025-07-06T00:00:00"/>
    <d v="2025-07-14T00:00:00"/>
    <d v="2025-08-09T00:00:00"/>
    <m/>
    <b v="1"/>
    <n v="530.54"/>
  </r>
  <r>
    <s v="LEAD00791"/>
    <d v="2025-05-28T00:00:00"/>
    <x v="6"/>
    <x v="3"/>
    <x v="1"/>
    <s v="Fuel Card"/>
    <s v="Mid-Market"/>
    <x v="9"/>
    <b v="1"/>
    <x v="2"/>
    <s v="Yes"/>
    <d v="2025-05-30T00:00:00"/>
    <d v="2025-06-08T00:00:00"/>
    <d v="2025-07-03T00:00:00"/>
    <m/>
    <b v="1"/>
    <n v="3026.62"/>
  </r>
  <r>
    <s v="LEAD00792"/>
    <d v="2025-06-30T00:00:00"/>
    <x v="5"/>
    <x v="3"/>
    <x v="3"/>
    <s v="Fleet Expense Card"/>
    <s v="SME"/>
    <x v="9"/>
    <b v="1"/>
    <x v="0"/>
    <s v="Yes"/>
    <d v="2025-07-04T00:00:00"/>
    <d v="2025-07-09T00:00:00"/>
    <m/>
    <d v="2025-07-17T00:00:00"/>
    <b v="1"/>
    <n v="817.43"/>
  </r>
  <r>
    <s v="LEAD00793"/>
    <d v="2025-12-26T00:00:00"/>
    <x v="1"/>
    <x v="3"/>
    <x v="3"/>
    <s v="EV Charge Card"/>
    <s v="SME"/>
    <x v="4"/>
    <b v="1"/>
    <x v="4"/>
    <s v="No"/>
    <m/>
    <m/>
    <m/>
    <m/>
    <b v="1"/>
    <n v="589.64"/>
  </r>
  <r>
    <s v="LEAD00794"/>
    <d v="2025-12-11T00:00:00"/>
    <x v="1"/>
    <x v="0"/>
    <x v="1"/>
    <s v="EV Charge Card"/>
    <s v="SME"/>
    <x v="5"/>
    <b v="1"/>
    <x v="3"/>
    <s v="Yes"/>
    <d v="2025-12-14T00:00:00"/>
    <m/>
    <m/>
    <m/>
    <b v="1"/>
    <n v="850.04"/>
  </r>
  <r>
    <s v="LEAD00795"/>
    <d v="2025-11-30T00:00:00"/>
    <x v="10"/>
    <x v="3"/>
    <x v="2"/>
    <s v="Fuel Card"/>
    <s v="Mid-Market"/>
    <x v="10"/>
    <b v="1"/>
    <x v="0"/>
    <s v="No"/>
    <m/>
    <m/>
    <m/>
    <d v="2025-12-20T00:00:00"/>
    <b v="1"/>
    <n v="3375.69"/>
  </r>
  <r>
    <s v="LEAD00796"/>
    <d v="2025-06-19T00:00:00"/>
    <x v="5"/>
    <x v="3"/>
    <x v="1"/>
    <s v="Fuel Card"/>
    <s v="SME"/>
    <x v="10"/>
    <b v="1"/>
    <x v="0"/>
    <s v="Yes"/>
    <d v="2025-06-23T00:00:00"/>
    <d v="2025-07-03T00:00:00"/>
    <m/>
    <d v="2025-07-16T00:00:00"/>
    <b v="1"/>
    <n v="782.98"/>
  </r>
  <r>
    <s v="LEAD00797"/>
    <d v="2025-10-25T00:00:00"/>
    <x v="0"/>
    <x v="4"/>
    <x v="0"/>
    <s v="EV Charge Card"/>
    <s v="SME"/>
    <x v="13"/>
    <b v="1"/>
    <x v="0"/>
    <s v="No"/>
    <m/>
    <m/>
    <m/>
    <d v="2025-11-06T00:00:00"/>
    <b v="1"/>
    <n v="888.33"/>
  </r>
  <r>
    <s v="LEAD00798"/>
    <d v="2025-02-18T00:00:00"/>
    <x v="8"/>
    <x v="0"/>
    <x v="4"/>
    <s v="Fuel Card"/>
    <s v="Enterprise"/>
    <x v="0"/>
    <b v="1"/>
    <x v="0"/>
    <s v="Yes"/>
    <d v="2025-02-20T00:00:00"/>
    <m/>
    <m/>
    <d v="2025-02-28T00:00:00"/>
    <b v="1"/>
    <n v="9716.33"/>
  </r>
  <r>
    <s v="LEAD00799"/>
    <d v="2025-08-18T00:00:00"/>
    <x v="2"/>
    <x v="3"/>
    <x v="4"/>
    <s v="Toll Solution"/>
    <s v="SME"/>
    <x v="9"/>
    <b v="1"/>
    <x v="0"/>
    <s v="Yes"/>
    <d v="2025-08-23T00:00:00"/>
    <d v="2025-09-03T00:00:00"/>
    <m/>
    <d v="2025-09-08T00:00:00"/>
    <b v="1"/>
    <n v="614.61"/>
  </r>
  <r>
    <s v="LEAD00800"/>
    <d v="2025-03-20T00:00:00"/>
    <x v="7"/>
    <x v="4"/>
    <x v="2"/>
    <s v="Fuel Card"/>
    <s v="SME"/>
    <x v="13"/>
    <b v="1"/>
    <x v="0"/>
    <s v="Yes"/>
    <d v="2025-03-22T00:00:00"/>
    <d v="2025-04-06T00:00:00"/>
    <m/>
    <d v="2025-04-26T00:00:00"/>
    <b v="1"/>
    <n v="986.39"/>
  </r>
  <r>
    <s v="LEAD00801"/>
    <d v="2025-02-05T00:00:00"/>
    <x v="8"/>
    <x v="4"/>
    <x v="4"/>
    <s v="Fuel Card"/>
    <s v="Mid-Market"/>
    <x v="12"/>
    <b v="1"/>
    <x v="0"/>
    <s v="No"/>
    <m/>
    <m/>
    <m/>
    <d v="2025-02-13T00:00:00"/>
    <b v="1"/>
    <n v="2960.38"/>
  </r>
  <r>
    <s v="LEAD00802"/>
    <d v="2025-10-10T00:00:00"/>
    <x v="0"/>
    <x v="3"/>
    <x v="1"/>
    <s v="Toll Solution"/>
    <s v="Mid-Market"/>
    <x v="9"/>
    <b v="1"/>
    <x v="0"/>
    <s v="Yes"/>
    <d v="2025-10-13T00:00:00"/>
    <m/>
    <m/>
    <d v="2025-10-19T00:00:00"/>
    <b v="1"/>
    <n v="1224.02"/>
  </r>
  <r>
    <s v="LEAD00803"/>
    <d v="2025-09-14T00:00:00"/>
    <x v="11"/>
    <x v="0"/>
    <x v="2"/>
    <s v="Fleet Expense Card"/>
    <s v="SME"/>
    <x v="0"/>
    <b v="1"/>
    <x v="2"/>
    <s v="Yes"/>
    <d v="2025-09-17T00:00:00"/>
    <d v="2025-10-02T00:00:00"/>
    <d v="2025-11-01T00:00:00"/>
    <m/>
    <b v="1"/>
    <n v="549.32000000000005"/>
  </r>
  <r>
    <s v="LEAD00804"/>
    <d v="2025-06-19T00:00:00"/>
    <x v="5"/>
    <x v="1"/>
    <x v="2"/>
    <s v="Fuel Card"/>
    <s v="Mid-Market"/>
    <x v="1"/>
    <b v="1"/>
    <x v="0"/>
    <s v="Yes"/>
    <d v="2025-06-26T00:00:00"/>
    <d v="2025-07-06T00:00:00"/>
    <m/>
    <d v="2025-08-01T00:00:00"/>
    <b v="1"/>
    <n v="2852.26"/>
  </r>
  <r>
    <s v="LEAD00805"/>
    <d v="2025-07-30T00:00:00"/>
    <x v="4"/>
    <x v="4"/>
    <x v="4"/>
    <s v="Toll Solution"/>
    <s v="SME"/>
    <x v="12"/>
    <b v="1"/>
    <x v="0"/>
    <s v="No"/>
    <m/>
    <m/>
    <m/>
    <d v="2025-08-05T00:00:00"/>
    <b v="1"/>
    <n v="558.94000000000005"/>
  </r>
  <r>
    <s v="LEAD00806"/>
    <d v="2025-10-09T00:00:00"/>
    <x v="0"/>
    <x v="2"/>
    <x v="1"/>
    <s v="Fuel Card"/>
    <s v="SME"/>
    <x v="8"/>
    <b v="1"/>
    <x v="0"/>
    <s v="No"/>
    <m/>
    <m/>
    <m/>
    <d v="2025-10-11T00:00:00"/>
    <b v="1"/>
    <n v="629.52"/>
  </r>
  <r>
    <s v="LEAD00807"/>
    <d v="2025-07-01T00:00:00"/>
    <x v="4"/>
    <x v="0"/>
    <x v="3"/>
    <s v="EV Charge Card"/>
    <s v="SME"/>
    <x v="5"/>
    <b v="1"/>
    <x v="0"/>
    <s v="No"/>
    <m/>
    <m/>
    <m/>
    <d v="2025-07-20T00:00:00"/>
    <b v="1"/>
    <n v="836.51"/>
  </r>
  <r>
    <s v="LEAD00808"/>
    <d v="2025-04-16T00:00:00"/>
    <x v="3"/>
    <x v="4"/>
    <x v="0"/>
    <s v="EV Charge Card"/>
    <s v="SME"/>
    <x v="12"/>
    <b v="1"/>
    <x v="0"/>
    <s v="No"/>
    <m/>
    <m/>
    <m/>
    <d v="2025-05-06T00:00:00"/>
    <b v="1"/>
    <n v="631"/>
  </r>
  <r>
    <s v="LEAD00809"/>
    <d v="2025-10-29T00:00:00"/>
    <x v="0"/>
    <x v="4"/>
    <x v="4"/>
    <s v="Toll Solution"/>
    <s v="Enterprise"/>
    <x v="7"/>
    <b v="1"/>
    <x v="0"/>
    <s v="Yes"/>
    <d v="2025-11-08T00:00:00"/>
    <m/>
    <m/>
    <d v="2025-11-22T00:00:00"/>
    <b v="1"/>
    <n v="5611.37"/>
  </r>
  <r>
    <s v="LEAD00810"/>
    <d v="2025-01-18T00:00:00"/>
    <x v="9"/>
    <x v="3"/>
    <x v="3"/>
    <s v="Fuel Card"/>
    <s v="SME"/>
    <x v="9"/>
    <b v="1"/>
    <x v="0"/>
    <s v="No"/>
    <m/>
    <m/>
    <m/>
    <d v="2025-02-03T00:00:00"/>
    <b v="1"/>
    <n v="976.37"/>
  </r>
  <r>
    <s v="LEAD00811"/>
    <d v="2025-08-21T00:00:00"/>
    <x v="2"/>
    <x v="1"/>
    <x v="2"/>
    <s v="EV Charge Card"/>
    <s v="SME"/>
    <x v="11"/>
    <b v="1"/>
    <x v="0"/>
    <s v="Yes"/>
    <d v="2025-08-24T00:00:00"/>
    <d v="2025-09-06T00:00:00"/>
    <m/>
    <d v="2025-10-09T00:00:00"/>
    <b v="1"/>
    <n v="894.78"/>
  </r>
  <r>
    <s v="LEAD00812"/>
    <d v="2025-06-09T00:00:00"/>
    <x v="5"/>
    <x v="3"/>
    <x v="0"/>
    <s v="Fuel Card"/>
    <s v="Enterprise"/>
    <x v="4"/>
    <b v="1"/>
    <x v="0"/>
    <s v="No"/>
    <m/>
    <m/>
    <m/>
    <d v="2025-06-23T00:00:00"/>
    <b v="1"/>
    <n v="7504.99"/>
  </r>
  <r>
    <s v="LEAD00813"/>
    <d v="2025-03-28T00:00:00"/>
    <x v="7"/>
    <x v="2"/>
    <x v="1"/>
    <s v="Fuel Card"/>
    <s v="SME"/>
    <x v="8"/>
    <b v="1"/>
    <x v="0"/>
    <s v="Yes"/>
    <d v="2025-04-01T00:00:00"/>
    <m/>
    <m/>
    <d v="2025-04-23T00:00:00"/>
    <b v="1"/>
    <n v="1096.56"/>
  </r>
  <r>
    <s v="LEAD00814"/>
    <d v="2025-10-01T00:00:00"/>
    <x v="0"/>
    <x v="0"/>
    <x v="3"/>
    <s v="Fuel Card"/>
    <s v="SME"/>
    <x v="0"/>
    <b v="1"/>
    <x v="0"/>
    <s v="No"/>
    <m/>
    <m/>
    <m/>
    <d v="2025-10-12T00:00:00"/>
    <b v="1"/>
    <n v="904.9"/>
  </r>
  <r>
    <s v="LEAD00815"/>
    <d v="2025-10-11T00:00:00"/>
    <x v="0"/>
    <x v="0"/>
    <x v="2"/>
    <s v="Fuel Card"/>
    <s v="Enterprise"/>
    <x v="3"/>
    <b v="1"/>
    <x v="0"/>
    <s v="No"/>
    <m/>
    <m/>
    <m/>
    <d v="2025-10-25T00:00:00"/>
    <b v="1"/>
    <n v="10447.99"/>
  </r>
  <r>
    <s v="LEAD00816"/>
    <d v="2025-08-31T00:00:00"/>
    <x v="2"/>
    <x v="2"/>
    <x v="3"/>
    <s v="Fuel Card"/>
    <s v="Mid-Market"/>
    <x v="6"/>
    <b v="1"/>
    <x v="0"/>
    <s v="Yes"/>
    <d v="2025-09-01T00:00:00"/>
    <m/>
    <m/>
    <d v="2025-09-11T00:00:00"/>
    <b v="1"/>
    <n v="2663.05"/>
  </r>
  <r>
    <s v="LEAD00817"/>
    <d v="2025-01-30T00:00:00"/>
    <x v="9"/>
    <x v="2"/>
    <x v="4"/>
    <s v="Fuel Card"/>
    <s v="SME"/>
    <x v="2"/>
    <b v="1"/>
    <x v="2"/>
    <s v="Yes"/>
    <d v="2025-02-06T00:00:00"/>
    <d v="2025-02-09T00:00:00"/>
    <d v="2025-03-05T00:00:00"/>
    <m/>
    <b v="1"/>
    <n v="910.5"/>
  </r>
  <r>
    <s v="LEAD00818"/>
    <d v="2025-04-03T00:00:00"/>
    <x v="3"/>
    <x v="4"/>
    <x v="3"/>
    <s v="Fleet Expense Card"/>
    <s v="SME"/>
    <x v="12"/>
    <b v="1"/>
    <x v="0"/>
    <s v="Yes"/>
    <d v="2025-04-10T00:00:00"/>
    <d v="2025-04-23T00:00:00"/>
    <m/>
    <d v="2025-05-15T00:00:00"/>
    <b v="1"/>
    <n v="618.32000000000005"/>
  </r>
  <r>
    <s v="LEAD00819"/>
    <d v="2025-02-18T00:00:00"/>
    <x v="8"/>
    <x v="3"/>
    <x v="3"/>
    <s v="Fuel Card"/>
    <s v="Enterprise"/>
    <x v="10"/>
    <b v="1"/>
    <x v="0"/>
    <s v="Yes"/>
    <d v="2025-02-27T00:00:00"/>
    <m/>
    <m/>
    <d v="2025-03-15T00:00:00"/>
    <b v="1"/>
    <n v="11122.14"/>
  </r>
  <r>
    <s v="LEAD00820"/>
    <d v="2025-12-08T00:00:00"/>
    <x v="1"/>
    <x v="4"/>
    <x v="3"/>
    <s v="EV Charge Card"/>
    <s v="Mid-Market"/>
    <x v="13"/>
    <b v="1"/>
    <x v="4"/>
    <s v="No"/>
    <m/>
    <m/>
    <m/>
    <m/>
    <b v="1"/>
    <n v="1674.85"/>
  </r>
  <r>
    <s v="LEAD00821"/>
    <d v="2025-07-01T00:00:00"/>
    <x v="4"/>
    <x v="4"/>
    <x v="0"/>
    <s v="Toll Solution"/>
    <s v="SME"/>
    <x v="15"/>
    <b v="0"/>
    <x v="0"/>
    <s v="Yes"/>
    <d v="2025-07-07T00:00:00"/>
    <m/>
    <m/>
    <d v="2025-07-29T00:00:00"/>
    <b v="1"/>
    <n v="440.53"/>
  </r>
  <r>
    <s v="LEAD00822"/>
    <d v="2025-02-10T00:00:00"/>
    <x v="8"/>
    <x v="0"/>
    <x v="4"/>
    <s v="EV Charge Card"/>
    <s v="SME"/>
    <x v="3"/>
    <b v="1"/>
    <x v="0"/>
    <s v="Yes"/>
    <d v="2025-02-15T00:00:00"/>
    <m/>
    <m/>
    <d v="2025-02-21T00:00:00"/>
    <b v="1"/>
    <n v="708.3"/>
  </r>
  <r>
    <s v="LEAD00823"/>
    <d v="2025-01-02T00:00:00"/>
    <x v="9"/>
    <x v="3"/>
    <x v="1"/>
    <s v="Fuel Card"/>
    <s v="Mid-Market"/>
    <x v="10"/>
    <b v="1"/>
    <x v="0"/>
    <s v="Yes"/>
    <d v="2025-01-10T00:00:00"/>
    <d v="2025-01-25T00:00:00"/>
    <m/>
    <d v="2025-02-15T00:00:00"/>
    <b v="1"/>
    <n v="2916.68"/>
  </r>
  <r>
    <s v="LEAD00824"/>
    <d v="2025-10-17T00:00:00"/>
    <x v="0"/>
    <x v="3"/>
    <x v="4"/>
    <s v="Fuel Card"/>
    <s v="Mid-Market"/>
    <x v="10"/>
    <b v="1"/>
    <x v="0"/>
    <s v="Yes"/>
    <d v="2025-10-19T00:00:00"/>
    <d v="2025-10-22T00:00:00"/>
    <m/>
    <d v="2025-10-31T00:00:00"/>
    <b v="1"/>
    <n v="3278.57"/>
  </r>
  <r>
    <s v="LEAD00825"/>
    <d v="2025-01-15T00:00:00"/>
    <x v="9"/>
    <x v="2"/>
    <x v="1"/>
    <s v="Toll Solution"/>
    <s v="Enterprise"/>
    <x v="2"/>
    <b v="1"/>
    <x v="0"/>
    <s v="Yes"/>
    <d v="2025-01-19T00:00:00"/>
    <d v="2025-01-24T00:00:00"/>
    <m/>
    <d v="2025-02-10T00:00:00"/>
    <b v="1"/>
    <n v="3980.66"/>
  </r>
  <r>
    <s v="LEAD00826"/>
    <d v="2025-08-25T00:00:00"/>
    <x v="2"/>
    <x v="4"/>
    <x v="0"/>
    <s v="Fuel Card"/>
    <s v="Mid-Market"/>
    <x v="13"/>
    <b v="1"/>
    <x v="0"/>
    <s v="No"/>
    <m/>
    <m/>
    <m/>
    <d v="2025-09-06T00:00:00"/>
    <b v="1"/>
    <n v="3113.99"/>
  </r>
  <r>
    <s v="LEAD00827"/>
    <d v="2025-05-27T00:00:00"/>
    <x v="6"/>
    <x v="0"/>
    <x v="0"/>
    <s v="Toll Solution"/>
    <s v="Mid-Market"/>
    <x v="3"/>
    <b v="1"/>
    <x v="0"/>
    <s v="No"/>
    <m/>
    <m/>
    <m/>
    <d v="2025-06-12T00:00:00"/>
    <b v="1"/>
    <n v="2222.37"/>
  </r>
  <r>
    <s v="LEAD00828"/>
    <d v="2025-06-25T00:00:00"/>
    <x v="5"/>
    <x v="1"/>
    <x v="1"/>
    <s v="EV Charge Card"/>
    <s v="Mid-Market"/>
    <x v="14"/>
    <b v="1"/>
    <x v="0"/>
    <s v="Yes"/>
    <d v="2025-06-30T00:00:00"/>
    <d v="2025-07-07T00:00:00"/>
    <m/>
    <d v="2025-07-27T00:00:00"/>
    <b v="1"/>
    <n v="2379.9699999999998"/>
  </r>
  <r>
    <s v="LEAD00829"/>
    <d v="2025-01-24T00:00:00"/>
    <x v="9"/>
    <x v="3"/>
    <x v="3"/>
    <s v="Fuel Card"/>
    <s v="SME"/>
    <x v="4"/>
    <b v="1"/>
    <x v="0"/>
    <s v="Yes"/>
    <d v="2025-01-29T00:00:00"/>
    <m/>
    <m/>
    <d v="2025-02-05T00:00:00"/>
    <b v="1"/>
    <n v="940.44"/>
  </r>
  <r>
    <s v="LEAD00830"/>
    <d v="2025-06-29T00:00:00"/>
    <x v="5"/>
    <x v="0"/>
    <x v="3"/>
    <s v="Fuel Card"/>
    <s v="Enterprise"/>
    <x v="15"/>
    <b v="0"/>
    <x v="0"/>
    <s v="No"/>
    <m/>
    <m/>
    <m/>
    <d v="2025-07-11T00:00:00"/>
    <b v="1"/>
    <n v="9399.91"/>
  </r>
  <r>
    <s v="LEAD00831"/>
    <d v="2025-06-06T00:00:00"/>
    <x v="5"/>
    <x v="1"/>
    <x v="3"/>
    <s v="EV Charge Card"/>
    <s v="SME"/>
    <x v="1"/>
    <b v="1"/>
    <x v="0"/>
    <s v="Yes"/>
    <d v="2025-06-12T00:00:00"/>
    <m/>
    <m/>
    <d v="2025-06-17T00:00:00"/>
    <b v="1"/>
    <n v="726.4"/>
  </r>
  <r>
    <s v="LEAD00832"/>
    <d v="2025-04-18T00:00:00"/>
    <x v="3"/>
    <x v="3"/>
    <x v="5"/>
    <s v="Fuel Card"/>
    <s v="Enterprise"/>
    <x v="4"/>
    <b v="1"/>
    <x v="0"/>
    <s v="No"/>
    <m/>
    <m/>
    <m/>
    <d v="2025-04-25T00:00:00"/>
    <b v="1"/>
    <n v="7486.4"/>
  </r>
  <r>
    <s v="LEAD00833"/>
    <d v="2025-06-05T00:00:00"/>
    <x v="5"/>
    <x v="3"/>
    <x v="2"/>
    <s v="Toll Solution"/>
    <s v="Mid-Market"/>
    <x v="9"/>
    <b v="1"/>
    <x v="0"/>
    <s v="No"/>
    <m/>
    <m/>
    <m/>
    <d v="2025-06-17T00:00:00"/>
    <b v="1"/>
    <n v="1412.78"/>
  </r>
  <r>
    <s v="LEAD00834"/>
    <d v="2025-01-03T00:00:00"/>
    <x v="9"/>
    <x v="2"/>
    <x v="2"/>
    <s v="Fuel Card"/>
    <s v="SME"/>
    <x v="8"/>
    <b v="1"/>
    <x v="0"/>
    <s v="Yes"/>
    <d v="2025-01-08T00:00:00"/>
    <m/>
    <m/>
    <d v="2025-02-02T00:00:00"/>
    <b v="1"/>
    <n v="1104.29"/>
  </r>
  <r>
    <s v="LEAD00835"/>
    <d v="2025-07-23T00:00:00"/>
    <x v="4"/>
    <x v="3"/>
    <x v="1"/>
    <s v="Toll Solution"/>
    <s v="SME"/>
    <x v="10"/>
    <b v="1"/>
    <x v="0"/>
    <s v="No"/>
    <m/>
    <m/>
    <m/>
    <d v="2025-08-04T00:00:00"/>
    <b v="1"/>
    <n v="574.80999999999995"/>
  </r>
  <r>
    <s v="LEAD00836"/>
    <d v="2025-04-16T00:00:00"/>
    <x v="3"/>
    <x v="2"/>
    <x v="2"/>
    <s v="EV Charge Card"/>
    <s v="Mid-Market"/>
    <x v="6"/>
    <b v="1"/>
    <x v="2"/>
    <s v="Yes"/>
    <d v="2025-04-22T00:00:00"/>
    <d v="2025-05-04T00:00:00"/>
    <d v="2025-05-30T00:00:00"/>
    <m/>
    <b v="1"/>
    <n v="2405.5"/>
  </r>
  <r>
    <s v="LEAD00837"/>
    <d v="2025-01-04T00:00:00"/>
    <x v="9"/>
    <x v="2"/>
    <x v="0"/>
    <s v="Fleet Expense Card"/>
    <s v="Enterprise"/>
    <x v="8"/>
    <b v="1"/>
    <x v="0"/>
    <s v="No"/>
    <m/>
    <m/>
    <m/>
    <d v="2025-01-12T00:00:00"/>
    <b v="1"/>
    <n v="7432.92"/>
  </r>
  <r>
    <s v="LEAD00838"/>
    <d v="2025-02-07T00:00:00"/>
    <x v="8"/>
    <x v="4"/>
    <x v="3"/>
    <s v="Fuel Card"/>
    <s v="Mid-Market"/>
    <x v="13"/>
    <b v="1"/>
    <x v="0"/>
    <s v="No"/>
    <m/>
    <m/>
    <m/>
    <d v="2025-02-22T00:00:00"/>
    <b v="1"/>
    <n v="2707.72"/>
  </r>
  <r>
    <s v="LEAD00839"/>
    <d v="2025-06-26T00:00:00"/>
    <x v="5"/>
    <x v="3"/>
    <x v="0"/>
    <s v="Fuel Card"/>
    <s v="Mid-Market"/>
    <x v="4"/>
    <b v="1"/>
    <x v="0"/>
    <s v="Yes"/>
    <d v="2025-06-29T00:00:00"/>
    <m/>
    <m/>
    <d v="2025-07-21T00:00:00"/>
    <b v="1"/>
    <n v="2374.4"/>
  </r>
  <r>
    <s v="LEAD00840"/>
    <d v="2025-11-08T00:00:00"/>
    <x v="10"/>
    <x v="0"/>
    <x v="2"/>
    <s v="Toll Solution"/>
    <s v="Mid-Market"/>
    <x v="5"/>
    <b v="1"/>
    <x v="2"/>
    <s v="Yes"/>
    <d v="2025-11-16T00:00:00"/>
    <d v="2025-11-30T00:00:00"/>
    <d v="2025-12-22T00:00:00"/>
    <m/>
    <b v="1"/>
    <n v="1895.23"/>
  </r>
  <r>
    <s v="LEAD00841"/>
    <d v="2025-12-27T00:00:00"/>
    <x v="1"/>
    <x v="0"/>
    <x v="2"/>
    <s v="EV Charge Card"/>
    <s v="SME"/>
    <x v="3"/>
    <b v="1"/>
    <x v="1"/>
    <s v="Yes"/>
    <d v="2025-12-31T00:00:00"/>
    <d v="2026-01-11T00:00:00"/>
    <m/>
    <m/>
    <b v="1"/>
    <n v="734.42"/>
  </r>
  <r>
    <s v="LEAD00842"/>
    <d v="2025-11-16T00:00:00"/>
    <x v="10"/>
    <x v="3"/>
    <x v="4"/>
    <s v="Fuel Card"/>
    <s v="SME"/>
    <x v="10"/>
    <b v="1"/>
    <x v="2"/>
    <s v="Yes"/>
    <d v="2025-11-17T00:00:00"/>
    <d v="2025-11-23T00:00:00"/>
    <d v="2025-12-21T00:00:00"/>
    <m/>
    <b v="1"/>
    <n v="877.11"/>
  </r>
  <r>
    <s v="LEAD00843"/>
    <d v="2025-05-23T00:00:00"/>
    <x v="6"/>
    <x v="0"/>
    <x v="0"/>
    <s v="Fleet Expense Card"/>
    <s v="SME"/>
    <x v="3"/>
    <b v="1"/>
    <x v="0"/>
    <s v="Yes"/>
    <d v="2025-05-24T00:00:00"/>
    <d v="2025-06-05T00:00:00"/>
    <m/>
    <d v="2025-07-01T00:00:00"/>
    <b v="1"/>
    <n v="673.19"/>
  </r>
  <r>
    <s v="LEAD00844"/>
    <d v="2025-05-27T00:00:00"/>
    <x v="6"/>
    <x v="3"/>
    <x v="3"/>
    <s v="EV Charge Card"/>
    <s v="SME"/>
    <x v="9"/>
    <b v="1"/>
    <x v="0"/>
    <s v="Yes"/>
    <d v="2025-06-01T00:00:00"/>
    <m/>
    <m/>
    <d v="2025-06-20T00:00:00"/>
    <b v="1"/>
    <n v="895.38"/>
  </r>
  <r>
    <s v="LEAD00845"/>
    <d v="2025-04-07T00:00:00"/>
    <x v="3"/>
    <x v="3"/>
    <x v="0"/>
    <s v="Toll Solution"/>
    <s v="Mid-Market"/>
    <x v="9"/>
    <b v="1"/>
    <x v="0"/>
    <s v="Yes"/>
    <d v="2025-04-11T00:00:00"/>
    <d v="2025-04-23T00:00:00"/>
    <m/>
    <d v="2025-05-21T00:00:00"/>
    <b v="1"/>
    <n v="1963.09"/>
  </r>
  <r>
    <s v="LEAD00846"/>
    <d v="2025-12-19T00:00:00"/>
    <x v="1"/>
    <x v="3"/>
    <x v="1"/>
    <s v="Fuel Card"/>
    <s v="SME"/>
    <x v="9"/>
    <b v="1"/>
    <x v="2"/>
    <s v="Yes"/>
    <d v="2025-12-20T00:00:00"/>
    <d v="2026-01-01T00:00:00"/>
    <d v="2026-01-26T00:00:00"/>
    <m/>
    <b v="1"/>
    <n v="724.86"/>
  </r>
  <r>
    <s v="LEAD00847"/>
    <d v="2025-12-26T00:00:00"/>
    <x v="1"/>
    <x v="2"/>
    <x v="0"/>
    <s v="Fuel Card"/>
    <s v="Enterprise"/>
    <x v="2"/>
    <b v="1"/>
    <x v="1"/>
    <s v="Yes"/>
    <d v="2025-12-30T00:00:00"/>
    <d v="2026-01-07T00:00:00"/>
    <m/>
    <m/>
    <b v="1"/>
    <n v="10358.31"/>
  </r>
  <r>
    <s v="LEAD00848"/>
    <d v="2025-03-29T00:00:00"/>
    <x v="7"/>
    <x v="0"/>
    <x v="2"/>
    <s v="Fuel Card"/>
    <s v="Mid-Market"/>
    <x v="0"/>
    <b v="1"/>
    <x v="0"/>
    <s v="Yes"/>
    <d v="2025-04-07T00:00:00"/>
    <m/>
    <m/>
    <d v="2025-04-21T00:00:00"/>
    <b v="1"/>
    <n v="2402.4499999999998"/>
  </r>
  <r>
    <s v="LEAD00849"/>
    <d v="2025-10-02T00:00:00"/>
    <x v="0"/>
    <x v="1"/>
    <x v="3"/>
    <s v="Fleet Expense Card"/>
    <s v="Enterprise"/>
    <x v="11"/>
    <b v="1"/>
    <x v="0"/>
    <s v="No"/>
    <m/>
    <m/>
    <m/>
    <d v="2025-10-11T00:00:00"/>
    <b v="1"/>
    <n v="9526.5"/>
  </r>
  <r>
    <s v="LEAD00850"/>
    <d v="2025-08-06T00:00:00"/>
    <x v="2"/>
    <x v="0"/>
    <x v="4"/>
    <s v="Fuel Card"/>
    <s v="SME"/>
    <x v="0"/>
    <b v="1"/>
    <x v="0"/>
    <s v="No"/>
    <m/>
    <m/>
    <m/>
    <d v="2025-08-16T00:00:00"/>
    <b v="1"/>
    <n v="797.12"/>
  </r>
  <r>
    <s v="LEAD00851"/>
    <d v="2025-06-02T00:00:00"/>
    <x v="5"/>
    <x v="4"/>
    <x v="1"/>
    <s v="Fleet Expense Card"/>
    <s v="Enterprise"/>
    <x v="7"/>
    <b v="1"/>
    <x v="2"/>
    <s v="Yes"/>
    <d v="2025-06-12T00:00:00"/>
    <d v="2025-06-19T00:00:00"/>
    <d v="2025-07-05T00:00:00"/>
    <m/>
    <b v="1"/>
    <n v="9018.4699999999993"/>
  </r>
  <r>
    <s v="LEAD00852"/>
    <d v="2025-05-22T00:00:00"/>
    <x v="6"/>
    <x v="2"/>
    <x v="3"/>
    <s v="Fuel Card"/>
    <s v="SME"/>
    <x v="6"/>
    <b v="1"/>
    <x v="0"/>
    <s v="Yes"/>
    <d v="2025-05-28T00:00:00"/>
    <d v="2025-06-03T00:00:00"/>
    <m/>
    <d v="2025-06-23T00:00:00"/>
    <b v="1"/>
    <n v="784.59"/>
  </r>
  <r>
    <s v="LEAD00853"/>
    <d v="2025-05-29T00:00:00"/>
    <x v="6"/>
    <x v="3"/>
    <x v="4"/>
    <s v="Fuel Card"/>
    <s v="Mid-Market"/>
    <x v="9"/>
    <b v="1"/>
    <x v="0"/>
    <s v="Yes"/>
    <d v="2025-06-06T00:00:00"/>
    <m/>
    <m/>
    <d v="2025-06-13T00:00:00"/>
    <b v="1"/>
    <n v="1974.36"/>
  </r>
  <r>
    <s v="LEAD00854"/>
    <d v="2025-10-23T00:00:00"/>
    <x v="0"/>
    <x v="3"/>
    <x v="0"/>
    <s v="EV Charge Card"/>
    <s v="SME"/>
    <x v="10"/>
    <b v="1"/>
    <x v="0"/>
    <s v="Yes"/>
    <d v="2025-10-25T00:00:00"/>
    <d v="2025-11-07T00:00:00"/>
    <m/>
    <d v="2025-11-28T00:00:00"/>
    <b v="1"/>
    <n v="807.91"/>
  </r>
  <r>
    <s v="LEAD00855"/>
    <d v="2025-04-30T00:00:00"/>
    <x v="3"/>
    <x v="1"/>
    <x v="3"/>
    <s v="EV Charge Card"/>
    <s v="SME"/>
    <x v="11"/>
    <b v="1"/>
    <x v="0"/>
    <s v="Yes"/>
    <d v="2025-05-09T00:00:00"/>
    <d v="2025-05-16T00:00:00"/>
    <m/>
    <d v="2025-06-04T00:00:00"/>
    <b v="1"/>
    <n v="811.29"/>
  </r>
  <r>
    <s v="LEAD00856"/>
    <d v="2025-10-23T00:00:00"/>
    <x v="0"/>
    <x v="0"/>
    <x v="2"/>
    <s v="EV Charge Card"/>
    <s v="Mid-Market"/>
    <x v="5"/>
    <b v="1"/>
    <x v="0"/>
    <s v="Yes"/>
    <d v="2025-11-02T00:00:00"/>
    <m/>
    <m/>
    <d v="2025-11-14T00:00:00"/>
    <b v="1"/>
    <n v="1856.53"/>
  </r>
  <r>
    <s v="LEAD00857"/>
    <d v="2025-12-20T00:00:00"/>
    <x v="1"/>
    <x v="4"/>
    <x v="3"/>
    <s v="Fuel Card"/>
    <s v="SME"/>
    <x v="7"/>
    <b v="1"/>
    <x v="3"/>
    <s v="Yes"/>
    <d v="2025-12-28T00:00:00"/>
    <m/>
    <m/>
    <m/>
    <b v="1"/>
    <n v="754.12"/>
  </r>
  <r>
    <s v="LEAD00858"/>
    <d v="2025-05-18T00:00:00"/>
    <x v="6"/>
    <x v="4"/>
    <x v="3"/>
    <s v="Fleet Expense Card"/>
    <s v="SME"/>
    <x v="13"/>
    <b v="1"/>
    <x v="0"/>
    <s v="Yes"/>
    <d v="2025-05-20T00:00:00"/>
    <d v="2025-05-26T00:00:00"/>
    <m/>
    <d v="2025-06-28T00:00:00"/>
    <b v="1"/>
    <n v="546.08000000000004"/>
  </r>
  <r>
    <s v="LEAD00859"/>
    <d v="2025-07-27T00:00:00"/>
    <x v="4"/>
    <x v="3"/>
    <x v="1"/>
    <s v="Fuel Card"/>
    <s v="SME"/>
    <x v="10"/>
    <b v="1"/>
    <x v="0"/>
    <s v="Yes"/>
    <d v="2025-07-31T00:00:00"/>
    <m/>
    <m/>
    <d v="2025-08-25T00:00:00"/>
    <b v="1"/>
    <n v="1060.21"/>
  </r>
  <r>
    <s v="LEAD00860"/>
    <d v="2025-08-06T00:00:00"/>
    <x v="2"/>
    <x v="2"/>
    <x v="0"/>
    <s v="Toll Solution"/>
    <s v="Enterprise"/>
    <x v="6"/>
    <b v="1"/>
    <x v="0"/>
    <s v="Yes"/>
    <d v="2025-08-08T00:00:00"/>
    <m/>
    <m/>
    <d v="2025-08-24T00:00:00"/>
    <b v="1"/>
    <n v="6240.36"/>
  </r>
  <r>
    <s v="LEAD00861"/>
    <d v="2025-07-21T00:00:00"/>
    <x v="4"/>
    <x v="0"/>
    <x v="0"/>
    <s v="Toll Solution"/>
    <s v="SME"/>
    <x v="3"/>
    <b v="1"/>
    <x v="0"/>
    <s v="No"/>
    <m/>
    <m/>
    <m/>
    <d v="2025-08-10T00:00:00"/>
    <b v="1"/>
    <n v="425.57"/>
  </r>
  <r>
    <s v="LEAD00862"/>
    <d v="2025-01-06T00:00:00"/>
    <x v="9"/>
    <x v="3"/>
    <x v="2"/>
    <s v="Fleet Expense Card"/>
    <s v="Enterprise"/>
    <x v="9"/>
    <b v="1"/>
    <x v="0"/>
    <s v="Yes"/>
    <d v="2025-01-08T00:00:00"/>
    <m/>
    <m/>
    <d v="2025-01-24T00:00:00"/>
    <b v="1"/>
    <n v="6714"/>
  </r>
  <r>
    <s v="LEAD00863"/>
    <d v="2025-04-28T00:00:00"/>
    <x v="3"/>
    <x v="0"/>
    <x v="2"/>
    <s v="Toll Solution"/>
    <s v="SME"/>
    <x v="5"/>
    <b v="1"/>
    <x v="0"/>
    <s v="Yes"/>
    <d v="2025-05-07T00:00:00"/>
    <d v="2025-05-19T00:00:00"/>
    <m/>
    <d v="2025-06-18T00:00:00"/>
    <b v="1"/>
    <n v="513.39"/>
  </r>
  <r>
    <s v="LEAD00864"/>
    <d v="2025-05-12T00:00:00"/>
    <x v="6"/>
    <x v="3"/>
    <x v="3"/>
    <s v="EV Charge Card"/>
    <s v="SME"/>
    <x v="9"/>
    <b v="1"/>
    <x v="0"/>
    <s v="No"/>
    <m/>
    <m/>
    <m/>
    <d v="2025-05-23T00:00:00"/>
    <b v="1"/>
    <n v="895.49"/>
  </r>
  <r>
    <s v="LEAD00865"/>
    <d v="2025-01-14T00:00:00"/>
    <x v="9"/>
    <x v="2"/>
    <x v="2"/>
    <s v="Fuel Card"/>
    <s v="Mid-Market"/>
    <x v="6"/>
    <b v="1"/>
    <x v="0"/>
    <s v="Yes"/>
    <d v="2025-01-24T00:00:00"/>
    <d v="2025-02-08T00:00:00"/>
    <m/>
    <d v="2025-02-16T00:00:00"/>
    <b v="1"/>
    <n v="1858.6"/>
  </r>
  <r>
    <s v="LEAD00866"/>
    <d v="2025-03-25T00:00:00"/>
    <x v="7"/>
    <x v="3"/>
    <x v="2"/>
    <s v="Fuel Card"/>
    <s v="SME"/>
    <x v="10"/>
    <b v="1"/>
    <x v="2"/>
    <s v="Yes"/>
    <d v="2025-03-31T00:00:00"/>
    <d v="2025-04-08T00:00:00"/>
    <d v="2025-04-26T00:00:00"/>
    <m/>
    <b v="1"/>
    <n v="1082.3800000000001"/>
  </r>
  <r>
    <s v="LEAD00867"/>
    <d v="2025-10-14T00:00:00"/>
    <x v="0"/>
    <x v="1"/>
    <x v="3"/>
    <s v="Fleet Expense Card"/>
    <s v="Mid-Market"/>
    <x v="11"/>
    <b v="1"/>
    <x v="0"/>
    <s v="No"/>
    <m/>
    <m/>
    <m/>
    <d v="2025-10-26T00:00:00"/>
    <b v="1"/>
    <n v="1800.3"/>
  </r>
  <r>
    <s v="LEAD00868"/>
    <d v="2025-02-28T00:00:00"/>
    <x v="8"/>
    <x v="3"/>
    <x v="0"/>
    <s v="Fuel Card"/>
    <s v="SME"/>
    <x v="9"/>
    <b v="1"/>
    <x v="0"/>
    <s v="Yes"/>
    <d v="2025-03-08T00:00:00"/>
    <d v="2025-03-17T00:00:00"/>
    <m/>
    <d v="2025-04-01T00:00:00"/>
    <b v="1"/>
    <n v="1092.78"/>
  </r>
  <r>
    <s v="LEAD00869"/>
    <d v="2025-06-06T00:00:00"/>
    <x v="5"/>
    <x v="0"/>
    <x v="0"/>
    <s v="Fuel Card"/>
    <s v="SME"/>
    <x v="5"/>
    <b v="1"/>
    <x v="0"/>
    <s v="No"/>
    <m/>
    <m/>
    <m/>
    <d v="2025-06-25T00:00:00"/>
    <b v="1"/>
    <n v="973.04"/>
  </r>
  <r>
    <s v="LEAD00870"/>
    <d v="2025-02-19T00:00:00"/>
    <x v="8"/>
    <x v="0"/>
    <x v="3"/>
    <s v="Fleet Expense Card"/>
    <s v="SME"/>
    <x v="3"/>
    <b v="1"/>
    <x v="0"/>
    <s v="No"/>
    <m/>
    <m/>
    <m/>
    <d v="2025-02-25T00:00:00"/>
    <b v="1"/>
    <n v="704.92"/>
  </r>
  <r>
    <s v="LEAD00871"/>
    <d v="2025-01-13T00:00:00"/>
    <x v="9"/>
    <x v="3"/>
    <x v="2"/>
    <s v="Toll Solution"/>
    <s v="Mid-Market"/>
    <x v="9"/>
    <b v="1"/>
    <x v="2"/>
    <s v="Yes"/>
    <d v="2025-01-23T00:00:00"/>
    <d v="2025-01-26T00:00:00"/>
    <d v="2025-02-13T00:00:00"/>
    <m/>
    <b v="1"/>
    <n v="2070.85"/>
  </r>
  <r>
    <s v="LEAD00872"/>
    <d v="2025-03-04T00:00:00"/>
    <x v="7"/>
    <x v="3"/>
    <x v="5"/>
    <s v="Fleet Expense Card"/>
    <s v="SME"/>
    <x v="9"/>
    <b v="1"/>
    <x v="0"/>
    <s v="No"/>
    <m/>
    <m/>
    <m/>
    <d v="2025-03-15T00:00:00"/>
    <b v="1"/>
    <n v="772.32"/>
  </r>
  <r>
    <s v="LEAD00873"/>
    <d v="2025-03-07T00:00:00"/>
    <x v="7"/>
    <x v="0"/>
    <x v="0"/>
    <s v="Fleet Expense Card"/>
    <s v="Mid-Market"/>
    <x v="3"/>
    <b v="1"/>
    <x v="0"/>
    <s v="Yes"/>
    <d v="2025-03-17T00:00:00"/>
    <d v="2025-04-01T00:00:00"/>
    <m/>
    <d v="2025-04-30T00:00:00"/>
    <b v="1"/>
    <n v="2456.79"/>
  </r>
  <r>
    <s v="LEAD00874"/>
    <d v="2025-02-15T00:00:00"/>
    <x v="8"/>
    <x v="0"/>
    <x v="2"/>
    <s v="Toll Solution"/>
    <s v="SME"/>
    <x v="5"/>
    <b v="1"/>
    <x v="0"/>
    <s v="Yes"/>
    <d v="2025-02-19T00:00:00"/>
    <d v="2025-02-24T00:00:00"/>
    <m/>
    <d v="2025-03-30T00:00:00"/>
    <b v="1"/>
    <n v="401.66"/>
  </r>
  <r>
    <s v="LEAD00875"/>
    <d v="2025-12-19T00:00:00"/>
    <x v="1"/>
    <x v="4"/>
    <x v="4"/>
    <s v="Toll Solution"/>
    <s v="SME"/>
    <x v="12"/>
    <b v="1"/>
    <x v="2"/>
    <s v="Yes"/>
    <d v="2025-12-24T00:00:00"/>
    <d v="2026-01-01T00:00:00"/>
    <d v="2026-01-13T00:00:00"/>
    <m/>
    <b v="1"/>
    <n v="616.03"/>
  </r>
  <r>
    <s v="LEAD00876"/>
    <d v="2025-12-18T00:00:00"/>
    <x v="1"/>
    <x v="1"/>
    <x v="2"/>
    <s v="Fuel Card"/>
    <s v="SME"/>
    <x v="14"/>
    <b v="1"/>
    <x v="4"/>
    <s v="No"/>
    <m/>
    <m/>
    <m/>
    <m/>
    <b v="1"/>
    <n v="588.42999999999995"/>
  </r>
  <r>
    <s v="LEAD00877"/>
    <d v="2025-04-10T00:00:00"/>
    <x v="3"/>
    <x v="0"/>
    <x v="0"/>
    <s v="Fuel Card"/>
    <s v="SME"/>
    <x v="0"/>
    <b v="1"/>
    <x v="0"/>
    <s v="Yes"/>
    <d v="2025-04-15T00:00:00"/>
    <d v="2025-04-22T00:00:00"/>
    <m/>
    <d v="2025-04-29T00:00:00"/>
    <b v="1"/>
    <n v="636.63"/>
  </r>
  <r>
    <s v="LEAD00878"/>
    <d v="2025-02-23T00:00:00"/>
    <x v="8"/>
    <x v="2"/>
    <x v="2"/>
    <s v="Fleet Expense Card"/>
    <s v="Enterprise"/>
    <x v="2"/>
    <b v="1"/>
    <x v="0"/>
    <s v="Yes"/>
    <d v="2025-03-02T00:00:00"/>
    <m/>
    <m/>
    <d v="2025-03-16T00:00:00"/>
    <b v="1"/>
    <n v="6395.33"/>
  </r>
  <r>
    <s v="LEAD00879"/>
    <d v="2025-08-07T00:00:00"/>
    <x v="2"/>
    <x v="4"/>
    <x v="4"/>
    <s v="Fleet Expense Card"/>
    <s v="SME"/>
    <x v="12"/>
    <b v="1"/>
    <x v="0"/>
    <s v="Yes"/>
    <d v="2025-08-10T00:00:00"/>
    <d v="2025-08-25T00:00:00"/>
    <m/>
    <d v="2025-09-19T00:00:00"/>
    <b v="1"/>
    <n v="814.31"/>
  </r>
  <r>
    <s v="LEAD00880"/>
    <d v="2025-02-22T00:00:00"/>
    <x v="8"/>
    <x v="0"/>
    <x v="1"/>
    <s v="Fleet Expense Card"/>
    <s v="Enterprise"/>
    <x v="3"/>
    <b v="1"/>
    <x v="2"/>
    <s v="Yes"/>
    <d v="2025-02-23T00:00:00"/>
    <d v="2025-03-06T00:00:00"/>
    <d v="2025-03-19T00:00:00"/>
    <m/>
    <b v="1"/>
    <n v="8730.02"/>
  </r>
  <r>
    <s v="LEAD00881"/>
    <d v="2025-09-02T00:00:00"/>
    <x v="11"/>
    <x v="2"/>
    <x v="0"/>
    <s v="Fuel Card"/>
    <s v="SME"/>
    <x v="2"/>
    <b v="1"/>
    <x v="0"/>
    <s v="Yes"/>
    <d v="2025-09-05T00:00:00"/>
    <d v="2025-09-13T00:00:00"/>
    <m/>
    <d v="2025-09-24T00:00:00"/>
    <b v="1"/>
    <n v="621.94000000000005"/>
  </r>
  <r>
    <s v="LEAD00882"/>
    <d v="2025-07-21T00:00:00"/>
    <x v="4"/>
    <x v="2"/>
    <x v="3"/>
    <s v="EV Charge Card"/>
    <s v="Mid-Market"/>
    <x v="8"/>
    <b v="1"/>
    <x v="0"/>
    <s v="Yes"/>
    <d v="2025-07-22T00:00:00"/>
    <m/>
    <m/>
    <d v="2025-08-09T00:00:00"/>
    <b v="1"/>
    <n v="1740.43"/>
  </r>
  <r>
    <s v="LEAD00883"/>
    <d v="2025-07-11T00:00:00"/>
    <x v="4"/>
    <x v="4"/>
    <x v="3"/>
    <s v="Toll Solution"/>
    <s v="Mid-Market"/>
    <x v="13"/>
    <b v="1"/>
    <x v="0"/>
    <s v="Yes"/>
    <d v="2025-07-21T00:00:00"/>
    <m/>
    <m/>
    <d v="2025-08-12T00:00:00"/>
    <b v="1"/>
    <n v="1714.59"/>
  </r>
  <r>
    <s v="LEAD00884"/>
    <d v="2025-04-30T00:00:00"/>
    <x v="3"/>
    <x v="3"/>
    <x v="3"/>
    <s v="Fuel Card"/>
    <s v="SME"/>
    <x v="9"/>
    <b v="1"/>
    <x v="0"/>
    <s v="No"/>
    <m/>
    <m/>
    <m/>
    <d v="2025-05-20T00:00:00"/>
    <b v="1"/>
    <n v="869.74"/>
  </r>
  <r>
    <s v="LEAD00885"/>
    <d v="2025-01-23T00:00:00"/>
    <x v="9"/>
    <x v="0"/>
    <x v="2"/>
    <s v="Fuel Card"/>
    <s v="Enterprise"/>
    <x v="5"/>
    <b v="1"/>
    <x v="0"/>
    <s v="Yes"/>
    <d v="2025-01-30T00:00:00"/>
    <m/>
    <m/>
    <d v="2025-02-23T00:00:00"/>
    <b v="1"/>
    <n v="8779.9500000000007"/>
  </r>
  <r>
    <s v="LEAD00886"/>
    <d v="2025-03-16T00:00:00"/>
    <x v="7"/>
    <x v="4"/>
    <x v="4"/>
    <s v="EV Charge Card"/>
    <s v="Enterprise"/>
    <x v="12"/>
    <b v="1"/>
    <x v="0"/>
    <s v="No"/>
    <m/>
    <m/>
    <m/>
    <d v="2025-04-05T00:00:00"/>
    <b v="1"/>
    <n v="7244.06"/>
  </r>
  <r>
    <s v="LEAD00887"/>
    <d v="2025-03-08T00:00:00"/>
    <x v="7"/>
    <x v="2"/>
    <x v="0"/>
    <s v="EV Charge Card"/>
    <s v="SME"/>
    <x v="6"/>
    <b v="1"/>
    <x v="0"/>
    <s v="Yes"/>
    <d v="2025-03-12T00:00:00"/>
    <m/>
    <m/>
    <d v="2025-03-30T00:00:00"/>
    <b v="1"/>
    <n v="515.35"/>
  </r>
  <r>
    <s v="LEAD00888"/>
    <d v="2025-10-03T00:00:00"/>
    <x v="0"/>
    <x v="0"/>
    <x v="3"/>
    <s v="Fuel Card"/>
    <s v="SME"/>
    <x v="5"/>
    <b v="1"/>
    <x v="0"/>
    <s v="Yes"/>
    <d v="2025-10-09T00:00:00"/>
    <d v="2025-10-12T00:00:00"/>
    <m/>
    <d v="2025-10-28T00:00:00"/>
    <b v="1"/>
    <n v="1037.33"/>
  </r>
  <r>
    <s v="LEAD00889"/>
    <d v="2025-05-26T00:00:00"/>
    <x v="6"/>
    <x v="3"/>
    <x v="1"/>
    <s v="EV Charge Card"/>
    <s v="Mid-Market"/>
    <x v="4"/>
    <b v="1"/>
    <x v="0"/>
    <s v="No"/>
    <m/>
    <m/>
    <m/>
    <d v="2025-06-10T00:00:00"/>
    <b v="1"/>
    <n v="2612.9499999999998"/>
  </r>
  <r>
    <s v="LEAD00890"/>
    <d v="2025-06-28T00:00:00"/>
    <x v="5"/>
    <x v="3"/>
    <x v="1"/>
    <s v="Toll Solution"/>
    <s v="SME"/>
    <x v="10"/>
    <b v="1"/>
    <x v="0"/>
    <s v="Yes"/>
    <d v="2025-06-30T00:00:00"/>
    <m/>
    <m/>
    <d v="2025-07-13T00:00:00"/>
    <b v="1"/>
    <n v="658.28"/>
  </r>
  <r>
    <s v="LEAD00891"/>
    <d v="2025-04-04T00:00:00"/>
    <x v="3"/>
    <x v="3"/>
    <x v="4"/>
    <s v="Fleet Expense Card"/>
    <s v="SME"/>
    <x v="4"/>
    <b v="1"/>
    <x v="0"/>
    <s v="Yes"/>
    <d v="2025-04-13T00:00:00"/>
    <d v="2025-04-27T00:00:00"/>
    <m/>
    <d v="2025-05-20T00:00:00"/>
    <b v="1"/>
    <n v="871.27"/>
  </r>
  <r>
    <s v="LEAD00892"/>
    <d v="2025-09-30T00:00:00"/>
    <x v="11"/>
    <x v="2"/>
    <x v="1"/>
    <s v="Fleet Expense Card"/>
    <s v="SME"/>
    <x v="6"/>
    <b v="1"/>
    <x v="0"/>
    <s v="Yes"/>
    <d v="2025-10-10T00:00:00"/>
    <d v="2025-10-23T00:00:00"/>
    <m/>
    <d v="2025-10-29T00:00:00"/>
    <b v="1"/>
    <n v="990.36"/>
  </r>
  <r>
    <s v="LEAD00893"/>
    <d v="2025-09-20T00:00:00"/>
    <x v="11"/>
    <x v="0"/>
    <x v="2"/>
    <s v="Fuel Card"/>
    <s v="SME"/>
    <x v="5"/>
    <b v="1"/>
    <x v="2"/>
    <s v="Yes"/>
    <d v="2025-09-29T00:00:00"/>
    <d v="2025-10-14T00:00:00"/>
    <d v="2025-11-10T00:00:00"/>
    <m/>
    <b v="1"/>
    <n v="657.03"/>
  </r>
  <r>
    <s v="LEAD00894"/>
    <d v="2025-09-18T00:00:00"/>
    <x v="11"/>
    <x v="0"/>
    <x v="2"/>
    <s v="EV Charge Card"/>
    <s v="SME"/>
    <x v="0"/>
    <b v="1"/>
    <x v="0"/>
    <s v="Yes"/>
    <d v="2025-09-19T00:00:00"/>
    <d v="2025-10-03T00:00:00"/>
    <m/>
    <d v="2025-10-18T00:00:00"/>
    <b v="1"/>
    <n v="713.84"/>
  </r>
  <r>
    <s v="LEAD00895"/>
    <d v="2025-05-21T00:00:00"/>
    <x v="6"/>
    <x v="3"/>
    <x v="2"/>
    <s v="Fuel Card"/>
    <s v="SME"/>
    <x v="4"/>
    <b v="1"/>
    <x v="0"/>
    <s v="No"/>
    <m/>
    <m/>
    <m/>
    <d v="2025-05-31T00:00:00"/>
    <b v="1"/>
    <n v="831.47"/>
  </r>
  <r>
    <s v="LEAD00896"/>
    <d v="2025-11-10T00:00:00"/>
    <x v="10"/>
    <x v="4"/>
    <x v="2"/>
    <s v="Toll Solution"/>
    <s v="SME"/>
    <x v="7"/>
    <b v="1"/>
    <x v="2"/>
    <s v="Yes"/>
    <d v="2025-11-16T00:00:00"/>
    <d v="2025-11-26T00:00:00"/>
    <d v="2025-12-26T00:00:00"/>
    <m/>
    <b v="1"/>
    <n v="400.96"/>
  </r>
  <r>
    <s v="LEAD00897"/>
    <d v="2025-09-13T00:00:00"/>
    <x v="11"/>
    <x v="0"/>
    <x v="3"/>
    <s v="Fleet Expense Card"/>
    <s v="SME"/>
    <x v="3"/>
    <b v="1"/>
    <x v="2"/>
    <s v="Yes"/>
    <d v="2025-09-15T00:00:00"/>
    <d v="2025-09-16T00:00:00"/>
    <d v="2025-09-21T00:00:00"/>
    <m/>
    <b v="1"/>
    <n v="1007.58"/>
  </r>
  <r>
    <s v="LEAD00898"/>
    <d v="2025-02-04T00:00:00"/>
    <x v="8"/>
    <x v="2"/>
    <x v="2"/>
    <s v="EV Charge Card"/>
    <s v="SME"/>
    <x v="2"/>
    <b v="1"/>
    <x v="0"/>
    <s v="Yes"/>
    <d v="2025-02-05T00:00:00"/>
    <m/>
    <m/>
    <d v="2025-02-23T00:00:00"/>
    <b v="1"/>
    <n v="712.16"/>
  </r>
  <r>
    <s v="LEAD00899"/>
    <d v="2025-04-09T00:00:00"/>
    <x v="3"/>
    <x v="0"/>
    <x v="0"/>
    <s v="Fuel Card"/>
    <s v="Mid-Market"/>
    <x v="3"/>
    <b v="1"/>
    <x v="2"/>
    <s v="Yes"/>
    <d v="2025-04-10T00:00:00"/>
    <d v="2025-04-17T00:00:00"/>
    <d v="2025-04-24T00:00:00"/>
    <m/>
    <b v="1"/>
    <n v="2369.08"/>
  </r>
  <r>
    <s v="LEAD00900"/>
    <d v="2025-12-02T00:00:00"/>
    <x v="1"/>
    <x v="1"/>
    <x v="4"/>
    <s v="EV Charge Card"/>
    <s v="SME"/>
    <x v="11"/>
    <b v="1"/>
    <x v="2"/>
    <s v="Yes"/>
    <d v="2025-12-06T00:00:00"/>
    <d v="2025-12-20T00:00:00"/>
    <d v="2025-12-30T00:00:00"/>
    <m/>
    <b v="1"/>
    <n v="709.55"/>
  </r>
  <r>
    <s v="LEAD00901"/>
    <d v="2025-07-08T00:00:00"/>
    <x v="4"/>
    <x v="2"/>
    <x v="2"/>
    <s v="EV Charge Card"/>
    <s v="SME"/>
    <x v="6"/>
    <b v="1"/>
    <x v="2"/>
    <s v="Yes"/>
    <d v="2025-07-12T00:00:00"/>
    <d v="2025-07-26T00:00:00"/>
    <d v="2025-08-08T00:00:00"/>
    <m/>
    <b v="1"/>
    <n v="656.84"/>
  </r>
  <r>
    <s v="LEAD00902"/>
    <d v="2025-10-19T00:00:00"/>
    <x v="0"/>
    <x v="1"/>
    <x v="1"/>
    <s v="Fuel Card"/>
    <s v="Mid-Market"/>
    <x v="11"/>
    <b v="1"/>
    <x v="0"/>
    <s v="Yes"/>
    <d v="2025-10-28T00:00:00"/>
    <d v="2025-11-12T00:00:00"/>
    <m/>
    <d v="2025-12-05T00:00:00"/>
    <b v="1"/>
    <n v="2366.86"/>
  </r>
  <r>
    <s v="LEAD00903"/>
    <d v="2025-12-29T00:00:00"/>
    <x v="1"/>
    <x v="3"/>
    <x v="1"/>
    <s v="Fuel Card"/>
    <s v="Mid-Market"/>
    <x v="9"/>
    <b v="1"/>
    <x v="1"/>
    <s v="Yes"/>
    <d v="2025-12-31T00:00:00"/>
    <d v="2026-01-14T00:00:00"/>
    <m/>
    <m/>
    <b v="1"/>
    <n v="2331.19"/>
  </r>
  <r>
    <s v="LEAD00904"/>
    <d v="2025-03-20T00:00:00"/>
    <x v="7"/>
    <x v="3"/>
    <x v="2"/>
    <s v="EV Charge Card"/>
    <s v="Mid-Market"/>
    <x v="10"/>
    <b v="1"/>
    <x v="0"/>
    <s v="No"/>
    <m/>
    <m/>
    <m/>
    <d v="2025-04-04T00:00:00"/>
    <b v="1"/>
    <n v="2156.79"/>
  </r>
  <r>
    <s v="LEAD00905"/>
    <d v="2025-04-08T00:00:00"/>
    <x v="3"/>
    <x v="3"/>
    <x v="0"/>
    <s v="EV Charge Card"/>
    <s v="SME"/>
    <x v="10"/>
    <b v="1"/>
    <x v="2"/>
    <s v="Yes"/>
    <d v="2025-04-16T00:00:00"/>
    <d v="2025-04-30T00:00:00"/>
    <d v="2025-05-04T00:00:00"/>
    <m/>
    <b v="1"/>
    <n v="813.27"/>
  </r>
  <r>
    <s v="LEAD00906"/>
    <d v="2025-04-25T00:00:00"/>
    <x v="3"/>
    <x v="0"/>
    <x v="0"/>
    <s v="EV Charge Card"/>
    <s v="SME"/>
    <x v="0"/>
    <b v="1"/>
    <x v="0"/>
    <s v="Yes"/>
    <d v="2025-05-02T00:00:00"/>
    <m/>
    <m/>
    <d v="2025-05-12T00:00:00"/>
    <b v="1"/>
    <n v="693.51"/>
  </r>
  <r>
    <s v="LEAD00907"/>
    <d v="2025-03-16T00:00:00"/>
    <x v="7"/>
    <x v="4"/>
    <x v="2"/>
    <s v="Fleet Expense Card"/>
    <s v="Mid-Market"/>
    <x v="7"/>
    <b v="1"/>
    <x v="0"/>
    <s v="Yes"/>
    <d v="2025-03-23T00:00:00"/>
    <d v="2025-03-28T00:00:00"/>
    <m/>
    <d v="2025-04-08T00:00:00"/>
    <b v="1"/>
    <n v="2633.42"/>
  </r>
  <r>
    <s v="LEAD00908"/>
    <d v="2025-12-11T00:00:00"/>
    <x v="1"/>
    <x v="1"/>
    <x v="2"/>
    <s v="Fuel Card"/>
    <s v="Mid-Market"/>
    <x v="1"/>
    <b v="1"/>
    <x v="2"/>
    <s v="Yes"/>
    <d v="2025-12-15T00:00:00"/>
    <d v="2025-12-24T00:00:00"/>
    <d v="2026-01-05T00:00:00"/>
    <m/>
    <b v="1"/>
    <n v="2585.65"/>
  </r>
  <r>
    <s v="LEAD00909"/>
    <d v="2025-04-20T00:00:00"/>
    <x v="3"/>
    <x v="3"/>
    <x v="0"/>
    <s v="EV Charge Card"/>
    <s v="SME"/>
    <x v="4"/>
    <b v="1"/>
    <x v="0"/>
    <s v="Yes"/>
    <d v="2025-04-23T00:00:00"/>
    <m/>
    <m/>
    <d v="2025-05-02T00:00:00"/>
    <b v="1"/>
    <n v="710.22"/>
  </r>
  <r>
    <s v="LEAD00910"/>
    <d v="2025-05-07T00:00:00"/>
    <x v="6"/>
    <x v="0"/>
    <x v="4"/>
    <s v="EV Charge Card"/>
    <s v="Enterprise"/>
    <x v="0"/>
    <b v="1"/>
    <x v="0"/>
    <s v="Yes"/>
    <d v="2025-05-13T00:00:00"/>
    <m/>
    <m/>
    <d v="2025-05-30T00:00:00"/>
    <b v="1"/>
    <n v="6950.54"/>
  </r>
  <r>
    <s v="LEAD00911"/>
    <d v="2025-06-10T00:00:00"/>
    <x v="5"/>
    <x v="2"/>
    <x v="2"/>
    <s v="Fuel Card"/>
    <s v="Mid-Market"/>
    <x v="6"/>
    <b v="1"/>
    <x v="2"/>
    <s v="Yes"/>
    <d v="2025-06-11T00:00:00"/>
    <d v="2025-06-16T00:00:00"/>
    <d v="2025-06-30T00:00:00"/>
    <m/>
    <b v="1"/>
    <n v="3011.2"/>
  </r>
  <r>
    <s v="LEAD00912"/>
    <d v="2025-05-05T00:00:00"/>
    <x v="6"/>
    <x v="0"/>
    <x v="3"/>
    <s v="Fuel Card"/>
    <s v="SME"/>
    <x v="5"/>
    <b v="1"/>
    <x v="0"/>
    <s v="No"/>
    <m/>
    <m/>
    <m/>
    <d v="2025-05-10T00:00:00"/>
    <b v="1"/>
    <n v="1089.0899999999999"/>
  </r>
  <r>
    <s v="LEAD00913"/>
    <d v="2025-02-11T00:00:00"/>
    <x v="8"/>
    <x v="0"/>
    <x v="2"/>
    <s v="Fleet Expense Card"/>
    <s v="SME"/>
    <x v="0"/>
    <b v="1"/>
    <x v="0"/>
    <s v="Yes"/>
    <d v="2025-02-14T00:00:00"/>
    <m/>
    <m/>
    <d v="2025-03-11T00:00:00"/>
    <b v="1"/>
    <n v="950.41"/>
  </r>
  <r>
    <s v="LEAD00914"/>
    <d v="2025-04-28T00:00:00"/>
    <x v="3"/>
    <x v="2"/>
    <x v="4"/>
    <s v="EV Charge Card"/>
    <s v="Mid-Market"/>
    <x v="6"/>
    <b v="1"/>
    <x v="0"/>
    <s v="No"/>
    <m/>
    <m/>
    <m/>
    <d v="2025-04-30T00:00:00"/>
    <b v="1"/>
    <n v="2629.43"/>
  </r>
  <r>
    <s v="LEAD00915"/>
    <d v="2025-03-23T00:00:00"/>
    <x v="7"/>
    <x v="2"/>
    <x v="2"/>
    <s v="Fleet Expense Card"/>
    <s v="SME"/>
    <x v="2"/>
    <b v="1"/>
    <x v="0"/>
    <s v="Yes"/>
    <d v="2025-03-29T00:00:00"/>
    <d v="2025-04-07T00:00:00"/>
    <m/>
    <d v="2025-05-01T00:00:00"/>
    <b v="1"/>
    <n v="733.78"/>
  </r>
  <r>
    <s v="LEAD00916"/>
    <d v="2025-02-22T00:00:00"/>
    <x v="8"/>
    <x v="3"/>
    <x v="0"/>
    <s v="EV Charge Card"/>
    <s v="Mid-Market"/>
    <x v="4"/>
    <b v="1"/>
    <x v="0"/>
    <s v="Yes"/>
    <d v="2025-03-04T00:00:00"/>
    <d v="2025-03-16T00:00:00"/>
    <m/>
    <d v="2025-04-04T00:00:00"/>
    <b v="1"/>
    <n v="2812.27"/>
  </r>
  <r>
    <s v="LEAD00917"/>
    <d v="2025-08-20T00:00:00"/>
    <x v="2"/>
    <x v="3"/>
    <x v="1"/>
    <s v="Fuel Card"/>
    <s v="Enterprise"/>
    <x v="9"/>
    <b v="1"/>
    <x v="0"/>
    <s v="No"/>
    <m/>
    <m/>
    <m/>
    <d v="2025-09-02T00:00:00"/>
    <b v="1"/>
    <n v="10631.6"/>
  </r>
  <r>
    <s v="LEAD00918"/>
    <d v="2025-12-25T00:00:00"/>
    <x v="1"/>
    <x v="2"/>
    <x v="1"/>
    <s v="Fleet Expense Card"/>
    <s v="Mid-Market"/>
    <x v="8"/>
    <b v="1"/>
    <x v="4"/>
    <s v="No"/>
    <m/>
    <m/>
    <m/>
    <m/>
    <b v="1"/>
    <n v="3002.14"/>
  </r>
  <r>
    <s v="LEAD00919"/>
    <d v="2025-05-23T00:00:00"/>
    <x v="6"/>
    <x v="2"/>
    <x v="1"/>
    <s v="Fuel Card"/>
    <s v="Mid-Market"/>
    <x v="2"/>
    <b v="1"/>
    <x v="0"/>
    <s v="Yes"/>
    <d v="2025-05-31T00:00:00"/>
    <m/>
    <m/>
    <d v="2025-06-05T00:00:00"/>
    <b v="1"/>
    <n v="3054.52"/>
  </r>
  <r>
    <s v="LEAD00920"/>
    <d v="2025-08-15T00:00:00"/>
    <x v="2"/>
    <x v="4"/>
    <x v="2"/>
    <s v="Fleet Expense Card"/>
    <s v="SME"/>
    <x v="12"/>
    <b v="1"/>
    <x v="0"/>
    <s v="No"/>
    <m/>
    <m/>
    <m/>
    <d v="2025-08-23T00:00:00"/>
    <b v="1"/>
    <n v="815.45"/>
  </r>
  <r>
    <s v="LEAD00921"/>
    <d v="2025-08-11T00:00:00"/>
    <x v="2"/>
    <x v="0"/>
    <x v="3"/>
    <s v="Fleet Expense Card"/>
    <s v="Mid-Market"/>
    <x v="3"/>
    <b v="1"/>
    <x v="0"/>
    <s v="No"/>
    <m/>
    <m/>
    <m/>
    <d v="2025-08-31T00:00:00"/>
    <b v="1"/>
    <n v="2670.2"/>
  </r>
  <r>
    <s v="LEAD00922"/>
    <d v="2025-09-13T00:00:00"/>
    <x v="11"/>
    <x v="2"/>
    <x v="0"/>
    <s v="Toll Solution"/>
    <s v="SME"/>
    <x v="2"/>
    <b v="1"/>
    <x v="2"/>
    <s v="Yes"/>
    <d v="2025-09-19T00:00:00"/>
    <d v="2025-09-21T00:00:00"/>
    <d v="2025-10-15T00:00:00"/>
    <m/>
    <b v="1"/>
    <n v="406.29"/>
  </r>
  <r>
    <s v="LEAD00923"/>
    <d v="2025-10-31T00:00:00"/>
    <x v="0"/>
    <x v="1"/>
    <x v="0"/>
    <s v="Toll Solution"/>
    <s v="Mid-Market"/>
    <x v="11"/>
    <b v="1"/>
    <x v="0"/>
    <s v="Yes"/>
    <d v="2025-11-07T00:00:00"/>
    <d v="2025-11-17T00:00:00"/>
    <m/>
    <d v="2025-12-16T00:00:00"/>
    <b v="1"/>
    <n v="1778.54"/>
  </r>
  <r>
    <s v="LEAD00924"/>
    <d v="2025-01-22T00:00:00"/>
    <x v="9"/>
    <x v="2"/>
    <x v="1"/>
    <s v="EV Charge Card"/>
    <s v="SME"/>
    <x v="2"/>
    <b v="1"/>
    <x v="0"/>
    <s v="Yes"/>
    <d v="2025-01-28T00:00:00"/>
    <d v="2025-02-09T00:00:00"/>
    <m/>
    <d v="2025-02-17T00:00:00"/>
    <b v="1"/>
    <n v="888.29"/>
  </r>
  <r>
    <s v="LEAD00925"/>
    <d v="2025-09-06T00:00:00"/>
    <x v="11"/>
    <x v="2"/>
    <x v="3"/>
    <s v="Fuel Card"/>
    <s v="SME"/>
    <x v="8"/>
    <b v="1"/>
    <x v="0"/>
    <s v="No"/>
    <m/>
    <m/>
    <m/>
    <d v="2025-09-16T00:00:00"/>
    <b v="1"/>
    <n v="962.14"/>
  </r>
  <r>
    <s v="LEAD00926"/>
    <d v="2025-08-10T00:00:00"/>
    <x v="2"/>
    <x v="3"/>
    <x v="2"/>
    <s v="Fuel Card"/>
    <s v="SME"/>
    <x v="10"/>
    <b v="1"/>
    <x v="0"/>
    <s v="Yes"/>
    <d v="2025-08-12T00:00:00"/>
    <d v="2025-08-27T00:00:00"/>
    <m/>
    <d v="2025-09-08T00:00:00"/>
    <b v="1"/>
    <n v="875.48"/>
  </r>
  <r>
    <s v="LEAD00927"/>
    <d v="2025-04-03T00:00:00"/>
    <x v="3"/>
    <x v="0"/>
    <x v="3"/>
    <s v="Toll Solution"/>
    <s v="Enterprise"/>
    <x v="5"/>
    <b v="1"/>
    <x v="0"/>
    <s v="Yes"/>
    <d v="2025-04-07T00:00:00"/>
    <d v="2025-04-17T00:00:00"/>
    <m/>
    <d v="2025-05-21T00:00:00"/>
    <b v="1"/>
    <n v="6776.08"/>
  </r>
  <r>
    <s v="LEAD00928"/>
    <d v="2025-06-06T00:00:00"/>
    <x v="5"/>
    <x v="4"/>
    <x v="0"/>
    <s v="Fleet Expense Card"/>
    <s v="SME"/>
    <x v="12"/>
    <b v="1"/>
    <x v="0"/>
    <s v="No"/>
    <m/>
    <m/>
    <m/>
    <d v="2025-06-22T00:00:00"/>
    <b v="1"/>
    <n v="974.67"/>
  </r>
  <r>
    <s v="LEAD00929"/>
    <d v="2025-05-26T00:00:00"/>
    <x v="6"/>
    <x v="3"/>
    <x v="1"/>
    <s v="EV Charge Card"/>
    <s v="SME"/>
    <x v="9"/>
    <b v="1"/>
    <x v="0"/>
    <s v="Yes"/>
    <d v="2025-06-02T00:00:00"/>
    <d v="2025-06-13T00:00:00"/>
    <m/>
    <d v="2025-06-20T00:00:00"/>
    <b v="1"/>
    <n v="771.63"/>
  </r>
  <r>
    <s v="LEAD00930"/>
    <d v="2025-06-21T00:00:00"/>
    <x v="5"/>
    <x v="3"/>
    <x v="3"/>
    <s v="Toll Solution"/>
    <s v="Mid-Market"/>
    <x v="10"/>
    <b v="1"/>
    <x v="0"/>
    <s v="No"/>
    <m/>
    <m/>
    <m/>
    <d v="2025-07-09T00:00:00"/>
    <b v="1"/>
    <n v="2201.1"/>
  </r>
  <r>
    <s v="LEAD00931"/>
    <d v="2025-07-31T00:00:00"/>
    <x v="4"/>
    <x v="1"/>
    <x v="1"/>
    <s v="EV Charge Card"/>
    <s v="Mid-Market"/>
    <x v="1"/>
    <b v="1"/>
    <x v="0"/>
    <s v="Yes"/>
    <d v="2025-08-05T00:00:00"/>
    <d v="2025-08-16T00:00:00"/>
    <m/>
    <d v="2025-08-27T00:00:00"/>
    <b v="1"/>
    <n v="2154.96"/>
  </r>
  <r>
    <s v="LEAD00932"/>
    <d v="2025-08-09T00:00:00"/>
    <x v="2"/>
    <x v="3"/>
    <x v="3"/>
    <s v="Fuel Card"/>
    <s v="Enterprise"/>
    <x v="10"/>
    <b v="1"/>
    <x v="0"/>
    <s v="Yes"/>
    <d v="2025-08-14T00:00:00"/>
    <d v="2025-08-26T00:00:00"/>
    <m/>
    <d v="2025-09-16T00:00:00"/>
    <b v="1"/>
    <n v="5885.69"/>
  </r>
  <r>
    <s v="LEAD00933"/>
    <d v="2025-09-28T00:00:00"/>
    <x v="11"/>
    <x v="4"/>
    <x v="4"/>
    <s v="Fuel Card"/>
    <s v="Mid-Market"/>
    <x v="13"/>
    <b v="1"/>
    <x v="2"/>
    <s v="Yes"/>
    <d v="2025-10-03T00:00:00"/>
    <d v="2025-10-15T00:00:00"/>
    <d v="2025-11-08T00:00:00"/>
    <m/>
    <b v="1"/>
    <n v="2002.83"/>
  </r>
  <r>
    <s v="LEAD00934"/>
    <d v="2025-08-29T00:00:00"/>
    <x v="2"/>
    <x v="3"/>
    <x v="0"/>
    <s v="Fleet Expense Card"/>
    <s v="Mid-Market"/>
    <x v="4"/>
    <b v="1"/>
    <x v="2"/>
    <s v="Yes"/>
    <d v="2025-09-01T00:00:00"/>
    <d v="2025-09-04T00:00:00"/>
    <d v="2025-09-10T00:00:00"/>
    <m/>
    <b v="1"/>
    <n v="3068.21"/>
  </r>
  <r>
    <s v="LEAD00935"/>
    <d v="2025-07-23T00:00:00"/>
    <x v="4"/>
    <x v="3"/>
    <x v="1"/>
    <s v="Fuel Card"/>
    <s v="SME"/>
    <x v="9"/>
    <b v="1"/>
    <x v="0"/>
    <s v="No"/>
    <m/>
    <m/>
    <m/>
    <d v="2025-07-29T00:00:00"/>
    <b v="1"/>
    <n v="826.7"/>
  </r>
  <r>
    <s v="LEAD00936"/>
    <d v="2025-11-26T00:00:00"/>
    <x v="10"/>
    <x v="1"/>
    <x v="1"/>
    <s v="Fleet Expense Card"/>
    <s v="SME"/>
    <x v="1"/>
    <b v="1"/>
    <x v="2"/>
    <s v="Yes"/>
    <d v="2025-12-05T00:00:00"/>
    <d v="2025-12-19T00:00:00"/>
    <d v="2026-01-03T00:00:00"/>
    <m/>
    <b v="1"/>
    <n v="557.49"/>
  </r>
  <r>
    <s v="LEAD00937"/>
    <d v="2025-09-04T00:00:00"/>
    <x v="11"/>
    <x v="3"/>
    <x v="2"/>
    <s v="Fleet Expense Card"/>
    <s v="SME"/>
    <x v="4"/>
    <b v="1"/>
    <x v="0"/>
    <s v="Yes"/>
    <d v="2025-09-05T00:00:00"/>
    <d v="2025-09-19T00:00:00"/>
    <m/>
    <d v="2025-10-08T00:00:00"/>
    <b v="1"/>
    <n v="988.5"/>
  </r>
  <r>
    <s v="LEAD00938"/>
    <d v="2025-02-23T00:00:00"/>
    <x v="8"/>
    <x v="3"/>
    <x v="1"/>
    <s v="Toll Solution"/>
    <s v="SME"/>
    <x v="9"/>
    <b v="1"/>
    <x v="0"/>
    <s v="Yes"/>
    <d v="2025-03-03T00:00:00"/>
    <d v="2025-03-17T00:00:00"/>
    <m/>
    <d v="2025-04-04T00:00:00"/>
    <b v="1"/>
    <n v="461.23"/>
  </r>
  <r>
    <s v="LEAD00939"/>
    <d v="2025-12-04T00:00:00"/>
    <x v="1"/>
    <x v="2"/>
    <x v="0"/>
    <s v="Fleet Expense Card"/>
    <s v="SME"/>
    <x v="8"/>
    <b v="1"/>
    <x v="2"/>
    <s v="Yes"/>
    <d v="2025-12-10T00:00:00"/>
    <d v="2025-12-12T00:00:00"/>
    <d v="2026-01-01T00:00:00"/>
    <m/>
    <b v="1"/>
    <n v="1038.5999999999999"/>
  </r>
  <r>
    <s v="LEAD00940"/>
    <d v="2025-09-07T00:00:00"/>
    <x v="11"/>
    <x v="3"/>
    <x v="3"/>
    <s v="Toll Solution"/>
    <s v="Mid-Market"/>
    <x v="4"/>
    <b v="1"/>
    <x v="0"/>
    <s v="Yes"/>
    <d v="2025-09-15T00:00:00"/>
    <d v="2025-09-23T00:00:00"/>
    <m/>
    <d v="2025-10-27T00:00:00"/>
    <b v="1"/>
    <n v="1822.68"/>
  </r>
  <r>
    <s v="LEAD00941"/>
    <d v="2025-09-17T00:00:00"/>
    <x v="11"/>
    <x v="3"/>
    <x v="3"/>
    <s v="Fuel Card"/>
    <s v="Mid-Market"/>
    <x v="10"/>
    <b v="1"/>
    <x v="0"/>
    <s v="Yes"/>
    <d v="2025-09-20T00:00:00"/>
    <d v="2025-09-22T00:00:00"/>
    <m/>
    <d v="2025-10-06T00:00:00"/>
    <b v="1"/>
    <n v="2016.72"/>
  </r>
  <r>
    <s v="LEAD00942"/>
    <d v="2025-05-09T00:00:00"/>
    <x v="6"/>
    <x v="3"/>
    <x v="3"/>
    <s v="Toll Solution"/>
    <s v="SME"/>
    <x v="9"/>
    <b v="1"/>
    <x v="0"/>
    <s v="No"/>
    <m/>
    <m/>
    <m/>
    <d v="2025-05-18T00:00:00"/>
    <b v="1"/>
    <n v="426.11"/>
  </r>
  <r>
    <s v="LEAD00943"/>
    <d v="2025-02-25T00:00:00"/>
    <x v="8"/>
    <x v="2"/>
    <x v="0"/>
    <s v="Fleet Expense Card"/>
    <s v="SME"/>
    <x v="6"/>
    <b v="1"/>
    <x v="0"/>
    <s v="No"/>
    <m/>
    <m/>
    <m/>
    <d v="2025-03-04T00:00:00"/>
    <b v="1"/>
    <n v="555.97"/>
  </r>
  <r>
    <s v="LEAD00944"/>
    <d v="2025-07-08T00:00:00"/>
    <x v="4"/>
    <x v="4"/>
    <x v="0"/>
    <s v="Toll Solution"/>
    <s v="Mid-Market"/>
    <x v="7"/>
    <b v="1"/>
    <x v="0"/>
    <s v="No"/>
    <m/>
    <m/>
    <m/>
    <d v="2025-07-10T00:00:00"/>
    <b v="1"/>
    <n v="1744.27"/>
  </r>
  <r>
    <s v="LEAD00945"/>
    <d v="2025-08-16T00:00:00"/>
    <x v="2"/>
    <x v="0"/>
    <x v="0"/>
    <s v="Fuel Card"/>
    <s v="SME"/>
    <x v="15"/>
    <b v="0"/>
    <x v="0"/>
    <s v="Yes"/>
    <d v="2025-08-17T00:00:00"/>
    <d v="2025-08-19T00:00:00"/>
    <m/>
    <d v="2025-08-27T00:00:00"/>
    <b v="1"/>
    <n v="865.49"/>
  </r>
  <r>
    <s v="LEAD00946"/>
    <d v="2025-01-20T00:00:00"/>
    <x v="9"/>
    <x v="4"/>
    <x v="2"/>
    <s v="Fleet Expense Card"/>
    <s v="SME"/>
    <x v="13"/>
    <b v="1"/>
    <x v="2"/>
    <s v="Yes"/>
    <d v="2025-01-28T00:00:00"/>
    <d v="2025-02-08T00:00:00"/>
    <d v="2025-02-19T00:00:00"/>
    <m/>
    <b v="1"/>
    <n v="988.22"/>
  </r>
  <r>
    <s v="LEAD00947"/>
    <d v="2025-08-30T00:00:00"/>
    <x v="2"/>
    <x v="4"/>
    <x v="1"/>
    <s v="Toll Solution"/>
    <s v="Mid-Market"/>
    <x v="7"/>
    <b v="1"/>
    <x v="0"/>
    <s v="Yes"/>
    <d v="2025-09-03T00:00:00"/>
    <m/>
    <m/>
    <d v="2025-09-16T00:00:00"/>
    <b v="1"/>
    <n v="1329.35"/>
  </r>
  <r>
    <s v="LEAD00948"/>
    <d v="2025-04-10T00:00:00"/>
    <x v="3"/>
    <x v="4"/>
    <x v="3"/>
    <s v="Fleet Expense Card"/>
    <s v="SME"/>
    <x v="12"/>
    <b v="1"/>
    <x v="0"/>
    <s v="Yes"/>
    <d v="2025-04-14T00:00:00"/>
    <m/>
    <m/>
    <d v="2025-05-01T00:00:00"/>
    <b v="1"/>
    <n v="607.72"/>
  </r>
  <r>
    <s v="LEAD00949"/>
    <d v="2025-11-29T00:00:00"/>
    <x v="10"/>
    <x v="0"/>
    <x v="4"/>
    <s v="Fleet Expense Card"/>
    <s v="Enterprise"/>
    <x v="3"/>
    <b v="1"/>
    <x v="0"/>
    <s v="Yes"/>
    <d v="2025-12-08T00:00:00"/>
    <d v="2025-12-17T00:00:00"/>
    <m/>
    <d v="2026-01-20T00:00:00"/>
    <b v="1"/>
    <n v="8857.61"/>
  </r>
  <r>
    <s v="LEAD00950"/>
    <d v="2025-03-16T00:00:00"/>
    <x v="7"/>
    <x v="3"/>
    <x v="3"/>
    <s v="Fuel Card"/>
    <s v="Enterprise"/>
    <x v="4"/>
    <b v="1"/>
    <x v="0"/>
    <s v="No"/>
    <m/>
    <m/>
    <m/>
    <d v="2025-03-29T00:00:00"/>
    <b v="1"/>
    <n v="11162.72"/>
  </r>
  <r>
    <s v="LEAD00951"/>
    <d v="2025-12-28T00:00:00"/>
    <x v="1"/>
    <x v="0"/>
    <x v="4"/>
    <s v="Fuel Card"/>
    <s v="SME"/>
    <x v="0"/>
    <b v="1"/>
    <x v="3"/>
    <s v="Yes"/>
    <d v="2025-12-30T00:00:00"/>
    <m/>
    <m/>
    <m/>
    <b v="1"/>
    <n v="809.4"/>
  </r>
  <r>
    <s v="LEAD00952"/>
    <d v="2025-10-18T00:00:00"/>
    <x v="0"/>
    <x v="3"/>
    <x v="2"/>
    <s v="Fleet Expense Card"/>
    <s v="Mid-Market"/>
    <x v="4"/>
    <b v="1"/>
    <x v="0"/>
    <s v="No"/>
    <m/>
    <m/>
    <m/>
    <d v="2025-10-26T00:00:00"/>
    <b v="1"/>
    <n v="2028.42"/>
  </r>
  <r>
    <s v="LEAD00953"/>
    <d v="2025-08-02T00:00:00"/>
    <x v="2"/>
    <x v="0"/>
    <x v="3"/>
    <s v="Fleet Expense Card"/>
    <s v="SME"/>
    <x v="3"/>
    <b v="1"/>
    <x v="0"/>
    <s v="No"/>
    <m/>
    <m/>
    <m/>
    <d v="2025-08-05T00:00:00"/>
    <b v="1"/>
    <n v="992.27"/>
  </r>
  <r>
    <s v="LEAD00954"/>
    <d v="2025-12-15T00:00:00"/>
    <x v="1"/>
    <x v="4"/>
    <x v="2"/>
    <s v="Toll Solution"/>
    <s v="Mid-Market"/>
    <x v="7"/>
    <b v="1"/>
    <x v="3"/>
    <s v="Yes"/>
    <d v="2025-12-23T00:00:00"/>
    <m/>
    <m/>
    <m/>
    <b v="1"/>
    <n v="2191.21"/>
  </r>
  <r>
    <s v="LEAD00955"/>
    <d v="2025-10-07T00:00:00"/>
    <x v="0"/>
    <x v="0"/>
    <x v="4"/>
    <s v="EV Charge Card"/>
    <s v="SME"/>
    <x v="5"/>
    <b v="1"/>
    <x v="2"/>
    <s v="Yes"/>
    <d v="2025-10-08T00:00:00"/>
    <d v="2025-10-10T00:00:00"/>
    <d v="2025-11-06T00:00:00"/>
    <m/>
    <b v="1"/>
    <n v="476.64"/>
  </r>
  <r>
    <s v="LEAD00956"/>
    <d v="2025-01-06T00:00:00"/>
    <x v="9"/>
    <x v="0"/>
    <x v="4"/>
    <s v="Toll Solution"/>
    <s v="SME"/>
    <x v="5"/>
    <b v="1"/>
    <x v="2"/>
    <s v="Yes"/>
    <d v="2025-01-08T00:00:00"/>
    <d v="2025-01-19T00:00:00"/>
    <d v="2025-02-15T00:00:00"/>
    <m/>
    <b v="1"/>
    <n v="606.86"/>
  </r>
  <r>
    <s v="LEAD00957"/>
    <d v="2025-12-09T00:00:00"/>
    <x v="1"/>
    <x v="2"/>
    <x v="0"/>
    <s v="Fuel Card"/>
    <s v="SME"/>
    <x v="2"/>
    <b v="1"/>
    <x v="2"/>
    <s v="Yes"/>
    <d v="2025-12-14T00:00:00"/>
    <d v="2025-12-18T00:00:00"/>
    <d v="2026-01-06T00:00:00"/>
    <m/>
    <b v="1"/>
    <n v="742.89"/>
  </r>
  <r>
    <s v="LEAD00958"/>
    <d v="2025-05-22T00:00:00"/>
    <x v="6"/>
    <x v="4"/>
    <x v="2"/>
    <s v="Fuel Card"/>
    <s v="Mid-Market"/>
    <x v="13"/>
    <b v="1"/>
    <x v="0"/>
    <s v="Yes"/>
    <d v="2025-05-28T00:00:00"/>
    <m/>
    <m/>
    <d v="2025-06-18T00:00:00"/>
    <b v="1"/>
    <n v="2921.12"/>
  </r>
  <r>
    <s v="LEAD00959"/>
    <d v="2025-01-16T00:00:00"/>
    <x v="9"/>
    <x v="3"/>
    <x v="2"/>
    <s v="Fuel Card"/>
    <s v="SME"/>
    <x v="10"/>
    <b v="1"/>
    <x v="0"/>
    <s v="Yes"/>
    <d v="2025-01-18T00:00:00"/>
    <m/>
    <m/>
    <d v="2025-02-05T00:00:00"/>
    <b v="1"/>
    <n v="990.42"/>
  </r>
  <r>
    <s v="LEAD00960"/>
    <d v="2025-10-24T00:00:00"/>
    <x v="0"/>
    <x v="1"/>
    <x v="0"/>
    <s v="Fleet Expense Card"/>
    <s v="Mid-Market"/>
    <x v="11"/>
    <b v="1"/>
    <x v="0"/>
    <s v="Yes"/>
    <d v="2025-10-25T00:00:00"/>
    <d v="2025-11-01T00:00:00"/>
    <m/>
    <d v="2025-11-28T00:00:00"/>
    <b v="1"/>
    <n v="1834.77"/>
  </r>
  <r>
    <s v="LEAD00961"/>
    <d v="2025-11-17T00:00:00"/>
    <x v="10"/>
    <x v="0"/>
    <x v="0"/>
    <s v="Fuel Card"/>
    <s v="Enterprise"/>
    <x v="3"/>
    <b v="1"/>
    <x v="0"/>
    <s v="No"/>
    <m/>
    <m/>
    <m/>
    <d v="2025-11-27T00:00:00"/>
    <b v="1"/>
    <n v="7000.23"/>
  </r>
  <r>
    <s v="LEAD00962"/>
    <d v="2025-10-14T00:00:00"/>
    <x v="0"/>
    <x v="3"/>
    <x v="3"/>
    <s v="EV Charge Card"/>
    <s v="SME"/>
    <x v="10"/>
    <b v="1"/>
    <x v="0"/>
    <s v="Yes"/>
    <d v="2025-10-19T00:00:00"/>
    <m/>
    <m/>
    <d v="2025-11-04T00:00:00"/>
    <b v="1"/>
    <n v="543.04999999999995"/>
  </r>
  <r>
    <s v="LEAD00963"/>
    <d v="2025-02-22T00:00:00"/>
    <x v="8"/>
    <x v="3"/>
    <x v="2"/>
    <s v="Fuel Card"/>
    <s v="Mid-Market"/>
    <x v="10"/>
    <b v="1"/>
    <x v="0"/>
    <s v="Yes"/>
    <d v="2025-02-28T00:00:00"/>
    <d v="2025-03-12T00:00:00"/>
    <m/>
    <d v="2025-03-27T00:00:00"/>
    <b v="1"/>
    <n v="2044.27"/>
  </r>
  <r>
    <s v="LEAD00964"/>
    <d v="2025-06-09T00:00:00"/>
    <x v="5"/>
    <x v="1"/>
    <x v="2"/>
    <s v="Fuel Card"/>
    <s v="SME"/>
    <x v="1"/>
    <b v="1"/>
    <x v="2"/>
    <s v="Yes"/>
    <d v="2025-06-14T00:00:00"/>
    <d v="2025-06-28T00:00:00"/>
    <d v="2025-07-01T00:00:00"/>
    <m/>
    <b v="1"/>
    <n v="1021.18"/>
  </r>
  <r>
    <s v="LEAD00965"/>
    <d v="2025-08-01T00:00:00"/>
    <x v="2"/>
    <x v="2"/>
    <x v="1"/>
    <s v="Fleet Expense Card"/>
    <s v="Mid-Market"/>
    <x v="8"/>
    <b v="1"/>
    <x v="0"/>
    <s v="No"/>
    <m/>
    <m/>
    <m/>
    <d v="2025-08-10T00:00:00"/>
    <b v="1"/>
    <n v="2307.48"/>
  </r>
  <r>
    <s v="LEAD00966"/>
    <d v="2025-11-09T00:00:00"/>
    <x v="10"/>
    <x v="3"/>
    <x v="0"/>
    <s v="Toll Solution"/>
    <s v="Enterprise"/>
    <x v="9"/>
    <b v="1"/>
    <x v="0"/>
    <s v="Yes"/>
    <d v="2025-11-15T00:00:00"/>
    <m/>
    <m/>
    <d v="2025-11-22T00:00:00"/>
    <b v="1"/>
    <n v="4896.0200000000004"/>
  </r>
  <r>
    <s v="LEAD00967"/>
    <d v="2025-10-01T00:00:00"/>
    <x v="0"/>
    <x v="3"/>
    <x v="2"/>
    <s v="EV Charge Card"/>
    <s v="Mid-Market"/>
    <x v="10"/>
    <b v="1"/>
    <x v="0"/>
    <s v="Yes"/>
    <d v="2025-10-05T00:00:00"/>
    <d v="2025-10-19T00:00:00"/>
    <m/>
    <d v="2025-10-27T00:00:00"/>
    <b v="1"/>
    <n v="2064.21"/>
  </r>
  <r>
    <s v="LEAD00968"/>
    <d v="2025-01-29T00:00:00"/>
    <x v="9"/>
    <x v="3"/>
    <x v="0"/>
    <s v="Fleet Expense Card"/>
    <s v="Mid-Market"/>
    <x v="4"/>
    <b v="1"/>
    <x v="0"/>
    <s v="Yes"/>
    <d v="2025-02-03T00:00:00"/>
    <d v="2025-02-14T00:00:00"/>
    <m/>
    <d v="2025-03-20T00:00:00"/>
    <b v="1"/>
    <n v="3261.87"/>
  </r>
  <r>
    <s v="LEAD00969"/>
    <d v="2025-02-18T00:00:00"/>
    <x v="8"/>
    <x v="3"/>
    <x v="0"/>
    <s v="Fuel Card"/>
    <s v="SME"/>
    <x v="10"/>
    <b v="1"/>
    <x v="2"/>
    <s v="Yes"/>
    <d v="2025-02-25T00:00:00"/>
    <d v="2025-03-11T00:00:00"/>
    <d v="2025-04-01T00:00:00"/>
    <m/>
    <b v="1"/>
    <n v="831.9"/>
  </r>
  <r>
    <s v="LEAD00970"/>
    <d v="2025-06-17T00:00:00"/>
    <x v="5"/>
    <x v="1"/>
    <x v="2"/>
    <s v="Fuel Card"/>
    <s v="SME"/>
    <x v="1"/>
    <b v="1"/>
    <x v="0"/>
    <s v="Yes"/>
    <d v="2025-06-19T00:00:00"/>
    <d v="2025-06-27T00:00:00"/>
    <m/>
    <d v="2025-07-20T00:00:00"/>
    <b v="1"/>
    <n v="1110.3499999999999"/>
  </r>
  <r>
    <s v="LEAD00971"/>
    <d v="2025-05-25T00:00:00"/>
    <x v="6"/>
    <x v="0"/>
    <x v="3"/>
    <s v="Toll Solution"/>
    <s v="SME"/>
    <x v="5"/>
    <b v="1"/>
    <x v="0"/>
    <s v="No"/>
    <m/>
    <m/>
    <m/>
    <d v="2025-06-10T00:00:00"/>
    <b v="1"/>
    <n v="379.91"/>
  </r>
  <r>
    <s v="LEAD00972"/>
    <d v="2025-12-06T00:00:00"/>
    <x v="1"/>
    <x v="2"/>
    <x v="2"/>
    <s v="Toll Solution"/>
    <s v="Enterprise"/>
    <x v="6"/>
    <b v="1"/>
    <x v="0"/>
    <s v="No"/>
    <m/>
    <m/>
    <m/>
    <d v="2025-12-24T00:00:00"/>
    <b v="1"/>
    <n v="3974.76"/>
  </r>
  <r>
    <s v="LEAD00973"/>
    <d v="2025-04-15T00:00:00"/>
    <x v="3"/>
    <x v="4"/>
    <x v="5"/>
    <s v="Fuel Card"/>
    <s v="Mid-Market"/>
    <x v="13"/>
    <b v="1"/>
    <x v="2"/>
    <s v="Yes"/>
    <d v="2025-04-19T00:00:00"/>
    <d v="2025-04-30T00:00:00"/>
    <d v="2025-05-10T00:00:00"/>
    <m/>
    <b v="1"/>
    <n v="2695.93"/>
  </r>
  <r>
    <s v="LEAD00974"/>
    <d v="2025-12-15T00:00:00"/>
    <x v="1"/>
    <x v="0"/>
    <x v="3"/>
    <s v="Fleet Expense Card"/>
    <s v="SME"/>
    <x v="5"/>
    <b v="1"/>
    <x v="4"/>
    <s v="No"/>
    <m/>
    <m/>
    <m/>
    <m/>
    <b v="1"/>
    <n v="1009"/>
  </r>
  <r>
    <s v="LEAD00975"/>
    <d v="2025-12-13T00:00:00"/>
    <x v="1"/>
    <x v="1"/>
    <x v="2"/>
    <s v="EV Charge Card"/>
    <s v="SME"/>
    <x v="14"/>
    <b v="1"/>
    <x v="1"/>
    <s v="Yes"/>
    <d v="2025-12-22T00:00:00"/>
    <d v="2026-01-02T00:00:00"/>
    <m/>
    <m/>
    <b v="1"/>
    <n v="491.3"/>
  </r>
  <r>
    <s v="LEAD00976"/>
    <d v="2025-12-23T00:00:00"/>
    <x v="1"/>
    <x v="4"/>
    <x v="0"/>
    <s v="Toll Solution"/>
    <s v="SME"/>
    <x v="13"/>
    <b v="1"/>
    <x v="4"/>
    <s v="No"/>
    <m/>
    <m/>
    <m/>
    <m/>
    <b v="1"/>
    <n v="462.57"/>
  </r>
  <r>
    <s v="LEAD00977"/>
    <d v="2025-11-22T00:00:00"/>
    <x v="10"/>
    <x v="2"/>
    <x v="2"/>
    <s v="Fleet Expense Card"/>
    <s v="SME"/>
    <x v="2"/>
    <b v="1"/>
    <x v="2"/>
    <s v="Yes"/>
    <d v="2025-11-28T00:00:00"/>
    <d v="2025-12-04T00:00:00"/>
    <d v="2025-12-11T00:00:00"/>
    <m/>
    <b v="1"/>
    <n v="745.34"/>
  </r>
  <r>
    <s v="LEAD00978"/>
    <d v="2025-03-29T00:00:00"/>
    <x v="7"/>
    <x v="4"/>
    <x v="1"/>
    <s v="Fuel Card"/>
    <s v="SME"/>
    <x v="7"/>
    <b v="1"/>
    <x v="0"/>
    <s v="Yes"/>
    <d v="2025-04-08T00:00:00"/>
    <d v="2025-04-20T00:00:00"/>
    <m/>
    <d v="2025-05-10T00:00:00"/>
    <b v="1"/>
    <n v="998.76"/>
  </r>
  <r>
    <s v="LEAD00979"/>
    <d v="2025-03-26T00:00:00"/>
    <x v="7"/>
    <x v="0"/>
    <x v="4"/>
    <s v="Fuel Card"/>
    <s v="Enterprise"/>
    <x v="5"/>
    <b v="1"/>
    <x v="0"/>
    <s v="Yes"/>
    <d v="2025-03-30T00:00:00"/>
    <m/>
    <m/>
    <d v="2025-04-05T00:00:00"/>
    <b v="1"/>
    <n v="8007.05"/>
  </r>
  <r>
    <s v="LEAD00980"/>
    <d v="2025-06-02T00:00:00"/>
    <x v="5"/>
    <x v="3"/>
    <x v="3"/>
    <s v="EV Charge Card"/>
    <s v="Mid-Market"/>
    <x v="4"/>
    <b v="1"/>
    <x v="0"/>
    <s v="Yes"/>
    <d v="2025-06-04T00:00:00"/>
    <d v="2025-06-19T00:00:00"/>
    <m/>
    <d v="2025-07-11T00:00:00"/>
    <b v="1"/>
    <n v="1852.68"/>
  </r>
  <r>
    <s v="LEAD00981"/>
    <d v="2025-04-26T00:00:00"/>
    <x v="3"/>
    <x v="0"/>
    <x v="2"/>
    <s v="EV Charge Card"/>
    <s v="Enterprise"/>
    <x v="3"/>
    <b v="1"/>
    <x v="0"/>
    <s v="Yes"/>
    <d v="2025-05-05T00:00:00"/>
    <d v="2025-05-09T00:00:00"/>
    <m/>
    <d v="2025-06-13T00:00:00"/>
    <b v="1"/>
    <n v="6722.4"/>
  </r>
  <r>
    <s v="LEAD00982"/>
    <d v="2025-09-05T00:00:00"/>
    <x v="11"/>
    <x v="0"/>
    <x v="2"/>
    <s v="Fuel Card"/>
    <s v="SME"/>
    <x v="3"/>
    <b v="1"/>
    <x v="0"/>
    <s v="Yes"/>
    <d v="2025-09-12T00:00:00"/>
    <m/>
    <m/>
    <d v="2025-10-02T00:00:00"/>
    <b v="1"/>
    <n v="889.41"/>
  </r>
  <r>
    <s v="LEAD00983"/>
    <d v="2025-06-20T00:00:00"/>
    <x v="5"/>
    <x v="0"/>
    <x v="2"/>
    <s v="Fuel Card"/>
    <s v="SME"/>
    <x v="0"/>
    <b v="1"/>
    <x v="0"/>
    <s v="No"/>
    <m/>
    <m/>
    <m/>
    <d v="2025-07-08T00:00:00"/>
    <b v="1"/>
    <n v="1079.8599999999999"/>
  </r>
  <r>
    <s v="LEAD00984"/>
    <d v="2025-11-28T00:00:00"/>
    <x v="10"/>
    <x v="0"/>
    <x v="2"/>
    <s v="Fuel Card"/>
    <s v="Enterprise"/>
    <x v="5"/>
    <b v="1"/>
    <x v="3"/>
    <s v="Yes"/>
    <d v="2025-12-08T00:00:00"/>
    <m/>
    <m/>
    <m/>
    <b v="1"/>
    <n v="7258.69"/>
  </r>
  <r>
    <s v="LEAD00985"/>
    <d v="2025-11-12T00:00:00"/>
    <x v="10"/>
    <x v="0"/>
    <x v="0"/>
    <s v="Fuel Card"/>
    <s v="SME"/>
    <x v="0"/>
    <b v="1"/>
    <x v="2"/>
    <s v="Yes"/>
    <d v="2025-11-20T00:00:00"/>
    <d v="2025-12-02T00:00:00"/>
    <d v="2025-12-17T00:00:00"/>
    <m/>
    <b v="1"/>
    <n v="957.64"/>
  </r>
  <r>
    <s v="LEAD00986"/>
    <d v="2025-11-04T00:00:00"/>
    <x v="10"/>
    <x v="0"/>
    <x v="0"/>
    <s v="Fuel Card"/>
    <s v="SME"/>
    <x v="0"/>
    <b v="1"/>
    <x v="0"/>
    <s v="No"/>
    <m/>
    <m/>
    <m/>
    <d v="2025-11-18T00:00:00"/>
    <b v="1"/>
    <n v="1032.46"/>
  </r>
  <r>
    <s v="LEAD00987"/>
    <d v="2025-01-09T00:00:00"/>
    <x v="9"/>
    <x v="4"/>
    <x v="2"/>
    <s v="EV Charge Card"/>
    <s v="SME"/>
    <x v="13"/>
    <b v="1"/>
    <x v="2"/>
    <s v="Yes"/>
    <d v="2025-01-18T00:00:00"/>
    <d v="2025-01-25T00:00:00"/>
    <d v="2025-01-31T00:00:00"/>
    <m/>
    <b v="1"/>
    <n v="646.46"/>
  </r>
  <r>
    <s v="LEAD00988"/>
    <d v="2025-04-02T00:00:00"/>
    <x v="3"/>
    <x v="0"/>
    <x v="3"/>
    <s v="Fuel Card"/>
    <s v="Mid-Market"/>
    <x v="3"/>
    <b v="1"/>
    <x v="0"/>
    <s v="No"/>
    <m/>
    <m/>
    <m/>
    <d v="2025-04-21T00:00:00"/>
    <b v="1"/>
    <n v="3383.81"/>
  </r>
  <r>
    <s v="LEAD00989"/>
    <d v="2025-11-25T00:00:00"/>
    <x v="10"/>
    <x v="0"/>
    <x v="0"/>
    <s v="Fleet Expense Card"/>
    <s v="SME"/>
    <x v="0"/>
    <b v="1"/>
    <x v="0"/>
    <s v="No"/>
    <m/>
    <m/>
    <m/>
    <d v="2025-12-08T00:00:00"/>
    <b v="1"/>
    <n v="858.23"/>
  </r>
  <r>
    <s v="LEAD00990"/>
    <d v="2025-05-23T00:00:00"/>
    <x v="6"/>
    <x v="1"/>
    <x v="3"/>
    <s v="Fleet Expense Card"/>
    <s v="Enterprise"/>
    <x v="11"/>
    <b v="1"/>
    <x v="0"/>
    <s v="Yes"/>
    <d v="2025-06-02T00:00:00"/>
    <d v="2025-06-09T00:00:00"/>
    <m/>
    <d v="2025-06-19T00:00:00"/>
    <b v="1"/>
    <n v="9000.64"/>
  </r>
  <r>
    <s v="LEAD00991"/>
    <d v="2025-09-15T00:00:00"/>
    <x v="11"/>
    <x v="3"/>
    <x v="1"/>
    <s v="EV Charge Card"/>
    <s v="Mid-Market"/>
    <x v="10"/>
    <b v="1"/>
    <x v="0"/>
    <s v="Yes"/>
    <d v="2025-09-22T00:00:00"/>
    <m/>
    <m/>
    <d v="2025-10-05T00:00:00"/>
    <b v="1"/>
    <n v="2796.71"/>
  </r>
  <r>
    <s v="LEAD00992"/>
    <d v="2025-02-08T00:00:00"/>
    <x v="8"/>
    <x v="1"/>
    <x v="3"/>
    <s v="Fuel Card"/>
    <s v="SME"/>
    <x v="1"/>
    <b v="1"/>
    <x v="0"/>
    <s v="Yes"/>
    <d v="2025-02-11T00:00:00"/>
    <d v="2025-02-23T00:00:00"/>
    <m/>
    <d v="2025-03-21T00:00:00"/>
    <b v="1"/>
    <n v="956.99"/>
  </r>
  <r>
    <s v="LEAD00993"/>
    <d v="2025-03-10T00:00:00"/>
    <x v="7"/>
    <x v="0"/>
    <x v="0"/>
    <s v="Fuel Card"/>
    <s v="SME"/>
    <x v="3"/>
    <b v="1"/>
    <x v="0"/>
    <s v="No"/>
    <m/>
    <m/>
    <m/>
    <d v="2025-03-30T00:00:00"/>
    <b v="1"/>
    <n v="745.84"/>
  </r>
  <r>
    <s v="LEAD00994"/>
    <d v="2025-12-19T00:00:00"/>
    <x v="1"/>
    <x v="1"/>
    <x v="2"/>
    <s v="Toll Solution"/>
    <s v="SME"/>
    <x v="11"/>
    <b v="1"/>
    <x v="2"/>
    <s v="Yes"/>
    <d v="2025-12-23T00:00:00"/>
    <d v="2026-01-07T00:00:00"/>
    <d v="2026-01-19T00:00:00"/>
    <m/>
    <b v="1"/>
    <n v="372.79"/>
  </r>
  <r>
    <s v="LEAD00995"/>
    <d v="2025-04-05T00:00:00"/>
    <x v="3"/>
    <x v="0"/>
    <x v="3"/>
    <s v="Fuel Card"/>
    <s v="SME"/>
    <x v="3"/>
    <b v="1"/>
    <x v="0"/>
    <s v="No"/>
    <m/>
    <m/>
    <m/>
    <d v="2025-04-25T00:00:00"/>
    <b v="1"/>
    <n v="817.33"/>
  </r>
  <r>
    <s v="LEAD00996"/>
    <d v="2025-05-18T00:00:00"/>
    <x v="6"/>
    <x v="0"/>
    <x v="3"/>
    <s v="EV Charge Card"/>
    <s v="SME"/>
    <x v="3"/>
    <b v="1"/>
    <x v="0"/>
    <s v="No"/>
    <m/>
    <m/>
    <m/>
    <d v="2025-05-27T00:00:00"/>
    <b v="1"/>
    <n v="743.08"/>
  </r>
  <r>
    <s v="LEAD00997"/>
    <d v="2025-05-20T00:00:00"/>
    <x v="6"/>
    <x v="4"/>
    <x v="4"/>
    <s v="Toll Solution"/>
    <s v="SME"/>
    <x v="12"/>
    <b v="1"/>
    <x v="2"/>
    <s v="Yes"/>
    <d v="2025-05-21T00:00:00"/>
    <d v="2025-05-26T00:00:00"/>
    <d v="2025-06-25T00:00:00"/>
    <m/>
    <b v="1"/>
    <n v="514.66999999999996"/>
  </r>
  <r>
    <s v="LEAD00998"/>
    <d v="2025-08-23T00:00:00"/>
    <x v="2"/>
    <x v="2"/>
    <x v="2"/>
    <s v="Fleet Expense Card"/>
    <s v="SME"/>
    <x v="2"/>
    <b v="1"/>
    <x v="0"/>
    <s v="No"/>
    <m/>
    <m/>
    <m/>
    <d v="2025-09-04T00:00:00"/>
    <b v="1"/>
    <n v="816.78"/>
  </r>
  <r>
    <s v="LEAD00999"/>
    <d v="2025-11-22T00:00:00"/>
    <x v="10"/>
    <x v="1"/>
    <x v="0"/>
    <s v="Fuel Card"/>
    <s v="SME"/>
    <x v="11"/>
    <b v="1"/>
    <x v="0"/>
    <s v="Yes"/>
    <d v="2025-11-23T00:00:00"/>
    <d v="2025-12-06T00:00:00"/>
    <m/>
    <d v="2025-12-19T00:00:00"/>
    <b v="1"/>
    <n v="869.43"/>
  </r>
  <r>
    <s v="LEAD01000"/>
    <d v="2025-03-04T00:00:00"/>
    <x v="7"/>
    <x v="3"/>
    <x v="3"/>
    <s v="Toll Solution"/>
    <s v="SME"/>
    <x v="9"/>
    <b v="1"/>
    <x v="0"/>
    <s v="No"/>
    <m/>
    <m/>
    <m/>
    <d v="2025-03-18T00:00:00"/>
    <b v="1"/>
    <n v="500.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CUST00001"/>
    <s v="LEAD00010"/>
    <b v="1"/>
    <d v="2026-01-01T00:00:00"/>
    <d v="2026-02-12T00:00:00"/>
    <b v="1"/>
    <b v="1"/>
    <x v="0"/>
    <s v="Toll Solution"/>
    <s v="Referral"/>
    <s v="REP006"/>
    <x v="0"/>
    <s v="Active"/>
    <x v="0"/>
    <m/>
    <n v="6898.05"/>
    <n v="42"/>
  </r>
  <r>
    <s v="CUST00002"/>
    <s v="LEAD00012"/>
    <b v="1"/>
    <d v="2025-07-04T00:00:00"/>
    <d v="2025-08-07T00:00:00"/>
    <b v="1"/>
    <b v="1"/>
    <x v="1"/>
    <s v="Fuel Card"/>
    <s v="Referral"/>
    <s v="REP009"/>
    <x v="1"/>
    <s v="Active"/>
    <x v="0"/>
    <m/>
    <n v="732.38"/>
    <n v="34"/>
  </r>
  <r>
    <s v="CUST00003"/>
    <s v="LEAD00015"/>
    <b v="1"/>
    <d v="2025-04-12T00:00:00"/>
    <d v="2025-04-29T00:00:00"/>
    <b v="1"/>
    <b v="1"/>
    <x v="2"/>
    <s v="Toll Solution"/>
    <s v="Partner"/>
    <s v="REP015"/>
    <x v="2"/>
    <s v="Active"/>
    <x v="0"/>
    <m/>
    <n v="1713.23"/>
    <n v="17"/>
  </r>
  <r>
    <s v="CUST00004"/>
    <s v="LEAD00016"/>
    <b v="1"/>
    <d v="2025-06-13T00:00:00"/>
    <d v="2025-07-12T00:00:00"/>
    <b v="1"/>
    <b v="1"/>
    <x v="0"/>
    <s v="Fuel Card"/>
    <s v="Direct Sales"/>
    <s v="REP004"/>
    <x v="2"/>
    <s v="Churned"/>
    <x v="1"/>
    <d v="2025-10-11T00:00:00"/>
    <n v="2249.42"/>
    <n v="29"/>
  </r>
  <r>
    <s v="CUST00005"/>
    <s v="LEAD00025"/>
    <b v="1"/>
    <d v="2026-01-21T00:00:00"/>
    <d v="2026-02-04T00:00:00"/>
    <b v="1"/>
    <b v="1"/>
    <x v="0"/>
    <s v="EV Charge Card"/>
    <s v="Direct Sales"/>
    <s v="REP006"/>
    <x v="1"/>
    <s v="Active"/>
    <x v="0"/>
    <m/>
    <n v="670.98"/>
    <n v="14"/>
  </r>
  <r>
    <s v="CUST00006"/>
    <s v="LEAD99999"/>
    <b v="0"/>
    <d v="2025-12-13T00:00:00"/>
    <d v="2026-01-13T00:00:00"/>
    <b v="1"/>
    <b v="1"/>
    <x v="0"/>
    <s v="Fuel Card"/>
    <s v="Direct Sales"/>
    <s v="REP006"/>
    <x v="1"/>
    <s v="Active"/>
    <x v="0"/>
    <m/>
    <n v="725.29"/>
    <n v="31"/>
  </r>
  <r>
    <s v="CUST00007"/>
    <s v="LEAD00035"/>
    <b v="1"/>
    <d v="2025-02-12T00:00:00"/>
    <d v="2025-02-23T00:00:00"/>
    <b v="1"/>
    <b v="1"/>
    <x v="2"/>
    <s v="Fuel Card"/>
    <s v="Partner"/>
    <s v="REP013"/>
    <x v="1"/>
    <s v="Active"/>
    <x v="0"/>
    <m/>
    <n v="1113.1099999999999"/>
    <n v="11"/>
  </r>
  <r>
    <s v="CUST00008"/>
    <s v="LEAD00038"/>
    <b v="1"/>
    <d v="2025-03-01T00:00:00"/>
    <m/>
    <b v="1"/>
    <b v="0"/>
    <x v="1"/>
    <s v="Fuel Card"/>
    <s v="Referral"/>
    <s v="REP009"/>
    <x v="2"/>
    <s v="Not Activated"/>
    <x v="2"/>
    <m/>
    <n v="3476.46"/>
    <s v=""/>
  </r>
  <r>
    <s v="CUST00009"/>
    <s v="LEAD00041"/>
    <b v="1"/>
    <d v="2025-03-25T00:00:00"/>
    <d v="2025-05-01T00:00:00"/>
    <b v="1"/>
    <b v="1"/>
    <x v="0"/>
    <s v="EV Charge Card"/>
    <s v="Referral"/>
    <s v="REP006"/>
    <x v="0"/>
    <s v="Active"/>
    <x v="0"/>
    <m/>
    <n v="5529.48"/>
    <n v="37"/>
  </r>
  <r>
    <s v="CUST00010"/>
    <s v="LEAD00046"/>
    <b v="1"/>
    <d v="2025-10-22T00:00:00"/>
    <d v="2025-11-22T00:00:00"/>
    <b v="1"/>
    <b v="1"/>
    <x v="0"/>
    <s v="Fuel Card"/>
    <s v="Direct Sales"/>
    <s v="REP004"/>
    <x v="1"/>
    <s v="Active"/>
    <x v="0"/>
    <m/>
    <n v="823.17"/>
    <n v="31"/>
  </r>
  <r>
    <s v="CUST00011"/>
    <s v="LEAD00049"/>
    <b v="1"/>
    <d v="2025-09-23T00:00:00"/>
    <d v="2025-09-29T00:00:00"/>
    <b v="1"/>
    <b v="1"/>
    <x v="3"/>
    <s v="Toll Solution"/>
    <s v="Referral"/>
    <s v="REP002"/>
    <x v="1"/>
    <s v="Active"/>
    <x v="0"/>
    <m/>
    <n v="682.3"/>
    <n v="6"/>
  </r>
  <r>
    <s v="CUST00012"/>
    <s v="LEAD00058"/>
    <b v="1"/>
    <d v="2025-04-10T00:00:00"/>
    <d v="2025-05-21T00:00:00"/>
    <b v="1"/>
    <b v="1"/>
    <x v="0"/>
    <s v="EV Charge Card"/>
    <s v="Partner"/>
    <s v="REP006"/>
    <x v="1"/>
    <s v="Active"/>
    <x v="0"/>
    <m/>
    <n v="710.84"/>
    <n v="41"/>
  </r>
  <r>
    <s v="CUST00013"/>
    <s v="LEAD00064"/>
    <b v="1"/>
    <d v="2025-12-30T00:00:00"/>
    <d v="2025-12-28T00:00:00"/>
    <b v="0"/>
    <b v="0"/>
    <x v="0"/>
    <s v="EV Charge Card"/>
    <s v="Telesales"/>
    <s v="REP006"/>
    <x v="1"/>
    <s v="Active"/>
    <x v="0"/>
    <m/>
    <n v="565.82000000000005"/>
    <s v=""/>
  </r>
  <r>
    <s v="CUST00014"/>
    <s v="LEAD00069"/>
    <b v="1"/>
    <d v="2025-06-20T00:00:00"/>
    <d v="2025-07-16T00:00:00"/>
    <b v="1"/>
    <b v="1"/>
    <x v="3"/>
    <s v="Fuel Card"/>
    <s v="Direct Sales"/>
    <s v="REP002"/>
    <x v="1"/>
    <s v="Active"/>
    <x v="0"/>
    <m/>
    <n v="601.64"/>
    <n v="26"/>
  </r>
  <r>
    <s v="CUST00015"/>
    <s v="LEAD00072"/>
    <b v="1"/>
    <d v="2025-04-22T00:00:00"/>
    <d v="2025-05-19T00:00:00"/>
    <b v="1"/>
    <b v="1"/>
    <x v="0"/>
    <s v="Fleet Expense Card"/>
    <s v="Direct Sales"/>
    <s v="REP006"/>
    <x v="1"/>
    <s v="Active"/>
    <x v="0"/>
    <m/>
    <n v="594.28"/>
    <n v="27"/>
  </r>
  <r>
    <s v="CUST00016"/>
    <s v="LEAD00074"/>
    <b v="1"/>
    <d v="2025-11-28T00:00:00"/>
    <d v="2025-11-30T00:00:00"/>
    <b v="1"/>
    <b v="1"/>
    <x v="3"/>
    <s v="EV Charge Card"/>
    <s v="Digital"/>
    <s v="REP001"/>
    <x v="1"/>
    <s v="Active"/>
    <x v="0"/>
    <m/>
    <n v="755.27"/>
    <n v="2"/>
  </r>
  <r>
    <s v="CUST00017"/>
    <s v="LEAD00075"/>
    <b v="1"/>
    <d v="2025-06-16T00:00:00"/>
    <d v="2025-06-19T00:00:00"/>
    <b v="1"/>
    <b v="1"/>
    <x v="2"/>
    <s v="Fuel Card"/>
    <s v="Partner"/>
    <s v="REP015"/>
    <x v="2"/>
    <s v="Active"/>
    <x v="0"/>
    <m/>
    <n v="2303.13"/>
    <n v="3"/>
  </r>
  <r>
    <s v="CUST00018"/>
    <s v="LEAD00081"/>
    <b v="1"/>
    <d v="2025-08-10T00:00:00"/>
    <d v="2025-08-28T00:00:00"/>
    <b v="1"/>
    <b v="1"/>
    <x v="1"/>
    <s v="EV Charge Card"/>
    <s v="Partner"/>
    <s v="REP009"/>
    <x v="2"/>
    <s v="Active"/>
    <x v="0"/>
    <m/>
    <n v="2363.89"/>
    <n v="18"/>
  </r>
  <r>
    <s v="CUST00019"/>
    <s v="LEAD00082"/>
    <b v="1"/>
    <d v="2025-11-02T00:00:00"/>
    <m/>
    <b v="1"/>
    <b v="0"/>
    <x v="2"/>
    <s v="Fuel Card"/>
    <s v="Direct Sales"/>
    <s v="REP015"/>
    <x v="1"/>
    <s v="Not Activated"/>
    <x v="2"/>
    <m/>
    <n v="1129.44"/>
    <s v=""/>
  </r>
  <r>
    <s v="CUST00020"/>
    <s v="LEAD00086"/>
    <b v="1"/>
    <d v="2025-03-30T00:00:00"/>
    <d v="2025-05-16T00:00:00"/>
    <b v="1"/>
    <b v="1"/>
    <x v="3"/>
    <s v="Fuel Card"/>
    <s v="Partner"/>
    <s v="REP003"/>
    <x v="0"/>
    <s v="Active"/>
    <x v="0"/>
    <m/>
    <n v="6878.5"/>
    <n v="47"/>
  </r>
  <r>
    <s v="CUST00021"/>
    <s v="LEAD99999"/>
    <b v="0"/>
    <d v="2025-03-24T00:00:00"/>
    <d v="2025-05-19T00:00:00"/>
    <b v="1"/>
    <b v="1"/>
    <x v="3"/>
    <s v="Fuel Card"/>
    <s v="Partner"/>
    <s v="REP003"/>
    <x v="2"/>
    <s v="Active"/>
    <x v="0"/>
    <m/>
    <n v="2560.4699999999998"/>
    <n v="56"/>
  </r>
  <r>
    <s v="CUST00022"/>
    <s v="LEAD00089"/>
    <b v="1"/>
    <d v="2025-06-13T00:00:00"/>
    <d v="2025-06-29T00:00:00"/>
    <b v="1"/>
    <b v="1"/>
    <x v="1"/>
    <s v="Fuel Card"/>
    <s v="Partner"/>
    <s v="REP008"/>
    <x v="0"/>
    <s v="Active"/>
    <x v="0"/>
    <m/>
    <n v="8785.69"/>
    <n v="16"/>
  </r>
  <r>
    <s v="CUST00023"/>
    <s v="LEAD00090"/>
    <b v="1"/>
    <d v="2025-12-09T00:00:00"/>
    <d v="2026-01-21T00:00:00"/>
    <b v="1"/>
    <b v="1"/>
    <x v="2"/>
    <s v="Fuel Card"/>
    <s v="Direct Sales"/>
    <s v="REP013"/>
    <x v="2"/>
    <s v="Active"/>
    <x v="0"/>
    <m/>
    <n v="2533.19"/>
    <n v="43"/>
  </r>
  <r>
    <s v="CUST00024"/>
    <s v="LEAD00092"/>
    <b v="1"/>
    <d v="2025-04-03T00:00:00"/>
    <d v="2025-04-13T00:00:00"/>
    <b v="1"/>
    <b v="1"/>
    <x v="1"/>
    <s v="Fleet Expense Card"/>
    <s v="Direct Sales"/>
    <s v="REP008"/>
    <x v="3"/>
    <s v="Active"/>
    <x v="0"/>
    <m/>
    <n v="585.85"/>
    <n v="10"/>
  </r>
  <r>
    <s v="CUST00025"/>
    <s v="LEAD00104"/>
    <b v="1"/>
    <d v="2025-04-14T00:00:00"/>
    <d v="2025-05-01T00:00:00"/>
    <b v="1"/>
    <b v="1"/>
    <x v="2"/>
    <s v="Toll Solution"/>
    <s v="Partner"/>
    <s v="REP015"/>
    <x v="2"/>
    <s v="Active"/>
    <x v="0"/>
    <m/>
    <n v="2145.83"/>
    <n v="17"/>
  </r>
  <r>
    <s v="CUST00026"/>
    <s v="LEAD00106"/>
    <b v="1"/>
    <d v="2025-07-31T00:00:00"/>
    <d v="2025-08-14T00:00:00"/>
    <b v="1"/>
    <b v="1"/>
    <x v="1"/>
    <s v="Fleet Expense Card"/>
    <s v="Partner"/>
    <s v="REP008"/>
    <x v="1"/>
    <s v="Active"/>
    <x v="0"/>
    <m/>
    <n v="921.4"/>
    <n v="14"/>
  </r>
  <r>
    <s v="CUST00027"/>
    <s v="LEAD00108"/>
    <b v="1"/>
    <d v="2025-11-24T00:00:00"/>
    <d v="2026-01-07T00:00:00"/>
    <b v="1"/>
    <b v="1"/>
    <x v="4"/>
    <s v="Fleet Expense Card"/>
    <s v="Direct Sales"/>
    <s v="REP012"/>
    <x v="2"/>
    <s v="Active"/>
    <x v="0"/>
    <m/>
    <n v="2768.87"/>
    <n v="44"/>
  </r>
  <r>
    <s v="CUST00028"/>
    <s v="LEAD00111"/>
    <b v="1"/>
    <d v="2025-08-22T00:00:00"/>
    <d v="2025-09-18T00:00:00"/>
    <b v="1"/>
    <b v="1"/>
    <x v="2"/>
    <s v="Fuel Card"/>
    <s v="Direct Sales"/>
    <s v="REP015"/>
    <x v="2"/>
    <s v="Active"/>
    <x v="0"/>
    <m/>
    <n v="2084.0500000000002"/>
    <n v="27"/>
  </r>
  <r>
    <s v="CUST00029"/>
    <s v="LEAD00112"/>
    <b v="1"/>
    <d v="2025-08-10T00:00:00"/>
    <d v="2025-09-23T00:00:00"/>
    <b v="1"/>
    <b v="1"/>
    <x v="2"/>
    <s v="Fuel Card"/>
    <s v="Direct Sales"/>
    <s v="REP015"/>
    <x v="2"/>
    <s v="Active"/>
    <x v="0"/>
    <m/>
    <n v="2684.85"/>
    <n v="44"/>
  </r>
  <r>
    <s v="CUST00030"/>
    <s v="LEAD00113"/>
    <b v="1"/>
    <d v="2025-05-24T00:00:00"/>
    <d v="2025-06-06T00:00:00"/>
    <b v="1"/>
    <b v="1"/>
    <x v="1"/>
    <s v="Fuel Card"/>
    <s v="Referral"/>
    <s v="REP008"/>
    <x v="3"/>
    <s v="Churned"/>
    <x v="1"/>
    <d v="2025-08-20T00:00:00"/>
    <n v="10631.28"/>
    <n v="13"/>
  </r>
  <r>
    <s v="CUST00031"/>
    <s v="LEAD00115"/>
    <b v="1"/>
    <d v="2025-10-06T00:00:00"/>
    <d v="2025-11-20T00:00:00"/>
    <b v="1"/>
    <b v="1"/>
    <x v="0"/>
    <s v="EV Charge Card"/>
    <s v="Referral"/>
    <s v="REP004"/>
    <x v="1"/>
    <s v="Active"/>
    <x v="0"/>
    <m/>
    <n v="843.9"/>
    <n v="45"/>
  </r>
  <r>
    <s v="CUST00032"/>
    <s v="LEAD00125"/>
    <b v="1"/>
    <d v="2025-04-16T00:00:00"/>
    <d v="2025-04-20T00:00:00"/>
    <b v="1"/>
    <b v="1"/>
    <x v="3"/>
    <s v="Fuel Card"/>
    <s v="Telesales"/>
    <s v="REP001"/>
    <x v="1"/>
    <s v="Active"/>
    <x v="0"/>
    <m/>
    <n v="1012.09"/>
    <n v="4"/>
  </r>
  <r>
    <s v="CUST00033"/>
    <s v="LEAD00126"/>
    <b v="1"/>
    <d v="2025-10-11T00:00:00"/>
    <d v="2025-12-16T00:00:00"/>
    <b v="1"/>
    <b v="1"/>
    <x v="3"/>
    <s v="Fuel Card"/>
    <s v="Partner"/>
    <s v="REP003"/>
    <x v="0"/>
    <s v="Active"/>
    <x v="0"/>
    <m/>
    <n v="10550.44"/>
    <n v="66"/>
  </r>
  <r>
    <s v="CUST00034"/>
    <s v="LEAD00129"/>
    <b v="1"/>
    <d v="2025-08-09T00:00:00"/>
    <d v="2025-09-06T00:00:00"/>
    <b v="1"/>
    <b v="1"/>
    <x v="4"/>
    <s v="Fuel Card"/>
    <s v="Direct Sales"/>
    <s v="REP010"/>
    <x v="1"/>
    <s v="Active"/>
    <x v="0"/>
    <m/>
    <n v="994.66"/>
    <n v="28"/>
  </r>
  <r>
    <s v="CUST00035"/>
    <s v="LEAD00132"/>
    <b v="1"/>
    <d v="2025-03-25T00:00:00"/>
    <d v="2025-05-09T00:00:00"/>
    <b v="1"/>
    <b v="1"/>
    <x v="2"/>
    <s v="Toll Solution"/>
    <s v="Direct Sales"/>
    <s v="REP014"/>
    <x v="2"/>
    <s v="Active"/>
    <x v="0"/>
    <m/>
    <n v="1434.56"/>
    <n v="45"/>
  </r>
  <r>
    <s v="CUST00036"/>
    <s v="LEAD00135"/>
    <b v="1"/>
    <d v="2025-04-30T00:00:00"/>
    <d v="2025-06-06T00:00:00"/>
    <b v="1"/>
    <b v="1"/>
    <x v="4"/>
    <s v="Fuel Card"/>
    <s v="Referral"/>
    <s v="REP011"/>
    <x v="0"/>
    <s v="Active"/>
    <x v="0"/>
    <m/>
    <n v="6669.82"/>
    <n v="37"/>
  </r>
  <r>
    <s v="CUST00037"/>
    <s v="LEAD00136"/>
    <b v="1"/>
    <d v="2025-11-16T00:00:00"/>
    <d v="2025-12-24T00:00:00"/>
    <b v="1"/>
    <b v="1"/>
    <x v="2"/>
    <s v="Fuel Card"/>
    <s v="Direct Sales"/>
    <s v="REP014"/>
    <x v="2"/>
    <s v="Active"/>
    <x v="0"/>
    <m/>
    <n v="3313.31"/>
    <n v="38"/>
  </r>
  <r>
    <s v="CUST00038"/>
    <s v="LEAD00141"/>
    <b v="1"/>
    <d v="2025-06-20T00:00:00"/>
    <d v="2025-06-30T00:00:00"/>
    <b v="1"/>
    <b v="1"/>
    <x v="0"/>
    <s v="EV Charge Card"/>
    <s v="Direct Sales"/>
    <s v="REP006"/>
    <x v="1"/>
    <s v="Active"/>
    <x v="0"/>
    <m/>
    <n v="879.21"/>
    <n v="10"/>
  </r>
  <r>
    <s v="CUST00039"/>
    <s v="LEAD00142"/>
    <b v="1"/>
    <d v="2025-04-04T00:00:00"/>
    <d v="2025-04-27T00:00:00"/>
    <b v="1"/>
    <b v="1"/>
    <x v="1"/>
    <s v="Fuel Card"/>
    <s v="Direct Sales"/>
    <s v="REP007"/>
    <x v="1"/>
    <s v="Active"/>
    <x v="0"/>
    <m/>
    <n v="1001.56"/>
    <n v="23"/>
  </r>
  <r>
    <s v="CUST00040"/>
    <s v="LEAD00147"/>
    <b v="1"/>
    <d v="2025-07-09T00:00:00"/>
    <m/>
    <b v="1"/>
    <b v="0"/>
    <x v="3"/>
    <s v="Toll Solution"/>
    <s v="Digital"/>
    <s v="REP002"/>
    <x v="1"/>
    <s v="Not Activated"/>
    <x v="2"/>
    <m/>
    <n v="435.5"/>
    <s v=""/>
  </r>
  <r>
    <s v="CUST00041"/>
    <s v="LEAD00148"/>
    <b v="1"/>
    <d v="2025-02-14T00:00:00"/>
    <m/>
    <b v="1"/>
    <b v="0"/>
    <x v="0"/>
    <s v="Fuel Card"/>
    <s v="Partner"/>
    <s v="REP005"/>
    <x v="2"/>
    <s v="Active"/>
    <x v="3"/>
    <m/>
    <n v="2195.9899999999998"/>
    <s v=""/>
  </r>
  <r>
    <s v="CUST00042"/>
    <s v="LEAD00152"/>
    <b v="1"/>
    <d v="2025-08-29T00:00:00"/>
    <d v="2025-10-09T00:00:00"/>
    <b v="1"/>
    <b v="1"/>
    <x v="3"/>
    <s v="Fleet Expense Card"/>
    <s v="Direct Sales"/>
    <s v="REP003"/>
    <x v="2"/>
    <s v="Active"/>
    <x v="0"/>
    <m/>
    <n v="1822.37"/>
    <n v="41"/>
  </r>
  <r>
    <s v="CUST00043"/>
    <s v="LEAD00156"/>
    <b v="1"/>
    <d v="2025-05-30T00:00:00"/>
    <d v="2025-07-12T00:00:00"/>
    <b v="1"/>
    <b v="1"/>
    <x v="1"/>
    <s v="Toll Solution"/>
    <s v="Referral"/>
    <s v="REP008"/>
    <x v="2"/>
    <s v="Active"/>
    <x v="0"/>
    <m/>
    <n v="1392.53"/>
    <n v="43"/>
  </r>
  <r>
    <s v="CUST00044"/>
    <s v="LEAD00162"/>
    <b v="1"/>
    <d v="2025-08-27T00:00:00"/>
    <d v="2025-09-22T00:00:00"/>
    <b v="1"/>
    <b v="1"/>
    <x v="3"/>
    <s v="Toll Solution"/>
    <s v="Direct Sales"/>
    <s v="REP002"/>
    <x v="2"/>
    <s v="Churned"/>
    <x v="1"/>
    <m/>
    <n v="2050.27"/>
    <n v="26"/>
  </r>
  <r>
    <s v="CUST00045"/>
    <s v="LEAD00165"/>
    <b v="1"/>
    <d v="2025-08-12T00:00:00"/>
    <d v="2025-09-24T00:00:00"/>
    <b v="1"/>
    <b v="1"/>
    <x v="3"/>
    <s v="Fleet Expense Card"/>
    <s v="Partner"/>
    <s v="REP002"/>
    <x v="2"/>
    <s v="Active"/>
    <x v="0"/>
    <m/>
    <n v="1977.9"/>
    <n v="43"/>
  </r>
  <r>
    <s v="CUST00046"/>
    <s v="LEAD00166"/>
    <b v="1"/>
    <d v="2025-05-07T00:00:00"/>
    <d v="2025-05-26T00:00:00"/>
    <b v="1"/>
    <b v="1"/>
    <x v="3"/>
    <s v="Fuel Card"/>
    <s v="Digital"/>
    <s v="REP003"/>
    <x v="1"/>
    <s v="Active"/>
    <x v="0"/>
    <m/>
    <n v="1018.13"/>
    <n v="19"/>
  </r>
  <r>
    <s v="CUST00047"/>
    <s v="LEAD00181"/>
    <b v="1"/>
    <d v="2026-01-01T00:00:00"/>
    <m/>
    <b v="1"/>
    <b v="0"/>
    <x v="3"/>
    <s v="Fleet Expense Card"/>
    <s v="Referral"/>
    <s v="REP003"/>
    <x v="2"/>
    <s v="Not Activated"/>
    <x v="2"/>
    <m/>
    <n v="3214.92"/>
    <s v=""/>
  </r>
  <r>
    <s v="CUST00048"/>
    <s v="LEAD00186"/>
    <b v="1"/>
    <d v="2025-11-26T00:00:00"/>
    <m/>
    <b v="1"/>
    <b v="0"/>
    <x v="1"/>
    <s v="Fleet Expense Card"/>
    <s v="Direct Sales"/>
    <s v="REP009"/>
    <x v="2"/>
    <s v="Not Activated"/>
    <x v="2"/>
    <m/>
    <n v="2603.91"/>
    <s v=""/>
  </r>
  <r>
    <s v="CUST00049"/>
    <s v="LEAD00189"/>
    <b v="1"/>
    <d v="2025-08-30T00:00:00"/>
    <d v="2025-09-16T00:00:00"/>
    <b v="1"/>
    <b v="1"/>
    <x v="2"/>
    <s v="Fuel Card"/>
    <s v="Direct Sales"/>
    <s v="REP015"/>
    <x v="1"/>
    <s v="Active"/>
    <x v="0"/>
    <m/>
    <n v="616.57000000000005"/>
    <n v="17"/>
  </r>
  <r>
    <s v="CUST00050"/>
    <s v="LEAD00193"/>
    <b v="1"/>
    <d v="2025-10-09T00:00:00"/>
    <m/>
    <b v="1"/>
    <b v="0"/>
    <x v="0"/>
    <s v="Toll Solution"/>
    <s v="Digital"/>
    <s v="REP006"/>
    <x v="2"/>
    <s v="Active"/>
    <x v="3"/>
    <m/>
    <n v="1203.6400000000001"/>
    <s v=""/>
  </r>
  <r>
    <s v="CUST00051"/>
    <s v="LEAD00198"/>
    <b v="1"/>
    <d v="2025-06-28T00:00:00"/>
    <d v="2025-07-21T00:00:00"/>
    <b v="1"/>
    <b v="1"/>
    <x v="0"/>
    <s v="EV Charge Card"/>
    <s v="Partner"/>
    <s v="REP006"/>
    <x v="1"/>
    <s v="Active"/>
    <x v="0"/>
    <m/>
    <n v="711.74"/>
    <n v="23"/>
  </r>
  <r>
    <s v="CUST00052"/>
    <s v="LEAD00199"/>
    <b v="1"/>
    <d v="2025-07-03T00:00:00"/>
    <m/>
    <b v="1"/>
    <b v="0"/>
    <x v="0"/>
    <s v="Fuel Card"/>
    <s v="Partner"/>
    <s v="REP005"/>
    <x v="3"/>
    <s v="Not Activated"/>
    <x v="2"/>
    <m/>
    <n v="1083.67"/>
    <s v=""/>
  </r>
  <r>
    <s v="CUST00053"/>
    <s v="LEAD00202"/>
    <b v="1"/>
    <d v="2026-01-15T00:00:00"/>
    <m/>
    <b v="1"/>
    <b v="0"/>
    <x v="0"/>
    <s v="Fuel Card"/>
    <s v="Partner"/>
    <s v="REP004"/>
    <x v="1"/>
    <s v="Active"/>
    <x v="3"/>
    <m/>
    <n v="848.18"/>
    <s v=""/>
  </r>
  <r>
    <s v="CUST00054"/>
    <s v="LEAD00208"/>
    <b v="1"/>
    <d v="2025-08-18T00:00:00"/>
    <d v="2025-09-15T00:00:00"/>
    <b v="1"/>
    <b v="1"/>
    <x v="0"/>
    <s v="Fuel Card"/>
    <s v="Direct Sales"/>
    <s v="REP004"/>
    <x v="1"/>
    <s v="Active"/>
    <x v="0"/>
    <m/>
    <n v="732.17"/>
    <n v="28"/>
  </r>
  <r>
    <s v="CUST00055"/>
    <s v="LEAD00214"/>
    <b v="1"/>
    <d v="2025-09-03T00:00:00"/>
    <m/>
    <b v="1"/>
    <b v="0"/>
    <x v="2"/>
    <s v="Fleet Expense Card"/>
    <s v="Direct Sales"/>
    <s v="REP015"/>
    <x v="0"/>
    <s v="Not Activated"/>
    <x v="2"/>
    <m/>
    <n v="5993.39"/>
    <s v=""/>
  </r>
  <r>
    <s v="CUST00056"/>
    <s v="LEAD00215"/>
    <b v="1"/>
    <d v="2026-01-27T00:00:00"/>
    <d v="2026-02-24T00:00:00"/>
    <b v="1"/>
    <b v="1"/>
    <x v="4"/>
    <s v="EV Charge Card"/>
    <s v="Digital"/>
    <s v="REP010"/>
    <x v="2"/>
    <s v="Active"/>
    <x v="0"/>
    <m/>
    <n v="2794.31"/>
    <n v="28"/>
  </r>
  <r>
    <s v="CUST00057"/>
    <s v="LEAD00220"/>
    <b v="1"/>
    <d v="2025-04-25T00:00:00"/>
    <d v="2025-05-15T00:00:00"/>
    <b v="1"/>
    <b v="1"/>
    <x v="3"/>
    <s v="EV Charge Card"/>
    <s v="Direct Sales"/>
    <s v="REP002"/>
    <x v="2"/>
    <s v="Active"/>
    <x v="0"/>
    <m/>
    <n v="2371.38"/>
    <n v="20"/>
  </r>
  <r>
    <s v="CUST00058"/>
    <s v="LEAD00227"/>
    <b v="1"/>
    <d v="2025-12-09T00:00:00"/>
    <d v="2026-01-02T00:00:00"/>
    <b v="1"/>
    <b v="1"/>
    <x v="2"/>
    <s v="Fuel Card"/>
    <s v="Direct Sales"/>
    <s v="REP015"/>
    <x v="1"/>
    <s v="Active"/>
    <x v="0"/>
    <m/>
    <n v="714.73"/>
    <n v="24"/>
  </r>
  <r>
    <s v="CUST00059"/>
    <s v="LEAD00229"/>
    <b v="1"/>
    <d v="2025-08-26T00:00:00"/>
    <d v="2025-10-10T00:00:00"/>
    <b v="1"/>
    <b v="1"/>
    <x v="4"/>
    <s v="EV Charge Card"/>
    <s v="Referral"/>
    <s v="REP012"/>
    <x v="0"/>
    <s v="Active"/>
    <x v="0"/>
    <m/>
    <n v="7135"/>
    <n v="45"/>
  </r>
  <r>
    <s v="CUST00060"/>
    <s v="LEAD00232"/>
    <b v="1"/>
    <d v="2025-03-02T00:00:00"/>
    <d v="2025-04-07T00:00:00"/>
    <b v="1"/>
    <b v="1"/>
    <x v="3"/>
    <s v="EV Charge Card"/>
    <s v="Direct Sales"/>
    <s v="REP003"/>
    <x v="1"/>
    <s v="Active"/>
    <x v="0"/>
    <m/>
    <n v="703.07"/>
    <n v="36"/>
  </r>
  <r>
    <s v="CUST00061"/>
    <s v="LEAD00235"/>
    <b v="1"/>
    <d v="2025-11-27T00:00:00"/>
    <d v="2025-11-26T00:00:00"/>
    <b v="0"/>
    <b v="0"/>
    <x v="1"/>
    <s v="EV Charge Card"/>
    <s v="Direct Sales"/>
    <s v="REP007"/>
    <x v="2"/>
    <s v="Active"/>
    <x v="0"/>
    <m/>
    <n v="2725.98"/>
    <s v=""/>
  </r>
  <r>
    <s v="CUST00062"/>
    <s v="LEAD00236"/>
    <b v="1"/>
    <d v="2025-09-17T00:00:00"/>
    <d v="2025-09-20T00:00:00"/>
    <b v="1"/>
    <b v="1"/>
    <x v="3"/>
    <s v="Toll Solution"/>
    <s v="Digital"/>
    <s v="REP001"/>
    <x v="0"/>
    <s v="Active"/>
    <x v="0"/>
    <m/>
    <n v="6448.96"/>
    <n v="3"/>
  </r>
  <r>
    <s v="CUST00063"/>
    <s v="LEAD00237"/>
    <b v="1"/>
    <d v="2025-02-09T00:00:00"/>
    <d v="2025-02-21T00:00:00"/>
    <b v="1"/>
    <b v="1"/>
    <x v="2"/>
    <s v="Fuel Card"/>
    <s v="Referral"/>
    <s v="REP013"/>
    <x v="1"/>
    <s v="Active"/>
    <x v="0"/>
    <m/>
    <n v="765.02"/>
    <n v="12"/>
  </r>
  <r>
    <s v="CUST00064"/>
    <s v="LEAD00238"/>
    <b v="1"/>
    <d v="2025-05-30T00:00:00"/>
    <m/>
    <b v="1"/>
    <b v="0"/>
    <x v="3"/>
    <s v="EV Charge Card"/>
    <s v="Partner"/>
    <s v="REP001"/>
    <x v="1"/>
    <s v="Not Activated"/>
    <x v="2"/>
    <m/>
    <n v="777.05"/>
    <s v=""/>
  </r>
  <r>
    <s v="CUST00065"/>
    <s v="LEAD00239"/>
    <b v="1"/>
    <d v="2025-05-27T00:00:00"/>
    <d v="2025-07-31T00:00:00"/>
    <b v="1"/>
    <b v="1"/>
    <x v="3"/>
    <s v="Toll Solution"/>
    <s v="Partner"/>
    <s v="REP003"/>
    <x v="1"/>
    <s v="Active"/>
    <x v="0"/>
    <m/>
    <n v="540.37"/>
    <n v="65"/>
  </r>
  <r>
    <s v="CUST00066"/>
    <s v="LEAD00241"/>
    <b v="1"/>
    <d v="2025-07-30T00:00:00"/>
    <d v="2025-08-22T00:00:00"/>
    <b v="1"/>
    <b v="1"/>
    <x v="2"/>
    <s v="Fuel Card"/>
    <s v="Direct Sales"/>
    <s v="REP013"/>
    <x v="1"/>
    <s v="Churned"/>
    <x v="1"/>
    <d v="2025-10-25T00:00:00"/>
    <n v="1005.07"/>
    <n v="23"/>
  </r>
  <r>
    <s v="CUST00067"/>
    <s v="LEAD00246"/>
    <b v="1"/>
    <d v="2025-10-12T00:00:00"/>
    <m/>
    <b v="1"/>
    <b v="0"/>
    <x v="2"/>
    <s v="Fuel Card"/>
    <s v="Telesales"/>
    <s v="REP015"/>
    <x v="3"/>
    <s v="Not Activated"/>
    <x v="2"/>
    <m/>
    <n v="982.51"/>
    <s v=""/>
  </r>
  <r>
    <s v="CUST00068"/>
    <s v="LEAD00253"/>
    <b v="1"/>
    <d v="2025-11-02T00:00:00"/>
    <d v="2025-12-02T00:00:00"/>
    <b v="1"/>
    <b v="1"/>
    <x v="0"/>
    <s v="Fleet Expense Card"/>
    <s v="Partner"/>
    <s v="REP005"/>
    <x v="1"/>
    <s v="Active"/>
    <x v="0"/>
    <m/>
    <n v="919.94"/>
    <n v="30"/>
  </r>
  <r>
    <s v="CUST00069"/>
    <s v="LEAD00262"/>
    <b v="1"/>
    <d v="2025-06-23T00:00:00"/>
    <d v="2025-07-18T00:00:00"/>
    <b v="1"/>
    <b v="1"/>
    <x v="2"/>
    <s v="Fuel Card"/>
    <s v="Direct Sales"/>
    <s v="REP015"/>
    <x v="0"/>
    <s v="Active"/>
    <x v="0"/>
    <m/>
    <n v="10436.51"/>
    <n v="25"/>
  </r>
  <r>
    <s v="CUST00070"/>
    <s v="LEAD00267"/>
    <b v="1"/>
    <d v="2025-06-06T00:00:00"/>
    <d v="2025-07-14T00:00:00"/>
    <b v="1"/>
    <b v="1"/>
    <x v="2"/>
    <s v="Fleet Expense Card"/>
    <s v="Referral"/>
    <s v="REP015"/>
    <x v="2"/>
    <s v="Active"/>
    <x v="0"/>
    <m/>
    <n v="2697.38"/>
    <n v="38"/>
  </r>
  <r>
    <s v="CUST00071"/>
    <s v="LEAD00270"/>
    <b v="1"/>
    <d v="2025-07-08T00:00:00"/>
    <d v="2025-07-14T00:00:00"/>
    <b v="1"/>
    <b v="1"/>
    <x v="4"/>
    <s v="Fuel Card"/>
    <s v="Referral"/>
    <s v="REP012"/>
    <x v="1"/>
    <s v="Active"/>
    <x v="0"/>
    <m/>
    <n v="1094.9000000000001"/>
    <n v="6"/>
  </r>
  <r>
    <s v="CUST00072"/>
    <s v="LEAD00281"/>
    <b v="1"/>
    <d v="2025-07-11T00:00:00"/>
    <d v="2025-08-03T00:00:00"/>
    <b v="1"/>
    <b v="1"/>
    <x v="3"/>
    <s v="Toll Solution"/>
    <s v="Digital"/>
    <s v="REP002"/>
    <x v="1"/>
    <s v="Active"/>
    <x v="0"/>
    <m/>
    <n v="446.26"/>
    <n v="23"/>
  </r>
  <r>
    <s v="CUST00073"/>
    <s v="LEAD00283"/>
    <b v="1"/>
    <d v="2025-12-11T00:00:00"/>
    <d v="2026-01-11T00:00:00"/>
    <b v="1"/>
    <b v="1"/>
    <x v="2"/>
    <s v="Fuel Card"/>
    <s v="Direct Sales"/>
    <s v="REP013"/>
    <x v="1"/>
    <s v="Active"/>
    <x v="0"/>
    <m/>
    <n v="807.92"/>
    <n v="31"/>
  </r>
  <r>
    <s v="CUST00074"/>
    <s v="LEAD00287"/>
    <b v="1"/>
    <d v="2025-04-22T00:00:00"/>
    <d v="2025-05-20T00:00:00"/>
    <b v="1"/>
    <b v="1"/>
    <x v="3"/>
    <s v="Toll Solution"/>
    <s v="Digital"/>
    <s v="REP002"/>
    <x v="0"/>
    <s v="Active"/>
    <x v="0"/>
    <m/>
    <n v="6517.51"/>
    <n v="28"/>
  </r>
  <r>
    <s v="CUST00075"/>
    <s v="LEAD00288"/>
    <b v="1"/>
    <d v="2025-05-12T00:00:00"/>
    <m/>
    <b v="1"/>
    <b v="0"/>
    <x v="1"/>
    <s v="Toll Solution"/>
    <s v="Direct Sales"/>
    <s v="REP008"/>
    <x v="1"/>
    <s v="Not Activated"/>
    <x v="2"/>
    <m/>
    <n v="706"/>
    <s v=""/>
  </r>
  <r>
    <s v="CUST00076"/>
    <s v="LEAD00293"/>
    <b v="1"/>
    <d v="2025-07-01T00:00:00"/>
    <m/>
    <b v="1"/>
    <b v="0"/>
    <x v="3"/>
    <s v="Fuel Card"/>
    <s v="Telesales"/>
    <s v="REP002"/>
    <x v="1"/>
    <s v="Not Activated"/>
    <x v="2"/>
    <m/>
    <n v="758.21"/>
    <s v=""/>
  </r>
  <r>
    <s v="CUST00077"/>
    <s v="LEAD00296"/>
    <b v="1"/>
    <d v="2025-07-06T00:00:00"/>
    <d v="2025-07-21T00:00:00"/>
    <b v="1"/>
    <b v="1"/>
    <x v="1"/>
    <s v="Fleet Expense Card"/>
    <s v="Direct Sales"/>
    <s v="REP008"/>
    <x v="2"/>
    <s v="Active"/>
    <x v="0"/>
    <m/>
    <n v="2807.03"/>
    <n v="15"/>
  </r>
  <r>
    <s v="CUST00078"/>
    <s v="LEAD00298"/>
    <b v="1"/>
    <d v="2025-03-21T00:00:00"/>
    <m/>
    <b v="1"/>
    <b v="0"/>
    <x v="3"/>
    <s v="EV Charge Card"/>
    <s v="Direct Sales"/>
    <s v="REP002"/>
    <x v="1"/>
    <s v="Not Activated"/>
    <x v="2"/>
    <m/>
    <n v="784.27"/>
    <s v=""/>
  </r>
  <r>
    <s v="CUST00079"/>
    <s v="LEAD00300"/>
    <b v="1"/>
    <d v="2025-05-29T00:00:00"/>
    <d v="2025-06-29T00:00:00"/>
    <b v="1"/>
    <b v="1"/>
    <x v="4"/>
    <s v="EV Charge Card"/>
    <s v="Digital"/>
    <s v="REP011"/>
    <x v="1"/>
    <s v="Churned"/>
    <x v="1"/>
    <d v="2025-09-07T00:00:00"/>
    <n v="733.76"/>
    <n v="31"/>
  </r>
  <r>
    <s v="CUST00080"/>
    <s v="LEAD00301"/>
    <b v="1"/>
    <d v="2025-02-23T00:00:00"/>
    <d v="2025-03-03T00:00:00"/>
    <b v="1"/>
    <b v="1"/>
    <x v="0"/>
    <s v="EV Charge Card"/>
    <s v="Telesales"/>
    <s v="REP005"/>
    <x v="0"/>
    <s v="Active"/>
    <x v="0"/>
    <m/>
    <n v="5537.49"/>
    <n v="8"/>
  </r>
  <r>
    <s v="CUST00081"/>
    <s v="LEAD00309"/>
    <b v="1"/>
    <d v="2025-05-02T00:00:00"/>
    <d v="2025-05-08T00:00:00"/>
    <b v="1"/>
    <b v="1"/>
    <x v="0"/>
    <s v="EV Charge Card"/>
    <s v="Direct Sales"/>
    <s v="REP006"/>
    <x v="0"/>
    <s v="Active"/>
    <x v="0"/>
    <m/>
    <n v="6198.69"/>
    <n v="6"/>
  </r>
  <r>
    <s v="CUST00082"/>
    <s v="LEAD00311"/>
    <b v="1"/>
    <d v="2025-08-31T00:00:00"/>
    <m/>
    <b v="1"/>
    <b v="0"/>
    <x v="1"/>
    <s v="Fuel Card"/>
    <s v="Referral"/>
    <s v="REP009"/>
    <x v="2"/>
    <s v="Not Activated"/>
    <x v="2"/>
    <m/>
    <n v="3464.47"/>
    <s v=""/>
  </r>
  <r>
    <s v="CUST00083"/>
    <s v="LEAD00313"/>
    <b v="1"/>
    <d v="2026-01-06T00:00:00"/>
    <d v="2026-01-31T00:00:00"/>
    <b v="1"/>
    <b v="1"/>
    <x v="1"/>
    <s v="Toll Solution"/>
    <s v="Direct Sales"/>
    <s v="REP007"/>
    <x v="0"/>
    <s v="Active"/>
    <x v="0"/>
    <m/>
    <n v="3840.21"/>
    <n v="25"/>
  </r>
  <r>
    <s v="CUST00084"/>
    <s v="LEAD00321"/>
    <b v="1"/>
    <d v="2025-11-21T00:00:00"/>
    <d v="2025-12-19T00:00:00"/>
    <b v="1"/>
    <b v="1"/>
    <x v="4"/>
    <s v="Fuel Card"/>
    <s v="Digital"/>
    <s v="REP012"/>
    <x v="0"/>
    <s v="Active"/>
    <x v="0"/>
    <m/>
    <n v="10097.299999999999"/>
    <n v="28"/>
  </r>
  <r>
    <s v="CUST00085"/>
    <s v="LEAD00322"/>
    <b v="1"/>
    <d v="2025-09-19T00:00:00"/>
    <d v="2025-10-15T00:00:00"/>
    <b v="1"/>
    <b v="1"/>
    <x v="3"/>
    <s v="Fuel Card"/>
    <s v="Direct Sales"/>
    <s v="REP003"/>
    <x v="0"/>
    <s v="Active"/>
    <x v="0"/>
    <m/>
    <n v="9640.93"/>
    <n v="26"/>
  </r>
  <r>
    <s v="CUST00086"/>
    <s v="LEAD00332"/>
    <b v="1"/>
    <d v="2025-03-20T00:00:00"/>
    <d v="2025-04-20T00:00:00"/>
    <b v="1"/>
    <b v="1"/>
    <x v="1"/>
    <s v="EV Charge Card"/>
    <s v="Direct Sales"/>
    <s v="REP009"/>
    <x v="2"/>
    <s v="Churned"/>
    <x v="1"/>
    <d v="2025-08-17T00:00:00"/>
    <n v="2559.14"/>
    <n v="31"/>
  </r>
  <r>
    <s v="CUST00087"/>
    <s v="LEAD00336"/>
    <b v="1"/>
    <d v="2025-03-30T00:00:00"/>
    <d v="2025-04-06T00:00:00"/>
    <b v="1"/>
    <b v="1"/>
    <x v="2"/>
    <s v="Toll Solution"/>
    <s v="Direct Sales"/>
    <s v="REP014"/>
    <x v="0"/>
    <s v="Active"/>
    <x v="0"/>
    <m/>
    <n v="5133.84"/>
    <n v="7"/>
  </r>
  <r>
    <s v="CUST00088"/>
    <s v="LEAD00337"/>
    <b v="1"/>
    <d v="2026-01-06T00:00:00"/>
    <d v="2026-02-08T00:00:00"/>
    <b v="1"/>
    <b v="1"/>
    <x v="4"/>
    <s v="EV Charge Card"/>
    <s v="Partner"/>
    <s v="REP011"/>
    <x v="1"/>
    <s v="Active"/>
    <x v="0"/>
    <m/>
    <n v="751.66"/>
    <n v="33"/>
  </r>
  <r>
    <s v="CUST00089"/>
    <s v="LEAD00339"/>
    <b v="1"/>
    <d v="2025-03-01T00:00:00"/>
    <m/>
    <b v="1"/>
    <b v="0"/>
    <x v="0"/>
    <s v="Fuel Card"/>
    <s v="Direct Sales"/>
    <s v="REP005"/>
    <x v="1"/>
    <s v="Not Activated"/>
    <x v="2"/>
    <m/>
    <n v="904.76"/>
    <s v=""/>
  </r>
  <r>
    <s v="CUST00090"/>
    <s v="LEAD00353"/>
    <b v="1"/>
    <d v="2025-02-28T00:00:00"/>
    <d v="2025-03-26T00:00:00"/>
    <b v="1"/>
    <b v="1"/>
    <x v="2"/>
    <s v="Toll Solution"/>
    <s v="Direct Sales"/>
    <s v="REP014"/>
    <x v="0"/>
    <s v="Active"/>
    <x v="0"/>
    <m/>
    <n v="6559.66"/>
    <n v="26"/>
  </r>
  <r>
    <s v="CUST00091"/>
    <s v="LEAD00354"/>
    <b v="1"/>
    <d v="2025-02-28T00:00:00"/>
    <d v="2025-03-10T00:00:00"/>
    <b v="1"/>
    <b v="1"/>
    <x v="4"/>
    <s v="Fuel Card"/>
    <s v="Telesales"/>
    <s v="REP011"/>
    <x v="0"/>
    <s v="Churned"/>
    <x v="1"/>
    <d v="2025-09-04T00:00:00"/>
    <n v="10492.14"/>
    <n v="10"/>
  </r>
  <r>
    <s v="CUST00092"/>
    <s v="LEAD00356"/>
    <b v="1"/>
    <d v="2025-11-01T00:00:00"/>
    <d v="2025-11-14T00:00:00"/>
    <b v="1"/>
    <b v="1"/>
    <x v="3"/>
    <s v="EV Charge Card"/>
    <s v="Direct Sales"/>
    <s v="REP003"/>
    <x v="1"/>
    <s v="Active"/>
    <x v="0"/>
    <m/>
    <n v="635.51"/>
    <n v="13"/>
  </r>
  <r>
    <s v="CUST00093"/>
    <s v="LEAD00360"/>
    <b v="1"/>
    <d v="2025-10-07T00:00:00"/>
    <m/>
    <b v="1"/>
    <b v="0"/>
    <x v="3"/>
    <s v="Fuel Card"/>
    <s v="Telesales"/>
    <s v="REP001"/>
    <x v="2"/>
    <s v="Not Activated"/>
    <x v="2"/>
    <m/>
    <n v="2812.76"/>
    <s v=""/>
  </r>
  <r>
    <s v="CUST00094"/>
    <s v="LEAD00367"/>
    <b v="1"/>
    <d v="2025-10-28T00:00:00"/>
    <d v="2025-11-18T00:00:00"/>
    <b v="1"/>
    <b v="1"/>
    <x v="2"/>
    <s v="Fuel Card"/>
    <s v="Partner"/>
    <s v="REP014"/>
    <x v="1"/>
    <s v="Active"/>
    <x v="0"/>
    <m/>
    <n v="598.11"/>
    <n v="21"/>
  </r>
  <r>
    <s v="CUST00095"/>
    <s v="LEAD00368"/>
    <b v="1"/>
    <d v="2025-07-17T00:00:00"/>
    <d v="2025-08-13T00:00:00"/>
    <b v="1"/>
    <b v="1"/>
    <x v="1"/>
    <s v="Toll Solution"/>
    <s v="Direct Sales"/>
    <s v="REP007"/>
    <x v="1"/>
    <s v="Active"/>
    <x v="0"/>
    <m/>
    <n v="542.29"/>
    <n v="27"/>
  </r>
  <r>
    <s v="CUST00096"/>
    <s v="LEAD00370"/>
    <b v="1"/>
    <d v="2025-08-13T00:00:00"/>
    <d v="2025-09-09T00:00:00"/>
    <b v="1"/>
    <b v="1"/>
    <x v="2"/>
    <s v="Fuel Card"/>
    <s v="Telesales"/>
    <s v="REP013"/>
    <x v="1"/>
    <s v="Churned"/>
    <x v="1"/>
    <d v="2025-11-21T00:00:00"/>
    <n v="1018.33"/>
    <n v="27"/>
  </r>
  <r>
    <s v="CUST00097"/>
    <s v="LEAD00374"/>
    <b v="1"/>
    <d v="2025-12-04T00:00:00"/>
    <d v="2025-12-29T00:00:00"/>
    <b v="1"/>
    <b v="1"/>
    <x v="3"/>
    <s v="Fuel Card"/>
    <s v="Referral"/>
    <s v="REP003"/>
    <x v="1"/>
    <s v="Active"/>
    <x v="0"/>
    <m/>
    <n v="849.91"/>
    <n v="25"/>
  </r>
  <r>
    <s v="CUST00098"/>
    <s v="LEAD00376"/>
    <b v="1"/>
    <d v="2025-10-04T00:00:00"/>
    <d v="2025-11-02T00:00:00"/>
    <b v="1"/>
    <b v="1"/>
    <x v="1"/>
    <s v="Fuel Card"/>
    <s v="Partner"/>
    <s v="REP007"/>
    <x v="1"/>
    <s v="Active"/>
    <x v="0"/>
    <m/>
    <n v="697.3"/>
    <n v="29"/>
  </r>
  <r>
    <s v="CUST00099"/>
    <s v="LEAD00377"/>
    <b v="1"/>
    <d v="2025-05-16T00:00:00"/>
    <d v="2025-06-26T00:00:00"/>
    <b v="1"/>
    <b v="1"/>
    <x v="3"/>
    <s v="Fuel Card"/>
    <s v="Direct Sales"/>
    <s v="REP002"/>
    <x v="0"/>
    <s v="Churned"/>
    <x v="1"/>
    <d v="2025-11-22T00:00:00"/>
    <n v="6827.52"/>
    <n v="41"/>
  </r>
  <r>
    <s v="CUST00100"/>
    <s v="LEAD00379"/>
    <b v="1"/>
    <d v="2025-11-29T00:00:00"/>
    <d v="2025-12-14T00:00:00"/>
    <b v="1"/>
    <b v="1"/>
    <x v="2"/>
    <s v="Fuel Card"/>
    <s v="Direct Sales"/>
    <s v="REP015"/>
    <x v="1"/>
    <s v="Active"/>
    <x v="0"/>
    <m/>
    <n v="878.74"/>
    <n v="15"/>
  </r>
  <r>
    <s v="CUST00101"/>
    <s v="LEAD00380"/>
    <b v="1"/>
    <d v="2026-01-14T00:00:00"/>
    <m/>
    <b v="1"/>
    <b v="0"/>
    <x v="1"/>
    <s v="Fuel Card"/>
    <s v="Telesales"/>
    <s v="REP007"/>
    <x v="1"/>
    <s v="Not Activated"/>
    <x v="2"/>
    <m/>
    <n v="725.42"/>
    <s v=""/>
  </r>
  <r>
    <s v="CUST00102"/>
    <s v="LEAD99999"/>
    <b v="0"/>
    <d v="2025-01-27T00:00:00"/>
    <d v="2025-02-02T00:00:00"/>
    <b v="1"/>
    <b v="1"/>
    <x v="0"/>
    <s v="Toll Solution"/>
    <s v="Referral"/>
    <s v="REP005"/>
    <x v="2"/>
    <s v="Active"/>
    <x v="0"/>
    <m/>
    <n v="1561.49"/>
    <n v="6"/>
  </r>
  <r>
    <s v="CUST00103"/>
    <s v="LEAD00390"/>
    <b v="1"/>
    <d v="2025-09-21T00:00:00"/>
    <d v="2025-10-28T00:00:00"/>
    <b v="1"/>
    <b v="1"/>
    <x v="2"/>
    <s v="EV Charge Card"/>
    <s v="Direct Sales"/>
    <s v="REP014"/>
    <x v="1"/>
    <s v="Active"/>
    <x v="0"/>
    <m/>
    <n v="880.85"/>
    <n v="37"/>
  </r>
  <r>
    <s v="CUST00104"/>
    <s v="LEAD00391"/>
    <b v="1"/>
    <d v="2025-05-10T00:00:00"/>
    <d v="2025-06-19T00:00:00"/>
    <b v="1"/>
    <b v="1"/>
    <x v="0"/>
    <s v="Fuel Card"/>
    <s v="Direct Sales"/>
    <s v="REP006"/>
    <x v="1"/>
    <s v="Active"/>
    <x v="0"/>
    <m/>
    <n v="765.99"/>
    <n v="40"/>
  </r>
  <r>
    <s v="CUST00105"/>
    <s v="LEAD00402"/>
    <b v="1"/>
    <d v="2025-04-22T00:00:00"/>
    <d v="2025-05-24T00:00:00"/>
    <b v="1"/>
    <b v="1"/>
    <x v="4"/>
    <s v="Toll Solution"/>
    <s v="Referral"/>
    <s v="REP011"/>
    <x v="1"/>
    <s v="Churned"/>
    <x v="1"/>
    <m/>
    <n v="615.38"/>
    <n v="32"/>
  </r>
  <r>
    <s v="CUST00106"/>
    <s v="LEAD00411"/>
    <b v="1"/>
    <d v="2025-04-19T00:00:00"/>
    <d v="2025-05-07T00:00:00"/>
    <b v="1"/>
    <b v="1"/>
    <x v="1"/>
    <s v="Fuel Card"/>
    <s v="Digital"/>
    <s v="REP008"/>
    <x v="1"/>
    <s v="Active"/>
    <x v="0"/>
    <m/>
    <n v="748.72"/>
    <n v="18"/>
  </r>
  <r>
    <s v="CUST00107"/>
    <s v="LEAD00421"/>
    <b v="1"/>
    <d v="2025-03-08T00:00:00"/>
    <d v="2025-04-19T00:00:00"/>
    <b v="1"/>
    <b v="1"/>
    <x v="0"/>
    <s v="EV Charge Card"/>
    <s v="Referral"/>
    <s v="REP006"/>
    <x v="1"/>
    <s v="Active"/>
    <x v="0"/>
    <m/>
    <n v="819.04"/>
    <n v="42"/>
  </r>
  <r>
    <s v="CUST00108"/>
    <s v="LEAD00422"/>
    <b v="1"/>
    <d v="2025-05-29T00:00:00"/>
    <d v="2025-07-08T00:00:00"/>
    <b v="1"/>
    <b v="1"/>
    <x v="0"/>
    <s v="Fuel Card"/>
    <s v="Direct Sales"/>
    <s v="REP005"/>
    <x v="1"/>
    <s v="Active"/>
    <x v="0"/>
    <m/>
    <n v="763.39"/>
    <n v="40"/>
  </r>
  <r>
    <s v="CUST00109"/>
    <s v="LEAD00423"/>
    <b v="1"/>
    <d v="2025-05-03T00:00:00"/>
    <d v="2025-05-21T00:00:00"/>
    <b v="1"/>
    <b v="1"/>
    <x v="1"/>
    <s v="Fuel Card"/>
    <s v="Partner"/>
    <s v="REP009"/>
    <x v="2"/>
    <s v="Churned"/>
    <x v="1"/>
    <d v="2025-10-23T00:00:00"/>
    <n v="2809.94"/>
    <n v="18"/>
  </r>
  <r>
    <s v="CUST00110"/>
    <s v="LEAD00428"/>
    <b v="1"/>
    <d v="2025-12-02T00:00:00"/>
    <d v="2026-01-15T00:00:00"/>
    <b v="1"/>
    <b v="1"/>
    <x v="0"/>
    <s v="Fuel Card"/>
    <s v="Partner"/>
    <s v="REP005"/>
    <x v="2"/>
    <s v="Active"/>
    <x v="0"/>
    <m/>
    <n v="3061.41"/>
    <n v="44"/>
  </r>
  <r>
    <s v="CUST00111"/>
    <s v="LEAD00433"/>
    <b v="1"/>
    <d v="2025-09-04T00:00:00"/>
    <d v="2025-10-19T00:00:00"/>
    <b v="1"/>
    <b v="1"/>
    <x v="0"/>
    <s v="EV Charge Card"/>
    <s v="Direct Sales"/>
    <s v="REP005"/>
    <x v="1"/>
    <s v="Active"/>
    <x v="0"/>
    <m/>
    <n v="834.52"/>
    <n v="45"/>
  </r>
  <r>
    <s v="CUST00112"/>
    <s v="LEAD00443"/>
    <b v="1"/>
    <d v="2025-03-25T00:00:00"/>
    <m/>
    <b v="1"/>
    <b v="0"/>
    <x v="3"/>
    <s v="Fuel Card"/>
    <s v="Referral"/>
    <s v="REP003"/>
    <x v="1"/>
    <s v="Not Activated"/>
    <x v="2"/>
    <m/>
    <n v="699.36"/>
    <s v=""/>
  </r>
  <r>
    <s v="CUST00113"/>
    <s v="LEAD00458"/>
    <b v="1"/>
    <d v="2025-11-19T00:00:00"/>
    <d v="2025-12-23T00:00:00"/>
    <b v="1"/>
    <b v="1"/>
    <x v="2"/>
    <s v="EV Charge Card"/>
    <s v="Partner"/>
    <s v="REP014"/>
    <x v="1"/>
    <s v="Active"/>
    <x v="0"/>
    <m/>
    <n v="840.18"/>
    <n v="34"/>
  </r>
  <r>
    <s v="CUST00114"/>
    <s v="LEAD00459"/>
    <b v="1"/>
    <d v="2025-02-12T00:00:00"/>
    <d v="2025-03-04T00:00:00"/>
    <b v="1"/>
    <b v="1"/>
    <x v="3"/>
    <s v="Toll Solution"/>
    <s v="Direct Sales"/>
    <s v="REP003"/>
    <x v="1"/>
    <s v="Active"/>
    <x v="0"/>
    <m/>
    <n v="522.46"/>
    <n v="20"/>
  </r>
  <r>
    <s v="CUST00115"/>
    <s v="LEAD00463"/>
    <b v="1"/>
    <d v="2025-08-14T00:00:00"/>
    <m/>
    <b v="1"/>
    <b v="0"/>
    <x v="3"/>
    <s v="Fleet Expense Card"/>
    <s v="Direct Sales"/>
    <s v="REP003"/>
    <x v="1"/>
    <s v="Not Activated"/>
    <x v="2"/>
    <m/>
    <n v="822.3"/>
    <s v=""/>
  </r>
  <r>
    <s v="CUST00116"/>
    <s v="LEAD00467"/>
    <b v="1"/>
    <d v="2026-01-03T00:00:00"/>
    <m/>
    <b v="1"/>
    <b v="0"/>
    <x v="3"/>
    <s v="Fleet Expense Card"/>
    <s v="Direct Sales"/>
    <s v="REP001"/>
    <x v="2"/>
    <s v="Not Activated"/>
    <x v="2"/>
    <m/>
    <n v="1889.8"/>
    <s v=""/>
  </r>
  <r>
    <s v="CUST00117"/>
    <s v="LEAD00473"/>
    <b v="1"/>
    <d v="2025-03-04T00:00:00"/>
    <d v="2025-04-15T00:00:00"/>
    <b v="1"/>
    <b v="1"/>
    <x v="3"/>
    <s v="Fuel Card"/>
    <s v="Digital"/>
    <s v="REP003"/>
    <x v="0"/>
    <s v="Active"/>
    <x v="0"/>
    <m/>
    <n v="8251.14"/>
    <n v="42"/>
  </r>
  <r>
    <s v="CUST00118"/>
    <s v="LEAD00477"/>
    <b v="1"/>
    <d v="2025-08-10T00:00:00"/>
    <d v="2025-08-22T00:00:00"/>
    <b v="1"/>
    <b v="1"/>
    <x v="3"/>
    <s v="Toll Solution"/>
    <s v="Direct Sales"/>
    <s v="REP002"/>
    <x v="1"/>
    <s v="Active"/>
    <x v="0"/>
    <m/>
    <n v="673.11"/>
    <n v="12"/>
  </r>
  <r>
    <s v="CUST00119"/>
    <s v="LEAD00483"/>
    <b v="1"/>
    <d v="2025-01-31T00:00:00"/>
    <d v="2025-02-18T00:00:00"/>
    <b v="1"/>
    <b v="1"/>
    <x v="4"/>
    <s v="Fuel Card"/>
    <s v="Digital"/>
    <s v="REP010"/>
    <x v="2"/>
    <s v="Active"/>
    <x v="0"/>
    <m/>
    <n v="2163.86"/>
    <n v="18"/>
  </r>
  <r>
    <s v="CUST00120"/>
    <s v="LEAD00491"/>
    <b v="1"/>
    <d v="2025-08-27T00:00:00"/>
    <d v="2025-10-11T00:00:00"/>
    <b v="1"/>
    <b v="1"/>
    <x v="0"/>
    <s v="Fuel Card"/>
    <s v="Digital"/>
    <s v="REP006"/>
    <x v="2"/>
    <s v="Active"/>
    <x v="0"/>
    <m/>
    <n v="3086.02"/>
    <n v="45"/>
  </r>
  <r>
    <s v="CUST00121"/>
    <s v="LEAD00493"/>
    <b v="1"/>
    <d v="2025-07-18T00:00:00"/>
    <d v="2025-08-30T00:00:00"/>
    <b v="1"/>
    <b v="1"/>
    <x v="0"/>
    <s v="Fleet Expense Card"/>
    <s v="Partner"/>
    <s v="REP004"/>
    <x v="1"/>
    <s v="Active"/>
    <x v="0"/>
    <m/>
    <n v="846.03"/>
    <n v="43"/>
  </r>
  <r>
    <s v="CUST00122"/>
    <s v="LEAD00497"/>
    <b v="1"/>
    <d v="2025-02-24T00:00:00"/>
    <d v="2025-03-25T00:00:00"/>
    <b v="1"/>
    <b v="1"/>
    <x v="0"/>
    <s v="Fleet Expense Card"/>
    <s v="Referral"/>
    <s v="REP005"/>
    <x v="1"/>
    <s v="Churned"/>
    <x v="1"/>
    <d v="2025-10-09T00:00:00"/>
    <n v="918.35"/>
    <n v="29"/>
  </r>
  <r>
    <s v="CUST00123"/>
    <s v="LEAD00504"/>
    <b v="1"/>
    <d v="2025-05-05T00:00:00"/>
    <d v="2025-06-23T00:00:00"/>
    <b v="1"/>
    <b v="1"/>
    <x v="3"/>
    <s v="Fuel Card"/>
    <s v="Partner"/>
    <s v="REP001"/>
    <x v="2"/>
    <s v="Active"/>
    <x v="0"/>
    <m/>
    <n v="3027.87"/>
    <n v="49"/>
  </r>
  <r>
    <s v="CUST00124"/>
    <s v="LEAD00505"/>
    <b v="1"/>
    <d v="2025-09-20T00:00:00"/>
    <d v="2025-10-26T00:00:00"/>
    <b v="1"/>
    <b v="1"/>
    <x v="0"/>
    <s v="EV Charge Card"/>
    <s v="Direct Sales"/>
    <s v="REP006"/>
    <x v="1"/>
    <s v="Active"/>
    <x v="0"/>
    <m/>
    <n v="590.99"/>
    <n v="36"/>
  </r>
  <r>
    <s v="CUST00125"/>
    <s v="LEAD00512"/>
    <b v="1"/>
    <d v="2025-11-04T00:00:00"/>
    <d v="2025-11-22T00:00:00"/>
    <b v="1"/>
    <b v="1"/>
    <x v="0"/>
    <s v="EV Charge Card"/>
    <s v="Partner"/>
    <s v="REP005"/>
    <x v="0"/>
    <s v="Active"/>
    <x v="0"/>
    <m/>
    <n v="6825.3"/>
    <n v="18"/>
  </r>
  <r>
    <s v="CUST00126"/>
    <s v="LEAD00514"/>
    <b v="1"/>
    <d v="2025-06-02T00:00:00"/>
    <d v="2025-06-21T00:00:00"/>
    <b v="1"/>
    <b v="1"/>
    <x v="2"/>
    <s v="EV Charge Card"/>
    <s v="Direct Sales"/>
    <s v="REP014"/>
    <x v="3"/>
    <s v="Active"/>
    <x v="0"/>
    <m/>
    <n v="687.3"/>
    <n v="19"/>
  </r>
  <r>
    <s v="CUST00127"/>
    <s v="LEAD00519"/>
    <b v="1"/>
    <d v="2025-08-30T00:00:00"/>
    <d v="2025-09-13T00:00:00"/>
    <b v="1"/>
    <b v="1"/>
    <x v="4"/>
    <s v="Fleet Expense Card"/>
    <s v="Partner"/>
    <s v="REP012"/>
    <x v="0"/>
    <s v="Active"/>
    <x v="0"/>
    <m/>
    <n v="5691.94"/>
    <n v="14"/>
  </r>
  <r>
    <s v="CUST00128"/>
    <s v="LEAD99999"/>
    <b v="0"/>
    <d v="2025-11-07T00:00:00"/>
    <m/>
    <b v="1"/>
    <b v="0"/>
    <x v="0"/>
    <s v="Fuel Card"/>
    <s v="Direct Sales"/>
    <s v="REP006"/>
    <x v="1"/>
    <s v="Not Activated"/>
    <x v="2"/>
    <m/>
    <n v="799.37"/>
    <s v=""/>
  </r>
  <r>
    <s v="CUST00129"/>
    <s v="LEAD00525"/>
    <b v="1"/>
    <d v="2025-02-27T00:00:00"/>
    <d v="2025-03-12T00:00:00"/>
    <b v="1"/>
    <b v="1"/>
    <x v="0"/>
    <s v="Fuel Card"/>
    <s v="Referral"/>
    <s v="REP005"/>
    <x v="2"/>
    <s v="Active"/>
    <x v="0"/>
    <m/>
    <n v="2684.85"/>
    <n v="13"/>
  </r>
  <r>
    <s v="CUST00130"/>
    <s v="LEAD00526"/>
    <b v="1"/>
    <d v="2025-10-30T00:00:00"/>
    <d v="2025-11-10T00:00:00"/>
    <b v="1"/>
    <b v="1"/>
    <x v="0"/>
    <s v="Fuel Card"/>
    <s v="Direct Sales"/>
    <s v="REP006"/>
    <x v="1"/>
    <s v="Active"/>
    <x v="0"/>
    <m/>
    <n v="609.73"/>
    <n v="11"/>
  </r>
  <r>
    <s v="CUST00131"/>
    <s v="LEAD00527"/>
    <b v="1"/>
    <d v="2025-05-02T00:00:00"/>
    <m/>
    <b v="1"/>
    <b v="0"/>
    <x v="3"/>
    <s v="Toll Solution"/>
    <s v="Telesales"/>
    <s v="REP002"/>
    <x v="2"/>
    <s v="Not Activated"/>
    <x v="2"/>
    <m/>
    <n v="1328.09"/>
    <s v=""/>
  </r>
  <r>
    <s v="CUST00132"/>
    <s v="LEAD00536"/>
    <b v="1"/>
    <d v="2025-02-05T00:00:00"/>
    <d v="2025-03-04T00:00:00"/>
    <b v="1"/>
    <b v="1"/>
    <x v="3"/>
    <s v="Fleet Expense Card"/>
    <s v="Referral"/>
    <s v="REP001"/>
    <x v="0"/>
    <s v="Active"/>
    <x v="0"/>
    <m/>
    <n v="9137.25"/>
    <n v="27"/>
  </r>
  <r>
    <s v="CUST00133"/>
    <s v="LEAD00551"/>
    <b v="1"/>
    <d v="2025-05-08T00:00:00"/>
    <d v="2025-05-21T00:00:00"/>
    <b v="1"/>
    <b v="1"/>
    <x v="2"/>
    <s v="EV Charge Card"/>
    <s v="Partner"/>
    <s v="REP015"/>
    <x v="0"/>
    <s v="Active"/>
    <x v="0"/>
    <m/>
    <n v="8612.4599999999991"/>
    <n v="13"/>
  </r>
  <r>
    <s v="CUST00134"/>
    <s v="LEAD00558"/>
    <b v="1"/>
    <d v="2026-01-15T00:00:00"/>
    <m/>
    <b v="1"/>
    <b v="0"/>
    <x v="4"/>
    <s v="Fleet Expense Card"/>
    <s v="Partner"/>
    <s v="REP011"/>
    <x v="1"/>
    <s v="Not Activated"/>
    <x v="2"/>
    <m/>
    <n v="627.35"/>
    <s v=""/>
  </r>
  <r>
    <s v="CUST00135"/>
    <s v="LEAD00560"/>
    <b v="1"/>
    <d v="2025-03-08T00:00:00"/>
    <m/>
    <b v="1"/>
    <b v="0"/>
    <x v="3"/>
    <s v="EV Charge Card"/>
    <s v="Direct Sales"/>
    <s v="REP003"/>
    <x v="1"/>
    <s v="Active"/>
    <x v="3"/>
    <m/>
    <n v="673.59"/>
    <s v=""/>
  </r>
  <r>
    <s v="CUST00136"/>
    <s v="LEAD00561"/>
    <b v="1"/>
    <d v="2025-07-21T00:00:00"/>
    <m/>
    <b v="1"/>
    <b v="0"/>
    <x v="3"/>
    <s v="Toll Solution"/>
    <s v="Direct Sales"/>
    <s v="REP001"/>
    <x v="1"/>
    <s v="Not Activated"/>
    <x v="2"/>
    <m/>
    <n v="657.93"/>
    <s v=""/>
  </r>
  <r>
    <s v="CUST00137"/>
    <s v="LEAD00563"/>
    <b v="1"/>
    <d v="2025-12-20T00:00:00"/>
    <d v="2025-12-26T00:00:00"/>
    <b v="1"/>
    <b v="1"/>
    <x v="0"/>
    <s v="EV Charge Card"/>
    <s v="Referral"/>
    <s v="REP006"/>
    <x v="1"/>
    <s v="Active"/>
    <x v="0"/>
    <m/>
    <n v="849.15"/>
    <n v="6"/>
  </r>
  <r>
    <s v="CUST00138"/>
    <s v="LEAD00575"/>
    <b v="1"/>
    <d v="2025-06-02T00:00:00"/>
    <d v="2025-06-21T00:00:00"/>
    <b v="1"/>
    <b v="1"/>
    <x v="3"/>
    <s v="EV Charge Card"/>
    <s v="Direct Sales"/>
    <s v="REP002"/>
    <x v="2"/>
    <s v="Active"/>
    <x v="0"/>
    <m/>
    <n v="2736.44"/>
    <n v="19"/>
  </r>
  <r>
    <s v="CUST00139"/>
    <s v="LEAD00576"/>
    <b v="1"/>
    <d v="2025-06-18T00:00:00"/>
    <d v="2025-06-23T00:00:00"/>
    <b v="1"/>
    <b v="1"/>
    <x v="1"/>
    <s v="Fleet Expense Card"/>
    <s v="Direct Sales"/>
    <s v="REP007"/>
    <x v="2"/>
    <s v="Churned"/>
    <x v="1"/>
    <d v="2025-11-27T00:00:00"/>
    <n v="1713.99"/>
    <n v="5"/>
  </r>
  <r>
    <s v="CUST00140"/>
    <s v="LEAD00582"/>
    <b v="1"/>
    <d v="2025-04-15T00:00:00"/>
    <m/>
    <b v="1"/>
    <b v="0"/>
    <x v="3"/>
    <s v="Fuel Card"/>
    <s v="Direct Sales"/>
    <s v="REP003"/>
    <x v="2"/>
    <s v="Not Activated"/>
    <x v="2"/>
    <m/>
    <n v="1958.34"/>
    <s v=""/>
  </r>
  <r>
    <s v="CUST00141"/>
    <s v="LEAD00583"/>
    <b v="1"/>
    <d v="2026-01-13T00:00:00"/>
    <d v="2026-01-21T00:00:00"/>
    <b v="1"/>
    <b v="1"/>
    <x v="4"/>
    <s v="Toll Solution"/>
    <s v="Partner"/>
    <s v="REP012"/>
    <x v="1"/>
    <s v="Active"/>
    <x v="0"/>
    <m/>
    <n v="605.41"/>
    <n v="8"/>
  </r>
  <r>
    <s v="CUST00142"/>
    <s v="LEAD00587"/>
    <b v="1"/>
    <d v="2025-09-12T00:00:00"/>
    <d v="2025-10-27T00:00:00"/>
    <b v="1"/>
    <b v="1"/>
    <x v="1"/>
    <s v="Fuel Card"/>
    <s v="Direct Sales"/>
    <s v="REP009"/>
    <x v="1"/>
    <s v="Active"/>
    <x v="0"/>
    <m/>
    <n v="776.55"/>
    <n v="45"/>
  </r>
  <r>
    <s v="CUST00143"/>
    <s v="LEAD00591"/>
    <b v="1"/>
    <d v="2025-12-06T00:00:00"/>
    <d v="2026-01-08T00:00:00"/>
    <b v="1"/>
    <b v="1"/>
    <x v="3"/>
    <s v="Fuel Card"/>
    <s v="Digital"/>
    <s v="REP003"/>
    <x v="0"/>
    <s v="Active"/>
    <x v="0"/>
    <m/>
    <n v="10577.12"/>
    <n v="33"/>
  </r>
  <r>
    <s v="CUST00144"/>
    <s v="LEAD00595"/>
    <b v="1"/>
    <d v="2026-01-11T00:00:00"/>
    <m/>
    <b v="1"/>
    <b v="0"/>
    <x v="0"/>
    <s v="Fleet Expense Card"/>
    <s v="Digital"/>
    <s v="REP006"/>
    <x v="1"/>
    <s v="Not Activated"/>
    <x v="2"/>
    <m/>
    <n v="553.88"/>
    <s v=""/>
  </r>
  <r>
    <s v="CUST00145"/>
    <s v="LEAD00601"/>
    <b v="1"/>
    <d v="2025-09-18T00:00:00"/>
    <d v="2025-09-21T00:00:00"/>
    <b v="1"/>
    <b v="1"/>
    <x v="1"/>
    <s v="Fuel Card"/>
    <s v="Direct Sales"/>
    <s v="REP009"/>
    <x v="1"/>
    <s v="Active"/>
    <x v="0"/>
    <m/>
    <n v="794.5"/>
    <n v="3"/>
  </r>
  <r>
    <s v="CUST00146"/>
    <s v="LEAD00610"/>
    <b v="1"/>
    <d v="2025-11-07T00:00:00"/>
    <d v="2025-12-06T00:00:00"/>
    <b v="1"/>
    <b v="1"/>
    <x v="4"/>
    <s v="EV Charge Card"/>
    <s v="Telesales"/>
    <s v="REP010"/>
    <x v="0"/>
    <s v="Active"/>
    <x v="0"/>
    <m/>
    <n v="5268.6"/>
    <n v="29"/>
  </r>
  <r>
    <s v="CUST00147"/>
    <s v="LEAD00615"/>
    <b v="1"/>
    <d v="2025-06-20T00:00:00"/>
    <d v="2025-07-20T00:00:00"/>
    <b v="1"/>
    <b v="1"/>
    <x v="4"/>
    <s v="Toll Solution"/>
    <s v="Direct Sales"/>
    <s v="REP010"/>
    <x v="0"/>
    <s v="Active"/>
    <x v="0"/>
    <m/>
    <n v="6559.39"/>
    <n v="30"/>
  </r>
  <r>
    <s v="CUST00148"/>
    <s v="LEAD00617"/>
    <b v="1"/>
    <d v="2025-11-09T00:00:00"/>
    <d v="2025-11-15T00:00:00"/>
    <b v="1"/>
    <b v="1"/>
    <x v="1"/>
    <s v="Fuel Card"/>
    <s v="Direct Sales"/>
    <s v="REP009"/>
    <x v="3"/>
    <s v="Active"/>
    <x v="0"/>
    <m/>
    <n v="733.94"/>
    <n v="6"/>
  </r>
  <r>
    <s v="CUST00149"/>
    <s v="LEAD00620"/>
    <b v="1"/>
    <d v="2025-12-14T00:00:00"/>
    <m/>
    <b v="1"/>
    <b v="0"/>
    <x v="3"/>
    <s v="Fuel Card"/>
    <s v="Direct Sales"/>
    <s v="REP003"/>
    <x v="2"/>
    <s v="Not Activated"/>
    <x v="2"/>
    <m/>
    <n v="2171.0100000000002"/>
    <s v=""/>
  </r>
  <r>
    <s v="CUST00150"/>
    <s v="LEAD00625"/>
    <b v="1"/>
    <d v="2025-10-29T00:00:00"/>
    <d v="2025-11-11T00:00:00"/>
    <b v="1"/>
    <b v="1"/>
    <x v="0"/>
    <s v="Fuel Card"/>
    <s v="Partner"/>
    <s v="REP004"/>
    <x v="2"/>
    <s v="Active"/>
    <x v="0"/>
    <m/>
    <n v="2212.92"/>
    <n v="13"/>
  </r>
  <r>
    <s v="CUST00151"/>
    <s v="LEAD00630"/>
    <b v="1"/>
    <d v="2025-10-04T00:00:00"/>
    <d v="2025-10-09T00:00:00"/>
    <b v="1"/>
    <b v="1"/>
    <x v="1"/>
    <s v="Fuel Card"/>
    <s v="Partner"/>
    <s v="REP007"/>
    <x v="2"/>
    <s v="Active"/>
    <x v="0"/>
    <m/>
    <n v="2878.06"/>
    <n v="5"/>
  </r>
  <r>
    <s v="CUST00152"/>
    <s v="LEAD00640"/>
    <b v="1"/>
    <d v="2025-10-10T00:00:00"/>
    <d v="2025-10-26T00:00:00"/>
    <b v="1"/>
    <b v="1"/>
    <x v="2"/>
    <s v="Fuel Card"/>
    <s v="Direct Sales"/>
    <s v="REP015"/>
    <x v="1"/>
    <s v="Active"/>
    <x v="0"/>
    <m/>
    <n v="775.08"/>
    <n v="16"/>
  </r>
  <r>
    <s v="CUST00153"/>
    <s v="LEAD00648"/>
    <b v="1"/>
    <d v="2025-03-10T00:00:00"/>
    <m/>
    <b v="1"/>
    <b v="0"/>
    <x v="3"/>
    <s v="Fuel Card"/>
    <s v="Partner"/>
    <s v="REP002"/>
    <x v="1"/>
    <s v="Not Activated"/>
    <x v="2"/>
    <m/>
    <n v="604.07000000000005"/>
    <s v=""/>
  </r>
  <r>
    <s v="CUST00154"/>
    <s v="LEAD00651"/>
    <b v="1"/>
    <d v="2025-06-04T00:00:00"/>
    <d v="2025-06-12T00:00:00"/>
    <b v="1"/>
    <b v="1"/>
    <x v="1"/>
    <s v="Fleet Expense Card"/>
    <s v="Partner"/>
    <s v="REP008"/>
    <x v="1"/>
    <s v="Churned"/>
    <x v="1"/>
    <d v="2025-08-21T00:00:00"/>
    <n v="955.93"/>
    <n v="8"/>
  </r>
  <r>
    <s v="CUST00155"/>
    <s v="LEAD00654"/>
    <b v="1"/>
    <d v="2025-12-12T00:00:00"/>
    <d v="2025-12-31T00:00:00"/>
    <b v="1"/>
    <b v="1"/>
    <x v="3"/>
    <s v="Fuel Card"/>
    <s v="Direct Sales"/>
    <s v="REP003"/>
    <x v="1"/>
    <s v="Active"/>
    <x v="0"/>
    <m/>
    <n v="783.14"/>
    <n v="19"/>
  </r>
  <r>
    <s v="CUST00156"/>
    <s v="LEAD00661"/>
    <b v="1"/>
    <d v="2025-11-29T00:00:00"/>
    <d v="2026-01-10T00:00:00"/>
    <b v="1"/>
    <b v="1"/>
    <x v="0"/>
    <s v="Toll Solution"/>
    <s v="Telesales"/>
    <s v="REP004"/>
    <x v="1"/>
    <s v="Active"/>
    <x v="0"/>
    <m/>
    <n v="385"/>
    <n v="42"/>
  </r>
  <r>
    <s v="CUST00157"/>
    <s v="LEAD00663"/>
    <b v="1"/>
    <d v="2025-09-14T00:00:00"/>
    <d v="2025-10-22T00:00:00"/>
    <b v="1"/>
    <b v="1"/>
    <x v="4"/>
    <s v="EV Charge Card"/>
    <s v="Partner"/>
    <s v="REP010"/>
    <x v="0"/>
    <s v="Active"/>
    <x v="0"/>
    <m/>
    <n v="8147.72"/>
    <n v="38"/>
  </r>
  <r>
    <s v="CUST00158"/>
    <s v="LEAD00665"/>
    <b v="1"/>
    <d v="2026-01-20T00:00:00"/>
    <d v="2026-02-19T00:00:00"/>
    <b v="1"/>
    <b v="1"/>
    <x v="4"/>
    <s v="Fleet Expense Card"/>
    <s v="Partner"/>
    <s v="REP012"/>
    <x v="2"/>
    <s v="Active"/>
    <x v="0"/>
    <m/>
    <n v="1970.71"/>
    <n v="30"/>
  </r>
  <r>
    <s v="CUST00159"/>
    <s v="LEAD00672"/>
    <b v="1"/>
    <d v="2025-11-22T00:00:00"/>
    <m/>
    <b v="1"/>
    <b v="0"/>
    <x v="0"/>
    <s v="Toll Solution"/>
    <s v="Telesales"/>
    <s v="REP006"/>
    <x v="2"/>
    <s v="Not Activated"/>
    <x v="2"/>
    <m/>
    <n v="1999.69"/>
    <s v=""/>
  </r>
  <r>
    <s v="CUST00160"/>
    <s v="LEAD00673"/>
    <b v="1"/>
    <d v="2026-01-07T00:00:00"/>
    <m/>
    <b v="1"/>
    <b v="0"/>
    <x v="3"/>
    <s v="EV Charge Card"/>
    <s v="Direct Sales"/>
    <s v="REP002"/>
    <x v="1"/>
    <s v="Not Activated"/>
    <x v="2"/>
    <m/>
    <n v="886.41"/>
    <s v=""/>
  </r>
  <r>
    <s v="CUST00161"/>
    <s v="LEAD00680"/>
    <b v="1"/>
    <d v="2025-04-10T00:00:00"/>
    <d v="2025-04-24T00:00:00"/>
    <b v="1"/>
    <b v="1"/>
    <x v="0"/>
    <s v="Toll Solution"/>
    <s v="Direct Sales"/>
    <s v="REP004"/>
    <x v="2"/>
    <s v="Active"/>
    <x v="0"/>
    <m/>
    <n v="1873.77"/>
    <n v="14"/>
  </r>
  <r>
    <s v="CUST00162"/>
    <s v="LEAD00682"/>
    <b v="1"/>
    <d v="2025-02-11T00:00:00"/>
    <d v="2025-02-22T00:00:00"/>
    <b v="1"/>
    <b v="1"/>
    <x v="2"/>
    <s v="EV Charge Card"/>
    <s v="Direct Sales"/>
    <s v="REP014"/>
    <x v="0"/>
    <s v="Active"/>
    <x v="0"/>
    <m/>
    <n v="5649.33"/>
    <n v="11"/>
  </r>
  <r>
    <s v="CUST00163"/>
    <s v="LEAD00688"/>
    <b v="1"/>
    <d v="2025-06-09T00:00:00"/>
    <d v="2025-07-18T00:00:00"/>
    <b v="1"/>
    <b v="1"/>
    <x v="0"/>
    <s v="Fuel Card"/>
    <s v="Direct Sales"/>
    <s v="REP004"/>
    <x v="1"/>
    <s v="Active"/>
    <x v="0"/>
    <m/>
    <n v="823.24"/>
    <n v="39"/>
  </r>
  <r>
    <s v="CUST00164"/>
    <s v="LEAD00689"/>
    <b v="1"/>
    <d v="2026-01-29T00:00:00"/>
    <d v="2026-03-04T00:00:00"/>
    <b v="1"/>
    <b v="1"/>
    <x v="0"/>
    <s v="Fleet Expense Card"/>
    <s v="Direct Sales"/>
    <s v="REP005"/>
    <x v="2"/>
    <s v="Active"/>
    <x v="0"/>
    <m/>
    <n v="2599.6799999999998"/>
    <n v="34"/>
  </r>
  <r>
    <s v="CUST00165"/>
    <s v="LEAD00712"/>
    <b v="1"/>
    <d v="2025-12-14T00:00:00"/>
    <m/>
    <b v="1"/>
    <b v="0"/>
    <x v="1"/>
    <s v="Fuel Card"/>
    <s v="Telesales"/>
    <s v="REP008"/>
    <x v="1"/>
    <s v="Not Activated"/>
    <x v="2"/>
    <m/>
    <n v="638.5"/>
    <s v=""/>
  </r>
  <r>
    <s v="CUST00166"/>
    <s v="LEAD00717"/>
    <b v="1"/>
    <d v="2025-09-03T00:00:00"/>
    <d v="2025-09-27T00:00:00"/>
    <b v="1"/>
    <b v="1"/>
    <x v="2"/>
    <s v="Toll Solution"/>
    <s v="Direct Sales"/>
    <s v="REP013"/>
    <x v="1"/>
    <s v="Active"/>
    <x v="0"/>
    <m/>
    <n v="598.77"/>
    <n v="24"/>
  </r>
  <r>
    <s v="CUST00167"/>
    <s v="LEAD00718"/>
    <b v="1"/>
    <d v="2025-09-15T00:00:00"/>
    <d v="2025-09-24T00:00:00"/>
    <b v="1"/>
    <b v="1"/>
    <x v="4"/>
    <s v="EV Charge Card"/>
    <s v="Direct Sales"/>
    <s v="REP012"/>
    <x v="2"/>
    <s v="Active"/>
    <x v="0"/>
    <m/>
    <n v="1511.29"/>
    <n v="9"/>
  </r>
  <r>
    <s v="CUST00168"/>
    <s v="LEAD00722"/>
    <b v="1"/>
    <d v="2025-11-01T00:00:00"/>
    <m/>
    <b v="1"/>
    <b v="0"/>
    <x v="3"/>
    <s v="Fleet Expense Card"/>
    <s v="Partner"/>
    <s v="REP001"/>
    <x v="2"/>
    <s v="Not Activated"/>
    <x v="2"/>
    <m/>
    <n v="2345.0300000000002"/>
    <s v=""/>
  </r>
  <r>
    <s v="CUST00169"/>
    <s v="LEAD00725"/>
    <b v="1"/>
    <d v="2025-07-24T00:00:00"/>
    <d v="2025-08-30T00:00:00"/>
    <b v="1"/>
    <b v="1"/>
    <x v="4"/>
    <s v="Fuel Card"/>
    <s v="Digital"/>
    <s v="REP010"/>
    <x v="2"/>
    <s v="Active"/>
    <x v="0"/>
    <m/>
    <n v="3160.18"/>
    <n v="37"/>
  </r>
  <r>
    <s v="CUST00170"/>
    <s v="LEAD00730"/>
    <b v="1"/>
    <d v="2025-03-28T00:00:00"/>
    <d v="2025-04-23T00:00:00"/>
    <b v="1"/>
    <b v="1"/>
    <x v="0"/>
    <s v="Toll Solution"/>
    <s v="Telesales"/>
    <s v="REP006"/>
    <x v="1"/>
    <s v="Churned"/>
    <x v="1"/>
    <d v="2025-09-01T00:00:00"/>
    <n v="704.68"/>
    <n v="26"/>
  </r>
  <r>
    <s v="CUST00171"/>
    <s v="LEAD00731"/>
    <b v="1"/>
    <d v="2025-07-26T00:00:00"/>
    <d v="2025-09-01T00:00:00"/>
    <b v="1"/>
    <b v="1"/>
    <x v="3"/>
    <s v="Fuel Card"/>
    <s v="Direct Sales"/>
    <s v="REP001"/>
    <x v="0"/>
    <s v="Active"/>
    <x v="0"/>
    <m/>
    <n v="7405.37"/>
    <n v="37"/>
  </r>
  <r>
    <s v="CUST00172"/>
    <s v="LEAD00732"/>
    <b v="1"/>
    <d v="2025-11-23T00:00:00"/>
    <d v="2025-12-05T00:00:00"/>
    <b v="1"/>
    <b v="1"/>
    <x v="1"/>
    <s v="Fleet Expense Card"/>
    <s v="Direct Sales"/>
    <s v="REP007"/>
    <x v="1"/>
    <s v="Active"/>
    <x v="0"/>
    <m/>
    <n v="948.19"/>
    <n v="12"/>
  </r>
  <r>
    <s v="CUST00173"/>
    <s v="LEAD00738"/>
    <b v="1"/>
    <d v="2025-03-11T00:00:00"/>
    <d v="2025-03-20T00:00:00"/>
    <b v="1"/>
    <b v="1"/>
    <x v="4"/>
    <s v="Fuel Card"/>
    <s v="Digital"/>
    <s v="REP012"/>
    <x v="1"/>
    <s v="Active"/>
    <x v="0"/>
    <m/>
    <n v="615.98"/>
    <n v="9"/>
  </r>
  <r>
    <s v="CUST00174"/>
    <s v="LEAD00740"/>
    <b v="1"/>
    <d v="2025-07-23T00:00:00"/>
    <m/>
    <b v="1"/>
    <b v="0"/>
    <x v="3"/>
    <s v="Fuel Card"/>
    <s v="Digital"/>
    <s v="REP003"/>
    <x v="1"/>
    <s v="Active"/>
    <x v="3"/>
    <m/>
    <n v="1056.8"/>
    <s v=""/>
  </r>
  <r>
    <s v="CUST00175"/>
    <s v="LEAD00745"/>
    <b v="1"/>
    <d v="2025-11-17T00:00:00"/>
    <d v="2025-11-27T00:00:00"/>
    <b v="1"/>
    <b v="1"/>
    <x v="1"/>
    <s v="Fuel Card"/>
    <s v="Direct Sales"/>
    <s v="REP999"/>
    <x v="2"/>
    <s v="Active"/>
    <x v="0"/>
    <m/>
    <n v="2765.94"/>
    <n v="10"/>
  </r>
  <r>
    <s v="CUST00176"/>
    <s v="LEAD00758"/>
    <b v="1"/>
    <d v="2025-04-09T00:00:00"/>
    <d v="2025-05-18T00:00:00"/>
    <b v="1"/>
    <b v="1"/>
    <x v="3"/>
    <s v="Fleet Expense Card"/>
    <s v="Direct Sales"/>
    <s v="REP001"/>
    <x v="1"/>
    <s v="Active"/>
    <x v="0"/>
    <m/>
    <n v="583.16999999999996"/>
    <n v="39"/>
  </r>
  <r>
    <s v="CUST00177"/>
    <s v="LEAD00759"/>
    <b v="1"/>
    <d v="2025-04-22T00:00:00"/>
    <m/>
    <b v="1"/>
    <b v="0"/>
    <x v="3"/>
    <s v="Fleet Expense Card"/>
    <s v="Direct Sales"/>
    <s v="REP001"/>
    <x v="1"/>
    <s v="Not Activated"/>
    <x v="2"/>
    <m/>
    <n v="911.67"/>
    <s v=""/>
  </r>
  <r>
    <s v="CUST00178"/>
    <s v="LEAD00761"/>
    <b v="1"/>
    <d v="2025-05-02T00:00:00"/>
    <m/>
    <b v="1"/>
    <b v="0"/>
    <x v="4"/>
    <s v="Fuel Card"/>
    <s v="Referral"/>
    <s v="REP012"/>
    <x v="2"/>
    <s v="Not Activated"/>
    <x v="2"/>
    <m/>
    <n v="2988.94"/>
    <s v=""/>
  </r>
  <r>
    <s v="CUST00179"/>
    <s v="LEAD00770"/>
    <b v="1"/>
    <d v="2025-06-04T00:00:00"/>
    <d v="2025-06-18T00:00:00"/>
    <b v="1"/>
    <b v="1"/>
    <x v="1"/>
    <s v="Fuel Card"/>
    <s v="Digital"/>
    <s v="REP009"/>
    <x v="2"/>
    <s v="Active"/>
    <x v="0"/>
    <m/>
    <n v="2470.5700000000002"/>
    <n v="14"/>
  </r>
  <r>
    <s v="CUST00180"/>
    <s v="LEAD00776"/>
    <b v="1"/>
    <d v="2025-02-07T00:00:00"/>
    <d v="2025-02-12T00:00:00"/>
    <b v="1"/>
    <b v="1"/>
    <x v="3"/>
    <s v="Fuel Card"/>
    <s v="Digital"/>
    <s v="REP003"/>
    <x v="3"/>
    <s v="Active"/>
    <x v="0"/>
    <m/>
    <n v="3276.01"/>
    <n v="5"/>
  </r>
  <r>
    <s v="CUST00181"/>
    <s v="LEAD00788"/>
    <b v="1"/>
    <d v="2025-12-04T00:00:00"/>
    <d v="2025-12-11T00:00:00"/>
    <b v="1"/>
    <b v="1"/>
    <x v="1"/>
    <s v="EV Charge Card"/>
    <s v="Referral"/>
    <s v="REP009"/>
    <x v="2"/>
    <s v="Active"/>
    <x v="0"/>
    <m/>
    <n v="2600.23"/>
    <n v="7"/>
  </r>
  <r>
    <s v="CUST00182"/>
    <s v="LEAD00790"/>
    <b v="1"/>
    <d v="2025-08-09T00:00:00"/>
    <d v="2025-09-03T00:00:00"/>
    <b v="1"/>
    <b v="1"/>
    <x v="1"/>
    <s v="Toll Solution"/>
    <s v="Telesales"/>
    <s v="REP009"/>
    <x v="1"/>
    <s v="Active"/>
    <x v="0"/>
    <m/>
    <n v="530.54"/>
    <n v="25"/>
  </r>
  <r>
    <s v="CUST00183"/>
    <s v="LEAD00791"/>
    <b v="1"/>
    <d v="2025-07-03T00:00:00"/>
    <m/>
    <b v="1"/>
    <b v="0"/>
    <x v="3"/>
    <s v="Fuel Card"/>
    <s v="Partner"/>
    <s v="REP002"/>
    <x v="2"/>
    <s v="Not Activated"/>
    <x v="2"/>
    <m/>
    <n v="3026.62"/>
    <s v=""/>
  </r>
  <r>
    <s v="CUST00184"/>
    <s v="LEAD00803"/>
    <b v="1"/>
    <d v="2025-11-01T00:00:00"/>
    <m/>
    <b v="1"/>
    <b v="0"/>
    <x v="0"/>
    <s v="Fleet Expense Card"/>
    <s v="Direct Sales"/>
    <s v="REP004"/>
    <x v="1"/>
    <s v="Not Activated"/>
    <x v="2"/>
    <m/>
    <n v="549.32000000000005"/>
    <s v=""/>
  </r>
  <r>
    <s v="CUST00185"/>
    <s v="LEAD00817"/>
    <b v="1"/>
    <d v="2025-03-05T00:00:00"/>
    <d v="2025-03-15T00:00:00"/>
    <b v="1"/>
    <b v="1"/>
    <x v="1"/>
    <s v="Fuel Card"/>
    <s v="Referral"/>
    <s v="REP008"/>
    <x v="1"/>
    <s v="Active"/>
    <x v="0"/>
    <m/>
    <n v="910.5"/>
    <n v="10"/>
  </r>
  <r>
    <s v="CUST00186"/>
    <s v="LEAD00836"/>
    <b v="1"/>
    <d v="2025-05-30T00:00:00"/>
    <d v="2025-07-10T00:00:00"/>
    <b v="1"/>
    <b v="1"/>
    <x v="1"/>
    <s v="EV Charge Card"/>
    <s v="Direct Sales"/>
    <s v="REP009"/>
    <x v="2"/>
    <s v="Churned"/>
    <x v="1"/>
    <m/>
    <n v="2405.5"/>
    <n v="41"/>
  </r>
  <r>
    <s v="CUST00187"/>
    <s v="LEAD00840"/>
    <b v="1"/>
    <d v="2025-12-22T00:00:00"/>
    <d v="2026-01-01T00:00:00"/>
    <b v="1"/>
    <b v="1"/>
    <x v="0"/>
    <s v="Toll Solution"/>
    <s v="Direct Sales"/>
    <s v="REP005"/>
    <x v="2"/>
    <s v="Active"/>
    <x v="0"/>
    <m/>
    <n v="1895.23"/>
    <n v="10"/>
  </r>
  <r>
    <s v="CUST00188"/>
    <s v="LEAD00842"/>
    <b v="1"/>
    <d v="2025-12-21T00:00:00"/>
    <d v="2026-01-19T00:00:00"/>
    <b v="1"/>
    <b v="1"/>
    <x v="3"/>
    <s v="Fuel Card"/>
    <s v="Referral"/>
    <s v="REP003"/>
    <x v="1"/>
    <s v="Active"/>
    <x v="0"/>
    <m/>
    <n v="877.11"/>
    <n v="29"/>
  </r>
  <r>
    <s v="CUST00189"/>
    <s v="LEAD00846"/>
    <b v="1"/>
    <d v="2026-01-26T00:00:00"/>
    <d v="2026-03-31T00:00:00"/>
    <b v="1"/>
    <b v="1"/>
    <x v="3"/>
    <s v="Fuel Card"/>
    <s v="Partner"/>
    <s v="REP002"/>
    <x v="1"/>
    <s v="Active"/>
    <x v="0"/>
    <m/>
    <n v="724.86"/>
    <n v="64"/>
  </r>
  <r>
    <s v="CUST00190"/>
    <s v="LEAD00851"/>
    <b v="1"/>
    <d v="2025-07-05T00:00:00"/>
    <d v="2025-07-04T00:00:00"/>
    <b v="0"/>
    <b v="0"/>
    <x v="2"/>
    <s v="Fleet Expense Card"/>
    <s v="Partner"/>
    <s v="REP015"/>
    <x v="0"/>
    <s v="Active"/>
    <x v="0"/>
    <m/>
    <n v="9018.4699999999993"/>
    <s v=""/>
  </r>
  <r>
    <s v="CUST00191"/>
    <s v="LEAD00866"/>
    <b v="1"/>
    <d v="2025-04-26T00:00:00"/>
    <d v="2025-05-09T00:00:00"/>
    <b v="1"/>
    <b v="1"/>
    <x v="3"/>
    <s v="Fuel Card"/>
    <s v="Direct Sales"/>
    <s v="REP003"/>
    <x v="1"/>
    <s v="Active"/>
    <x v="0"/>
    <m/>
    <n v="1082.3800000000001"/>
    <n v="13"/>
  </r>
  <r>
    <s v="CUST00192"/>
    <s v="LEAD00871"/>
    <b v="1"/>
    <d v="2025-02-13T00:00:00"/>
    <d v="2025-03-01T00:00:00"/>
    <b v="1"/>
    <b v="1"/>
    <x v="3"/>
    <s v="Toll Solution"/>
    <s v="Direct Sales"/>
    <s v="REP002"/>
    <x v="2"/>
    <s v="Active"/>
    <x v="0"/>
    <m/>
    <n v="2070.85"/>
    <n v="16"/>
  </r>
  <r>
    <s v="CUST00193"/>
    <s v="LEAD00875"/>
    <b v="1"/>
    <d v="2026-01-13T00:00:00"/>
    <d v="2026-02-10T00:00:00"/>
    <b v="1"/>
    <b v="1"/>
    <x v="2"/>
    <s v="Toll Solution"/>
    <s v="Referral"/>
    <s v="REP013"/>
    <x v="1"/>
    <s v="Active"/>
    <x v="0"/>
    <m/>
    <n v="616.03"/>
    <n v="28"/>
  </r>
  <r>
    <s v="CUST00194"/>
    <s v="LEAD00880"/>
    <b v="1"/>
    <d v="2025-03-19T00:00:00"/>
    <d v="2025-04-12T00:00:00"/>
    <b v="1"/>
    <b v="1"/>
    <x v="0"/>
    <s v="Fleet Expense Card"/>
    <s v="Partner"/>
    <s v="REP006"/>
    <x v="0"/>
    <s v="Active"/>
    <x v="0"/>
    <m/>
    <n v="8730.02"/>
    <n v="24"/>
  </r>
  <r>
    <s v="CUST00195"/>
    <s v="LEAD00893"/>
    <b v="1"/>
    <d v="2025-11-10T00:00:00"/>
    <d v="2025-12-07T00:00:00"/>
    <b v="1"/>
    <b v="1"/>
    <x v="0"/>
    <s v="Fuel Card"/>
    <s v="Direct Sales"/>
    <s v="REP005"/>
    <x v="1"/>
    <s v="Active"/>
    <x v="0"/>
    <m/>
    <n v="657.03"/>
    <n v="27"/>
  </r>
  <r>
    <s v="CUST00196"/>
    <s v="LEAD00896"/>
    <b v="1"/>
    <d v="2025-12-26T00:00:00"/>
    <d v="2026-02-07T00:00:00"/>
    <b v="1"/>
    <b v="1"/>
    <x v="2"/>
    <s v="Toll Solution"/>
    <s v="Direct Sales"/>
    <s v="REP015"/>
    <x v="1"/>
    <s v="Active"/>
    <x v="0"/>
    <m/>
    <n v="400.96"/>
    <n v="43"/>
  </r>
  <r>
    <s v="CUST00197"/>
    <s v="LEAD00897"/>
    <b v="1"/>
    <d v="2025-09-21T00:00:00"/>
    <d v="2025-11-05T00:00:00"/>
    <b v="1"/>
    <b v="1"/>
    <x v="0"/>
    <s v="Fleet Expense Card"/>
    <s v="Digital"/>
    <s v="REP006"/>
    <x v="1"/>
    <s v="Active"/>
    <x v="0"/>
    <m/>
    <n v="1007.58"/>
    <n v="45"/>
  </r>
  <r>
    <s v="CUST00198"/>
    <s v="LEAD00899"/>
    <b v="1"/>
    <d v="2025-04-24T00:00:00"/>
    <d v="2025-05-23T00:00:00"/>
    <b v="1"/>
    <b v="1"/>
    <x v="0"/>
    <s v="Fuel Card"/>
    <s v="Telesales"/>
    <s v="REP006"/>
    <x v="2"/>
    <s v="Active"/>
    <x v="0"/>
    <m/>
    <n v="2369.08"/>
    <n v="29"/>
  </r>
  <r>
    <s v="CUST00199"/>
    <s v="LEAD00900"/>
    <b v="1"/>
    <d v="2025-12-30T00:00:00"/>
    <d v="2026-01-29T00:00:00"/>
    <b v="1"/>
    <b v="1"/>
    <x v="4"/>
    <s v="EV Charge Card"/>
    <s v="Referral"/>
    <s v="REP011"/>
    <x v="1"/>
    <s v="Active"/>
    <x v="0"/>
    <m/>
    <n v="709.55"/>
    <n v="30"/>
  </r>
  <r>
    <s v="CUST00200"/>
    <s v="LEAD00901"/>
    <b v="1"/>
    <d v="2025-08-08T00:00:00"/>
    <d v="2025-09-04T00:00:00"/>
    <b v="1"/>
    <b v="1"/>
    <x v="1"/>
    <s v="EV Charge Card"/>
    <s v="Direct Sales"/>
    <s v="REP009"/>
    <x v="1"/>
    <s v="Active"/>
    <x v="0"/>
    <m/>
    <n v="656.84"/>
    <n v="27"/>
  </r>
  <r>
    <s v="CUST00201"/>
    <s v="LEAD00905"/>
    <b v="1"/>
    <d v="2025-05-04T00:00:00"/>
    <m/>
    <b v="1"/>
    <b v="0"/>
    <x v="3"/>
    <s v="EV Charge Card"/>
    <s v="Telesales"/>
    <s v="REP003"/>
    <x v="1"/>
    <s v="Not Activated"/>
    <x v="2"/>
    <m/>
    <n v="813.27"/>
    <s v=""/>
  </r>
  <r>
    <s v="CUST00202"/>
    <s v="LEAD00908"/>
    <b v="1"/>
    <d v="2026-01-05T00:00:00"/>
    <d v="2026-01-17T00:00:00"/>
    <b v="1"/>
    <b v="1"/>
    <x v="4"/>
    <s v="Fuel Card"/>
    <s v="Direct Sales"/>
    <s v="REP012"/>
    <x v="3"/>
    <s v="Active"/>
    <x v="0"/>
    <m/>
    <n v="2585.65"/>
    <n v="12"/>
  </r>
  <r>
    <s v="CUST00203"/>
    <s v="LEAD00911"/>
    <b v="1"/>
    <d v="2025-06-30T00:00:00"/>
    <d v="2025-08-07T00:00:00"/>
    <b v="1"/>
    <b v="1"/>
    <x v="1"/>
    <s v="Fuel Card"/>
    <s v="Direct Sales"/>
    <s v="REP009"/>
    <x v="2"/>
    <s v="Active"/>
    <x v="0"/>
    <m/>
    <n v="3011.2"/>
    <n v="38"/>
  </r>
  <r>
    <s v="CUST00204"/>
    <s v="LEAD00922"/>
    <b v="1"/>
    <d v="2025-10-15T00:00:00"/>
    <d v="2025-10-22T00:00:00"/>
    <b v="1"/>
    <b v="1"/>
    <x v="1"/>
    <s v="Toll Solution"/>
    <s v="Telesales"/>
    <s v="REP008"/>
    <x v="1"/>
    <s v="Active"/>
    <x v="0"/>
    <m/>
    <n v="406.29"/>
    <n v="7"/>
  </r>
  <r>
    <s v="CUST00205"/>
    <s v="LEAD00933"/>
    <b v="1"/>
    <d v="2025-11-08T00:00:00"/>
    <d v="2025-11-30T00:00:00"/>
    <b v="1"/>
    <b v="1"/>
    <x v="2"/>
    <s v="Fuel Card"/>
    <s v="Referral"/>
    <s v="REP014"/>
    <x v="2"/>
    <s v="Active"/>
    <x v="0"/>
    <m/>
    <n v="2002.83"/>
    <n v="22"/>
  </r>
  <r>
    <s v="CUST00206"/>
    <s v="LEAD00934"/>
    <b v="1"/>
    <d v="2025-09-10T00:00:00"/>
    <d v="2025-09-22T00:00:00"/>
    <b v="1"/>
    <b v="1"/>
    <x v="3"/>
    <s v="Fleet Expense Card"/>
    <s v="Telesales"/>
    <s v="REP001"/>
    <x v="2"/>
    <s v="Active"/>
    <x v="0"/>
    <m/>
    <n v="3068.21"/>
    <n v="12"/>
  </r>
  <r>
    <s v="CUST00207"/>
    <s v="LEAD00936"/>
    <b v="1"/>
    <d v="2026-01-03T00:00:00"/>
    <d v="2026-01-20T00:00:00"/>
    <b v="1"/>
    <b v="1"/>
    <x v="4"/>
    <s v="Fleet Expense Card"/>
    <s v="Partner"/>
    <s v="REP012"/>
    <x v="1"/>
    <s v="Active"/>
    <x v="0"/>
    <m/>
    <n v="557.49"/>
    <n v="17"/>
  </r>
  <r>
    <s v="CUST00208"/>
    <s v="LEAD00939"/>
    <b v="1"/>
    <d v="2026-01-01T00:00:00"/>
    <d v="2026-01-30T00:00:00"/>
    <b v="1"/>
    <b v="1"/>
    <x v="1"/>
    <s v="Fleet Expense Card"/>
    <s v="Telesales"/>
    <s v="REP007"/>
    <x v="1"/>
    <s v="Active"/>
    <x v="0"/>
    <m/>
    <n v="1038.5999999999999"/>
    <n v="29"/>
  </r>
  <r>
    <s v="CUST00209"/>
    <s v="LEAD00946"/>
    <b v="1"/>
    <d v="2025-02-19T00:00:00"/>
    <d v="2025-02-26T00:00:00"/>
    <b v="1"/>
    <b v="1"/>
    <x v="2"/>
    <s v="Fleet Expense Card"/>
    <s v="Direct Sales"/>
    <s v="REP014"/>
    <x v="1"/>
    <s v="Active"/>
    <x v="0"/>
    <m/>
    <n v="988.22"/>
    <n v="7"/>
  </r>
  <r>
    <s v="CUST00210"/>
    <s v="LEAD00955"/>
    <b v="1"/>
    <d v="2025-11-06T00:00:00"/>
    <m/>
    <b v="1"/>
    <b v="0"/>
    <x v="0"/>
    <s v="EV Charge Card"/>
    <s v="Referral"/>
    <s v="REP005"/>
    <x v="1"/>
    <s v="Not Activated"/>
    <x v="2"/>
    <m/>
    <n v="476.64"/>
    <s v=""/>
  </r>
  <r>
    <s v="CUST00211"/>
    <s v="LEAD00956"/>
    <b v="1"/>
    <d v="2025-02-15T00:00:00"/>
    <m/>
    <b v="1"/>
    <b v="0"/>
    <x v="0"/>
    <s v="Toll Solution"/>
    <s v="Referral"/>
    <s v="REP005"/>
    <x v="1"/>
    <s v="Not Activated"/>
    <x v="2"/>
    <m/>
    <n v="606.86"/>
    <s v=""/>
  </r>
  <r>
    <s v="CUST00212"/>
    <s v="LEAD00957"/>
    <b v="1"/>
    <d v="2026-01-06T00:00:00"/>
    <m/>
    <b v="1"/>
    <b v="0"/>
    <x v="1"/>
    <s v="Fuel Card"/>
    <s v="Telesales"/>
    <s v="REP008"/>
    <x v="1"/>
    <s v="Not Activated"/>
    <x v="2"/>
    <m/>
    <n v="742.89"/>
    <s v=""/>
  </r>
  <r>
    <s v="CUST00213"/>
    <s v="LEAD00964"/>
    <b v="1"/>
    <d v="2025-07-01T00:00:00"/>
    <m/>
    <b v="1"/>
    <b v="0"/>
    <x v="4"/>
    <s v="Fuel Card"/>
    <s v="Direct Sales"/>
    <s v="REP012"/>
    <x v="1"/>
    <s v="Not Activated"/>
    <x v="2"/>
    <m/>
    <n v="1021.18"/>
    <s v=""/>
  </r>
  <r>
    <s v="CUST00214"/>
    <s v="LEAD00969"/>
    <b v="1"/>
    <d v="2025-04-01T00:00:00"/>
    <m/>
    <b v="1"/>
    <b v="0"/>
    <x v="3"/>
    <s v="Fuel Card"/>
    <s v="Telesales"/>
    <s v="REP003"/>
    <x v="1"/>
    <s v="Not Activated"/>
    <x v="2"/>
    <m/>
    <n v="831.9"/>
    <s v=""/>
  </r>
  <r>
    <s v="CUST00215"/>
    <s v="LEAD00973"/>
    <b v="1"/>
    <d v="2025-05-10T00:00:00"/>
    <d v="2025-05-18T00:00:00"/>
    <b v="1"/>
    <b v="1"/>
    <x v="2"/>
    <s v="Fuel Card"/>
    <s v="Direct Sales"/>
    <s v="REP014"/>
    <x v="2"/>
    <s v="Active"/>
    <x v="0"/>
    <m/>
    <n v="2695.93"/>
    <n v="8"/>
  </r>
  <r>
    <s v="CUST00216"/>
    <s v="LEAD00977"/>
    <b v="1"/>
    <d v="2025-12-11T00:00:00"/>
    <d v="2025-12-22T00:00:00"/>
    <b v="1"/>
    <b v="1"/>
    <x v="1"/>
    <s v="Fleet Expense Card"/>
    <s v="Direct Sales"/>
    <s v="REP008"/>
    <x v="1"/>
    <s v="Active"/>
    <x v="0"/>
    <m/>
    <n v="745.34"/>
    <n v="11"/>
  </r>
  <r>
    <s v="CUST00217"/>
    <s v="LEAD00985"/>
    <b v="1"/>
    <d v="2025-12-17T00:00:00"/>
    <d v="2026-01-30T00:00:00"/>
    <b v="1"/>
    <b v="1"/>
    <x v="0"/>
    <s v="Fuel Card"/>
    <s v="Telesales"/>
    <s v="REP004"/>
    <x v="1"/>
    <s v="Active"/>
    <x v="0"/>
    <m/>
    <n v="957.64"/>
    <n v="44"/>
  </r>
  <r>
    <s v="CUST00218"/>
    <s v="LEAD00987"/>
    <b v="1"/>
    <d v="2025-01-31T00:00:00"/>
    <d v="2025-02-05T00:00:00"/>
    <b v="1"/>
    <b v="1"/>
    <x v="2"/>
    <s v="EV Charge Card"/>
    <s v="Direct Sales"/>
    <s v="REP014"/>
    <x v="1"/>
    <s v="Active"/>
    <x v="0"/>
    <m/>
    <n v="646.46"/>
    <n v="5"/>
  </r>
  <r>
    <s v="CUST00219"/>
    <s v="LEAD00994"/>
    <b v="1"/>
    <d v="2026-01-19T00:00:00"/>
    <d v="2026-02-16T00:00:00"/>
    <b v="1"/>
    <b v="1"/>
    <x v="4"/>
    <s v="Toll Solution"/>
    <s v="Direct Sales"/>
    <s v="REP011"/>
    <x v="1"/>
    <s v="Active"/>
    <x v="0"/>
    <m/>
    <n v="372.79"/>
    <n v="28"/>
  </r>
  <r>
    <s v="CUST00220"/>
    <s v="LEAD00997"/>
    <b v="1"/>
    <d v="2025-06-25T00:00:00"/>
    <d v="2025-07-15T00:00:00"/>
    <b v="1"/>
    <b v="1"/>
    <x v="2"/>
    <s v="Toll Solution"/>
    <s v="Referral"/>
    <s v="REP013"/>
    <x v="1"/>
    <s v="Active"/>
    <x v="0"/>
    <m/>
    <n v="514.66999999999996"/>
    <n v="2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09">
  <r>
    <s v="TXN0000001"/>
    <s v="CUST00002"/>
    <b v="1"/>
    <d v="2025-08-18T00:00:00"/>
    <x v="0"/>
    <s v="Fuel"/>
    <n v="3084.52"/>
    <n v="71.599999999999994"/>
    <b v="1"/>
    <s v="Completed"/>
    <n v="71.599999999999994"/>
    <x v="0"/>
    <s v="REP009"/>
    <x v="0"/>
    <s v="Fuel Card"/>
    <s v="SME"/>
  </r>
  <r>
    <s v="TXN0000002"/>
    <s v="CUST00002"/>
    <b v="1"/>
    <d v="2025-08-07T00:00:00"/>
    <x v="0"/>
    <s v="Fuel"/>
    <n v="4576.08"/>
    <n v="105.35"/>
    <b v="1"/>
    <s v="Completed"/>
    <n v="105.35"/>
    <x v="0"/>
    <s v="REP009"/>
    <x v="0"/>
    <s v="Fuel Card"/>
    <s v="SME"/>
  </r>
  <r>
    <s v="TXN0000003"/>
    <s v="CUST00002"/>
    <b v="1"/>
    <d v="2025-09-17T00:00:00"/>
    <x v="1"/>
    <s v="Fuel"/>
    <n v="4134.54"/>
    <n v="116.94"/>
    <b v="1"/>
    <s v="Completed"/>
    <n v="116.94"/>
    <x v="0"/>
    <s v="REP009"/>
    <x v="0"/>
    <s v="Fuel Card"/>
    <s v="SME"/>
  </r>
  <r>
    <s v="TXN0000004"/>
    <s v="CUST00002"/>
    <b v="1"/>
    <d v="2025-09-13T00:00:00"/>
    <x v="1"/>
    <s v="Fuel"/>
    <n v="3812.91"/>
    <n v="84.68"/>
    <b v="1"/>
    <s v="Completed"/>
    <n v="84.68"/>
    <x v="0"/>
    <s v="REP009"/>
    <x v="0"/>
    <s v="Fuel Card"/>
    <s v="SME"/>
  </r>
  <r>
    <s v="TXN0000005"/>
    <s v="CUST00002"/>
    <b v="1"/>
    <d v="2025-10-16T00:00:00"/>
    <x v="2"/>
    <s v="Fuel"/>
    <n v="4003.93"/>
    <n v="100.39"/>
    <b v="1"/>
    <s v="Completed"/>
    <n v="100.39"/>
    <x v="0"/>
    <s v="REP009"/>
    <x v="0"/>
    <s v="Fuel Card"/>
    <s v="SME"/>
  </r>
  <r>
    <s v="TXN0000006"/>
    <s v="CUST00002"/>
    <b v="1"/>
    <d v="2025-10-12T00:00:00"/>
    <x v="2"/>
    <s v="Fuel"/>
    <n v="3911.11"/>
    <n v="106.16"/>
    <b v="1"/>
    <s v="Completed"/>
    <n v="106.16"/>
    <x v="0"/>
    <s v="REP009"/>
    <x v="0"/>
    <s v="Fuel Card"/>
    <s v="SME"/>
  </r>
  <r>
    <s v="TXN0000007"/>
    <s v="CUST00002"/>
    <b v="1"/>
    <d v="2025-10-18T00:00:00"/>
    <x v="2"/>
    <s v="Fuel"/>
    <n v="4879.3500000000004"/>
    <n v="130.22999999999999"/>
    <b v="1"/>
    <s v="Completed"/>
    <n v="130.22999999999999"/>
    <x v="0"/>
    <s v="REP009"/>
    <x v="0"/>
    <s v="Fuel Card"/>
    <s v="SME"/>
  </r>
  <r>
    <s v="TXN0000008"/>
    <s v="CUST00002"/>
    <b v="1"/>
    <d v="2025-11-20T00:00:00"/>
    <x v="3"/>
    <s v="Fuel"/>
    <n v="3325.52"/>
    <n v="91.85"/>
    <b v="1"/>
    <s v="Completed"/>
    <n v="91.85"/>
    <x v="0"/>
    <s v="REP009"/>
    <x v="0"/>
    <s v="Fuel Card"/>
    <s v="SME"/>
  </r>
  <r>
    <s v="TXN0000009"/>
    <s v="CUST00002"/>
    <b v="1"/>
    <d v="2025-11-11T00:00:00"/>
    <x v="3"/>
    <s v="Fuel"/>
    <n v="4233.7"/>
    <n v="90.19"/>
    <b v="1"/>
    <s v="Completed"/>
    <n v="90.19"/>
    <x v="0"/>
    <s v="REP009"/>
    <x v="0"/>
    <s v="Fuel Card"/>
    <s v="SME"/>
  </r>
  <r>
    <s v="TXN0000010"/>
    <s v="CUST00002"/>
    <b v="1"/>
    <d v="2025-12-17T00:00:00"/>
    <x v="4"/>
    <s v="Fuel"/>
    <n v="1355.81"/>
    <n v="28.92"/>
    <b v="1"/>
    <s v="Completed"/>
    <n v="28.92"/>
    <x v="0"/>
    <s v="REP009"/>
    <x v="0"/>
    <s v="Fuel Card"/>
    <s v="SME"/>
  </r>
  <r>
    <s v="TXN0000011"/>
    <s v="CUST00002"/>
    <b v="1"/>
    <d v="2025-12-16T00:00:00"/>
    <x v="4"/>
    <s v="Fuel"/>
    <n v="3327.6"/>
    <n v="84.65"/>
    <b v="1"/>
    <s v="Completed"/>
    <n v="84.65"/>
    <x v="0"/>
    <s v="REP009"/>
    <x v="0"/>
    <s v="Fuel Card"/>
    <s v="SME"/>
  </r>
  <r>
    <s v="TXN0000012"/>
    <s v="CUST00003"/>
    <b v="1"/>
    <d v="2025-04-29T00:00:00"/>
    <x v="5"/>
    <s v="Toll"/>
    <n v="5152.8900000000003"/>
    <n v="87.47"/>
    <b v="1"/>
    <s v="Completed"/>
    <n v="87.47"/>
    <x v="1"/>
    <s v="REP015"/>
    <x v="1"/>
    <s v="Toll Solution"/>
    <s v="Mid-Market"/>
  </r>
  <r>
    <s v="TXN0000013"/>
    <s v="CUST00003"/>
    <b v="1"/>
    <d v="2025-04-30T00:00:00"/>
    <x v="5"/>
    <s v="Toll"/>
    <n v="6210.37"/>
    <n v="107.89"/>
    <b v="1"/>
    <s v="Completed"/>
    <n v="107.89"/>
    <x v="1"/>
    <s v="REP015"/>
    <x v="1"/>
    <s v="Toll Solution"/>
    <s v="Mid-Market"/>
  </r>
  <r>
    <s v="TXN0000014"/>
    <s v="CUST00003"/>
    <b v="1"/>
    <d v="2025-04-30T00:00:00"/>
    <x v="5"/>
    <s v="Toll"/>
    <n v="17647.89"/>
    <n v="293.33"/>
    <b v="1"/>
    <s v="Completed"/>
    <n v="293.33"/>
    <x v="1"/>
    <s v="REP015"/>
    <x v="1"/>
    <s v="Toll Solution"/>
    <s v="Mid-Market"/>
  </r>
  <r>
    <s v="TXN0000015"/>
    <s v="CUST00003"/>
    <b v="1"/>
    <d v="2025-05-31T00:00:00"/>
    <x v="6"/>
    <s v="Toll"/>
    <n v="11897.96"/>
    <n v="188.76"/>
    <b v="1"/>
    <s v="Completed"/>
    <n v="188.76"/>
    <x v="1"/>
    <s v="REP015"/>
    <x v="1"/>
    <s v="Toll Solution"/>
    <s v="Mid-Market"/>
  </r>
  <r>
    <s v="TXN0000016"/>
    <s v="CUST00003"/>
    <b v="1"/>
    <d v="2025-05-14T00:00:00"/>
    <x v="6"/>
    <s v="Toll"/>
    <n v="7107.76"/>
    <n v="143.80000000000001"/>
    <b v="1"/>
    <s v="Completed"/>
    <n v="143.80000000000001"/>
    <x v="1"/>
    <s v="REP015"/>
    <x v="1"/>
    <s v="Toll Solution"/>
    <s v="Mid-Market"/>
  </r>
  <r>
    <s v="TXN0000017"/>
    <s v="CUST00003"/>
    <b v="1"/>
    <d v="2025-06-05T00:00:00"/>
    <x v="7"/>
    <s v="Toll"/>
    <n v="15612.19"/>
    <n v="274.93"/>
    <b v="1"/>
    <s v="Completed"/>
    <n v="274.93"/>
    <x v="1"/>
    <s v="REP015"/>
    <x v="1"/>
    <s v="Toll Solution"/>
    <s v="Mid-Market"/>
  </r>
  <r>
    <s v="TXN0000018"/>
    <s v="CUST00003"/>
    <b v="1"/>
    <d v="2025-06-15T00:00:00"/>
    <x v="7"/>
    <s v="Toll"/>
    <n v="10689.89"/>
    <n v="203.43"/>
    <b v="1"/>
    <s v="Completed"/>
    <n v="203.43"/>
    <x v="1"/>
    <s v="REP015"/>
    <x v="1"/>
    <s v="Toll Solution"/>
    <s v="Mid-Market"/>
  </r>
  <r>
    <s v="TXN0000019"/>
    <s v="CUST00003"/>
    <b v="1"/>
    <d v="2025-07-01T00:00:00"/>
    <x v="8"/>
    <s v="Toll"/>
    <n v="15864.35"/>
    <n v="296.39"/>
    <b v="1"/>
    <s v="Completed"/>
    <n v="296.39"/>
    <x v="1"/>
    <s v="REP015"/>
    <x v="1"/>
    <s v="Toll Solution"/>
    <s v="Mid-Market"/>
  </r>
  <r>
    <s v="TXN0000020"/>
    <s v="CUST00003"/>
    <b v="1"/>
    <d v="2025-07-26T00:00:00"/>
    <x v="8"/>
    <s v="Toll"/>
    <n v="10901.57"/>
    <n v="210.9"/>
    <b v="1"/>
    <s v="Completed"/>
    <n v="210.9"/>
    <x v="1"/>
    <s v="REP015"/>
    <x v="1"/>
    <s v="Toll Solution"/>
    <s v="Mid-Market"/>
  </r>
  <r>
    <s v="TXN0000021"/>
    <s v="CUST00003"/>
    <b v="1"/>
    <d v="2025-07-01T00:00:00"/>
    <x v="8"/>
    <s v="Toll"/>
    <n v="15599.28"/>
    <n v="289.24"/>
    <b v="1"/>
    <s v="Completed"/>
    <n v="289.24"/>
    <x v="1"/>
    <s v="REP015"/>
    <x v="1"/>
    <s v="Toll Solution"/>
    <s v="Mid-Market"/>
  </r>
  <r>
    <s v="TXN0000022"/>
    <s v="CUST00003"/>
    <b v="1"/>
    <d v="2025-08-19T00:00:00"/>
    <x v="0"/>
    <s v="Toll"/>
    <n v="17194.02"/>
    <n v="274.68"/>
    <b v="1"/>
    <s v="Completed"/>
    <n v="274.68"/>
    <x v="1"/>
    <s v="REP015"/>
    <x v="1"/>
    <s v="Toll Solution"/>
    <s v="Mid-Market"/>
  </r>
  <r>
    <s v="TXN0000023"/>
    <s v="CUST00003"/>
    <b v="1"/>
    <d v="2025-08-30T00:00:00"/>
    <x v="0"/>
    <s v="Toll"/>
    <n v="9123.08"/>
    <n v="188.37"/>
    <b v="1"/>
    <s v="Completed"/>
    <n v="188.37"/>
    <x v="1"/>
    <s v="REP015"/>
    <x v="1"/>
    <s v="Toll Solution"/>
    <s v="Mid-Market"/>
  </r>
  <r>
    <s v="TXN0000024"/>
    <s v="CUST00003"/>
    <b v="1"/>
    <d v="2025-08-19T00:00:00"/>
    <x v="0"/>
    <s v="Toll"/>
    <n v="16543.79"/>
    <n v="336.58"/>
    <b v="1"/>
    <s v="Completed"/>
    <n v="336.58"/>
    <x v="1"/>
    <s v="REP015"/>
    <x v="1"/>
    <s v="Toll Solution"/>
    <s v="Mid-Market"/>
  </r>
  <r>
    <s v="TXN0000025"/>
    <s v="CUST00003"/>
    <b v="1"/>
    <d v="2025-09-02T00:00:00"/>
    <x v="1"/>
    <s v="Toll"/>
    <n v="15930.18"/>
    <n v="289.62"/>
    <b v="1"/>
    <s v="Completed"/>
    <n v="289.62"/>
    <x v="1"/>
    <s v="REP015"/>
    <x v="1"/>
    <s v="Toll Solution"/>
    <s v="Mid-Market"/>
  </r>
  <r>
    <s v="TXN0000026"/>
    <s v="CUST00003"/>
    <b v="1"/>
    <d v="2025-10-23T00:00:00"/>
    <x v="2"/>
    <s v="Toll"/>
    <n v="13406.92"/>
    <n v="218.82"/>
    <b v="1"/>
    <s v="Completed"/>
    <n v="218.82"/>
    <x v="1"/>
    <s v="REP015"/>
    <x v="1"/>
    <s v="Toll Solution"/>
    <s v="Mid-Market"/>
  </r>
  <r>
    <s v="TXN0000027"/>
    <s v="CUST00003"/>
    <b v="1"/>
    <d v="2025-11-16T00:00:00"/>
    <x v="3"/>
    <s v="Toll"/>
    <n v="8023.55"/>
    <n v="145.03"/>
    <b v="1"/>
    <s v="Completed"/>
    <n v="145.03"/>
    <x v="1"/>
    <s v="REP015"/>
    <x v="1"/>
    <s v="Toll Solution"/>
    <s v="Mid-Market"/>
  </r>
  <r>
    <s v="TXN0000028"/>
    <s v="CUST00003"/>
    <b v="1"/>
    <d v="2025-11-28T00:00:00"/>
    <x v="3"/>
    <s v="Toll"/>
    <n v="12080.45"/>
    <n v="208.51"/>
    <b v="1"/>
    <s v="Completed"/>
    <n v="208.51"/>
    <x v="1"/>
    <s v="REP015"/>
    <x v="1"/>
    <s v="Toll Solution"/>
    <s v="Mid-Market"/>
  </r>
  <r>
    <s v="TXN0000029"/>
    <s v="CUST00003"/>
    <b v="1"/>
    <d v="2025-12-03T00:00:00"/>
    <x v="4"/>
    <s v="Toll"/>
    <n v="5773.99"/>
    <n v="91.56"/>
    <b v="1"/>
    <s v="Completed"/>
    <n v="91.56"/>
    <x v="1"/>
    <s v="REP015"/>
    <x v="1"/>
    <s v="Toll Solution"/>
    <s v="Mid-Market"/>
  </r>
  <r>
    <s v="TXN0000030"/>
    <s v="CUST00003"/>
    <b v="1"/>
    <d v="2025-12-15T00:00:00"/>
    <x v="4"/>
    <s v="Toll"/>
    <n v="8570.94"/>
    <n v="155.04"/>
    <b v="1"/>
    <s v="Completed"/>
    <n v="155.04"/>
    <x v="1"/>
    <s v="REP015"/>
    <x v="1"/>
    <s v="Toll Solution"/>
    <s v="Mid-Market"/>
  </r>
  <r>
    <s v="TXN0000031"/>
    <s v="CUST00004"/>
    <b v="1"/>
    <d v="2025-07-20T00:00:00"/>
    <x v="8"/>
    <s v="Fuel"/>
    <n v="17064.72"/>
    <n v="419.95"/>
    <b v="1"/>
    <s v="Completed"/>
    <n v="419.95"/>
    <x v="2"/>
    <s v="REP004"/>
    <x v="2"/>
    <s v="Fuel Card"/>
    <s v="Mid-Market"/>
  </r>
  <r>
    <s v="TXN0000032"/>
    <s v="CUST00004"/>
    <b v="1"/>
    <d v="2025-08-08T00:00:00"/>
    <x v="0"/>
    <s v="Fuel"/>
    <n v="13811.21"/>
    <n v="342.49"/>
    <b v="1"/>
    <s v="Completed"/>
    <n v="342.49"/>
    <x v="2"/>
    <s v="REP004"/>
    <x v="2"/>
    <s v="Fuel Card"/>
    <s v="Mid-Market"/>
  </r>
  <r>
    <s v="TXN0000033"/>
    <s v="CUST00004"/>
    <b v="1"/>
    <d v="2025-09-10T00:00:00"/>
    <x v="1"/>
    <s v="Fuel"/>
    <n v="13396.3"/>
    <n v="311.08999999999997"/>
    <b v="1"/>
    <s v="Completed"/>
    <n v="311.08999999999997"/>
    <x v="2"/>
    <s v="REP004"/>
    <x v="2"/>
    <s v="Fuel Card"/>
    <s v="Mid-Market"/>
  </r>
  <r>
    <s v="TXN0000034"/>
    <s v="CUST00004"/>
    <b v="1"/>
    <d v="2025-09-22T00:00:00"/>
    <x v="1"/>
    <s v="Fuel"/>
    <n v="8953.94"/>
    <n v="191.64"/>
    <b v="1"/>
    <s v="Completed"/>
    <n v="191.64"/>
    <x v="2"/>
    <s v="REP004"/>
    <x v="2"/>
    <s v="Fuel Card"/>
    <s v="Mid-Market"/>
  </r>
  <r>
    <s v="TXN0000035"/>
    <s v="CUST00004"/>
    <b v="1"/>
    <d v="2025-09-06T00:00:00"/>
    <x v="1"/>
    <s v="Fuel"/>
    <n v="8357.5400000000009"/>
    <n v="208.02"/>
    <b v="1"/>
    <s v="Completed"/>
    <n v="208.02"/>
    <x v="2"/>
    <s v="REP004"/>
    <x v="2"/>
    <s v="Fuel Card"/>
    <s v="Mid-Market"/>
  </r>
  <r>
    <s v="TXN0000036"/>
    <s v="CUST00004"/>
    <b v="1"/>
    <d v="2025-10-05T00:00:00"/>
    <x v="2"/>
    <s v="Fuel"/>
    <n v="10425.700000000001"/>
    <n v="233.65"/>
    <b v="1"/>
    <s v="Completed"/>
    <n v="233.65"/>
    <x v="2"/>
    <s v="REP004"/>
    <x v="2"/>
    <s v="Fuel Card"/>
    <s v="Mid-Market"/>
  </r>
  <r>
    <s v="TXN0000037"/>
    <s v="CUST00004"/>
    <b v="1"/>
    <d v="2025-10-01T00:00:00"/>
    <x v="2"/>
    <s v="Fuel"/>
    <n v="17210.14"/>
    <n v="385.78"/>
    <b v="1"/>
    <s v="Completed"/>
    <n v="385.78"/>
    <x v="2"/>
    <s v="REP004"/>
    <x v="2"/>
    <s v="Fuel Card"/>
    <s v="Mid-Market"/>
  </r>
  <r>
    <s v="TXN0000038"/>
    <s v="CUST00007"/>
    <b v="1"/>
    <d v="2025-02-27T00:00:00"/>
    <x v="9"/>
    <s v="Fuel"/>
    <n v="2089.65"/>
    <n v="56.31"/>
    <b v="1"/>
    <s v="Completed"/>
    <n v="56.31"/>
    <x v="1"/>
    <s v="REP013"/>
    <x v="1"/>
    <s v="Fuel Card"/>
    <s v="SME"/>
  </r>
  <r>
    <s v="TXN0000039"/>
    <s v="CUST00007"/>
    <b v="1"/>
    <d v="2025-02-27T00:00:00"/>
    <x v="9"/>
    <s v="Fuel"/>
    <n v="2640.41"/>
    <n v="72.260000000000005"/>
    <b v="1"/>
    <s v="Completed"/>
    <n v="72.260000000000005"/>
    <x v="1"/>
    <s v="REP013"/>
    <x v="1"/>
    <s v="Fuel Card"/>
    <s v="SME"/>
  </r>
  <r>
    <s v="TXN0000040"/>
    <s v="CUST00007"/>
    <b v="1"/>
    <d v="2025-03-06T00:00:00"/>
    <x v="10"/>
    <s v="Fuel"/>
    <n v="3843.72"/>
    <n v="92.05"/>
    <b v="1"/>
    <s v="Completed"/>
    <n v="92.05"/>
    <x v="1"/>
    <s v="REP013"/>
    <x v="1"/>
    <s v="Fuel Card"/>
    <s v="SME"/>
  </r>
  <r>
    <s v="TXN0000041"/>
    <s v="CUST00007"/>
    <b v="1"/>
    <d v="2025-04-28T00:00:00"/>
    <x v="5"/>
    <s v="Fuel"/>
    <n v="2058.63"/>
    <n v="58.68"/>
    <b v="1"/>
    <s v="Completed"/>
    <n v="58.68"/>
    <x v="1"/>
    <s v="REP013"/>
    <x v="1"/>
    <s v="Fuel Card"/>
    <s v="SME"/>
  </r>
  <r>
    <s v="TXN0000042"/>
    <s v="CUST00007"/>
    <b v="1"/>
    <d v="2025-04-05T00:00:00"/>
    <x v="5"/>
    <s v="Fuel"/>
    <n v="5145.46"/>
    <n v="129.07"/>
    <b v="1"/>
    <s v="Completed"/>
    <n v="129.07"/>
    <x v="1"/>
    <s v="REP013"/>
    <x v="1"/>
    <s v="Fuel Card"/>
    <s v="SME"/>
  </r>
  <r>
    <s v="TXN0000043"/>
    <s v="CUST00007"/>
    <b v="1"/>
    <d v="2025-05-21T00:00:00"/>
    <x v="6"/>
    <s v="Fuel"/>
    <n v="5103.42"/>
    <n v="120.9"/>
    <b v="1"/>
    <s v="Completed"/>
    <n v="120.9"/>
    <x v="1"/>
    <s v="REP013"/>
    <x v="1"/>
    <s v="Fuel Card"/>
    <s v="SME"/>
  </r>
  <r>
    <s v="TXN0000044"/>
    <s v="CUST00007"/>
    <b v="1"/>
    <d v="2025-06-05T00:00:00"/>
    <x v="7"/>
    <s v="Fuel"/>
    <n v="5058.8500000000004"/>
    <n v="144.32"/>
    <b v="1"/>
    <s v="Completed"/>
    <n v="144.32"/>
    <x v="1"/>
    <s v="REP013"/>
    <x v="1"/>
    <s v="Fuel Card"/>
    <s v="SME"/>
  </r>
  <r>
    <s v="TXN0000045"/>
    <s v="CUST00007"/>
    <b v="1"/>
    <d v="2025-06-06T00:00:00"/>
    <x v="7"/>
    <s v="Fuel"/>
    <n v="2432.5300000000002"/>
    <n v="51.77"/>
    <b v="1"/>
    <s v="Completed"/>
    <n v="51.77"/>
    <x v="1"/>
    <s v="REP013"/>
    <x v="1"/>
    <s v="Fuel Card"/>
    <s v="SME"/>
  </r>
  <r>
    <s v="TXN0000046"/>
    <s v="CUST00007"/>
    <b v="1"/>
    <d v="2025-07-13T00:00:00"/>
    <x v="8"/>
    <s v="Fuel"/>
    <n v="2297.6"/>
    <n v="0"/>
    <b v="1"/>
    <s v="Cancelled"/>
    <n v="0"/>
    <x v="1"/>
    <s v="REP013"/>
    <x v="1"/>
    <s v="Fuel Card"/>
    <s v="SME"/>
  </r>
  <r>
    <s v="TXN0000047"/>
    <s v="CUST00007"/>
    <b v="1"/>
    <d v="2025-07-22T00:00:00"/>
    <x v="8"/>
    <s v="Fuel"/>
    <n v="2210.34"/>
    <n v="59.37"/>
    <b v="1"/>
    <s v="Completed"/>
    <n v="59.37"/>
    <x v="1"/>
    <s v="REP013"/>
    <x v="1"/>
    <s v="Fuel Card"/>
    <s v="SME"/>
  </r>
  <r>
    <s v="TXN0000048"/>
    <s v="CUST00007"/>
    <b v="1"/>
    <d v="2025-07-17T00:00:00"/>
    <x v="8"/>
    <s v="Fuel"/>
    <n v="2581.92"/>
    <n v="67.56"/>
    <b v="1"/>
    <s v="Completed"/>
    <n v="67.56"/>
    <x v="1"/>
    <s v="REP013"/>
    <x v="1"/>
    <s v="Fuel Card"/>
    <s v="SME"/>
  </r>
  <r>
    <s v="TXN0000049"/>
    <s v="CUST00007"/>
    <b v="1"/>
    <d v="2025-08-03T00:00:00"/>
    <x v="0"/>
    <s v="Fuel"/>
    <n v="2165.87"/>
    <n v="49.87"/>
    <b v="1"/>
    <s v="Completed"/>
    <n v="49.87"/>
    <x v="1"/>
    <s v="REP013"/>
    <x v="1"/>
    <s v="Fuel Card"/>
    <s v="SME"/>
  </r>
  <r>
    <s v="TXN0000050"/>
    <s v="CUST00007"/>
    <b v="1"/>
    <d v="2025-08-13T00:00:00"/>
    <x v="0"/>
    <s v="Fuel"/>
    <n v="3343.43"/>
    <n v="82.35"/>
    <b v="1"/>
    <s v="Completed"/>
    <n v="82.35"/>
    <x v="1"/>
    <s v="REP013"/>
    <x v="1"/>
    <s v="Fuel Card"/>
    <s v="SME"/>
  </r>
  <r>
    <s v="TXN0000051"/>
    <s v="CUST00007"/>
    <b v="1"/>
    <d v="2025-08-31T00:00:00"/>
    <x v="0"/>
    <s v="Fuel"/>
    <n v="1633.46"/>
    <n v="36.58"/>
    <b v="1"/>
    <s v="Completed"/>
    <n v="36.58"/>
    <x v="1"/>
    <s v="REP013"/>
    <x v="1"/>
    <s v="Fuel Card"/>
    <s v="SME"/>
  </r>
  <r>
    <s v="TXN0000052"/>
    <s v="CUST00007"/>
    <b v="1"/>
    <d v="2025-09-19T00:00:00"/>
    <x v="1"/>
    <s v="Fuel"/>
    <n v="4878.47"/>
    <n v="113.2"/>
    <b v="1"/>
    <s v="Completed"/>
    <n v="113.2"/>
    <x v="1"/>
    <s v="REP013"/>
    <x v="1"/>
    <s v="Fuel Card"/>
    <s v="SME"/>
  </r>
  <r>
    <s v="TXN0000053"/>
    <s v="CUST00007"/>
    <b v="1"/>
    <d v="2025-09-01T00:00:00"/>
    <x v="1"/>
    <s v="Fuel"/>
    <n v="3102.24"/>
    <n v="84.47"/>
    <b v="1"/>
    <s v="Completed"/>
    <n v="84.47"/>
    <x v="1"/>
    <s v="REP013"/>
    <x v="1"/>
    <s v="Fuel Card"/>
    <s v="SME"/>
  </r>
  <r>
    <s v="TXN0000054"/>
    <s v="CUST00007"/>
    <b v="1"/>
    <d v="2025-10-11T00:00:00"/>
    <x v="2"/>
    <s v="Fuel"/>
    <n v="3358.44"/>
    <n v="87.89"/>
    <b v="1"/>
    <s v="Completed"/>
    <n v="87.89"/>
    <x v="1"/>
    <s v="REP013"/>
    <x v="1"/>
    <s v="Fuel Card"/>
    <s v="SME"/>
  </r>
  <r>
    <s v="TXN0000055"/>
    <s v="CUST00007"/>
    <b v="1"/>
    <d v="2025-11-24T00:00:00"/>
    <x v="3"/>
    <s v="Fuel"/>
    <n v="4722.26"/>
    <n v="109.83"/>
    <b v="1"/>
    <s v="Completed"/>
    <n v="109.83"/>
    <x v="1"/>
    <s v="REP013"/>
    <x v="1"/>
    <s v="Fuel Card"/>
    <s v="SME"/>
  </r>
  <r>
    <s v="TXN0000056"/>
    <s v="CUST00007"/>
    <b v="1"/>
    <d v="2025-11-07T00:00:00"/>
    <x v="3"/>
    <s v="Fuel"/>
    <n v="3552.83"/>
    <n v="88.79"/>
    <b v="1"/>
    <s v="Completed"/>
    <n v="88.79"/>
    <x v="1"/>
    <s v="REP013"/>
    <x v="1"/>
    <s v="Fuel Card"/>
    <s v="SME"/>
  </r>
  <r>
    <s v="TXN0000057"/>
    <s v="CUST00007"/>
    <b v="1"/>
    <d v="2025-12-23T00:00:00"/>
    <x v="4"/>
    <s v="Fuel"/>
    <n v="2404.19"/>
    <n v="53.36"/>
    <b v="1"/>
    <s v="Completed"/>
    <n v="53.36"/>
    <x v="1"/>
    <s v="REP013"/>
    <x v="1"/>
    <s v="Fuel Card"/>
    <s v="SME"/>
  </r>
  <r>
    <s v="TXN0000058"/>
    <s v="CUST00007"/>
    <b v="1"/>
    <d v="2025-12-15T00:00:00"/>
    <x v="4"/>
    <s v="Fuel"/>
    <n v="2657.9"/>
    <n v="61.54"/>
    <b v="1"/>
    <s v="Completed"/>
    <n v="61.54"/>
    <x v="1"/>
    <s v="REP013"/>
    <x v="1"/>
    <s v="Fuel Card"/>
    <s v="SME"/>
  </r>
  <r>
    <s v="TXN0000059"/>
    <s v="CUST00007"/>
    <b v="1"/>
    <d v="2025-12-05T00:00:00"/>
    <x v="4"/>
    <s v="Fuel"/>
    <n v="1382.01"/>
    <n v="34.880000000000003"/>
    <b v="1"/>
    <s v="Completed"/>
    <n v="34.880000000000003"/>
    <x v="1"/>
    <s v="REP013"/>
    <x v="1"/>
    <s v="Fuel Card"/>
    <s v="SME"/>
  </r>
  <r>
    <s v="TXN0000060"/>
    <s v="CUST00009"/>
    <b v="1"/>
    <d v="2025-05-30T00:00:00"/>
    <x v="6"/>
    <s v="EV Charging"/>
    <n v="57928.28"/>
    <n v="1863.5"/>
    <b v="1"/>
    <s v="Completed"/>
    <n v="1863.5"/>
    <x v="2"/>
    <s v="REP006"/>
    <x v="0"/>
    <s v="EV Charge Card"/>
    <s v="Enterprise"/>
  </r>
  <r>
    <s v="TXN0000061"/>
    <s v="CUST00009"/>
    <b v="1"/>
    <d v="2025-05-17T00:00:00"/>
    <x v="6"/>
    <s v="EV Charging"/>
    <n v="59033.14"/>
    <n v="1705.1"/>
    <b v="1"/>
    <s v="Completed"/>
    <n v="1705.1"/>
    <x v="2"/>
    <s v="REP006"/>
    <x v="0"/>
    <s v="EV Charge Card"/>
    <s v="Enterprise"/>
  </r>
  <r>
    <s v="TXN0000062"/>
    <s v="CUST00009"/>
    <b v="1"/>
    <d v="2025-06-18T00:00:00"/>
    <x v="7"/>
    <s v="EV Charging"/>
    <n v="25478.02"/>
    <n v="845.28"/>
    <b v="1"/>
    <s v="Completed"/>
    <n v="845.28"/>
    <x v="2"/>
    <s v="REP006"/>
    <x v="0"/>
    <s v="EV Charge Card"/>
    <s v="Enterprise"/>
  </r>
  <r>
    <s v="TXN0000063"/>
    <s v="CUST00009"/>
    <b v="1"/>
    <d v="2025-07-18T00:00:00"/>
    <x v="8"/>
    <s v="EV Charging"/>
    <n v="24542.13"/>
    <n v="669.65"/>
    <b v="1"/>
    <s v="Completed"/>
    <n v="669.65"/>
    <x v="2"/>
    <s v="REP006"/>
    <x v="0"/>
    <s v="EV Charge Card"/>
    <s v="Enterprise"/>
  </r>
  <r>
    <s v="TXN0000064"/>
    <s v="CUST00009"/>
    <b v="1"/>
    <d v="2025-07-10T00:00:00"/>
    <x v="8"/>
    <s v="EV Charging"/>
    <n v="36315.480000000003"/>
    <n v="990.35"/>
    <b v="1"/>
    <s v="Completed"/>
    <n v="990.35"/>
    <x v="2"/>
    <s v="REP006"/>
    <x v="0"/>
    <s v="EV Charge Card"/>
    <s v="Enterprise"/>
  </r>
  <r>
    <s v="TXN0000065"/>
    <s v="CUST00009"/>
    <b v="1"/>
    <d v="2025-07-19T00:00:00"/>
    <x v="8"/>
    <s v="EV Charging"/>
    <n v="61247.07"/>
    <n v="1756.9"/>
    <b v="1"/>
    <s v="Completed"/>
    <n v="1756.9"/>
    <x v="2"/>
    <s v="REP006"/>
    <x v="0"/>
    <s v="EV Charge Card"/>
    <s v="Enterprise"/>
  </r>
  <r>
    <s v="TXN0000066"/>
    <s v="CUST00009"/>
    <b v="1"/>
    <d v="2025-08-16T00:00:00"/>
    <x v="0"/>
    <s v="EV Charging"/>
    <n v="47437.4"/>
    <n v="1660.45"/>
    <b v="1"/>
    <s v="Completed"/>
    <n v="1660.45"/>
    <x v="2"/>
    <s v="REP006"/>
    <x v="0"/>
    <s v="EV Charge Card"/>
    <s v="Enterprise"/>
  </r>
  <r>
    <s v="TXN0000067"/>
    <s v="CUST00009"/>
    <b v="1"/>
    <d v="2025-09-25T00:00:00"/>
    <x v="1"/>
    <s v="EV Charging"/>
    <n v="47326.03"/>
    <n v="1612.9"/>
    <b v="1"/>
    <s v="Completed"/>
    <n v="1612.9"/>
    <x v="2"/>
    <s v="REP006"/>
    <x v="0"/>
    <s v="EV Charge Card"/>
    <s v="Enterprise"/>
  </r>
  <r>
    <s v="TXN0000068"/>
    <s v="CUST00009"/>
    <b v="1"/>
    <d v="2025-09-13T00:00:00"/>
    <x v="1"/>
    <s v="EV Charging"/>
    <n v="21301.58"/>
    <n v="727.93"/>
    <b v="1"/>
    <s v="Completed"/>
    <n v="727.93"/>
    <x v="2"/>
    <s v="REP006"/>
    <x v="0"/>
    <s v="EV Charge Card"/>
    <s v="Enterprise"/>
  </r>
  <r>
    <s v="TXN0000069"/>
    <s v="CUST00009"/>
    <b v="1"/>
    <d v="2025-09-14T00:00:00"/>
    <x v="1"/>
    <s v="EV Charging"/>
    <n v="17957.400000000001"/>
    <n v="536.77"/>
    <b v="1"/>
    <s v="Completed"/>
    <n v="536.77"/>
    <x v="2"/>
    <s v="REP006"/>
    <x v="0"/>
    <s v="EV Charge Card"/>
    <s v="Enterprise"/>
  </r>
  <r>
    <s v="TXN0000070"/>
    <s v="CUST00009"/>
    <b v="1"/>
    <d v="2025-10-24T00:00:00"/>
    <x v="2"/>
    <s v="EV Charging"/>
    <n v="56084.12"/>
    <n v="1755.77"/>
    <b v="1"/>
    <s v="Completed"/>
    <n v="1755.77"/>
    <x v="2"/>
    <s v="REP006"/>
    <x v="0"/>
    <s v="EV Charge Card"/>
    <s v="Enterprise"/>
  </r>
  <r>
    <s v="TXN0000071"/>
    <s v="CUST00009"/>
    <b v="1"/>
    <d v="2025-11-14T00:00:00"/>
    <x v="3"/>
    <s v="EV Charging"/>
    <n v="29377.08"/>
    <n v="1032.18"/>
    <b v="1"/>
    <s v="Completed"/>
    <n v="1032.18"/>
    <x v="2"/>
    <s v="REP006"/>
    <x v="0"/>
    <s v="EV Charge Card"/>
    <s v="Enterprise"/>
  </r>
  <r>
    <s v="TXN0000072"/>
    <s v="CUST00009"/>
    <b v="1"/>
    <d v="2025-11-19T00:00:00"/>
    <x v="3"/>
    <s v="EV Charging"/>
    <n v="43935.41"/>
    <n v="1508.28"/>
    <b v="1"/>
    <s v="Completed"/>
    <n v="1508.28"/>
    <x v="2"/>
    <s v="REP006"/>
    <x v="0"/>
    <s v="EV Charge Card"/>
    <s v="Enterprise"/>
  </r>
  <r>
    <s v="TXN0000073"/>
    <s v="CUST00009"/>
    <b v="1"/>
    <d v="2025-12-04T00:00:00"/>
    <x v="4"/>
    <s v="EV Charging"/>
    <n v="50472.73"/>
    <n v="0"/>
    <b v="1"/>
    <s v="Cancelled"/>
    <n v="0"/>
    <x v="2"/>
    <s v="REP006"/>
    <x v="0"/>
    <s v="EV Charge Card"/>
    <s v="Enterprise"/>
  </r>
  <r>
    <s v="TXN0000074"/>
    <s v="CUST99999"/>
    <b v="0"/>
    <d v="2025-11-30T00:00:00"/>
    <x v="3"/>
    <s v="Fuel"/>
    <n v="4720.3999999999996"/>
    <n v="125.85"/>
    <b v="1"/>
    <s v="Completed"/>
    <n v="0"/>
    <x v="2"/>
    <s v="Unmatched"/>
    <x v="3"/>
    <s v="Unmatched"/>
    <s v="Unmatched"/>
  </r>
  <r>
    <s v="TXN0000075"/>
    <s v="CUST00010"/>
    <b v="1"/>
    <d v="2025-11-28T00:00:00"/>
    <x v="3"/>
    <s v="Fuel"/>
    <n v="4472.0600000000004"/>
    <n v="102.34"/>
    <b v="1"/>
    <s v="Completed"/>
    <n v="102.34"/>
    <x v="2"/>
    <s v="REP004"/>
    <x v="2"/>
    <s v="Fuel Card"/>
    <s v="SME"/>
  </r>
  <r>
    <s v="TXN0000076"/>
    <s v="CUST00010"/>
    <b v="1"/>
    <d v="2025-12-13T00:00:00"/>
    <x v="4"/>
    <s v="Fuel"/>
    <n v="2438.67"/>
    <n v="65.5"/>
    <b v="1"/>
    <s v="Completed"/>
    <n v="65.5"/>
    <x v="2"/>
    <s v="REP004"/>
    <x v="2"/>
    <s v="Fuel Card"/>
    <s v="SME"/>
  </r>
  <r>
    <s v="TXN0000077"/>
    <s v="CUST00010"/>
    <b v="1"/>
    <d v="2025-12-29T00:00:00"/>
    <x v="4"/>
    <s v="Fuel"/>
    <n v="2855.68"/>
    <n v="80.55"/>
    <b v="1"/>
    <s v="Completed"/>
    <n v="80.55"/>
    <x v="2"/>
    <s v="REP004"/>
    <x v="2"/>
    <s v="Fuel Card"/>
    <s v="SME"/>
  </r>
  <r>
    <s v="TXN0000078"/>
    <s v="CUST00010"/>
    <b v="1"/>
    <d v="2025-12-04T00:00:00"/>
    <x v="4"/>
    <s v="Fuel"/>
    <n v="3865.09"/>
    <n v="102.64"/>
    <b v="1"/>
    <s v="Completed"/>
    <n v="102.64"/>
    <x v="2"/>
    <s v="REP004"/>
    <x v="2"/>
    <s v="Fuel Card"/>
    <s v="SME"/>
  </r>
  <r>
    <s v="TXN0000079"/>
    <s v="CUST00011"/>
    <b v="1"/>
    <d v="2025-09-30T00:00:00"/>
    <x v="1"/>
    <s v="Toll"/>
    <n v="1275.28"/>
    <n v="21.3"/>
    <b v="1"/>
    <s v="Completed"/>
    <n v="21.3"/>
    <x v="3"/>
    <s v="REP002"/>
    <x v="0"/>
    <s v="Toll Solution"/>
    <s v="SME"/>
  </r>
  <r>
    <s v="TXN0000080"/>
    <s v="CUST00011"/>
    <b v="1"/>
    <d v="2025-09-30T00:00:00"/>
    <x v="1"/>
    <s v="Toll"/>
    <n v="4686.72"/>
    <n v="94.97"/>
    <b v="1"/>
    <s v="Completed"/>
    <n v="94.97"/>
    <x v="3"/>
    <s v="REP002"/>
    <x v="0"/>
    <s v="Toll Solution"/>
    <s v="SME"/>
  </r>
  <r>
    <s v="TXN0000081"/>
    <s v="CUST00011"/>
    <b v="1"/>
    <d v="2025-10-14T00:00:00"/>
    <x v="2"/>
    <s v="Toll"/>
    <n v="4479.88"/>
    <n v="91.7"/>
    <b v="1"/>
    <s v="Completed"/>
    <n v="91.7"/>
    <x v="3"/>
    <s v="REP002"/>
    <x v="0"/>
    <s v="Toll Solution"/>
    <s v="SME"/>
  </r>
  <r>
    <s v="TXN0000082"/>
    <s v="CUST00011"/>
    <b v="1"/>
    <d v="2025-11-25T00:00:00"/>
    <x v="3"/>
    <s v="Toll"/>
    <n v="4345.71"/>
    <n v="83.17"/>
    <b v="1"/>
    <s v="Completed"/>
    <n v="83.17"/>
    <x v="3"/>
    <s v="REP002"/>
    <x v="0"/>
    <s v="Toll Solution"/>
    <s v="SME"/>
  </r>
  <r>
    <s v="TXN0000083"/>
    <s v="CUST00011"/>
    <b v="1"/>
    <d v="2025-11-04T00:00:00"/>
    <x v="3"/>
    <s v="Toll"/>
    <n v="4684.22"/>
    <n v="79.09"/>
    <b v="1"/>
    <s v="Completed"/>
    <n v="79.09"/>
    <x v="3"/>
    <s v="REP002"/>
    <x v="0"/>
    <s v="Toll Solution"/>
    <s v="SME"/>
  </r>
  <r>
    <s v="TXN0000084"/>
    <s v="CUST00011"/>
    <b v="1"/>
    <d v="2025-11-14T00:00:00"/>
    <x v="3"/>
    <s v="Toll"/>
    <n v="4024.54"/>
    <n v="63.78"/>
    <b v="1"/>
    <s v="Completed"/>
    <n v="63.78"/>
    <x v="3"/>
    <s v="REP002"/>
    <x v="0"/>
    <s v="Toll Solution"/>
    <s v="SME"/>
  </r>
  <r>
    <s v="TXN0000085"/>
    <s v="CUST00011"/>
    <b v="1"/>
    <d v="2025-12-13T00:00:00"/>
    <x v="4"/>
    <s v="Toll"/>
    <n v="1862.09"/>
    <n v="36.29"/>
    <b v="1"/>
    <s v="Completed"/>
    <n v="36.29"/>
    <x v="3"/>
    <s v="REP002"/>
    <x v="0"/>
    <s v="Toll Solution"/>
    <s v="SME"/>
  </r>
  <r>
    <s v="TXN0000086"/>
    <s v="CUST00012"/>
    <b v="1"/>
    <d v="2025-05-21T00:00:00"/>
    <x v="6"/>
    <s v="EV Charging"/>
    <n v="2790.09"/>
    <n v="0"/>
    <b v="1"/>
    <s v="Cancelled"/>
    <n v="0"/>
    <x v="2"/>
    <s v="REP006"/>
    <x v="1"/>
    <s v="EV Charge Card"/>
    <s v="SME"/>
  </r>
  <r>
    <s v="TXN0000087"/>
    <s v="CUST00012"/>
    <b v="1"/>
    <d v="2025-06-21T00:00:00"/>
    <x v="7"/>
    <s v="EV Charging"/>
    <n v="5128.6899999999996"/>
    <n v="157.07"/>
    <b v="1"/>
    <s v="Completed"/>
    <n v="157.07"/>
    <x v="2"/>
    <s v="REP006"/>
    <x v="1"/>
    <s v="EV Charge Card"/>
    <s v="SME"/>
  </r>
  <r>
    <s v="TXN0000088"/>
    <s v="CUST00012"/>
    <b v="1"/>
    <d v="2025-06-26T00:00:00"/>
    <x v="7"/>
    <s v="EV Charging"/>
    <n v="3011.22"/>
    <n v="84.42"/>
    <b v="1"/>
    <s v="Completed"/>
    <n v="84.42"/>
    <x v="2"/>
    <s v="REP006"/>
    <x v="1"/>
    <s v="EV Charge Card"/>
    <s v="SME"/>
  </r>
  <r>
    <s v="TXN0000089"/>
    <s v="CUST00012"/>
    <b v="1"/>
    <d v="2025-06-22T00:00:00"/>
    <x v="7"/>
    <s v="EV Charging"/>
    <n v="4554.8100000000004"/>
    <n v="131.68"/>
    <b v="1"/>
    <s v="Completed"/>
    <n v="131.68"/>
    <x v="2"/>
    <s v="REP006"/>
    <x v="1"/>
    <s v="EV Charge Card"/>
    <s v="SME"/>
  </r>
  <r>
    <s v="TXN0000090"/>
    <s v="CUST00012"/>
    <b v="1"/>
    <d v="2025-07-14T00:00:00"/>
    <x v="8"/>
    <s v="EV Charging"/>
    <n v="1500.79"/>
    <n v="49.86"/>
    <b v="1"/>
    <s v="Completed"/>
    <n v="49.86"/>
    <x v="2"/>
    <s v="REP006"/>
    <x v="1"/>
    <s v="EV Charge Card"/>
    <s v="SME"/>
  </r>
  <r>
    <s v="TXN0000091"/>
    <s v="CUST00012"/>
    <b v="1"/>
    <d v="2025-07-22T00:00:00"/>
    <x v="8"/>
    <s v="EV Charging"/>
    <n v="1384.94"/>
    <n v="48.77"/>
    <b v="1"/>
    <s v="Completed"/>
    <n v="48.77"/>
    <x v="2"/>
    <s v="REP006"/>
    <x v="1"/>
    <s v="EV Charge Card"/>
    <s v="SME"/>
  </r>
  <r>
    <s v="TXN0000092"/>
    <s v="CUST00012"/>
    <b v="1"/>
    <d v="2025-07-16T00:00:00"/>
    <x v="8"/>
    <s v="EV Charging"/>
    <n v="2884.53"/>
    <n v="81.28"/>
    <b v="1"/>
    <s v="Completed"/>
    <n v="81.28"/>
    <x v="2"/>
    <s v="REP006"/>
    <x v="1"/>
    <s v="EV Charge Card"/>
    <s v="SME"/>
  </r>
  <r>
    <s v="TXN0000093"/>
    <s v="CUST00012"/>
    <b v="1"/>
    <d v="2025-08-03T00:00:00"/>
    <x v="0"/>
    <s v="EV Charging"/>
    <n v="2062.25"/>
    <n v="70.87"/>
    <b v="1"/>
    <s v="Completed"/>
    <n v="70.87"/>
    <x v="2"/>
    <s v="REP006"/>
    <x v="1"/>
    <s v="EV Charge Card"/>
    <s v="SME"/>
  </r>
  <r>
    <s v="TXN0000094"/>
    <s v="CUST00012"/>
    <b v="1"/>
    <d v="2025-09-25T00:00:00"/>
    <x v="1"/>
    <s v="EV Charging"/>
    <n v="4478.9799999999996"/>
    <n v="132.25"/>
    <b v="1"/>
    <s v="Completed"/>
    <n v="132.25"/>
    <x v="2"/>
    <s v="REP006"/>
    <x v="1"/>
    <s v="EV Charge Card"/>
    <s v="SME"/>
  </r>
  <r>
    <s v="TXN0000095"/>
    <s v="CUST00012"/>
    <b v="1"/>
    <d v="2025-10-11T00:00:00"/>
    <x v="2"/>
    <s v="EV Charging"/>
    <n v="3035.76"/>
    <n v="93.72"/>
    <b v="1"/>
    <s v="Completed"/>
    <n v="93.72"/>
    <x v="2"/>
    <s v="REP006"/>
    <x v="1"/>
    <s v="EV Charge Card"/>
    <s v="SME"/>
  </r>
  <r>
    <s v="TXN0000096"/>
    <s v="CUST00012"/>
    <b v="1"/>
    <d v="2025-11-19T00:00:00"/>
    <x v="3"/>
    <s v="EV Charging"/>
    <n v="4516.8"/>
    <n v="143.1"/>
    <b v="1"/>
    <s v="Completed"/>
    <n v="143.1"/>
    <x v="2"/>
    <s v="REP006"/>
    <x v="1"/>
    <s v="EV Charge Card"/>
    <s v="SME"/>
  </r>
  <r>
    <s v="TXN0000097"/>
    <s v="CUST00012"/>
    <b v="1"/>
    <d v="2025-11-30T00:00:00"/>
    <x v="3"/>
    <s v="EV Charging"/>
    <n v="2109.65"/>
    <n v="66.44"/>
    <b v="1"/>
    <s v="Completed"/>
    <n v="66.44"/>
    <x v="2"/>
    <s v="REP006"/>
    <x v="1"/>
    <s v="EV Charge Card"/>
    <s v="SME"/>
  </r>
  <r>
    <s v="TXN0000098"/>
    <s v="CUST00012"/>
    <b v="1"/>
    <d v="2025-12-30T00:00:00"/>
    <x v="4"/>
    <s v="EV Charging"/>
    <n v="5059.01"/>
    <n v="150.75"/>
    <b v="1"/>
    <s v="Completed"/>
    <n v="150.75"/>
    <x v="2"/>
    <s v="REP006"/>
    <x v="1"/>
    <s v="EV Charge Card"/>
    <s v="SME"/>
  </r>
  <r>
    <s v="TXN0000099"/>
    <s v="CUST00013"/>
    <b v="1"/>
    <d v="2025-12-28T00:00:00"/>
    <x v="4"/>
    <s v="EV Charging"/>
    <n v="1515.41"/>
    <n v="47.25"/>
    <b v="1"/>
    <s v="Completed"/>
    <n v="47.25"/>
    <x v="2"/>
    <s v="REP006"/>
    <x v="4"/>
    <s v="EV Charge Card"/>
    <s v="SME"/>
  </r>
  <r>
    <s v="TXN0000100"/>
    <s v="CUST00013"/>
    <b v="1"/>
    <d v="2025-12-31T00:00:00"/>
    <x v="4"/>
    <s v="EV Charging"/>
    <n v="4665.5600000000004"/>
    <n v="162.41999999999999"/>
    <b v="1"/>
    <s v="Completed"/>
    <n v="162.41999999999999"/>
    <x v="2"/>
    <s v="REP006"/>
    <x v="4"/>
    <s v="EV Charge Card"/>
    <s v="SME"/>
  </r>
  <r>
    <s v="TXN0000101"/>
    <s v="CUST00014"/>
    <b v="1"/>
    <d v="2025-07-19T00:00:00"/>
    <x v="8"/>
    <s v="Fuel"/>
    <n v="5187.7299999999996"/>
    <n v="138.63"/>
    <b v="1"/>
    <s v="Completed"/>
    <n v="138.63"/>
    <x v="3"/>
    <s v="REP002"/>
    <x v="2"/>
    <s v="Fuel Card"/>
    <s v="SME"/>
  </r>
  <r>
    <s v="TXN0000102"/>
    <s v="CUST00014"/>
    <b v="1"/>
    <d v="2025-07-16T00:00:00"/>
    <x v="8"/>
    <s v="Fuel"/>
    <n v="3298.7"/>
    <n v="75.25"/>
    <b v="1"/>
    <s v="Completed"/>
    <n v="75.25"/>
    <x v="3"/>
    <s v="REP002"/>
    <x v="2"/>
    <s v="Fuel Card"/>
    <s v="SME"/>
  </r>
  <r>
    <s v="TXN0000103"/>
    <s v="CUST00014"/>
    <b v="1"/>
    <d v="2025-08-26T00:00:00"/>
    <x v="0"/>
    <s v="Fuel"/>
    <n v="2454.4299999999998"/>
    <n v="69.599999999999994"/>
    <b v="1"/>
    <s v="Completed"/>
    <n v="69.599999999999994"/>
    <x v="3"/>
    <s v="REP002"/>
    <x v="2"/>
    <s v="Fuel Card"/>
    <s v="SME"/>
  </r>
  <r>
    <s v="TXN0000104"/>
    <s v="CUST00014"/>
    <b v="1"/>
    <d v="2025-08-18T00:00:00"/>
    <x v="0"/>
    <s v="Fuel"/>
    <n v="4975.6099999999997"/>
    <n v="113.14"/>
    <b v="1"/>
    <s v="Completed"/>
    <n v="113.14"/>
    <x v="3"/>
    <s v="REP002"/>
    <x v="2"/>
    <s v="Fuel Card"/>
    <s v="SME"/>
  </r>
  <r>
    <s v="TXN0000105"/>
    <s v="CUST00014"/>
    <b v="1"/>
    <d v="2025-08-27T00:00:00"/>
    <x v="0"/>
    <s v="Fuel"/>
    <n v="1924.37"/>
    <n v="45.26"/>
    <b v="1"/>
    <s v="Completed"/>
    <n v="45.26"/>
    <x v="3"/>
    <s v="REP002"/>
    <x v="2"/>
    <s v="Fuel Card"/>
    <s v="SME"/>
  </r>
  <r>
    <s v="TXN0000106"/>
    <s v="CUST00014"/>
    <b v="1"/>
    <d v="2025-09-10T00:00:00"/>
    <x v="1"/>
    <s v="Fuel"/>
    <n v="1331.59"/>
    <n v="28.6"/>
    <b v="1"/>
    <s v="Completed"/>
    <n v="28.6"/>
    <x v="3"/>
    <s v="REP002"/>
    <x v="2"/>
    <s v="Fuel Card"/>
    <s v="SME"/>
  </r>
  <r>
    <s v="TXN0000107"/>
    <s v="CUST00014"/>
    <b v="1"/>
    <d v="2025-09-16T00:00:00"/>
    <x v="1"/>
    <s v="Fuel"/>
    <n v="3796.35"/>
    <n v="107.08"/>
    <b v="1"/>
    <s v="Completed"/>
    <n v="107.08"/>
    <x v="3"/>
    <s v="REP002"/>
    <x v="2"/>
    <s v="Fuel Card"/>
    <s v="SME"/>
  </r>
  <r>
    <s v="TXN0000108"/>
    <s v="CUST00014"/>
    <b v="1"/>
    <d v="2025-10-22T00:00:00"/>
    <x v="2"/>
    <s v="Fuel"/>
    <n v="4540.18"/>
    <n v="127.65"/>
    <b v="1"/>
    <s v="Completed"/>
    <n v="127.65"/>
    <x v="3"/>
    <s v="REP002"/>
    <x v="2"/>
    <s v="Fuel Card"/>
    <s v="SME"/>
  </r>
  <r>
    <s v="TXN0000109"/>
    <s v="CUST00014"/>
    <b v="1"/>
    <d v="2025-11-04T00:00:00"/>
    <x v="3"/>
    <s v="Fuel"/>
    <n v="2210.44"/>
    <n v="58.94"/>
    <b v="1"/>
    <s v="Completed"/>
    <n v="58.94"/>
    <x v="3"/>
    <s v="REP002"/>
    <x v="2"/>
    <s v="Fuel Card"/>
    <s v="SME"/>
  </r>
  <r>
    <s v="TXN0000110"/>
    <s v="CUST00014"/>
    <b v="1"/>
    <d v="2025-11-04T00:00:00"/>
    <x v="3"/>
    <s v="Fuel"/>
    <n v="4948.92"/>
    <n v="114.89"/>
    <b v="1"/>
    <s v="Completed"/>
    <n v="114.89"/>
    <x v="3"/>
    <s v="REP002"/>
    <x v="2"/>
    <s v="Fuel Card"/>
    <s v="SME"/>
  </r>
  <r>
    <s v="TXN0000111"/>
    <s v="CUST00014"/>
    <b v="1"/>
    <d v="2025-12-16T00:00:00"/>
    <x v="4"/>
    <s v="Fuel"/>
    <n v="3580.33"/>
    <n v="96.19"/>
    <b v="1"/>
    <s v="Completed"/>
    <n v="96.19"/>
    <x v="3"/>
    <s v="REP002"/>
    <x v="2"/>
    <s v="Fuel Card"/>
    <s v="SME"/>
  </r>
  <r>
    <s v="TXN0000112"/>
    <s v="CUST00014"/>
    <b v="1"/>
    <d v="2025-12-20T00:00:00"/>
    <x v="4"/>
    <s v="Fuel"/>
    <n v="4453.6099999999997"/>
    <n v="97.27"/>
    <b v="1"/>
    <s v="Completed"/>
    <n v="97.27"/>
    <x v="3"/>
    <s v="REP002"/>
    <x v="2"/>
    <s v="Fuel Card"/>
    <s v="SME"/>
  </r>
  <r>
    <s v="TXN0000113"/>
    <s v="CUST00014"/>
    <b v="1"/>
    <d v="2025-12-11T00:00:00"/>
    <x v="4"/>
    <s v="Fuel"/>
    <n v="1742.23"/>
    <n v="-44.57"/>
    <b v="0"/>
    <s v="Completed"/>
    <n v="0"/>
    <x v="3"/>
    <s v="REP002"/>
    <x v="2"/>
    <s v="Fuel Card"/>
    <s v="SME"/>
  </r>
  <r>
    <s v="TXN0000114"/>
    <s v="CUST00015"/>
    <b v="1"/>
    <d v="2025-05-25T00:00:00"/>
    <x v="6"/>
    <s v="Fuel"/>
    <n v="4569.18"/>
    <n v="133.16999999999999"/>
    <b v="1"/>
    <s v="Completed"/>
    <n v="133.16999999999999"/>
    <x v="2"/>
    <s v="REP006"/>
    <x v="2"/>
    <s v="Fleet Expense Card"/>
    <s v="SME"/>
  </r>
  <r>
    <s v="TXN0000115"/>
    <s v="CUST00015"/>
    <b v="1"/>
    <d v="2025-06-23T00:00:00"/>
    <x v="7"/>
    <s v="Fuel"/>
    <n v="3595.03"/>
    <n v="92.35"/>
    <b v="1"/>
    <s v="Completed"/>
    <n v="92.35"/>
    <x v="2"/>
    <s v="REP006"/>
    <x v="2"/>
    <s v="Fleet Expense Card"/>
    <s v="SME"/>
  </r>
  <r>
    <s v="TXN0000116"/>
    <s v="CUST00015"/>
    <b v="1"/>
    <d v="2025-07-13T00:00:00"/>
    <x v="8"/>
    <s v="Parking"/>
    <n v="4144.33"/>
    <n v="96.7"/>
    <b v="1"/>
    <s v="Completed"/>
    <n v="96.7"/>
    <x v="2"/>
    <s v="REP006"/>
    <x v="2"/>
    <s v="Fleet Expense Card"/>
    <s v="SME"/>
  </r>
  <r>
    <s v="TXN0000117"/>
    <s v="CUST00015"/>
    <b v="1"/>
    <d v="2025-07-10T00:00:00"/>
    <x v="8"/>
    <s v="Lodging"/>
    <n v="1896.67"/>
    <n v="57.61"/>
    <b v="1"/>
    <s v="Completed"/>
    <n v="57.61"/>
    <x v="2"/>
    <s v="REP006"/>
    <x v="2"/>
    <s v="Fleet Expense Card"/>
    <s v="SME"/>
  </r>
  <r>
    <s v="TXN0000118"/>
    <s v="CUST00015"/>
    <b v="1"/>
    <d v="2025-08-14T00:00:00"/>
    <x v="0"/>
    <s v="Parking"/>
    <n v="4379.4399999999996"/>
    <n v="127.13"/>
    <b v="1"/>
    <s v="Completed"/>
    <n v="127.13"/>
    <x v="2"/>
    <s v="REP006"/>
    <x v="2"/>
    <s v="Fleet Expense Card"/>
    <s v="SME"/>
  </r>
  <r>
    <s v="TXN0000119"/>
    <s v="CUST00015"/>
    <b v="1"/>
    <d v="2025-09-04T00:00:00"/>
    <x v="1"/>
    <s v="Fuel"/>
    <n v="2181.37"/>
    <n v="56.96"/>
    <b v="1"/>
    <s v="Completed"/>
    <n v="56.96"/>
    <x v="2"/>
    <s v="REP006"/>
    <x v="2"/>
    <s v="Fleet Expense Card"/>
    <s v="SME"/>
  </r>
  <r>
    <s v="TXN0000120"/>
    <s v="CUST00015"/>
    <b v="1"/>
    <d v="2025-09-24T00:00:00"/>
    <x v="1"/>
    <s v="Lodging"/>
    <n v="4271.34"/>
    <n v="102.75"/>
    <b v="1"/>
    <s v="Completed"/>
    <n v="102.75"/>
    <x v="2"/>
    <s v="REP006"/>
    <x v="2"/>
    <s v="Fleet Expense Card"/>
    <s v="SME"/>
  </r>
  <r>
    <s v="TXN0000121"/>
    <s v="CUST00015"/>
    <b v="1"/>
    <d v="2025-10-04T00:00:00"/>
    <x v="2"/>
    <s v="Lodging"/>
    <n v="2363.6999999999998"/>
    <n v="63.82"/>
    <b v="1"/>
    <s v="Completed"/>
    <n v="63.82"/>
    <x v="2"/>
    <s v="REP006"/>
    <x v="2"/>
    <s v="Fleet Expense Card"/>
    <s v="SME"/>
  </r>
  <r>
    <s v="TXN0000122"/>
    <s v="CUST00015"/>
    <b v="1"/>
    <d v="2025-10-30T00:00:00"/>
    <x v="2"/>
    <s v="Lodging"/>
    <n v="2927.4"/>
    <n v="88.42"/>
    <b v="1"/>
    <s v="Completed"/>
    <n v="88.42"/>
    <x v="2"/>
    <s v="REP006"/>
    <x v="2"/>
    <s v="Fleet Expense Card"/>
    <s v="SME"/>
  </r>
  <r>
    <s v="TXN0000123"/>
    <s v="CUST00015"/>
    <b v="1"/>
    <d v="2025-10-23T00:00:00"/>
    <x v="2"/>
    <s v="Lodging"/>
    <n v="4254.25"/>
    <n v="117.86"/>
    <b v="1"/>
    <s v="Completed"/>
    <n v="117.86"/>
    <x v="2"/>
    <s v="REP006"/>
    <x v="2"/>
    <s v="Fleet Expense Card"/>
    <s v="SME"/>
  </r>
  <r>
    <s v="TXN0000124"/>
    <s v="CUST00015"/>
    <b v="1"/>
    <d v="2025-11-12T00:00:00"/>
    <x v="3"/>
    <s v="Fuel"/>
    <n v="4178.95"/>
    <n v="127.75"/>
    <b v="1"/>
    <s v="Completed"/>
    <n v="127.75"/>
    <x v="2"/>
    <s v="REP006"/>
    <x v="2"/>
    <s v="Fleet Expense Card"/>
    <s v="SME"/>
  </r>
  <r>
    <s v="TXN0000125"/>
    <s v="CUST00015"/>
    <b v="1"/>
    <d v="2025-11-28T00:00:00"/>
    <x v="3"/>
    <s v="Fuel"/>
    <n v="1933.71"/>
    <n v="54.98"/>
    <b v="1"/>
    <s v="Completed"/>
    <n v="54.98"/>
    <x v="2"/>
    <s v="REP006"/>
    <x v="2"/>
    <s v="Fleet Expense Card"/>
    <s v="SME"/>
  </r>
  <r>
    <s v="TXN0000126"/>
    <s v="CUST00015"/>
    <b v="1"/>
    <d v="2025-11-06T00:00:00"/>
    <x v="3"/>
    <s v="Lodging"/>
    <n v="2062.3000000000002"/>
    <n v="54.76"/>
    <b v="1"/>
    <s v="Completed"/>
    <n v="54.76"/>
    <x v="2"/>
    <s v="REP006"/>
    <x v="2"/>
    <s v="Fleet Expense Card"/>
    <s v="SME"/>
  </r>
  <r>
    <s v="TXN0000127"/>
    <s v="CUST00015"/>
    <b v="1"/>
    <d v="2025-12-14T00:00:00"/>
    <x v="4"/>
    <s v="Fuel"/>
    <n v="2708.85"/>
    <n v="64.37"/>
    <b v="1"/>
    <s v="Completed"/>
    <n v="64.37"/>
    <x v="2"/>
    <s v="REP006"/>
    <x v="2"/>
    <s v="Fleet Expense Card"/>
    <s v="SME"/>
  </r>
  <r>
    <s v="TXN0000128"/>
    <s v="CUST00015"/>
    <b v="1"/>
    <d v="2025-12-20T00:00:00"/>
    <x v="4"/>
    <s v="Fuel"/>
    <n v="2435.87"/>
    <n v="70.55"/>
    <b v="1"/>
    <s v="Completed"/>
    <n v="70.55"/>
    <x v="2"/>
    <s v="REP006"/>
    <x v="2"/>
    <s v="Fleet Expense Card"/>
    <s v="SME"/>
  </r>
  <r>
    <s v="TXN0000129"/>
    <s v="CUST00015"/>
    <b v="1"/>
    <d v="2025-12-06T00:00:00"/>
    <x v="4"/>
    <s v="Parking"/>
    <n v="1871.56"/>
    <n v="52.89"/>
    <b v="1"/>
    <s v="Completed"/>
    <n v="52.89"/>
    <x v="2"/>
    <s v="REP006"/>
    <x v="2"/>
    <s v="Fleet Expense Card"/>
    <s v="SME"/>
  </r>
  <r>
    <s v="TXN0000130"/>
    <s v="CUST00016"/>
    <b v="1"/>
    <d v="2025-11-30T00:00:00"/>
    <x v="3"/>
    <s v="EV Charging"/>
    <n v="3663.58"/>
    <n v="129.22999999999999"/>
    <b v="1"/>
    <s v="Completed"/>
    <n v="129.22999999999999"/>
    <x v="3"/>
    <s v="REP001"/>
    <x v="5"/>
    <s v="EV Charge Card"/>
    <s v="SME"/>
  </r>
  <r>
    <s v="TXN0000131"/>
    <s v="CUST00016"/>
    <b v="1"/>
    <d v="2025-12-08T00:00:00"/>
    <x v="4"/>
    <s v="EV Charging"/>
    <n v="3629.21"/>
    <n v="116.69"/>
    <b v="1"/>
    <s v="Completed"/>
    <n v="116.69"/>
    <x v="3"/>
    <s v="REP001"/>
    <x v="5"/>
    <s v="EV Charge Card"/>
    <s v="SME"/>
  </r>
  <r>
    <s v="TXN0000132"/>
    <s v="CUST00016"/>
    <b v="1"/>
    <d v="2025-12-01T00:00:00"/>
    <x v="4"/>
    <s v="EV Charging"/>
    <n v="1913.84"/>
    <n v="52.67"/>
    <b v="1"/>
    <s v="Completed"/>
    <n v="52.67"/>
    <x v="3"/>
    <s v="REP001"/>
    <x v="5"/>
    <s v="EV Charge Card"/>
    <s v="SME"/>
  </r>
  <r>
    <s v="TXN0000133"/>
    <s v="CUST00016"/>
    <b v="1"/>
    <d v="2025-12-19T00:00:00"/>
    <x v="4"/>
    <s v="EV Charging"/>
    <n v="3225.57"/>
    <n v="97.52"/>
    <b v="1"/>
    <s v="Completed"/>
    <n v="97.52"/>
    <x v="3"/>
    <s v="REP001"/>
    <x v="5"/>
    <s v="EV Charge Card"/>
    <s v="SME"/>
  </r>
  <r>
    <s v="TXN0000134"/>
    <s v="CUST00017"/>
    <b v="1"/>
    <d v="2025-06-23T00:00:00"/>
    <x v="7"/>
    <s v="Fuel"/>
    <n v="8579.56"/>
    <n v="215.22"/>
    <b v="1"/>
    <s v="Completed"/>
    <n v="215.22"/>
    <x v="1"/>
    <s v="REP015"/>
    <x v="1"/>
    <s v="Fuel Card"/>
    <s v="Mid-Market"/>
  </r>
  <r>
    <s v="TXN0000135"/>
    <s v="CUST00017"/>
    <b v="1"/>
    <d v="2025-06-21T00:00:00"/>
    <x v="7"/>
    <s v="Fuel"/>
    <n v="17287.71"/>
    <n v="481.63"/>
    <b v="1"/>
    <s v="Completed"/>
    <n v="481.63"/>
    <x v="1"/>
    <s v="REP015"/>
    <x v="1"/>
    <s v="Fuel Card"/>
    <s v="Mid-Market"/>
  </r>
  <r>
    <s v="TXN0000136"/>
    <s v="CUST00017"/>
    <b v="1"/>
    <d v="2025-07-29T00:00:00"/>
    <x v="8"/>
    <s v="Fuel"/>
    <n v="11061.32"/>
    <n v="253.54"/>
    <b v="1"/>
    <s v="Completed"/>
    <n v="253.54"/>
    <x v="1"/>
    <s v="REP015"/>
    <x v="1"/>
    <s v="Fuel Card"/>
    <s v="Mid-Market"/>
  </r>
  <r>
    <s v="TXN0000137"/>
    <s v="CUST00017"/>
    <b v="1"/>
    <d v="2025-07-23T00:00:00"/>
    <x v="8"/>
    <s v="Fuel"/>
    <n v="17308.64"/>
    <n v="449.8"/>
    <b v="1"/>
    <s v="Completed"/>
    <n v="449.8"/>
    <x v="1"/>
    <s v="REP015"/>
    <x v="1"/>
    <s v="Fuel Card"/>
    <s v="Mid-Market"/>
  </r>
  <r>
    <s v="TXN0000138"/>
    <s v="CUST00017"/>
    <b v="1"/>
    <d v="2025-08-02T00:00:00"/>
    <x v="0"/>
    <s v="Fuel"/>
    <n v="8504.25"/>
    <n v="242.82"/>
    <b v="1"/>
    <s v="Completed"/>
    <n v="242.82"/>
    <x v="1"/>
    <s v="REP015"/>
    <x v="1"/>
    <s v="Fuel Card"/>
    <s v="Mid-Market"/>
  </r>
  <r>
    <s v="TXN0000139"/>
    <s v="CUST00017"/>
    <b v="1"/>
    <d v="2025-08-15T00:00:00"/>
    <x v="0"/>
    <s v="Fuel"/>
    <n v="7974.12"/>
    <n v="202.63"/>
    <b v="1"/>
    <s v="Completed"/>
    <n v="202.63"/>
    <x v="1"/>
    <s v="REP015"/>
    <x v="1"/>
    <s v="Fuel Card"/>
    <s v="Mid-Market"/>
  </r>
  <r>
    <s v="TXN0000140"/>
    <s v="CUST00017"/>
    <b v="1"/>
    <d v="2025-08-05T00:00:00"/>
    <x v="0"/>
    <s v="Fuel"/>
    <n v="15106.41"/>
    <n v="336.4"/>
    <b v="1"/>
    <s v="Completed"/>
    <n v="336.4"/>
    <x v="1"/>
    <s v="REP015"/>
    <x v="1"/>
    <s v="Fuel Card"/>
    <s v="Mid-Market"/>
  </r>
  <r>
    <s v="TXN0000141"/>
    <s v="CUST00017"/>
    <b v="1"/>
    <d v="2025-09-29T00:00:00"/>
    <x v="1"/>
    <s v="Fuel"/>
    <n v="4319.49"/>
    <n v="121.65"/>
    <b v="1"/>
    <s v="Completed"/>
    <n v="121.65"/>
    <x v="1"/>
    <s v="REP015"/>
    <x v="1"/>
    <s v="Fuel Card"/>
    <s v="Mid-Market"/>
  </r>
  <r>
    <s v="TXN0000142"/>
    <s v="CUST00017"/>
    <b v="1"/>
    <d v="2025-09-20T00:00:00"/>
    <x v="1"/>
    <s v="Fuel"/>
    <n v="17278.79"/>
    <n v="479.23"/>
    <b v="1"/>
    <s v="Completed"/>
    <n v="479.23"/>
    <x v="1"/>
    <s v="REP015"/>
    <x v="1"/>
    <s v="Fuel Card"/>
    <s v="Mid-Market"/>
  </r>
  <r>
    <s v="TXN0000143"/>
    <s v="CUST00017"/>
    <b v="1"/>
    <d v="2025-10-13T00:00:00"/>
    <x v="2"/>
    <s v="Fuel"/>
    <n v="15772.49"/>
    <n v="390.54"/>
    <b v="1"/>
    <s v="Completed"/>
    <n v="390.54"/>
    <x v="1"/>
    <s v="REP015"/>
    <x v="1"/>
    <s v="Fuel Card"/>
    <s v="Mid-Market"/>
  </r>
  <r>
    <s v="TXN0000144"/>
    <s v="CUST00017"/>
    <b v="1"/>
    <d v="2025-10-04T00:00:00"/>
    <x v="2"/>
    <s v="Fuel"/>
    <n v="17378.36"/>
    <n v="437.53"/>
    <b v="1"/>
    <s v="Completed"/>
    <n v="437.53"/>
    <x v="1"/>
    <s v="REP015"/>
    <x v="1"/>
    <s v="Fuel Card"/>
    <s v="Mid-Market"/>
  </r>
  <r>
    <s v="TXN0000145"/>
    <s v="CUST00017"/>
    <b v="1"/>
    <d v="2025-10-07T00:00:00"/>
    <x v="2"/>
    <s v="Fuel"/>
    <n v="16429.41"/>
    <n v="363.94"/>
    <b v="1"/>
    <s v="Completed"/>
    <n v="363.94"/>
    <x v="1"/>
    <s v="REP015"/>
    <x v="1"/>
    <s v="Fuel Card"/>
    <s v="Mid-Market"/>
  </r>
  <r>
    <s v="TXN0000146"/>
    <s v="CUST00017"/>
    <b v="1"/>
    <d v="2025-11-17T00:00:00"/>
    <x v="3"/>
    <s v="Fuel"/>
    <n v="6328.95"/>
    <n v="146.27000000000001"/>
    <b v="1"/>
    <s v="Completed"/>
    <n v="146.27000000000001"/>
    <x v="1"/>
    <s v="REP015"/>
    <x v="1"/>
    <s v="Fuel Card"/>
    <s v="Mid-Market"/>
  </r>
  <r>
    <s v="TXN0000147"/>
    <s v="CUST00017"/>
    <b v="1"/>
    <d v="2025-12-02T00:00:00"/>
    <x v="4"/>
    <s v="Fuel"/>
    <n v="17056.05"/>
    <n v="464.76"/>
    <b v="1"/>
    <s v="Completed"/>
    <n v="464.76"/>
    <x v="1"/>
    <s v="REP015"/>
    <x v="1"/>
    <s v="Fuel Card"/>
    <s v="Mid-Market"/>
  </r>
  <r>
    <s v="TXN0000148"/>
    <s v="CUST00018"/>
    <b v="1"/>
    <d v="2025-08-28T00:00:00"/>
    <x v="0"/>
    <s v="EV Charging"/>
    <n v="15759.4"/>
    <n v="541.04"/>
    <b v="1"/>
    <s v="Completed"/>
    <n v="541.04"/>
    <x v="0"/>
    <s v="REP009"/>
    <x v="1"/>
    <s v="EV Charge Card"/>
    <s v="Mid-Market"/>
  </r>
  <r>
    <s v="TXN0000149"/>
    <s v="CUST00018"/>
    <b v="1"/>
    <d v="2025-08-29T00:00:00"/>
    <x v="0"/>
    <s v="EV Charging"/>
    <n v="17720.84"/>
    <n v="602.04"/>
    <b v="1"/>
    <s v="Completed"/>
    <n v="602.04"/>
    <x v="0"/>
    <s v="REP009"/>
    <x v="1"/>
    <s v="EV Charge Card"/>
    <s v="Mid-Market"/>
  </r>
  <r>
    <s v="TXN0000150"/>
    <s v="CUST00018"/>
    <b v="1"/>
    <d v="2025-08-28T00:00:00"/>
    <x v="0"/>
    <s v="EV Charging"/>
    <n v="5080.43"/>
    <n v="163.04"/>
    <b v="1"/>
    <s v="Completed"/>
    <n v="163.04"/>
    <x v="0"/>
    <s v="REP009"/>
    <x v="1"/>
    <s v="EV Charge Card"/>
    <s v="Mid-Market"/>
  </r>
  <r>
    <s v="TXN0000151"/>
    <s v="CUST00018"/>
    <b v="1"/>
    <d v="2025-09-07T00:00:00"/>
    <x v="1"/>
    <s v="EV Charging"/>
    <n v="5293.15"/>
    <n v="0"/>
    <b v="1"/>
    <s v="Cancelled"/>
    <n v="0"/>
    <x v="0"/>
    <s v="REP009"/>
    <x v="1"/>
    <s v="EV Charge Card"/>
    <s v="Mid-Market"/>
  </r>
  <r>
    <s v="TXN0000152"/>
    <s v="CUST00018"/>
    <b v="1"/>
    <d v="2025-09-19T00:00:00"/>
    <x v="1"/>
    <s v="EV Charging"/>
    <n v="14836.34"/>
    <n v="448"/>
    <b v="1"/>
    <s v="Completed"/>
    <n v="448"/>
    <x v="0"/>
    <s v="REP009"/>
    <x v="1"/>
    <s v="EV Charge Card"/>
    <s v="Mid-Market"/>
  </r>
  <r>
    <s v="TXN0000153"/>
    <s v="CUST00018"/>
    <b v="1"/>
    <d v="2025-09-20T00:00:00"/>
    <x v="1"/>
    <s v="EV Charging"/>
    <n v="15118.67"/>
    <n v="500.39"/>
    <b v="1"/>
    <s v="Completed"/>
    <n v="500.39"/>
    <x v="0"/>
    <s v="REP009"/>
    <x v="1"/>
    <s v="EV Charge Card"/>
    <s v="Mid-Market"/>
  </r>
  <r>
    <s v="TXN0000154"/>
    <s v="CUST00018"/>
    <b v="1"/>
    <d v="2025-10-11T00:00:00"/>
    <x v="2"/>
    <s v="EV Charging"/>
    <n v="6088.67"/>
    <n v="200.66"/>
    <b v="1"/>
    <s v="Completed"/>
    <n v="200.66"/>
    <x v="0"/>
    <s v="REP009"/>
    <x v="1"/>
    <s v="EV Charge Card"/>
    <s v="Mid-Market"/>
  </r>
  <r>
    <s v="TXN0000155"/>
    <s v="CUST00018"/>
    <b v="1"/>
    <d v="2025-10-08T00:00:00"/>
    <x v="2"/>
    <s v="EV Charging"/>
    <n v="12151.06"/>
    <n v="359.29"/>
    <b v="1"/>
    <s v="Completed"/>
    <n v="359.29"/>
    <x v="0"/>
    <s v="REP009"/>
    <x v="1"/>
    <s v="EV Charge Card"/>
    <s v="Mid-Market"/>
  </r>
  <r>
    <s v="TXN0000156"/>
    <s v="CUST00018"/>
    <b v="1"/>
    <d v="2025-11-13T00:00:00"/>
    <x v="3"/>
    <s v="EV Charging"/>
    <n v="11751.05"/>
    <n v="368.36"/>
    <b v="1"/>
    <s v="Completed"/>
    <n v="368.36"/>
    <x v="0"/>
    <s v="REP009"/>
    <x v="1"/>
    <s v="EV Charge Card"/>
    <s v="Mid-Market"/>
  </r>
  <r>
    <s v="TXN0000157"/>
    <s v="CUST00018"/>
    <b v="1"/>
    <d v="2025-12-24T00:00:00"/>
    <x v="4"/>
    <s v="EV Charging"/>
    <n v="14095.92"/>
    <n v="454.74"/>
    <b v="1"/>
    <s v="Completed"/>
    <n v="454.74"/>
    <x v="0"/>
    <s v="REP009"/>
    <x v="1"/>
    <s v="EV Charge Card"/>
    <s v="Mid-Market"/>
  </r>
  <r>
    <s v="TXN0000158"/>
    <s v="CUST00018"/>
    <b v="1"/>
    <d v="2025-12-15T00:00:00"/>
    <x v="4"/>
    <s v="EV Charging"/>
    <n v="11900.7"/>
    <n v="374.27"/>
    <b v="1"/>
    <s v="Completed"/>
    <n v="374.27"/>
    <x v="0"/>
    <s v="REP009"/>
    <x v="1"/>
    <s v="EV Charge Card"/>
    <s v="Mid-Market"/>
  </r>
  <r>
    <s v="TXN0000159"/>
    <s v="CUST00018"/>
    <b v="1"/>
    <d v="2025-12-26T00:00:00"/>
    <x v="4"/>
    <s v="EV Charging"/>
    <n v="8083.27"/>
    <n v="248.23"/>
    <b v="1"/>
    <s v="Completed"/>
    <n v="248.23"/>
    <x v="0"/>
    <s v="REP009"/>
    <x v="1"/>
    <s v="EV Charge Card"/>
    <s v="Mid-Market"/>
  </r>
  <r>
    <s v="TXN0000160"/>
    <s v="CUST00020"/>
    <b v="1"/>
    <d v="2025-05-24T00:00:00"/>
    <x v="6"/>
    <s v="Fuel"/>
    <n v="49629.48"/>
    <n v="1410.74"/>
    <b v="1"/>
    <s v="Completed"/>
    <n v="1410.74"/>
    <x v="3"/>
    <s v="REP003"/>
    <x v="1"/>
    <s v="Fuel Card"/>
    <s v="Enterprise"/>
  </r>
  <r>
    <s v="TXN0000161"/>
    <s v="CUST00020"/>
    <b v="1"/>
    <d v="2025-06-08T00:00:00"/>
    <x v="7"/>
    <s v="Fuel"/>
    <n v="35735.89"/>
    <n v="824.7"/>
    <b v="1"/>
    <s v="Completed"/>
    <n v="824.7"/>
    <x v="3"/>
    <s v="REP003"/>
    <x v="1"/>
    <s v="Fuel Card"/>
    <s v="Enterprise"/>
  </r>
  <r>
    <s v="TXN0000162"/>
    <s v="CUST00020"/>
    <b v="1"/>
    <d v="2025-07-23T00:00:00"/>
    <x v="8"/>
    <s v="Fuel"/>
    <n v="38439.629999999997"/>
    <n v="1085.18"/>
    <b v="1"/>
    <s v="Completed"/>
    <n v="1085.18"/>
    <x v="3"/>
    <s v="REP003"/>
    <x v="1"/>
    <s v="Fuel Card"/>
    <s v="Enterprise"/>
  </r>
  <r>
    <s v="TXN0000163"/>
    <s v="CUST00020"/>
    <b v="1"/>
    <d v="2025-07-27T00:00:00"/>
    <x v="8"/>
    <s v="Fuel"/>
    <n v="25568.31"/>
    <n v="632.65"/>
    <b v="1"/>
    <s v="Completed"/>
    <n v="632.65"/>
    <x v="3"/>
    <s v="REP003"/>
    <x v="1"/>
    <s v="Fuel Card"/>
    <s v="Enterprise"/>
  </r>
  <r>
    <s v="TXN0000164"/>
    <s v="CUST00020"/>
    <b v="1"/>
    <d v="2025-07-26T00:00:00"/>
    <x v="8"/>
    <s v="Fuel"/>
    <n v="60889.78"/>
    <n v="1424.39"/>
    <b v="1"/>
    <s v="Completed"/>
    <n v="1424.39"/>
    <x v="3"/>
    <s v="REP003"/>
    <x v="1"/>
    <s v="Fuel Card"/>
    <s v="Enterprise"/>
  </r>
  <r>
    <s v="TXN0000165"/>
    <s v="CUST00020"/>
    <b v="1"/>
    <d v="2025-08-05T00:00:00"/>
    <x v="0"/>
    <s v="Fuel"/>
    <n v="31053.11"/>
    <n v="855.9"/>
    <b v="1"/>
    <s v="Completed"/>
    <n v="855.9"/>
    <x v="3"/>
    <s v="REP003"/>
    <x v="1"/>
    <s v="Fuel Card"/>
    <s v="Enterprise"/>
  </r>
  <r>
    <s v="TXN0000166"/>
    <s v="CUST00020"/>
    <b v="1"/>
    <d v="2025-08-06T00:00:00"/>
    <x v="0"/>
    <s v="Fuel"/>
    <n v="41334.6"/>
    <n v="1151.1400000000001"/>
    <b v="1"/>
    <s v="Completed"/>
    <n v="1151.1400000000001"/>
    <x v="3"/>
    <s v="REP003"/>
    <x v="1"/>
    <s v="Fuel Card"/>
    <s v="Enterprise"/>
  </r>
  <r>
    <s v="TXN0000167"/>
    <s v="CUST00020"/>
    <b v="1"/>
    <d v="2025-09-06T00:00:00"/>
    <x v="1"/>
    <s v="Fuel"/>
    <n v="32808.76"/>
    <n v="715.15"/>
    <b v="1"/>
    <s v="Completed"/>
    <n v="715.15"/>
    <x v="3"/>
    <s v="REP003"/>
    <x v="1"/>
    <s v="Fuel Card"/>
    <s v="Enterprise"/>
  </r>
  <r>
    <s v="TXN0000168"/>
    <s v="CUST00020"/>
    <b v="1"/>
    <d v="2025-09-07T00:00:00"/>
    <x v="1"/>
    <s v="Fuel"/>
    <n v="42123.09"/>
    <n v="923.92"/>
    <b v="1"/>
    <s v="Completed"/>
    <n v="923.92"/>
    <x v="3"/>
    <s v="REP003"/>
    <x v="1"/>
    <s v="Fuel Card"/>
    <s v="Enterprise"/>
  </r>
  <r>
    <s v="TXN0000169"/>
    <s v="CUST00020"/>
    <b v="1"/>
    <d v="2025-10-12T00:00:00"/>
    <x v="2"/>
    <s v="Fuel"/>
    <n v="26796.95"/>
    <n v="662.94"/>
    <b v="1"/>
    <s v="Completed"/>
    <n v="662.94"/>
    <x v="3"/>
    <s v="REP003"/>
    <x v="1"/>
    <s v="Fuel Card"/>
    <s v="Enterprise"/>
  </r>
  <r>
    <s v="TXN0000170"/>
    <s v="CUST00020"/>
    <b v="1"/>
    <d v="2025-10-12T00:00:00"/>
    <x v="2"/>
    <s v="Fuel"/>
    <n v="49598.7"/>
    <n v="1056.69"/>
    <b v="1"/>
    <s v="Completed"/>
    <n v="1056.69"/>
    <x v="3"/>
    <s v="REP003"/>
    <x v="1"/>
    <s v="Fuel Card"/>
    <s v="Enterprise"/>
  </r>
  <r>
    <s v="TXN0000171"/>
    <s v="CUST00020"/>
    <b v="1"/>
    <d v="2025-11-03T00:00:00"/>
    <x v="3"/>
    <s v="Fuel"/>
    <n v="41624.26"/>
    <n v="1082.72"/>
    <b v="1"/>
    <s v="Completed"/>
    <n v="1082.72"/>
    <x v="3"/>
    <s v="REP003"/>
    <x v="1"/>
    <s v="Fuel Card"/>
    <s v="Enterprise"/>
  </r>
  <r>
    <s v="TXN0000172"/>
    <s v="CUST00020"/>
    <b v="1"/>
    <d v="2025-11-30T00:00:00"/>
    <x v="3"/>
    <s v="Fuel"/>
    <n v="44515.02"/>
    <n v="1061.96"/>
    <b v="1"/>
    <s v="Completed"/>
    <n v="1061.96"/>
    <x v="3"/>
    <s v="REP003"/>
    <x v="1"/>
    <s v="Fuel Card"/>
    <s v="Enterprise"/>
  </r>
  <r>
    <s v="TXN0000173"/>
    <s v="CUST00020"/>
    <b v="1"/>
    <d v="2025-11-21T00:00:00"/>
    <x v="3"/>
    <s v="Fuel"/>
    <n v="18816.59"/>
    <n v="0"/>
    <b v="1"/>
    <s v="Cancelled"/>
    <n v="0"/>
    <x v="3"/>
    <s v="REP003"/>
    <x v="1"/>
    <s v="Fuel Card"/>
    <s v="Enterprise"/>
  </r>
  <r>
    <s v="TXN0000174"/>
    <s v="CUST00020"/>
    <b v="1"/>
    <d v="2025-12-16T00:00:00"/>
    <x v="4"/>
    <s v="Fuel"/>
    <n v="24958.77"/>
    <n v="587.69000000000005"/>
    <b v="1"/>
    <s v="Completed"/>
    <n v="587.69000000000005"/>
    <x v="3"/>
    <s v="REP003"/>
    <x v="1"/>
    <s v="Fuel Card"/>
    <s v="Enterprise"/>
  </r>
  <r>
    <s v="TXN0000175"/>
    <s v="CUST00021"/>
    <b v="1"/>
    <d v="2025-05-20T00:00:00"/>
    <x v="6"/>
    <s v="Fuel"/>
    <n v="12913.23"/>
    <n v="340.55"/>
    <b v="1"/>
    <s v="Completed"/>
    <n v="340.55"/>
    <x v="3"/>
    <s v="REP003"/>
    <x v="1"/>
    <s v="Fuel Card"/>
    <s v="Mid-Market"/>
  </r>
  <r>
    <s v="TXN0000176"/>
    <s v="CUST00021"/>
    <b v="1"/>
    <d v="2025-05-30T00:00:00"/>
    <x v="6"/>
    <s v="Fuel"/>
    <n v="15315.69"/>
    <n v="428.24"/>
    <b v="1"/>
    <s v="Completed"/>
    <n v="428.24"/>
    <x v="3"/>
    <s v="REP003"/>
    <x v="1"/>
    <s v="Fuel Card"/>
    <s v="Mid-Market"/>
  </r>
  <r>
    <s v="TXN0000177"/>
    <s v="CUST00021"/>
    <b v="1"/>
    <d v="2025-05-20T00:00:00"/>
    <x v="6"/>
    <s v="Fuel"/>
    <n v="13772.42"/>
    <n v="352.68"/>
    <b v="1"/>
    <s v="Completed"/>
    <n v="352.68"/>
    <x v="3"/>
    <s v="REP003"/>
    <x v="1"/>
    <s v="Fuel Card"/>
    <s v="Mid-Market"/>
  </r>
  <r>
    <s v="TXN0000178"/>
    <s v="CUST00021"/>
    <b v="1"/>
    <d v="2025-06-10T00:00:00"/>
    <x v="7"/>
    <s v="Fuel"/>
    <n v="8567.32"/>
    <n v="191.99"/>
    <b v="1"/>
    <s v="Completed"/>
    <n v="191.99"/>
    <x v="3"/>
    <s v="REP003"/>
    <x v="1"/>
    <s v="Fuel Card"/>
    <s v="Mid-Market"/>
  </r>
  <r>
    <s v="TXN0000179"/>
    <s v="CUST00021"/>
    <b v="1"/>
    <d v="2025-06-01T00:00:00"/>
    <x v="7"/>
    <s v="Fuel"/>
    <n v="9332.7199999999993"/>
    <n v="245.53"/>
    <b v="1"/>
    <s v="Completed"/>
    <n v="245.53"/>
    <x v="3"/>
    <s v="REP003"/>
    <x v="1"/>
    <s v="Fuel Card"/>
    <s v="Mid-Market"/>
  </r>
  <r>
    <s v="TXN0000180"/>
    <s v="CUST00021"/>
    <b v="1"/>
    <d v="2025-07-30T00:00:00"/>
    <x v="8"/>
    <s v="Fuel"/>
    <n v="15886.9"/>
    <n v="362.74"/>
    <b v="1"/>
    <s v="Completed"/>
    <n v="362.74"/>
    <x v="3"/>
    <s v="REP003"/>
    <x v="1"/>
    <s v="Fuel Card"/>
    <s v="Mid-Market"/>
  </r>
  <r>
    <s v="TXN0000181"/>
    <s v="CUST00021"/>
    <b v="1"/>
    <d v="2025-08-08T00:00:00"/>
    <x v="0"/>
    <s v="Fuel"/>
    <n v="8251.77"/>
    <n v="187.22"/>
    <b v="1"/>
    <s v="Completed"/>
    <n v="187.22"/>
    <x v="3"/>
    <s v="REP003"/>
    <x v="1"/>
    <s v="Fuel Card"/>
    <s v="Mid-Market"/>
  </r>
  <r>
    <s v="TXN0000182"/>
    <s v="CUST00021"/>
    <b v="1"/>
    <d v="2025-08-30T00:00:00"/>
    <x v="0"/>
    <s v="Fuel"/>
    <n v="17571.04"/>
    <n v="483.4"/>
    <b v="1"/>
    <s v="Completed"/>
    <n v="483.4"/>
    <x v="3"/>
    <s v="REP003"/>
    <x v="1"/>
    <s v="Fuel Card"/>
    <s v="Mid-Market"/>
  </r>
  <r>
    <s v="TXN0000183"/>
    <s v="CUST00021"/>
    <b v="1"/>
    <d v="2025-08-06T00:00:00"/>
    <x v="0"/>
    <s v="Fuel"/>
    <n v="4870.28"/>
    <n v="136.57"/>
    <b v="1"/>
    <s v="Completed"/>
    <n v="136.57"/>
    <x v="3"/>
    <s v="REP003"/>
    <x v="1"/>
    <s v="Fuel Card"/>
    <s v="Mid-Market"/>
  </r>
  <r>
    <s v="TXN0000184"/>
    <s v="CUST00021"/>
    <b v="1"/>
    <d v="2025-09-30T00:00:00"/>
    <x v="1"/>
    <s v="Fuel"/>
    <n v="10168.17"/>
    <n v="248.54"/>
    <b v="1"/>
    <s v="Completed"/>
    <n v="248.54"/>
    <x v="3"/>
    <s v="REP003"/>
    <x v="1"/>
    <s v="Fuel Card"/>
    <s v="Mid-Market"/>
  </r>
  <r>
    <s v="TXN0000185"/>
    <s v="CUST00021"/>
    <b v="1"/>
    <d v="2025-10-31T00:00:00"/>
    <x v="2"/>
    <s v="Fuel"/>
    <n v="14106.26"/>
    <n v="353.36"/>
    <b v="1"/>
    <s v="Completed"/>
    <n v="353.36"/>
    <x v="3"/>
    <s v="REP003"/>
    <x v="1"/>
    <s v="Fuel Card"/>
    <s v="Mid-Market"/>
  </r>
  <r>
    <s v="TXN0000186"/>
    <s v="CUST00021"/>
    <b v="1"/>
    <d v="2025-10-30T00:00:00"/>
    <x v="2"/>
    <s v="Fuel"/>
    <n v="15960.29"/>
    <n v="393.62"/>
    <b v="1"/>
    <s v="Completed"/>
    <n v="393.62"/>
    <x v="3"/>
    <s v="REP003"/>
    <x v="1"/>
    <s v="Fuel Card"/>
    <s v="Mid-Market"/>
  </r>
  <r>
    <s v="TXN0000187"/>
    <s v="CUST00021"/>
    <b v="1"/>
    <d v="2025-11-28T00:00:00"/>
    <x v="3"/>
    <s v="Fuel"/>
    <n v="15504.86"/>
    <n v="396.54"/>
    <b v="1"/>
    <s v="Completed"/>
    <n v="396.54"/>
    <x v="3"/>
    <s v="REP003"/>
    <x v="1"/>
    <s v="Fuel Card"/>
    <s v="Mid-Market"/>
  </r>
  <r>
    <s v="TXN0000188"/>
    <s v="CUST00021"/>
    <b v="1"/>
    <d v="2025-12-22T00:00:00"/>
    <x v="4"/>
    <s v="Fuel"/>
    <n v="15414.61"/>
    <n v="357.17"/>
    <b v="1"/>
    <s v="Completed"/>
    <n v="357.17"/>
    <x v="3"/>
    <s v="REP003"/>
    <x v="1"/>
    <s v="Fuel Card"/>
    <s v="Mid-Market"/>
  </r>
  <r>
    <s v="TXN0000189"/>
    <s v="CUST00021"/>
    <b v="1"/>
    <d v="2025-12-24T00:00:00"/>
    <x v="4"/>
    <s v="Fuel"/>
    <n v="6672.58"/>
    <n v="176.08"/>
    <b v="1"/>
    <s v="Completed"/>
    <n v="176.08"/>
    <x v="3"/>
    <s v="REP003"/>
    <x v="1"/>
    <s v="Fuel Card"/>
    <s v="Mid-Market"/>
  </r>
  <r>
    <s v="TXN0000190"/>
    <s v="CUST00021"/>
    <b v="1"/>
    <d v="2025-12-04T00:00:00"/>
    <x v="4"/>
    <s v="Fuel"/>
    <n v="8498"/>
    <n v="199.93"/>
    <b v="1"/>
    <s v="Completed"/>
    <n v="199.93"/>
    <x v="3"/>
    <s v="REP003"/>
    <x v="1"/>
    <s v="Fuel Card"/>
    <s v="Mid-Market"/>
  </r>
  <r>
    <s v="TXN0000191"/>
    <s v="CUST00022"/>
    <b v="1"/>
    <d v="2025-06-29T00:00:00"/>
    <x v="7"/>
    <s v="Fuel"/>
    <n v="21475.45"/>
    <n v="558.4"/>
    <b v="1"/>
    <s v="Completed"/>
    <n v="558.4"/>
    <x v="0"/>
    <s v="REP008"/>
    <x v="1"/>
    <s v="Fuel Card"/>
    <s v="Enterprise"/>
  </r>
  <r>
    <s v="TXN0000192"/>
    <s v="CUST00022"/>
    <b v="1"/>
    <d v="2025-06-29T00:00:00"/>
    <x v="7"/>
    <s v="Fuel"/>
    <n v="38459.9"/>
    <n v="1045.1400000000001"/>
    <b v="1"/>
    <s v="Completed"/>
    <n v="1045.1400000000001"/>
    <x v="0"/>
    <s v="REP008"/>
    <x v="1"/>
    <s v="Fuel Card"/>
    <s v="Enterprise"/>
  </r>
  <r>
    <s v="TXN0000193"/>
    <s v="CUST00022"/>
    <b v="1"/>
    <d v="2025-07-14T00:00:00"/>
    <x v="8"/>
    <s v="Fuel"/>
    <n v="62056.2"/>
    <n v="1782.99"/>
    <b v="1"/>
    <s v="Completed"/>
    <n v="1782.99"/>
    <x v="0"/>
    <s v="REP008"/>
    <x v="1"/>
    <s v="Fuel Card"/>
    <s v="Enterprise"/>
  </r>
  <r>
    <s v="TXN0000194"/>
    <s v="CUST00022"/>
    <b v="1"/>
    <d v="2025-07-29T00:00:00"/>
    <x v="8"/>
    <s v="Fuel"/>
    <n v="60916.56"/>
    <n v="1503.06"/>
    <b v="1"/>
    <s v="Completed"/>
    <n v="1503.06"/>
    <x v="0"/>
    <s v="REP008"/>
    <x v="1"/>
    <s v="Fuel Card"/>
    <s v="Enterprise"/>
  </r>
  <r>
    <s v="TXN0000195"/>
    <s v="CUST00022"/>
    <b v="1"/>
    <d v="2025-07-24T00:00:00"/>
    <x v="8"/>
    <s v="Fuel"/>
    <n v="21753.62"/>
    <n v="501.3"/>
    <b v="1"/>
    <s v="Completed"/>
    <n v="501.3"/>
    <x v="0"/>
    <s v="REP008"/>
    <x v="1"/>
    <s v="Fuel Card"/>
    <s v="Enterprise"/>
  </r>
  <r>
    <s v="TXN0000196"/>
    <s v="CUST00022"/>
    <b v="1"/>
    <d v="2025-08-22T00:00:00"/>
    <x v="0"/>
    <s v="Fuel"/>
    <n v="16991.68"/>
    <n v="459.64"/>
    <b v="1"/>
    <s v="Completed"/>
    <n v="459.64"/>
    <x v="0"/>
    <s v="REP008"/>
    <x v="1"/>
    <s v="Fuel Card"/>
    <s v="Enterprise"/>
  </r>
  <r>
    <s v="TXN0000197"/>
    <s v="CUST00022"/>
    <b v="1"/>
    <d v="2025-08-17T00:00:00"/>
    <x v="0"/>
    <s v="Fuel"/>
    <n v="34358.29"/>
    <n v="968.48"/>
    <b v="1"/>
    <s v="Completed"/>
    <n v="968.48"/>
    <x v="0"/>
    <s v="REP008"/>
    <x v="1"/>
    <s v="Fuel Card"/>
    <s v="Enterprise"/>
  </r>
  <r>
    <s v="TXN0000198"/>
    <s v="CUST00022"/>
    <b v="1"/>
    <d v="2025-09-13T00:00:00"/>
    <x v="1"/>
    <s v="Fuel"/>
    <n v="32184.82"/>
    <n v="710.5"/>
    <b v="1"/>
    <s v="Completed"/>
    <n v="710.5"/>
    <x v="0"/>
    <s v="REP008"/>
    <x v="1"/>
    <s v="Fuel Card"/>
    <s v="Enterprise"/>
  </r>
  <r>
    <s v="TXN0000199"/>
    <s v="CUST00022"/>
    <b v="1"/>
    <d v="2025-09-13T00:00:00"/>
    <x v="1"/>
    <s v="Fuel"/>
    <n v="41207.730000000003"/>
    <n v="1077.1600000000001"/>
    <b v="1"/>
    <s v="Completed"/>
    <n v="1077.1600000000001"/>
    <x v="0"/>
    <s v="REP008"/>
    <x v="1"/>
    <s v="Fuel Card"/>
    <s v="Enterprise"/>
  </r>
  <r>
    <s v="TXN0000200"/>
    <s v="CUST00022"/>
    <b v="1"/>
    <d v="2025-09-22T00:00:00"/>
    <x v="1"/>
    <s v="Fuel"/>
    <n v="46773.93"/>
    <n v="1285.06"/>
    <b v="1"/>
    <s v="Completed"/>
    <n v="1285.06"/>
    <x v="0"/>
    <s v="REP008"/>
    <x v="1"/>
    <s v="Fuel Card"/>
    <s v="Enterprise"/>
  </r>
  <r>
    <s v="TXN0000201"/>
    <s v="CUST00022"/>
    <b v="1"/>
    <d v="2025-10-03T00:00:00"/>
    <x v="2"/>
    <s v="Fuel"/>
    <n v="19359.86"/>
    <n v="464.56"/>
    <b v="1"/>
    <s v="Completed"/>
    <n v="464.56"/>
    <x v="0"/>
    <s v="REP008"/>
    <x v="1"/>
    <s v="Fuel Card"/>
    <s v="Enterprise"/>
  </r>
  <r>
    <s v="TXN0000202"/>
    <s v="CUST00022"/>
    <b v="1"/>
    <d v="2025-10-14T00:00:00"/>
    <x v="2"/>
    <s v="Fuel"/>
    <n v="27069.9"/>
    <n v="589.33000000000004"/>
    <b v="1"/>
    <s v="Completed"/>
    <n v="589.33000000000004"/>
    <x v="0"/>
    <s v="REP008"/>
    <x v="1"/>
    <s v="Fuel Card"/>
    <s v="Enterprise"/>
  </r>
  <r>
    <s v="TXN0000203"/>
    <s v="CUST00022"/>
    <b v="1"/>
    <d v="2025-11-22T00:00:00"/>
    <x v="3"/>
    <s v="Fuel"/>
    <n v="20072.919999999998"/>
    <n v="508.35"/>
    <b v="1"/>
    <s v="Completed"/>
    <n v="508.35"/>
    <x v="0"/>
    <s v="REP008"/>
    <x v="1"/>
    <s v="Fuel Card"/>
    <s v="Enterprise"/>
  </r>
  <r>
    <s v="TXN0000204"/>
    <s v="CUST00022"/>
    <b v="1"/>
    <d v="2025-11-01T00:00:00"/>
    <x v="3"/>
    <s v="Fuel"/>
    <n v="53930.41"/>
    <n v="1174.3"/>
    <b v="1"/>
    <s v="Completed"/>
    <n v="1174.3"/>
    <x v="0"/>
    <s v="REP008"/>
    <x v="1"/>
    <s v="Fuel Card"/>
    <s v="Enterprise"/>
  </r>
  <r>
    <s v="TXN0000205"/>
    <s v="CUST00022"/>
    <b v="1"/>
    <d v="2025-12-22T00:00:00"/>
    <x v="4"/>
    <s v="Fuel"/>
    <n v="51045.03"/>
    <n v="1117.93"/>
    <b v="1"/>
    <s v="Completed"/>
    <n v="1117.93"/>
    <x v="0"/>
    <s v="REP008"/>
    <x v="1"/>
    <s v="Fuel Card"/>
    <s v="Enterprise"/>
  </r>
  <r>
    <s v="TXN0000206"/>
    <s v="CUST00022"/>
    <b v="1"/>
    <d v="2025-12-07T00:00:00"/>
    <x v="4"/>
    <s v="Fuel"/>
    <n v="18108.75"/>
    <n v="444.31"/>
    <b v="1"/>
    <s v="Completed"/>
    <n v="444.31"/>
    <x v="0"/>
    <s v="REP008"/>
    <x v="1"/>
    <s v="Fuel Card"/>
    <s v="Enterprise"/>
  </r>
  <r>
    <s v="TXN0000207"/>
    <s v="CUST00024"/>
    <b v="1"/>
    <d v="2025-04-21T00:00:00"/>
    <x v="5"/>
    <s v="Lodging"/>
    <n v="2581.37"/>
    <n v="74.69"/>
    <b v="1"/>
    <s v="Completed"/>
    <n v="74.69"/>
    <x v="0"/>
    <s v="REP008"/>
    <x v="2"/>
    <s v="Fleet Expense Card"/>
    <s v="Unclassified"/>
  </r>
  <r>
    <s v="TXN0000208"/>
    <s v="CUST00024"/>
    <b v="1"/>
    <d v="2025-05-26T00:00:00"/>
    <x v="6"/>
    <s v="Parking"/>
    <n v="2744.65"/>
    <n v="84.46"/>
    <b v="1"/>
    <s v="Completed"/>
    <n v="84.46"/>
    <x v="0"/>
    <s v="REP008"/>
    <x v="2"/>
    <s v="Fleet Expense Card"/>
    <s v="Unclassified"/>
  </r>
  <r>
    <s v="TXN0000209"/>
    <s v="CUST00024"/>
    <b v="1"/>
    <d v="2025-05-02T00:00:00"/>
    <x v="6"/>
    <s v="Lodging"/>
    <n v="2090.4299999999998"/>
    <n v="60.47"/>
    <b v="1"/>
    <s v="Completed"/>
    <n v="60.47"/>
    <x v="0"/>
    <s v="REP008"/>
    <x v="2"/>
    <s v="Fleet Expense Card"/>
    <s v="Unclassified"/>
  </r>
  <r>
    <s v="TXN0000210"/>
    <s v="CUST00024"/>
    <b v="1"/>
    <d v="2025-06-11T00:00:00"/>
    <x v="7"/>
    <s v="Fuel"/>
    <n v="3632.05"/>
    <n v="0"/>
    <b v="1"/>
    <s v="Cancelled"/>
    <n v="0"/>
    <x v="0"/>
    <s v="REP008"/>
    <x v="2"/>
    <s v="Fleet Expense Card"/>
    <s v="Unclassified"/>
  </r>
  <r>
    <s v="TXN0000211"/>
    <s v="CUST00024"/>
    <b v="1"/>
    <d v="2025-06-08T00:00:00"/>
    <x v="7"/>
    <s v="Fuel"/>
    <n v="4065.74"/>
    <n v="121.78"/>
    <b v="1"/>
    <s v="Completed"/>
    <n v="121.78"/>
    <x v="0"/>
    <s v="REP008"/>
    <x v="2"/>
    <s v="Fleet Expense Card"/>
    <s v="Unclassified"/>
  </r>
  <r>
    <s v="TXN0000212"/>
    <s v="CUST00024"/>
    <b v="1"/>
    <d v="2025-07-05T00:00:00"/>
    <x v="8"/>
    <s v="Fuel"/>
    <m/>
    <n v="54.1"/>
    <b v="1"/>
    <s v="Completed"/>
    <n v="54.1"/>
    <x v="0"/>
    <s v="REP008"/>
    <x v="2"/>
    <s v="Fleet Expense Card"/>
    <s v="Unclassified"/>
  </r>
  <r>
    <s v="TXN0000213"/>
    <s v="CUST00024"/>
    <b v="1"/>
    <d v="2025-07-31T00:00:00"/>
    <x v="8"/>
    <s v="Lodging"/>
    <n v="2689.78"/>
    <n v="63.73"/>
    <b v="1"/>
    <s v="Completed"/>
    <n v="63.73"/>
    <x v="0"/>
    <s v="REP008"/>
    <x v="2"/>
    <s v="Fleet Expense Card"/>
    <s v="Unclassified"/>
  </r>
  <r>
    <s v="TXN0000214"/>
    <s v="CUST00024"/>
    <b v="1"/>
    <d v="2025-07-11T00:00:00"/>
    <x v="8"/>
    <s v="Fuel"/>
    <n v="5063.2700000000004"/>
    <n v="149.57"/>
    <b v="1"/>
    <s v="Completed"/>
    <n v="149.57"/>
    <x v="0"/>
    <s v="REP008"/>
    <x v="2"/>
    <s v="Fleet Expense Card"/>
    <s v="Unclassified"/>
  </r>
  <r>
    <s v="TXN0000215"/>
    <s v="CUST00024"/>
    <b v="1"/>
    <d v="2025-08-04T00:00:00"/>
    <x v="0"/>
    <s v="Fuel"/>
    <n v="5158.5200000000004"/>
    <n v="148.22"/>
    <b v="1"/>
    <s v="Completed"/>
    <n v="148.22"/>
    <x v="0"/>
    <s v="REP008"/>
    <x v="2"/>
    <s v="Fleet Expense Card"/>
    <s v="Unclassified"/>
  </r>
  <r>
    <s v="TXN0000216"/>
    <s v="CUST00024"/>
    <b v="1"/>
    <d v="2025-09-07T00:00:00"/>
    <x v="1"/>
    <s v="Lodging"/>
    <n v="2528.54"/>
    <n v="62.17"/>
    <b v="1"/>
    <s v="Completed"/>
    <n v="62.17"/>
    <x v="0"/>
    <s v="REP008"/>
    <x v="2"/>
    <s v="Fleet Expense Card"/>
    <s v="Unclassified"/>
  </r>
  <r>
    <s v="TXN0000217"/>
    <s v="CUST00024"/>
    <b v="1"/>
    <d v="2025-09-24T00:00:00"/>
    <x v="1"/>
    <s v="Parking"/>
    <n v="3765.36"/>
    <n v="111.26"/>
    <b v="1"/>
    <s v="Completed"/>
    <n v="111.26"/>
    <x v="0"/>
    <s v="REP008"/>
    <x v="2"/>
    <s v="Fleet Expense Card"/>
    <s v="Unclassified"/>
  </r>
  <r>
    <s v="TXN0000218"/>
    <s v="CUST00024"/>
    <b v="1"/>
    <d v="2025-10-15T00:00:00"/>
    <x v="2"/>
    <s v="Parking"/>
    <n v="1399.01"/>
    <n v="35.58"/>
    <b v="1"/>
    <s v="Completed"/>
    <n v="35.58"/>
    <x v="0"/>
    <s v="REP008"/>
    <x v="2"/>
    <s v="Fleet Expense Card"/>
    <s v="Unclassified"/>
  </r>
  <r>
    <s v="TXN0000219"/>
    <s v="CUST00024"/>
    <b v="1"/>
    <d v="2025-11-06T00:00:00"/>
    <x v="3"/>
    <s v="Lodging"/>
    <n v="5118.76"/>
    <n v="119.02"/>
    <b v="1"/>
    <s v="Completed"/>
    <n v="119.02"/>
    <x v="0"/>
    <s v="REP008"/>
    <x v="2"/>
    <s v="Fleet Expense Card"/>
    <s v="Unclassified"/>
  </r>
  <r>
    <s v="TXN0000220"/>
    <s v="CUST00024"/>
    <b v="1"/>
    <d v="2025-11-03T00:00:00"/>
    <x v="3"/>
    <s v="Parking"/>
    <n v="1744.09"/>
    <n v="45.41"/>
    <b v="1"/>
    <s v="Completed"/>
    <n v="45.41"/>
    <x v="0"/>
    <s v="REP008"/>
    <x v="2"/>
    <s v="Fleet Expense Card"/>
    <s v="Unclassified"/>
  </r>
  <r>
    <s v="TXN0000221"/>
    <s v="CUST00024"/>
    <b v="1"/>
    <d v="2025-12-26T00:00:00"/>
    <x v="4"/>
    <s v="Parking"/>
    <n v="1811.6"/>
    <n v="54.76"/>
    <b v="1"/>
    <s v="Completed"/>
    <n v="54.76"/>
    <x v="0"/>
    <s v="REP008"/>
    <x v="2"/>
    <s v="Fleet Expense Card"/>
    <s v="Unclassified"/>
  </r>
  <r>
    <s v="TXN0000222"/>
    <s v="CUST00024"/>
    <b v="1"/>
    <d v="2025-12-31T00:00:00"/>
    <x v="4"/>
    <s v="Lodging"/>
    <n v="1593.27"/>
    <n v="49.09"/>
    <b v="1"/>
    <s v="Completed"/>
    <n v="49.09"/>
    <x v="0"/>
    <s v="REP008"/>
    <x v="2"/>
    <s v="Fleet Expense Card"/>
    <s v="Unclassified"/>
  </r>
  <r>
    <s v="TXN0000223"/>
    <s v="CUST00025"/>
    <b v="1"/>
    <d v="2025-05-20T00:00:00"/>
    <x v="6"/>
    <s v="Toll"/>
    <n v="4708.63"/>
    <n v="73.44"/>
    <b v="1"/>
    <s v="Completed"/>
    <n v="73.44"/>
    <x v="1"/>
    <s v="REP015"/>
    <x v="1"/>
    <s v="Toll Solution"/>
    <s v="Mid-Market"/>
  </r>
  <r>
    <s v="TXN0000224"/>
    <s v="CUST00025"/>
    <b v="1"/>
    <d v="2025-06-20T00:00:00"/>
    <x v="7"/>
    <s v="Toll"/>
    <n v="8983.18"/>
    <n v="149.5"/>
    <b v="1"/>
    <s v="Completed"/>
    <n v="149.5"/>
    <x v="1"/>
    <s v="REP015"/>
    <x v="1"/>
    <s v="Toll Solution"/>
    <s v="Mid-Market"/>
  </r>
  <r>
    <s v="TXN0000225"/>
    <s v="CUST00025"/>
    <b v="1"/>
    <d v="2025-06-27T00:00:00"/>
    <x v="7"/>
    <s v="Toll"/>
    <n v="5323.78"/>
    <n v="83.3"/>
    <b v="1"/>
    <s v="Completed"/>
    <n v="83.3"/>
    <x v="1"/>
    <s v="REP015"/>
    <x v="1"/>
    <s v="Toll Solution"/>
    <s v="Mid-Market"/>
  </r>
  <r>
    <s v="TXN0000226"/>
    <s v="CUST00025"/>
    <b v="1"/>
    <d v="2025-06-09T00:00:00"/>
    <x v="7"/>
    <s v="Toll"/>
    <n v="17671.79"/>
    <n v="15"/>
    <b v="1"/>
    <s v="Cancelled"/>
    <n v="0"/>
    <x v="1"/>
    <s v="REP015"/>
    <x v="1"/>
    <s v="Toll Solution"/>
    <s v="Mid-Market"/>
  </r>
  <r>
    <s v="TXN0000227"/>
    <s v="CUST00025"/>
    <b v="1"/>
    <d v="2025-07-23T00:00:00"/>
    <x v="8"/>
    <s v="Toll"/>
    <n v="6014.12"/>
    <n v="102.6"/>
    <b v="1"/>
    <s v="Completed"/>
    <n v="102.6"/>
    <x v="1"/>
    <s v="REP015"/>
    <x v="1"/>
    <s v="Toll Solution"/>
    <s v="Mid-Market"/>
  </r>
  <r>
    <s v="TXN0000228"/>
    <s v="CUST00025"/>
    <b v="1"/>
    <d v="2025-07-30T00:00:00"/>
    <x v="8"/>
    <s v="Toll"/>
    <n v="6143.83"/>
    <n v="120.34"/>
    <b v="1"/>
    <s v="Completed"/>
    <n v="120.34"/>
    <x v="1"/>
    <s v="REP015"/>
    <x v="1"/>
    <s v="Toll Solution"/>
    <s v="Mid-Market"/>
  </r>
  <r>
    <s v="TXN0000229"/>
    <s v="CUST00025"/>
    <b v="1"/>
    <d v="2025-07-25T00:00:00"/>
    <x v="8"/>
    <s v="Toll"/>
    <n v="7394.88"/>
    <n v="120.11"/>
    <b v="1"/>
    <s v="Completed"/>
    <n v="120.11"/>
    <x v="1"/>
    <s v="REP015"/>
    <x v="1"/>
    <s v="Toll Solution"/>
    <s v="Mid-Market"/>
  </r>
  <r>
    <s v="TXN0000230"/>
    <s v="CUST00025"/>
    <b v="1"/>
    <d v="2025-08-29T00:00:00"/>
    <x v="0"/>
    <s v="Toll"/>
    <n v="8566.6"/>
    <n v="138.16999999999999"/>
    <b v="1"/>
    <s v="Completed"/>
    <n v="138.16999999999999"/>
    <x v="1"/>
    <s v="REP015"/>
    <x v="1"/>
    <s v="Toll Solution"/>
    <s v="Mid-Market"/>
  </r>
  <r>
    <s v="TXN0000231"/>
    <s v="CUST00025"/>
    <b v="1"/>
    <d v="2025-08-19T00:00:00"/>
    <x v="0"/>
    <s v="Toll"/>
    <n v="16959.349999999999"/>
    <n v="0"/>
    <b v="1"/>
    <s v="Cancelled"/>
    <n v="0"/>
    <x v="1"/>
    <s v="REP015"/>
    <x v="1"/>
    <s v="Toll Solution"/>
    <s v="Mid-Market"/>
  </r>
  <r>
    <s v="TXN0000232"/>
    <s v="CUST00025"/>
    <b v="1"/>
    <d v="2025-09-18T00:00:00"/>
    <x v="1"/>
    <s v="Toll"/>
    <n v="6185.78"/>
    <n v="110"/>
    <b v="1"/>
    <s v="Completed"/>
    <n v="110"/>
    <x v="1"/>
    <s v="REP015"/>
    <x v="1"/>
    <s v="Toll Solution"/>
    <s v="Mid-Market"/>
  </r>
  <r>
    <s v="TXN0000233"/>
    <s v="CUST00025"/>
    <b v="1"/>
    <d v="2025-10-14T00:00:00"/>
    <x v="2"/>
    <s v="Toll"/>
    <n v="15404.36"/>
    <n v="254.08"/>
    <b v="1"/>
    <s v="Completed"/>
    <n v="254.08"/>
    <x v="1"/>
    <s v="REP015"/>
    <x v="1"/>
    <s v="Toll Solution"/>
    <s v="Mid-Market"/>
  </r>
  <r>
    <s v="TXN0000234"/>
    <s v="CUST00025"/>
    <b v="1"/>
    <d v="2025-11-28T00:00:00"/>
    <x v="3"/>
    <s v="Toll"/>
    <n v="10029.6"/>
    <n v="184.65"/>
    <b v="1"/>
    <s v="Completed"/>
    <n v="184.65"/>
    <x v="1"/>
    <s v="REP015"/>
    <x v="1"/>
    <s v="Toll Solution"/>
    <s v="Mid-Market"/>
  </r>
  <r>
    <s v="TXN0000235"/>
    <s v="CUST00025"/>
    <b v="1"/>
    <d v="2025-11-19T00:00:00"/>
    <x v="3"/>
    <s v="Toll"/>
    <n v="4310.25"/>
    <n v="70.739999999999995"/>
    <b v="1"/>
    <s v="Completed"/>
    <n v="70.739999999999995"/>
    <x v="1"/>
    <s v="REP015"/>
    <x v="1"/>
    <s v="Toll Solution"/>
    <s v="Mid-Market"/>
  </r>
  <r>
    <s v="TXN0000236"/>
    <s v="CUST00025"/>
    <b v="1"/>
    <d v="2025-12-24T00:00:00"/>
    <x v="4"/>
    <s v="Toll"/>
    <n v="17629.86"/>
    <n v="278.77999999999997"/>
    <b v="1"/>
    <s v="Completed"/>
    <n v="278.77999999999997"/>
    <x v="1"/>
    <s v="REP015"/>
    <x v="1"/>
    <s v="Toll Solution"/>
    <s v="Mid-Market"/>
  </r>
  <r>
    <s v="TXN0000237"/>
    <s v="CUST00025"/>
    <b v="1"/>
    <d v="2025-12-13T00:00:00"/>
    <x v="4"/>
    <s v="Toll"/>
    <n v="10589.15"/>
    <n v="171.52"/>
    <b v="1"/>
    <s v="Completed"/>
    <n v="171.52"/>
    <x v="1"/>
    <s v="REP015"/>
    <x v="1"/>
    <s v="Toll Solution"/>
    <s v="Mid-Market"/>
  </r>
  <r>
    <s v="TXN0000238"/>
    <s v="CUST00025"/>
    <b v="1"/>
    <d v="2025-12-27T00:00:00"/>
    <x v="4"/>
    <s v="Toll"/>
    <n v="13260.21"/>
    <n v="231.66"/>
    <b v="1"/>
    <s v="Completed"/>
    <n v="231.66"/>
    <x v="1"/>
    <s v="REP015"/>
    <x v="1"/>
    <s v="Toll Solution"/>
    <s v="Mid-Market"/>
  </r>
  <r>
    <s v="TXN0000239"/>
    <s v="CUST00026"/>
    <b v="1"/>
    <d v="2025-08-31T00:00:00"/>
    <x v="0"/>
    <s v="Fuel"/>
    <n v="1831.95"/>
    <n v="52.27"/>
    <b v="1"/>
    <s v="Completed"/>
    <n v="52.27"/>
    <x v="0"/>
    <s v="REP008"/>
    <x v="1"/>
    <s v="Fleet Expense Card"/>
    <s v="SME"/>
  </r>
  <r>
    <s v="TXN0000240"/>
    <s v="CUST00026"/>
    <b v="1"/>
    <d v="2025-08-17T00:00:00"/>
    <x v="0"/>
    <s v="Fuel"/>
    <n v="3504.43"/>
    <n v="101.42"/>
    <b v="1"/>
    <s v="Completed"/>
    <n v="101.42"/>
    <x v="0"/>
    <s v="REP008"/>
    <x v="1"/>
    <s v="Fleet Expense Card"/>
    <s v="SME"/>
  </r>
  <r>
    <s v="TXN0000241"/>
    <s v="CUST00026"/>
    <b v="1"/>
    <d v="2025-08-20T00:00:00"/>
    <x v="0"/>
    <s v="Lodging"/>
    <n v="1801.04"/>
    <n v="52.2"/>
    <b v="1"/>
    <s v="Completed"/>
    <n v="52.2"/>
    <x v="0"/>
    <s v="REP008"/>
    <x v="1"/>
    <s v="Fleet Expense Card"/>
    <s v="SME"/>
  </r>
  <r>
    <s v="TXN0000242"/>
    <s v="CUST00026"/>
    <b v="1"/>
    <d v="2025-09-24T00:00:00"/>
    <x v="1"/>
    <s v="Fuel"/>
    <n v="1438.1"/>
    <n v="39.76"/>
    <b v="1"/>
    <s v="Completed"/>
    <n v="39.76"/>
    <x v="0"/>
    <s v="REP008"/>
    <x v="1"/>
    <s v="Fleet Expense Card"/>
    <s v="SME"/>
  </r>
  <r>
    <s v="TXN0000243"/>
    <s v="CUST00026"/>
    <b v="1"/>
    <d v="2025-09-25T00:00:00"/>
    <x v="1"/>
    <s v="Parking"/>
    <n v="4730.82"/>
    <n v="116.97"/>
    <b v="1"/>
    <s v="Completed"/>
    <n v="116.97"/>
    <x v="0"/>
    <s v="REP008"/>
    <x v="1"/>
    <s v="Fleet Expense Card"/>
    <s v="SME"/>
  </r>
  <r>
    <s v="TXN0000244"/>
    <s v="CUST00026"/>
    <b v="1"/>
    <d v="2025-10-28T00:00:00"/>
    <x v="2"/>
    <s v="Parking"/>
    <n v="1689.38"/>
    <n v="0"/>
    <b v="1"/>
    <s v="Cancelled"/>
    <n v="0"/>
    <x v="0"/>
    <s v="REP008"/>
    <x v="1"/>
    <s v="Fleet Expense Card"/>
    <s v="SME"/>
  </r>
  <r>
    <s v="TXN0000245"/>
    <s v="CUST00026"/>
    <b v="1"/>
    <d v="2025-10-08T00:00:00"/>
    <x v="2"/>
    <s v="Lodging"/>
    <n v="4654.4799999999996"/>
    <n v="136.62"/>
    <b v="1"/>
    <s v="Completed"/>
    <n v="136.62"/>
    <x v="0"/>
    <s v="REP008"/>
    <x v="1"/>
    <s v="Fleet Expense Card"/>
    <s v="SME"/>
  </r>
  <r>
    <s v="TXN0000246"/>
    <s v="CUST00026"/>
    <b v="1"/>
    <d v="2025-10-23T00:00:00"/>
    <x v="2"/>
    <s v="Fuel"/>
    <n v="2738.34"/>
    <n v="84.63"/>
    <b v="1"/>
    <s v="Completed"/>
    <n v="84.63"/>
    <x v="0"/>
    <s v="REP008"/>
    <x v="1"/>
    <s v="Fleet Expense Card"/>
    <s v="SME"/>
  </r>
  <r>
    <s v="TXN0000247"/>
    <s v="CUST00026"/>
    <b v="1"/>
    <d v="2025-11-10T00:00:00"/>
    <x v="3"/>
    <s v="Lodging"/>
    <n v="3602.73"/>
    <n v="93.84"/>
    <b v="1"/>
    <s v="Completed"/>
    <n v="93.84"/>
    <x v="0"/>
    <s v="REP008"/>
    <x v="1"/>
    <s v="Fleet Expense Card"/>
    <s v="SME"/>
  </r>
  <r>
    <s v="TXN0000248"/>
    <s v="CUST00026"/>
    <b v="1"/>
    <d v="2025-11-03T00:00:00"/>
    <x v="3"/>
    <s v="Lodging"/>
    <n v="2533.9899999999998"/>
    <n v="60.08"/>
    <b v="1"/>
    <s v="Completed"/>
    <n v="60.08"/>
    <x v="0"/>
    <s v="REP008"/>
    <x v="1"/>
    <s v="Fleet Expense Card"/>
    <s v="SME"/>
  </r>
  <r>
    <s v="TXN0000249"/>
    <s v="CUST00026"/>
    <b v="1"/>
    <d v="2025-11-27T00:00:00"/>
    <x v="3"/>
    <s v="Parking"/>
    <n v="4185.87"/>
    <n v="98.03"/>
    <b v="1"/>
    <s v="Completed"/>
    <n v="98.03"/>
    <x v="0"/>
    <s v="REP008"/>
    <x v="1"/>
    <s v="Fleet Expense Card"/>
    <s v="SME"/>
  </r>
  <r>
    <s v="TXN0000250"/>
    <s v="CUST00026"/>
    <b v="1"/>
    <d v="2025-12-08T00:00:00"/>
    <x v="4"/>
    <s v="Parking"/>
    <n v="2518.9899999999998"/>
    <n v="59.57"/>
    <b v="1"/>
    <s v="Completed"/>
    <n v="59.57"/>
    <x v="0"/>
    <s v="REP008"/>
    <x v="1"/>
    <s v="Fleet Expense Card"/>
    <s v="SME"/>
  </r>
  <r>
    <s v="TXN0000251"/>
    <s v="CUST00028"/>
    <b v="1"/>
    <d v="2025-09-26T00:00:00"/>
    <x v="1"/>
    <s v="Fuel"/>
    <n v="6798.24"/>
    <n v="159.36000000000001"/>
    <b v="1"/>
    <s v="Completed"/>
    <n v="159.36000000000001"/>
    <x v="1"/>
    <s v="REP015"/>
    <x v="2"/>
    <s v="Fuel Card"/>
    <s v="Mid-Market"/>
  </r>
  <r>
    <s v="TXN0000252"/>
    <s v="CUST00028"/>
    <b v="1"/>
    <d v="2025-10-22T00:00:00"/>
    <x v="2"/>
    <s v="Fuel"/>
    <n v="7157.48"/>
    <n v="203.45"/>
    <b v="1"/>
    <s v="Completed"/>
    <n v="203.45"/>
    <x v="1"/>
    <s v="REP015"/>
    <x v="2"/>
    <s v="Fuel Card"/>
    <s v="Mid-Market"/>
  </r>
  <r>
    <s v="TXN0000253"/>
    <s v="CUST00028"/>
    <b v="1"/>
    <d v="2025-10-30T00:00:00"/>
    <x v="2"/>
    <s v="Fuel"/>
    <n v="5672.69"/>
    <n v="142.32"/>
    <b v="1"/>
    <s v="Completed"/>
    <n v="142.32"/>
    <x v="1"/>
    <s v="REP015"/>
    <x v="2"/>
    <s v="Fuel Card"/>
    <s v="Mid-Market"/>
  </r>
  <r>
    <s v="TXN0000254"/>
    <s v="CUST00028"/>
    <b v="1"/>
    <d v="2025-11-21T00:00:00"/>
    <x v="3"/>
    <s v="Fuel"/>
    <n v="4522.34"/>
    <n v="97.52"/>
    <b v="1"/>
    <s v="Completed"/>
    <n v="97.52"/>
    <x v="1"/>
    <s v="REP015"/>
    <x v="2"/>
    <s v="Fuel Card"/>
    <s v="Mid-Market"/>
  </r>
  <r>
    <s v="TXN0000255"/>
    <s v="CUST00028"/>
    <b v="1"/>
    <d v="2025-11-02T00:00:00"/>
    <x v="3"/>
    <s v="Fuel"/>
    <n v="8413.09"/>
    <n v="229"/>
    <b v="1"/>
    <s v="Completed"/>
    <n v="229"/>
    <x v="1"/>
    <s v="REP015"/>
    <x v="2"/>
    <s v="Fuel Card"/>
    <s v="Mid-Market"/>
  </r>
  <r>
    <s v="TXN0000256"/>
    <s v="CUST00028"/>
    <b v="1"/>
    <d v="2025-12-28T00:00:00"/>
    <x v="4"/>
    <s v="Fuel"/>
    <n v="10899.48"/>
    <n v="270.31"/>
    <b v="1"/>
    <s v="Completed"/>
    <n v="270.31"/>
    <x v="1"/>
    <s v="REP015"/>
    <x v="2"/>
    <s v="Fuel Card"/>
    <s v="Mid-Market"/>
  </r>
  <r>
    <s v="TXN0000257"/>
    <s v="CUST00028"/>
    <b v="1"/>
    <d v="2025-12-25T00:00:00"/>
    <x v="4"/>
    <s v="Fuel"/>
    <n v="11524.71"/>
    <n v="248.41"/>
    <b v="1"/>
    <s v="Completed"/>
    <n v="248.41"/>
    <x v="1"/>
    <s v="REP015"/>
    <x v="2"/>
    <s v="Fuel Card"/>
    <s v="Mid-Market"/>
  </r>
  <r>
    <s v="TXN0000258"/>
    <s v="CUST00028"/>
    <b v="1"/>
    <d v="2025-12-14T00:00:00"/>
    <x v="4"/>
    <s v="Fuel"/>
    <n v="10771.26"/>
    <n v="232.79"/>
    <b v="1"/>
    <s v="Completed"/>
    <n v="232.79"/>
    <x v="1"/>
    <s v="REP015"/>
    <x v="2"/>
    <s v="Fuel Card"/>
    <s v="Mid-Market"/>
  </r>
  <r>
    <s v="TXN0000259"/>
    <s v="CUST00029"/>
    <b v="1"/>
    <d v="2025-09-30T00:00:00"/>
    <x v="1"/>
    <s v="Fuel"/>
    <n v="15821.53"/>
    <n v="412.46"/>
    <b v="1"/>
    <s v="Completed"/>
    <n v="412.46"/>
    <x v="1"/>
    <s v="REP015"/>
    <x v="2"/>
    <s v="Fuel Card"/>
    <s v="Mid-Market"/>
  </r>
  <r>
    <s v="TXN0000260"/>
    <s v="CUST00029"/>
    <b v="1"/>
    <d v="2025-09-24T00:00:00"/>
    <x v="1"/>
    <s v="Fuel"/>
    <n v="13461.97"/>
    <n v="380.92"/>
    <b v="1"/>
    <s v="Completed"/>
    <n v="380.92"/>
    <x v="1"/>
    <s v="REP015"/>
    <x v="2"/>
    <s v="Fuel Card"/>
    <s v="Mid-Market"/>
  </r>
  <r>
    <s v="TXN0000261"/>
    <s v="CUST00029"/>
    <b v="1"/>
    <d v="2025-09-25T00:00:00"/>
    <x v="1"/>
    <s v="Fuel"/>
    <n v="6439.38"/>
    <n v="182.33"/>
    <b v="1"/>
    <s v="Completed"/>
    <n v="182.33"/>
    <x v="1"/>
    <s v="REP015"/>
    <x v="2"/>
    <s v="Fuel Card"/>
    <s v="Mid-Market"/>
  </r>
  <r>
    <s v="TXN0000262"/>
    <s v="CUST00029"/>
    <b v="1"/>
    <d v="2025-10-21T00:00:00"/>
    <x v="2"/>
    <s v="Fuel"/>
    <n v="9850.75"/>
    <n v="262.73"/>
    <b v="1"/>
    <s v="Completed"/>
    <n v="262.73"/>
    <x v="1"/>
    <s v="REP015"/>
    <x v="2"/>
    <s v="Fuel Card"/>
    <s v="Mid-Market"/>
  </r>
  <r>
    <s v="TXN0000263"/>
    <s v="CUST00029"/>
    <b v="1"/>
    <d v="2025-10-04T00:00:00"/>
    <x v="2"/>
    <s v="Fuel"/>
    <n v="6578.99"/>
    <n v="149.93"/>
    <b v="1"/>
    <s v="Completed"/>
    <n v="149.93"/>
    <x v="1"/>
    <s v="REP015"/>
    <x v="2"/>
    <s v="Fuel Card"/>
    <s v="Mid-Market"/>
  </r>
  <r>
    <s v="TXN0000264"/>
    <s v="CUST00029"/>
    <b v="1"/>
    <d v="2025-11-27T00:00:00"/>
    <x v="3"/>
    <s v="Fuel"/>
    <n v="13212.58"/>
    <n v="330.89"/>
    <b v="1"/>
    <s v="Completed"/>
    <n v="330.89"/>
    <x v="1"/>
    <s v="REP015"/>
    <x v="2"/>
    <s v="Fuel Card"/>
    <s v="Mid-Market"/>
  </r>
  <r>
    <s v="TXN0000265"/>
    <s v="CUST00029"/>
    <b v="1"/>
    <d v="2025-11-13T00:00:00"/>
    <x v="3"/>
    <s v="Fuel"/>
    <n v="10854.22"/>
    <n v="250.98"/>
    <b v="1"/>
    <s v="Completed"/>
    <n v="250.98"/>
    <x v="1"/>
    <s v="REP015"/>
    <x v="2"/>
    <s v="Fuel Card"/>
    <s v="Mid-Market"/>
  </r>
  <r>
    <s v="TXN0000266"/>
    <s v="CUST00029"/>
    <b v="1"/>
    <d v="2025-11-24T00:00:00"/>
    <x v="3"/>
    <s v="Fuel"/>
    <n v="7865.26"/>
    <n v="0"/>
    <b v="1"/>
    <s v="Cancelled"/>
    <n v="0"/>
    <x v="1"/>
    <s v="REP015"/>
    <x v="2"/>
    <s v="Fuel Card"/>
    <s v="Mid-Market"/>
  </r>
  <r>
    <s v="TXN0000267"/>
    <s v="CUST00029"/>
    <b v="1"/>
    <d v="2025-12-21T00:00:00"/>
    <x v="4"/>
    <s v="Fuel"/>
    <n v="10749.55"/>
    <n v="302.25"/>
    <b v="1"/>
    <s v="Completed"/>
    <n v="302.25"/>
    <x v="1"/>
    <s v="REP015"/>
    <x v="2"/>
    <s v="Fuel Card"/>
    <s v="Mid-Market"/>
  </r>
  <r>
    <s v="TXN0000268"/>
    <s v="CUST00030"/>
    <b v="1"/>
    <d v="2025-06-28T00:00:00"/>
    <x v="7"/>
    <s v="Fuel"/>
    <n v="2238.19"/>
    <n v="61.75"/>
    <b v="1"/>
    <s v="Completed"/>
    <n v="61.75"/>
    <x v="0"/>
    <s v="REP008"/>
    <x v="0"/>
    <s v="Fuel Card"/>
    <s v="Unclassified"/>
  </r>
  <r>
    <s v="TXN0000269"/>
    <s v="CUST00030"/>
    <b v="1"/>
    <d v="2025-06-25T00:00:00"/>
    <x v="7"/>
    <s v="Fuel"/>
    <n v="3996.86"/>
    <n v="104"/>
    <b v="1"/>
    <s v="Completed"/>
    <n v="104"/>
    <x v="0"/>
    <s v="REP008"/>
    <x v="0"/>
    <s v="Fuel Card"/>
    <s v="Unclassified"/>
  </r>
  <r>
    <s v="TXN0000270"/>
    <s v="CUST00030"/>
    <b v="1"/>
    <d v="2025-07-10T00:00:00"/>
    <x v="8"/>
    <s v="Fuel"/>
    <n v="1765.09"/>
    <n v="49.92"/>
    <b v="1"/>
    <s v="Completed"/>
    <n v="49.92"/>
    <x v="0"/>
    <s v="REP008"/>
    <x v="0"/>
    <s v="Fuel Card"/>
    <s v="Unclassified"/>
  </r>
  <r>
    <s v="TXN0000271"/>
    <s v="CUST00030"/>
    <b v="1"/>
    <d v="2025-06-05T00:00:00"/>
    <x v="7"/>
    <s v="Fuel"/>
    <n v="4310.04"/>
    <n v="102.09"/>
    <b v="1"/>
    <s v="Completed"/>
    <n v="102.09"/>
    <x v="0"/>
    <s v="REP008"/>
    <x v="0"/>
    <s v="Fuel Card"/>
    <s v="Unclassified"/>
  </r>
  <r>
    <s v="TXN0000272"/>
    <s v="CUST00030"/>
    <b v="1"/>
    <d v="2025-07-03T00:00:00"/>
    <x v="8"/>
    <s v="Fuel"/>
    <n v="1974"/>
    <n v="56.5"/>
    <b v="1"/>
    <s v="Completed"/>
    <n v="56.5"/>
    <x v="0"/>
    <s v="REP008"/>
    <x v="0"/>
    <s v="Fuel Card"/>
    <s v="Unclassified"/>
  </r>
  <r>
    <s v="TXN0000273"/>
    <s v="CUST00030"/>
    <b v="1"/>
    <d v="2025-08-13T00:00:00"/>
    <x v="0"/>
    <s v="Fuel"/>
    <n v="3260.84"/>
    <n v="84.6"/>
    <b v="1"/>
    <s v="Completed"/>
    <n v="84.6"/>
    <x v="0"/>
    <s v="REP008"/>
    <x v="0"/>
    <s v="Fuel Card"/>
    <s v="Unclassified"/>
  </r>
  <r>
    <s v="TXN0000274"/>
    <s v="CUST00031"/>
    <b v="1"/>
    <d v="2025-11-28T00:00:00"/>
    <x v="3"/>
    <s v="EV Charging"/>
    <n v="5239.6499999999996"/>
    <n v="162.91"/>
    <b v="1"/>
    <s v="Completed"/>
    <n v="162.91"/>
    <x v="2"/>
    <s v="REP004"/>
    <x v="0"/>
    <s v="EV Charge Card"/>
    <s v="SME"/>
  </r>
  <r>
    <s v="TXN0000275"/>
    <s v="CUST00031"/>
    <b v="1"/>
    <d v="2025-12-23T00:00:00"/>
    <x v="4"/>
    <s v="EV Charging"/>
    <n v="3711.23"/>
    <n v="115.05"/>
    <b v="1"/>
    <s v="Completed"/>
    <n v="115.05"/>
    <x v="2"/>
    <s v="REP004"/>
    <x v="0"/>
    <s v="EV Charge Card"/>
    <s v="SME"/>
  </r>
  <r>
    <s v="TXN0000276"/>
    <s v="CUST00032"/>
    <b v="1"/>
    <d v="2025-04-24T00:00:00"/>
    <x v="5"/>
    <s v="Fuel"/>
    <n v="1541.65"/>
    <n v="40.090000000000003"/>
    <b v="1"/>
    <s v="Completed"/>
    <n v="40.090000000000003"/>
    <x v="3"/>
    <s v="REP001"/>
    <x v="4"/>
    <s v="Fuel Card"/>
    <s v="SME"/>
  </r>
  <r>
    <s v="TXN0000277"/>
    <s v="CUST00032"/>
    <b v="1"/>
    <d v="2025-04-22T00:00:00"/>
    <x v="5"/>
    <s v="Fuel"/>
    <n v="3372.17"/>
    <n v="96.42"/>
    <b v="1"/>
    <s v="Completed"/>
    <n v="96.42"/>
    <x v="3"/>
    <s v="REP001"/>
    <x v="4"/>
    <s v="Fuel Card"/>
    <s v="SME"/>
  </r>
  <r>
    <s v="TXN0000278"/>
    <s v="CUST00032"/>
    <b v="1"/>
    <d v="2025-05-16T00:00:00"/>
    <x v="6"/>
    <s v="Fuel"/>
    <n v="3966.57"/>
    <n v="0"/>
    <b v="1"/>
    <s v="Cancelled"/>
    <n v="0"/>
    <x v="3"/>
    <s v="REP001"/>
    <x v="4"/>
    <s v="Fuel Card"/>
    <s v="SME"/>
  </r>
  <r>
    <s v="TXN0000279"/>
    <s v="CUST00032"/>
    <b v="1"/>
    <d v="2025-06-25T00:00:00"/>
    <x v="7"/>
    <s v="Fuel"/>
    <n v="2543.9"/>
    <n v="57.79"/>
    <b v="1"/>
    <s v="Completed"/>
    <n v="57.79"/>
    <x v="3"/>
    <s v="REP001"/>
    <x v="4"/>
    <s v="Fuel Card"/>
    <s v="SME"/>
  </r>
  <r>
    <s v="TXN0000280"/>
    <s v="CUST00032"/>
    <b v="1"/>
    <d v="2025-07-16T00:00:00"/>
    <x v="8"/>
    <s v="Fuel"/>
    <n v="2360.8000000000002"/>
    <n v="54.96"/>
    <b v="1"/>
    <s v="Completed"/>
    <n v="54.96"/>
    <x v="3"/>
    <s v="REP001"/>
    <x v="4"/>
    <s v="Fuel Card"/>
    <s v="SME"/>
  </r>
  <r>
    <s v="TXN0000281"/>
    <s v="CUST00032"/>
    <b v="1"/>
    <d v="2025-07-06T00:00:00"/>
    <x v="8"/>
    <s v="Fuel"/>
    <n v="4004.13"/>
    <n v="109.63"/>
    <b v="1"/>
    <s v="Completed"/>
    <n v="109.63"/>
    <x v="3"/>
    <s v="REP001"/>
    <x v="4"/>
    <s v="Fuel Card"/>
    <s v="SME"/>
  </r>
  <r>
    <s v="TXN0000282"/>
    <s v="CUST00032"/>
    <b v="1"/>
    <d v="2025-08-14T00:00:00"/>
    <x v="0"/>
    <s v="Fuel"/>
    <n v="3419.51"/>
    <n v="87.15"/>
    <b v="1"/>
    <s v="Completed"/>
    <n v="87.15"/>
    <x v="3"/>
    <s v="REP001"/>
    <x v="4"/>
    <s v="Fuel Card"/>
    <s v="SME"/>
  </r>
  <r>
    <s v="TXN0000283"/>
    <s v="CUST00032"/>
    <b v="1"/>
    <d v="2025-09-05T00:00:00"/>
    <x v="1"/>
    <s v="Fuel"/>
    <n v="5176.75"/>
    <n v="124.24"/>
    <b v="1"/>
    <s v="Completed"/>
    <n v="124.24"/>
    <x v="3"/>
    <s v="REP001"/>
    <x v="4"/>
    <s v="Fuel Card"/>
    <s v="SME"/>
  </r>
  <r>
    <s v="TXN0000284"/>
    <s v="CUST00032"/>
    <b v="1"/>
    <d v="2025-09-02T00:00:00"/>
    <x v="1"/>
    <s v="Fuel"/>
    <n v="3479.73"/>
    <n v="87.1"/>
    <b v="1"/>
    <s v="Completed"/>
    <n v="87.1"/>
    <x v="3"/>
    <s v="REP001"/>
    <x v="4"/>
    <s v="Fuel Card"/>
    <s v="SME"/>
  </r>
  <r>
    <s v="TXN0000285"/>
    <s v="CUST00032"/>
    <b v="1"/>
    <d v="2025-09-30T00:00:00"/>
    <x v="1"/>
    <s v="Fuel"/>
    <n v="1995.85"/>
    <n v="55.17"/>
    <b v="1"/>
    <s v="Completed"/>
    <n v="55.17"/>
    <x v="3"/>
    <s v="REP001"/>
    <x v="4"/>
    <s v="Fuel Card"/>
    <s v="SME"/>
  </r>
  <r>
    <s v="TXN0000286"/>
    <s v="CUST00032"/>
    <b v="1"/>
    <d v="2025-10-13T00:00:00"/>
    <x v="2"/>
    <s v="Fuel"/>
    <n v="2351.66"/>
    <n v="60.59"/>
    <b v="1"/>
    <s v="Completed"/>
    <n v="60.59"/>
    <x v="3"/>
    <s v="REP001"/>
    <x v="4"/>
    <s v="Fuel Card"/>
    <s v="SME"/>
  </r>
  <r>
    <s v="TXN0000287"/>
    <s v="CUST00032"/>
    <b v="1"/>
    <d v="2025-11-06T00:00:00"/>
    <x v="3"/>
    <s v="Fuel"/>
    <n v="2971.42"/>
    <n v="77.23"/>
    <b v="1"/>
    <s v="Completed"/>
    <n v="77.23"/>
    <x v="3"/>
    <s v="REP001"/>
    <x v="4"/>
    <s v="Fuel Card"/>
    <s v="SME"/>
  </r>
  <r>
    <s v="TXN0000288"/>
    <s v="CUST00032"/>
    <b v="1"/>
    <d v="2025-11-20T00:00:00"/>
    <x v="3"/>
    <s v="Fuel"/>
    <n v="2874.52"/>
    <n v="61.19"/>
    <b v="1"/>
    <s v="Completed"/>
    <n v="61.19"/>
    <x v="3"/>
    <s v="REP001"/>
    <x v="4"/>
    <s v="Fuel Card"/>
    <s v="SME"/>
  </r>
  <r>
    <s v="TXN0000289"/>
    <s v="CUST00032"/>
    <b v="1"/>
    <d v="2025-12-06T00:00:00"/>
    <x v="4"/>
    <s v="Fuel"/>
    <n v="4018.71"/>
    <n v="105.21"/>
    <b v="1"/>
    <s v="Completed"/>
    <n v="105.21"/>
    <x v="3"/>
    <s v="REP001"/>
    <x v="4"/>
    <s v="Fuel Card"/>
    <s v="SME"/>
  </r>
  <r>
    <s v="TXN0000290"/>
    <s v="CUST00032"/>
    <b v="1"/>
    <d v="2025-12-09T00:00:00"/>
    <x v="4"/>
    <s v="Fuel"/>
    <n v="4029.68"/>
    <n v="109.23"/>
    <b v="1"/>
    <s v="Completed"/>
    <n v="109.23"/>
    <x v="3"/>
    <s v="REP001"/>
    <x v="4"/>
    <s v="Fuel Card"/>
    <s v="SME"/>
  </r>
  <r>
    <s v="TXN0000291"/>
    <s v="CUST00033"/>
    <b v="1"/>
    <d v="2025-12-31T00:00:00"/>
    <x v="4"/>
    <s v="Fuel"/>
    <n v="55762.05"/>
    <n v="1432.1"/>
    <b v="1"/>
    <s v="Completed"/>
    <n v="1432.1"/>
    <x v="3"/>
    <s v="REP003"/>
    <x v="1"/>
    <s v="Fuel Card"/>
    <s v="Enterprise"/>
  </r>
  <r>
    <s v="TXN0000292"/>
    <s v="CUST00033"/>
    <b v="1"/>
    <d v="2025-12-27T00:00:00"/>
    <x v="4"/>
    <s v="Fuel"/>
    <n v="23045.43"/>
    <n v="637.39"/>
    <b v="1"/>
    <s v="Completed"/>
    <n v="637.39"/>
    <x v="3"/>
    <s v="REP003"/>
    <x v="1"/>
    <s v="Fuel Card"/>
    <s v="Enterprise"/>
  </r>
  <r>
    <s v="TXN0000293"/>
    <s v="CUST00034"/>
    <b v="1"/>
    <d v="2025-09-13T00:00:00"/>
    <x v="1"/>
    <s v="Fuel"/>
    <n v="3252.77"/>
    <n v="92.1"/>
    <b v="1"/>
    <s v="Completed"/>
    <n v="92.1"/>
    <x v="4"/>
    <s v="REP010"/>
    <x v="2"/>
    <s v="Fuel Card"/>
    <s v="SME"/>
  </r>
  <r>
    <s v="TXN0000294"/>
    <s v="CUST00034"/>
    <b v="1"/>
    <d v="2025-09-10T00:00:00"/>
    <x v="1"/>
    <s v="Fuel"/>
    <n v="1377.05"/>
    <n v="30.81"/>
    <b v="1"/>
    <s v="Completed"/>
    <n v="30.81"/>
    <x v="4"/>
    <s v="REP010"/>
    <x v="2"/>
    <s v="Fuel Card"/>
    <s v="SME"/>
  </r>
  <r>
    <s v="TXN0000295"/>
    <s v="CUST00034"/>
    <b v="1"/>
    <d v="2025-09-22T00:00:00"/>
    <x v="1"/>
    <s v="Fuel"/>
    <n v="4022.5"/>
    <n v="98.89"/>
    <b v="1"/>
    <s v="Completed"/>
    <n v="98.89"/>
    <x v="4"/>
    <s v="REP010"/>
    <x v="2"/>
    <s v="Fuel Card"/>
    <s v="SME"/>
  </r>
  <r>
    <s v="TXN0000296"/>
    <s v="CUST00034"/>
    <b v="1"/>
    <d v="2025-10-20T00:00:00"/>
    <x v="2"/>
    <s v="Fuel"/>
    <n v="5185.1000000000004"/>
    <n v="116.06"/>
    <b v="1"/>
    <s v="Completed"/>
    <n v="116.06"/>
    <x v="4"/>
    <s v="REP010"/>
    <x v="2"/>
    <s v="Fuel Card"/>
    <s v="SME"/>
  </r>
  <r>
    <s v="TXN0000297"/>
    <s v="CUST00034"/>
    <b v="1"/>
    <d v="2025-11-23T00:00:00"/>
    <x v="3"/>
    <s v="Fuel"/>
    <n v="1640.27"/>
    <n v="43.01"/>
    <b v="1"/>
    <s v="Completed"/>
    <n v="43.01"/>
    <x v="4"/>
    <s v="REP010"/>
    <x v="2"/>
    <s v="Fuel Card"/>
    <s v="SME"/>
  </r>
  <r>
    <s v="TXN0000298"/>
    <s v="CUST00034"/>
    <b v="1"/>
    <d v="2025-11-05T00:00:00"/>
    <x v="3"/>
    <s v="Fuel"/>
    <n v="3554.51"/>
    <n v="80.17"/>
    <b v="1"/>
    <s v="Completed"/>
    <n v="80.17"/>
    <x v="4"/>
    <s v="REP010"/>
    <x v="2"/>
    <s v="Fuel Card"/>
    <s v="SME"/>
  </r>
  <r>
    <s v="TXN0000299"/>
    <s v="CUST00034"/>
    <b v="1"/>
    <d v="2025-11-20T00:00:00"/>
    <x v="3"/>
    <s v="Fuel"/>
    <n v="2205.59"/>
    <n v="56.87"/>
    <b v="1"/>
    <s v="Completed"/>
    <n v="56.87"/>
    <x v="4"/>
    <s v="REP010"/>
    <x v="2"/>
    <s v="Fuel Card"/>
    <s v="SME"/>
  </r>
  <r>
    <s v="TXN0000300"/>
    <s v="CUST00034"/>
    <b v="1"/>
    <d v="2025-12-05T00:00:00"/>
    <x v="4"/>
    <s v="Fuel"/>
    <n v="3381.69"/>
    <n v="85.49"/>
    <b v="1"/>
    <s v="Completed"/>
    <n v="85.49"/>
    <x v="4"/>
    <s v="REP010"/>
    <x v="2"/>
    <s v="Fuel Card"/>
    <s v="SME"/>
  </r>
  <r>
    <s v="TXN0000301"/>
    <s v="CUST00035"/>
    <b v="1"/>
    <d v="2025-05-12T00:00:00"/>
    <x v="6"/>
    <s v="Toll"/>
    <n v="6880.47"/>
    <n v="139.66"/>
    <b v="1"/>
    <s v="Completed"/>
    <n v="139.66"/>
    <x v="1"/>
    <s v="REP014"/>
    <x v="2"/>
    <s v="Toll Solution"/>
    <s v="Mid-Market"/>
  </r>
  <r>
    <s v="TXN0000302"/>
    <s v="CUST00035"/>
    <b v="1"/>
    <d v="2025-05-12T00:00:00"/>
    <x v="6"/>
    <s v="Toll"/>
    <n v="6880.2"/>
    <n v="124.07"/>
    <b v="1"/>
    <s v="Completed"/>
    <n v="124.07"/>
    <x v="1"/>
    <s v="REP014"/>
    <x v="2"/>
    <s v="Toll Solution"/>
    <s v="Mid-Market"/>
  </r>
  <r>
    <s v="TXN0000303"/>
    <s v="CUST00035"/>
    <b v="1"/>
    <d v="2025-06-19T00:00:00"/>
    <x v="7"/>
    <s v="Toll"/>
    <n v="6614.62"/>
    <n v="107.78"/>
    <b v="1"/>
    <s v="Completed"/>
    <n v="107.78"/>
    <x v="1"/>
    <s v="REP014"/>
    <x v="2"/>
    <s v="Toll Solution"/>
    <s v="Mid-Market"/>
  </r>
  <r>
    <s v="TXN0000304"/>
    <s v="CUST00035"/>
    <b v="1"/>
    <d v="2025-06-01T00:00:00"/>
    <x v="7"/>
    <s v="Toll"/>
    <n v="11921.74"/>
    <n v="240.43"/>
    <b v="1"/>
    <s v="Completed"/>
    <n v="240.43"/>
    <x v="1"/>
    <s v="REP014"/>
    <x v="2"/>
    <s v="Toll Solution"/>
    <s v="Mid-Market"/>
  </r>
  <r>
    <s v="TXN0000305"/>
    <s v="CUST00035"/>
    <b v="1"/>
    <d v="2025-06-28T00:00:00"/>
    <x v="7"/>
    <s v="Toll"/>
    <n v="12653.88"/>
    <n v="243.03"/>
    <b v="1"/>
    <s v="Completed"/>
    <n v="243.03"/>
    <x v="1"/>
    <s v="REP014"/>
    <x v="2"/>
    <s v="Toll Solution"/>
    <s v="Mid-Market"/>
  </r>
  <r>
    <s v="TXN0000306"/>
    <s v="CUST00035"/>
    <b v="1"/>
    <d v="2025-07-27T00:00:00"/>
    <x v="8"/>
    <s v="Toll"/>
    <n v="7612.21"/>
    <n v="126.84"/>
    <b v="1"/>
    <s v="Completed"/>
    <n v="126.84"/>
    <x v="1"/>
    <s v="REP014"/>
    <x v="2"/>
    <s v="Toll Solution"/>
    <s v="Mid-Market"/>
  </r>
  <r>
    <s v="TXN0000307"/>
    <s v="CUST00035"/>
    <b v="1"/>
    <d v="2025-07-20T00:00:00"/>
    <x v="8"/>
    <s v="Toll"/>
    <n v="4308.37"/>
    <n v="73.69"/>
    <b v="1"/>
    <s v="Completed"/>
    <n v="73.69"/>
    <x v="1"/>
    <s v="REP014"/>
    <x v="2"/>
    <s v="Toll Solution"/>
    <s v="Mid-Market"/>
  </r>
  <r>
    <s v="TXN0000308"/>
    <s v="CUST00035"/>
    <b v="1"/>
    <d v="2025-08-08T00:00:00"/>
    <x v="0"/>
    <s v="Toll"/>
    <n v="4942.74"/>
    <n v="82.85"/>
    <b v="1"/>
    <s v="Completed"/>
    <n v="82.85"/>
    <x v="1"/>
    <s v="REP014"/>
    <x v="2"/>
    <s v="Toll Solution"/>
    <s v="Mid-Market"/>
  </r>
  <r>
    <s v="TXN0000309"/>
    <s v="CUST00035"/>
    <b v="1"/>
    <d v="2025-08-28T00:00:00"/>
    <x v="0"/>
    <s v="Toll"/>
    <n v="13712.27"/>
    <n v="280.22000000000003"/>
    <b v="1"/>
    <s v="Completed"/>
    <n v="280.22000000000003"/>
    <x v="1"/>
    <s v="REP014"/>
    <x v="2"/>
    <s v="Toll Solution"/>
    <s v="Mid-Market"/>
  </r>
  <r>
    <s v="TXN0000310"/>
    <s v="CUST00035"/>
    <b v="1"/>
    <d v="2025-08-02T00:00:00"/>
    <x v="0"/>
    <s v="Toll"/>
    <n v="8304.1299999999992"/>
    <n v="165.28"/>
    <b v="1"/>
    <s v="Completed"/>
    <n v="165.28"/>
    <x v="1"/>
    <s v="REP014"/>
    <x v="2"/>
    <s v="Toll Solution"/>
    <s v="Mid-Market"/>
  </r>
  <r>
    <s v="TXN0000311"/>
    <s v="CUST00035"/>
    <b v="1"/>
    <d v="2025-09-24T00:00:00"/>
    <x v="1"/>
    <s v="Toll"/>
    <n v="15689.38"/>
    <n v="-288.02"/>
    <b v="0"/>
    <s v="Completed"/>
    <n v="0"/>
    <x v="1"/>
    <s v="REP014"/>
    <x v="2"/>
    <s v="Toll Solution"/>
    <s v="Mid-Market"/>
  </r>
  <r>
    <s v="TXN0000312"/>
    <s v="CUST00035"/>
    <b v="1"/>
    <d v="2025-09-09T00:00:00"/>
    <x v="1"/>
    <s v="Toll"/>
    <n v="15177.07"/>
    <n v="276.95"/>
    <b v="1"/>
    <s v="Completed"/>
    <n v="276.95"/>
    <x v="1"/>
    <s v="REP014"/>
    <x v="2"/>
    <s v="Toll Solution"/>
    <s v="Mid-Market"/>
  </r>
  <r>
    <s v="TXN0000313"/>
    <s v="CUST00035"/>
    <b v="1"/>
    <d v="2025-09-30T00:00:00"/>
    <x v="1"/>
    <s v="Toll"/>
    <n v="14910.66"/>
    <n v="253.17"/>
    <b v="1"/>
    <s v="Completed"/>
    <n v="253.17"/>
    <x v="1"/>
    <s v="REP014"/>
    <x v="2"/>
    <s v="Toll Solution"/>
    <s v="Mid-Market"/>
  </r>
  <r>
    <s v="TXN0000314"/>
    <s v="CUST00035"/>
    <b v="1"/>
    <d v="2025-10-17T00:00:00"/>
    <x v="2"/>
    <s v="Toll"/>
    <n v="15806.11"/>
    <n v="270.8"/>
    <b v="1"/>
    <s v="Completed"/>
    <n v="270.8"/>
    <x v="1"/>
    <s v="REP014"/>
    <x v="2"/>
    <s v="Toll Solution"/>
    <s v="Mid-Market"/>
  </r>
  <r>
    <s v="TXN0000315"/>
    <s v="CUST00035"/>
    <b v="1"/>
    <d v="2025-10-30T00:00:00"/>
    <x v="2"/>
    <s v="Toll"/>
    <n v="15176.56"/>
    <n v="282.76"/>
    <b v="1"/>
    <s v="Completed"/>
    <n v="282.76"/>
    <x v="1"/>
    <s v="REP014"/>
    <x v="2"/>
    <s v="Toll Solution"/>
    <s v="Mid-Market"/>
  </r>
  <r>
    <s v="TXN0000316"/>
    <s v="CUST00035"/>
    <b v="1"/>
    <d v="2025-10-29T00:00:00"/>
    <x v="2"/>
    <s v="Toll"/>
    <n v="13285.84"/>
    <n v="226.01"/>
    <b v="1"/>
    <s v="Completed"/>
    <n v="226.01"/>
    <x v="1"/>
    <s v="REP014"/>
    <x v="2"/>
    <s v="Toll Solution"/>
    <s v="Mid-Market"/>
  </r>
  <r>
    <s v="TXN0000317"/>
    <s v="CUST00035"/>
    <b v="1"/>
    <d v="2025-11-05T00:00:00"/>
    <x v="3"/>
    <s v="Toll"/>
    <n v="12865.21"/>
    <n v="257.39"/>
    <b v="1"/>
    <s v="Completed"/>
    <n v="257.39"/>
    <x v="1"/>
    <s v="REP014"/>
    <x v="2"/>
    <s v="Toll Solution"/>
    <s v="Mid-Market"/>
  </r>
  <r>
    <s v="TXN0000318"/>
    <s v="CUST00035"/>
    <b v="1"/>
    <d v="2025-11-21T00:00:00"/>
    <x v="3"/>
    <s v="Toll"/>
    <n v="17707.05"/>
    <n v="322.99"/>
    <b v="1"/>
    <s v="Completed"/>
    <n v="322.99"/>
    <x v="1"/>
    <s v="REP014"/>
    <x v="2"/>
    <s v="Toll Solution"/>
    <s v="Mid-Market"/>
  </r>
  <r>
    <s v="TXN0000319"/>
    <s v="CUST00035"/>
    <b v="1"/>
    <d v="2025-11-22T00:00:00"/>
    <x v="3"/>
    <s v="Toll"/>
    <n v="11999.86"/>
    <n v="244.13"/>
    <b v="1"/>
    <s v="Completed"/>
    <n v="244.13"/>
    <x v="1"/>
    <s v="REP014"/>
    <x v="2"/>
    <s v="Toll Solution"/>
    <s v="Mid-Market"/>
  </r>
  <r>
    <s v="TXN0000320"/>
    <s v="CUST00035"/>
    <b v="1"/>
    <d v="2025-12-14T00:00:00"/>
    <x v="4"/>
    <s v="Toll"/>
    <n v="13093.37"/>
    <n v="233.21"/>
    <b v="1"/>
    <s v="Completed"/>
    <n v="233.21"/>
    <x v="1"/>
    <s v="REP014"/>
    <x v="2"/>
    <s v="Toll Solution"/>
    <s v="Mid-Market"/>
  </r>
  <r>
    <s v="TXN0000321"/>
    <s v="CUST00035"/>
    <b v="1"/>
    <d v="2025-12-09T00:00:00"/>
    <x v="4"/>
    <s v="Toll"/>
    <n v="12349.52"/>
    <n v="227.87"/>
    <b v="1"/>
    <s v="Completed"/>
    <n v="227.87"/>
    <x v="1"/>
    <s v="REP014"/>
    <x v="2"/>
    <s v="Toll Solution"/>
    <s v="Mid-Market"/>
  </r>
  <r>
    <s v="TXN0000322"/>
    <s v="CUST99999"/>
    <b v="0"/>
    <d v="2025-06-14T00:00:00"/>
    <x v="7"/>
    <s v="Fuel"/>
    <n v="30265.56"/>
    <n v="838.88"/>
    <b v="1"/>
    <s v="Completed"/>
    <n v="0"/>
    <x v="4"/>
    <s v="Unmatched"/>
    <x v="3"/>
    <s v="Unmatched"/>
    <s v="Unmatched"/>
  </r>
  <r>
    <s v="TXN0000323"/>
    <s v="CUST00036"/>
    <b v="1"/>
    <d v="2025-06-22T00:00:00"/>
    <x v="7"/>
    <s v="Fuel"/>
    <n v="36484.74"/>
    <n v="800.62"/>
    <b v="1"/>
    <s v="Completed"/>
    <n v="800.62"/>
    <x v="4"/>
    <s v="REP011"/>
    <x v="0"/>
    <s v="Fuel Card"/>
    <s v="Enterprise"/>
  </r>
  <r>
    <s v="TXN0000324"/>
    <s v="CUST00036"/>
    <b v="1"/>
    <d v="2025-06-27T00:00:00"/>
    <x v="7"/>
    <s v="Fuel"/>
    <n v="41527.22"/>
    <n v="935.7"/>
    <b v="1"/>
    <s v="Completed"/>
    <n v="935.7"/>
    <x v="4"/>
    <s v="REP011"/>
    <x v="0"/>
    <s v="Fuel Card"/>
    <s v="Enterprise"/>
  </r>
  <r>
    <s v="TXN0000325"/>
    <s v="CUST00036"/>
    <b v="1"/>
    <d v="2025-07-05T00:00:00"/>
    <x v="8"/>
    <s v="Fuel"/>
    <n v="17272.099999999999"/>
    <n v="477.56"/>
    <b v="1"/>
    <s v="Completed"/>
    <n v="477.56"/>
    <x v="4"/>
    <s v="REP011"/>
    <x v="0"/>
    <s v="Fuel Card"/>
    <s v="Enterprise"/>
  </r>
  <r>
    <s v="TXN0000326"/>
    <s v="CUST00036"/>
    <b v="1"/>
    <d v="2025-07-15T00:00:00"/>
    <x v="8"/>
    <s v="Fuel"/>
    <n v="35257.07"/>
    <n v="848.82"/>
    <b v="1"/>
    <s v="Completed"/>
    <n v="848.82"/>
    <x v="4"/>
    <s v="REP011"/>
    <x v="0"/>
    <s v="Fuel Card"/>
    <s v="Enterprise"/>
  </r>
  <r>
    <s v="TXN0000327"/>
    <s v="CUST00036"/>
    <b v="1"/>
    <d v="2025-08-18T00:00:00"/>
    <x v="0"/>
    <s v="Fuel"/>
    <n v="43554.17"/>
    <n v="1083.25"/>
    <b v="1"/>
    <s v="Completed"/>
    <n v="1083.25"/>
    <x v="4"/>
    <s v="REP011"/>
    <x v="0"/>
    <s v="Fuel Card"/>
    <s v="Enterprise"/>
  </r>
  <r>
    <s v="TXN0000328"/>
    <s v="CUST00036"/>
    <b v="1"/>
    <d v="2025-08-25T00:00:00"/>
    <x v="0"/>
    <s v="Fuel"/>
    <n v="19940.22"/>
    <n v="426.21"/>
    <b v="1"/>
    <s v="Completed"/>
    <n v="426.21"/>
    <x v="4"/>
    <s v="REP011"/>
    <x v="0"/>
    <s v="Fuel Card"/>
    <s v="Enterprise"/>
  </r>
  <r>
    <s v="TXN0000329"/>
    <s v="CUST00036"/>
    <b v="1"/>
    <d v="2025-09-18T00:00:00"/>
    <x v="1"/>
    <s v="Fuel"/>
    <n v="52695.03"/>
    <n v="1124.05"/>
    <b v="1"/>
    <s v="Completed"/>
    <n v="1124.05"/>
    <x v="4"/>
    <s v="REP011"/>
    <x v="0"/>
    <s v="Fuel Card"/>
    <s v="Enterprise"/>
  </r>
  <r>
    <s v="TXN0000330"/>
    <s v="CUST00036"/>
    <b v="1"/>
    <d v="2025-09-10T00:00:00"/>
    <x v="1"/>
    <s v="Fuel"/>
    <n v="16759.099999999999"/>
    <n v="0"/>
    <b v="1"/>
    <s v="Cancelled"/>
    <n v="0"/>
    <x v="4"/>
    <s v="REP011"/>
    <x v="0"/>
    <s v="Fuel Card"/>
    <s v="Enterprise"/>
  </r>
  <r>
    <s v="TXN0000331"/>
    <s v="CUST00036"/>
    <b v="1"/>
    <d v="2025-09-22T00:00:00"/>
    <x v="1"/>
    <s v="Fuel"/>
    <n v="59801.66"/>
    <n v="1308.7"/>
    <b v="1"/>
    <s v="Completed"/>
    <n v="1308.7"/>
    <x v="4"/>
    <s v="REP011"/>
    <x v="0"/>
    <s v="Fuel Card"/>
    <s v="Enterprise"/>
  </r>
  <r>
    <s v="TXN0000332"/>
    <s v="CUST00036"/>
    <b v="1"/>
    <d v="2025-10-14T00:00:00"/>
    <x v="2"/>
    <s v="Fuel"/>
    <n v="31970.14"/>
    <n v="882.25"/>
    <b v="1"/>
    <s v="Completed"/>
    <n v="882.25"/>
    <x v="4"/>
    <s v="REP011"/>
    <x v="0"/>
    <s v="Fuel Card"/>
    <s v="Enterprise"/>
  </r>
  <r>
    <s v="TXN0000333"/>
    <s v="CUST00036"/>
    <b v="1"/>
    <d v="2025-10-22T00:00:00"/>
    <x v="2"/>
    <s v="Fuel"/>
    <n v="21090.77"/>
    <n v="466.76"/>
    <b v="1"/>
    <s v="Completed"/>
    <n v="466.76"/>
    <x v="4"/>
    <s v="REP011"/>
    <x v="0"/>
    <s v="Fuel Card"/>
    <s v="Enterprise"/>
  </r>
  <r>
    <s v="TXN0000334"/>
    <s v="CUST00036"/>
    <b v="1"/>
    <d v="2025-10-13T00:00:00"/>
    <x v="2"/>
    <s v="Fuel"/>
    <n v="42413.4"/>
    <n v="942.96"/>
    <b v="1"/>
    <s v="Completed"/>
    <n v="942.96"/>
    <x v="4"/>
    <s v="REP011"/>
    <x v="0"/>
    <s v="Fuel Card"/>
    <s v="Enterprise"/>
  </r>
  <r>
    <s v="TXN0000335"/>
    <s v="CUST00036"/>
    <b v="1"/>
    <d v="2025-11-04T00:00:00"/>
    <x v="3"/>
    <s v="Fuel"/>
    <n v="14855.34"/>
    <n v="349.17"/>
    <b v="1"/>
    <s v="Completed"/>
    <n v="349.17"/>
    <x v="4"/>
    <s v="REP011"/>
    <x v="0"/>
    <s v="Fuel Card"/>
    <s v="Enterprise"/>
  </r>
  <r>
    <s v="TXN0000336"/>
    <s v="CUST00036"/>
    <b v="1"/>
    <d v="2025-12-12T00:00:00"/>
    <x v="4"/>
    <s v="Fuel"/>
    <n v="31100.84"/>
    <n v="676.9"/>
    <b v="1"/>
    <s v="Completed"/>
    <n v="676.9"/>
    <x v="4"/>
    <s v="REP011"/>
    <x v="0"/>
    <s v="Fuel Card"/>
    <s v="Enterprise"/>
  </r>
  <r>
    <s v="TXN0000337"/>
    <s v="CUST00036"/>
    <b v="1"/>
    <d v="2025-12-06T00:00:00"/>
    <x v="4"/>
    <s v="Fuel"/>
    <n v="37406.32"/>
    <n v="1013.33"/>
    <b v="1"/>
    <s v="Completed"/>
    <n v="1013.33"/>
    <x v="4"/>
    <s v="REP011"/>
    <x v="0"/>
    <s v="Fuel Card"/>
    <s v="Enterprise"/>
  </r>
  <r>
    <s v="TXN0000338"/>
    <s v="CUST00037"/>
    <b v="1"/>
    <d v="2025-12-30T00:00:00"/>
    <x v="4"/>
    <s v="Fuel"/>
    <n v="4282.6899999999996"/>
    <n v="97.62"/>
    <b v="1"/>
    <s v="Completed"/>
    <n v="97.62"/>
    <x v="1"/>
    <s v="REP014"/>
    <x v="2"/>
    <s v="Fuel Card"/>
    <s v="Mid-Market"/>
  </r>
  <r>
    <s v="TXN0000339"/>
    <s v="CUST00037"/>
    <b v="1"/>
    <d v="2025-12-28T00:00:00"/>
    <x v="4"/>
    <s v="Fuel"/>
    <n v="5493.53"/>
    <n v="140.63999999999999"/>
    <b v="1"/>
    <s v="Completed"/>
    <n v="140.63999999999999"/>
    <x v="1"/>
    <s v="REP014"/>
    <x v="2"/>
    <s v="Fuel Card"/>
    <s v="Mid-Market"/>
  </r>
  <r>
    <s v="TXN0000340"/>
    <s v="CUST00037"/>
    <b v="1"/>
    <d v="2025-12-24T00:00:00"/>
    <x v="4"/>
    <s v="Fuel"/>
    <n v="8764.42"/>
    <n v="236.59"/>
    <b v="1"/>
    <s v="Completed"/>
    <n v="236.59"/>
    <x v="1"/>
    <s v="REP014"/>
    <x v="2"/>
    <s v="Fuel Card"/>
    <s v="Mid-Market"/>
  </r>
  <r>
    <s v="TXN0000341"/>
    <s v="CUST00038"/>
    <b v="1"/>
    <d v="2025-06-30T00:00:00"/>
    <x v="7"/>
    <s v="EV Charging"/>
    <n v="3372.11"/>
    <n v="129.47"/>
    <b v="1"/>
    <s v="Cancelled"/>
    <n v="0"/>
    <x v="2"/>
    <s v="REP006"/>
    <x v="2"/>
    <s v="EV Charge Card"/>
    <s v="SME"/>
  </r>
  <r>
    <s v="TXN0000342"/>
    <s v="CUST00038"/>
    <b v="1"/>
    <d v="2025-07-19T00:00:00"/>
    <x v="8"/>
    <s v="EV Charging"/>
    <n v="4081.24"/>
    <n v="133.65"/>
    <b v="1"/>
    <s v="Completed"/>
    <n v="133.65"/>
    <x v="2"/>
    <s v="REP006"/>
    <x v="2"/>
    <s v="EV Charge Card"/>
    <s v="SME"/>
  </r>
  <r>
    <s v="TXN0000343"/>
    <s v="CUST00038"/>
    <b v="1"/>
    <d v="2025-08-08T00:00:00"/>
    <x v="0"/>
    <s v="EV Charging"/>
    <n v="2512.52"/>
    <n v="88.39"/>
    <b v="1"/>
    <s v="Completed"/>
    <n v="88.39"/>
    <x v="2"/>
    <s v="REP006"/>
    <x v="2"/>
    <s v="EV Charge Card"/>
    <s v="SME"/>
  </r>
  <r>
    <s v="TXN0000344"/>
    <s v="CUST00038"/>
    <b v="1"/>
    <d v="2025-08-07T00:00:00"/>
    <x v="0"/>
    <s v="EV Charging"/>
    <n v="3999.11"/>
    <n v="128.97"/>
    <b v="1"/>
    <s v="Completed"/>
    <n v="128.97"/>
    <x v="2"/>
    <s v="REP006"/>
    <x v="2"/>
    <s v="EV Charge Card"/>
    <s v="SME"/>
  </r>
  <r>
    <s v="TXN0000345"/>
    <s v="CUST00038"/>
    <b v="1"/>
    <d v="2025-08-26T00:00:00"/>
    <x v="0"/>
    <s v="EV Charging"/>
    <n v="1252.99"/>
    <n v="40.1"/>
    <b v="1"/>
    <s v="Completed"/>
    <n v="40.1"/>
    <x v="2"/>
    <s v="REP006"/>
    <x v="2"/>
    <s v="EV Charge Card"/>
    <s v="SME"/>
  </r>
  <r>
    <s v="TXN0000346"/>
    <s v="CUST00038"/>
    <b v="1"/>
    <d v="2025-09-17T00:00:00"/>
    <x v="1"/>
    <s v="EV Charging"/>
    <n v="4381.13"/>
    <n v="129.25"/>
    <b v="1"/>
    <s v="Completed"/>
    <n v="129.25"/>
    <x v="2"/>
    <s v="REP006"/>
    <x v="2"/>
    <s v="EV Charge Card"/>
    <s v="SME"/>
  </r>
  <r>
    <s v="TXN0000347"/>
    <s v="CUST00038"/>
    <b v="1"/>
    <d v="2025-09-02T00:00:00"/>
    <x v="1"/>
    <s v="EV Charging"/>
    <n v="1487.07"/>
    <n v="0"/>
    <b v="1"/>
    <s v="Cancelled"/>
    <n v="0"/>
    <x v="2"/>
    <s v="REP006"/>
    <x v="2"/>
    <s v="EV Charge Card"/>
    <s v="SME"/>
  </r>
  <r>
    <s v="TXN0000348"/>
    <s v="CUST00038"/>
    <b v="1"/>
    <d v="2025-10-21T00:00:00"/>
    <x v="2"/>
    <s v="EV Charging"/>
    <n v="2645.48"/>
    <n v="90.97"/>
    <b v="1"/>
    <s v="Completed"/>
    <n v="90.97"/>
    <x v="2"/>
    <s v="REP006"/>
    <x v="2"/>
    <s v="EV Charge Card"/>
    <s v="SME"/>
  </r>
  <r>
    <s v="TXN0000349"/>
    <s v="CUST00038"/>
    <b v="1"/>
    <d v="2025-10-16T00:00:00"/>
    <x v="2"/>
    <s v="EV Charging"/>
    <n v="2596.02"/>
    <n v="74.7"/>
    <b v="1"/>
    <s v="Completed"/>
    <n v="74.7"/>
    <x v="2"/>
    <s v="REP006"/>
    <x v="2"/>
    <s v="EV Charge Card"/>
    <s v="SME"/>
  </r>
  <r>
    <s v="TXN0000350"/>
    <s v="CUST00038"/>
    <b v="1"/>
    <d v="2025-11-16T00:00:00"/>
    <x v="3"/>
    <s v="EV Charging"/>
    <n v="1679.91"/>
    <n v="59.77"/>
    <b v="1"/>
    <s v="Completed"/>
    <n v="59.77"/>
    <x v="2"/>
    <s v="REP006"/>
    <x v="2"/>
    <s v="EV Charge Card"/>
    <s v="SME"/>
  </r>
  <r>
    <s v="TXN0000351"/>
    <s v="CUST00038"/>
    <b v="1"/>
    <d v="2025-12-17T00:00:00"/>
    <x v="4"/>
    <s v="EV Charging"/>
    <n v="1436.84"/>
    <n v="49.13"/>
    <b v="1"/>
    <s v="Completed"/>
    <n v="49.13"/>
    <x v="2"/>
    <s v="REP006"/>
    <x v="2"/>
    <s v="EV Charge Card"/>
    <s v="SME"/>
  </r>
  <r>
    <s v="TXN0000352"/>
    <s v="CUST00038"/>
    <b v="1"/>
    <d v="2025-12-24T00:00:00"/>
    <x v="4"/>
    <s v="EV Charging"/>
    <n v="2070.4899999999998"/>
    <n v="56.37"/>
    <b v="1"/>
    <s v="Completed"/>
    <n v="56.37"/>
    <x v="2"/>
    <s v="REP006"/>
    <x v="2"/>
    <s v="EV Charge Card"/>
    <s v="SME"/>
  </r>
  <r>
    <s v="TXN0000353"/>
    <s v="CUST00038"/>
    <b v="1"/>
    <d v="2025-12-04T00:00:00"/>
    <x v="4"/>
    <s v="EV Charging"/>
    <n v="3357.99"/>
    <n v="96.82"/>
    <b v="1"/>
    <s v="Completed"/>
    <n v="96.82"/>
    <x v="2"/>
    <s v="REP006"/>
    <x v="2"/>
    <s v="EV Charge Card"/>
    <s v="SME"/>
  </r>
  <r>
    <s v="TXN0000354"/>
    <s v="CUST00039"/>
    <b v="1"/>
    <d v="2025-04-27T00:00:00"/>
    <x v="5"/>
    <s v="Fuel"/>
    <n v="3398.55"/>
    <n v="72.930000000000007"/>
    <b v="1"/>
    <s v="Completed"/>
    <n v="72.930000000000007"/>
    <x v="0"/>
    <s v="REP007"/>
    <x v="2"/>
    <s v="Fuel Card"/>
    <s v="SME"/>
  </r>
  <r>
    <s v="TXN0000355"/>
    <s v="CUST00039"/>
    <b v="1"/>
    <d v="2025-04-28T00:00:00"/>
    <x v="5"/>
    <s v="Fuel"/>
    <n v="3409.85"/>
    <n v="94.1"/>
    <b v="1"/>
    <s v="Completed"/>
    <n v="94.1"/>
    <x v="0"/>
    <s v="REP007"/>
    <x v="2"/>
    <s v="Fuel Card"/>
    <s v="SME"/>
  </r>
  <r>
    <s v="TXN0000356"/>
    <s v="CUST00039"/>
    <b v="1"/>
    <d v="2025-05-13T00:00:00"/>
    <x v="6"/>
    <s v="Fuel"/>
    <n v="4979.68"/>
    <n v="106.95"/>
    <b v="1"/>
    <s v="Completed"/>
    <n v="106.95"/>
    <x v="0"/>
    <s v="REP007"/>
    <x v="2"/>
    <s v="Fuel Card"/>
    <s v="SME"/>
  </r>
  <r>
    <s v="TXN0000357"/>
    <s v="CUST00039"/>
    <b v="1"/>
    <d v="2025-05-13T00:00:00"/>
    <x v="6"/>
    <s v="Fuel"/>
    <n v="5027.76"/>
    <n v="124.72"/>
    <b v="1"/>
    <s v="Completed"/>
    <n v="124.72"/>
    <x v="0"/>
    <s v="REP007"/>
    <x v="2"/>
    <s v="Fuel Card"/>
    <s v="SME"/>
  </r>
  <r>
    <s v="TXN0000358"/>
    <s v="CUST00039"/>
    <b v="1"/>
    <d v="2025-06-10T00:00:00"/>
    <x v="7"/>
    <s v="Fuel"/>
    <n v="4422.71"/>
    <n v="105.16"/>
    <b v="1"/>
    <s v="Completed"/>
    <n v="105.16"/>
    <x v="0"/>
    <s v="REP007"/>
    <x v="2"/>
    <s v="Fuel Card"/>
    <s v="SME"/>
  </r>
  <r>
    <s v="TXN0000359"/>
    <s v="CUST00039"/>
    <b v="1"/>
    <d v="2025-07-16T00:00:00"/>
    <x v="8"/>
    <s v="Fuel"/>
    <n v="1261.19"/>
    <n v="36.21"/>
    <b v="1"/>
    <s v="Completed"/>
    <n v="36.21"/>
    <x v="0"/>
    <s v="REP007"/>
    <x v="2"/>
    <s v="Fuel Card"/>
    <s v="SME"/>
  </r>
  <r>
    <s v="TXN0000360"/>
    <s v="CUST00039"/>
    <b v="1"/>
    <d v="2025-07-12T00:00:00"/>
    <x v="8"/>
    <s v="Fuel"/>
    <n v="3584.14"/>
    <n v="90.31"/>
    <b v="1"/>
    <s v="Completed"/>
    <n v="90.31"/>
    <x v="0"/>
    <s v="REP007"/>
    <x v="2"/>
    <s v="Fuel Card"/>
    <s v="SME"/>
  </r>
  <r>
    <s v="TXN0000361"/>
    <s v="CUST00039"/>
    <b v="1"/>
    <d v="2025-08-14T00:00:00"/>
    <x v="0"/>
    <s v="Fuel"/>
    <n v="2382.4699999999998"/>
    <n v="60.05"/>
    <b v="1"/>
    <s v="Completed"/>
    <n v="60.05"/>
    <x v="0"/>
    <s v="REP007"/>
    <x v="2"/>
    <s v="Fuel Card"/>
    <s v="SME"/>
  </r>
  <r>
    <s v="TXN0000362"/>
    <s v="CUST00039"/>
    <b v="1"/>
    <d v="2025-08-17T00:00:00"/>
    <x v="0"/>
    <s v="Fuel"/>
    <n v="3805.43"/>
    <n v="94.83"/>
    <b v="1"/>
    <s v="Completed"/>
    <n v="94.83"/>
    <x v="0"/>
    <s v="REP007"/>
    <x v="2"/>
    <s v="Fuel Card"/>
    <s v="SME"/>
  </r>
  <r>
    <s v="TXN0000363"/>
    <s v="CUST00039"/>
    <b v="1"/>
    <d v="2025-09-25T00:00:00"/>
    <x v="1"/>
    <s v="Fuel"/>
    <n v="1708.35"/>
    <n v="45.48"/>
    <b v="1"/>
    <s v="Completed"/>
    <n v="45.48"/>
    <x v="0"/>
    <s v="REP007"/>
    <x v="2"/>
    <s v="Fuel Card"/>
    <s v="SME"/>
  </r>
  <r>
    <s v="TXN0000364"/>
    <s v="CUST00039"/>
    <b v="1"/>
    <d v="2025-09-24T00:00:00"/>
    <x v="1"/>
    <s v="Fuel"/>
    <n v="1714.34"/>
    <n v="41.53"/>
    <b v="1"/>
    <s v="Completed"/>
    <n v="41.53"/>
    <x v="0"/>
    <s v="REP007"/>
    <x v="2"/>
    <s v="Fuel Card"/>
    <s v="SME"/>
  </r>
  <r>
    <s v="TXN0000365"/>
    <s v="CUST00039"/>
    <b v="1"/>
    <d v="2025-09-01T00:00:00"/>
    <x v="1"/>
    <s v="Fuel"/>
    <n v="3786.66"/>
    <n v="107.64"/>
    <b v="1"/>
    <s v="Completed"/>
    <n v="107.64"/>
    <x v="0"/>
    <s v="REP007"/>
    <x v="2"/>
    <s v="Fuel Card"/>
    <s v="SME"/>
  </r>
  <r>
    <s v="TXN0000366"/>
    <s v="CUST00039"/>
    <b v="1"/>
    <d v="2025-10-21T00:00:00"/>
    <x v="2"/>
    <s v="Fuel"/>
    <n v="1547.09"/>
    <n v="36.29"/>
    <b v="1"/>
    <s v="Completed"/>
    <n v="36.29"/>
    <x v="0"/>
    <s v="REP007"/>
    <x v="2"/>
    <s v="Fuel Card"/>
    <s v="SME"/>
  </r>
  <r>
    <s v="TXN0000367"/>
    <s v="CUST00039"/>
    <b v="1"/>
    <d v="2025-10-09T00:00:00"/>
    <x v="2"/>
    <s v="Fuel"/>
    <n v="2029.03"/>
    <n v="56.11"/>
    <b v="1"/>
    <s v="Completed"/>
    <n v="56.11"/>
    <x v="0"/>
    <s v="REP007"/>
    <x v="2"/>
    <s v="Fuel Card"/>
    <s v="SME"/>
  </r>
  <r>
    <s v="TXN0000368"/>
    <s v="CUST00039"/>
    <b v="1"/>
    <d v="2025-10-05T00:00:00"/>
    <x v="2"/>
    <s v="Fuel"/>
    <n v="1268.3599999999999"/>
    <n v="28.95"/>
    <b v="1"/>
    <s v="Completed"/>
    <n v="28.95"/>
    <x v="0"/>
    <s v="REP007"/>
    <x v="2"/>
    <s v="Fuel Card"/>
    <s v="SME"/>
  </r>
  <r>
    <s v="TXN0000369"/>
    <s v="CUST00039"/>
    <b v="1"/>
    <d v="2025-11-26T00:00:00"/>
    <x v="3"/>
    <s v="Fuel"/>
    <n v="3332.63"/>
    <n v="81.98"/>
    <b v="1"/>
    <s v="Completed"/>
    <n v="81.98"/>
    <x v="0"/>
    <s v="REP007"/>
    <x v="2"/>
    <s v="Fuel Card"/>
    <s v="SME"/>
  </r>
  <r>
    <s v="TXN0000370"/>
    <s v="CUST00039"/>
    <b v="1"/>
    <d v="2025-12-15T00:00:00"/>
    <x v="4"/>
    <s v="Fuel"/>
    <n v="4125.3"/>
    <n v="102.06"/>
    <b v="1"/>
    <s v="Completed"/>
    <n v="102.06"/>
    <x v="0"/>
    <s v="REP007"/>
    <x v="2"/>
    <s v="Fuel Card"/>
    <s v="SME"/>
  </r>
  <r>
    <s v="TXN0000371"/>
    <s v="CUST00039"/>
    <b v="1"/>
    <d v="2025-12-10T00:00:00"/>
    <x v="4"/>
    <s v="Fuel"/>
    <n v="3632.2"/>
    <n v="83.62"/>
    <b v="1"/>
    <s v="Completed"/>
    <n v="83.62"/>
    <x v="0"/>
    <s v="REP007"/>
    <x v="2"/>
    <s v="Fuel Card"/>
    <s v="SME"/>
  </r>
  <r>
    <s v="TXN0000372"/>
    <s v="CUST00042"/>
    <b v="1"/>
    <d v="2025-10-31T00:00:00"/>
    <x v="2"/>
    <s v="Fuel"/>
    <n v="17533.37"/>
    <n v="482.08"/>
    <b v="1"/>
    <s v="Completed"/>
    <n v="482.08"/>
    <x v="3"/>
    <s v="REP003"/>
    <x v="2"/>
    <s v="Fleet Expense Card"/>
    <s v="Mid-Market"/>
  </r>
  <r>
    <s v="TXN0000373"/>
    <s v="CUST00042"/>
    <b v="1"/>
    <d v="2025-10-12T00:00:00"/>
    <x v="2"/>
    <s v="Parking"/>
    <n v="14681.46"/>
    <n v="409.95"/>
    <b v="1"/>
    <s v="Completed"/>
    <n v="409.95"/>
    <x v="3"/>
    <s v="REP003"/>
    <x v="2"/>
    <s v="Fleet Expense Card"/>
    <s v="Mid-Market"/>
  </r>
  <r>
    <s v="TXN0000374"/>
    <s v="CUST00042"/>
    <b v="1"/>
    <d v="2025-10-26T00:00:00"/>
    <x v="2"/>
    <s v="Lodging"/>
    <n v="14564.89"/>
    <n v="352.54"/>
    <b v="1"/>
    <s v="Completed"/>
    <n v="352.54"/>
    <x v="3"/>
    <s v="REP003"/>
    <x v="2"/>
    <s v="Fleet Expense Card"/>
    <s v="Mid-Market"/>
  </r>
  <r>
    <s v="TXN0000375"/>
    <s v="CUST00042"/>
    <b v="1"/>
    <d v="2025-11-17T00:00:00"/>
    <x v="3"/>
    <s v="Parking"/>
    <n v="7815.13"/>
    <n v="207.61"/>
    <b v="1"/>
    <s v="Completed"/>
    <n v="207.61"/>
    <x v="3"/>
    <s v="REP003"/>
    <x v="2"/>
    <s v="Fleet Expense Card"/>
    <s v="Mid-Market"/>
  </r>
  <r>
    <s v="TXN0000376"/>
    <s v="CUST00042"/>
    <b v="1"/>
    <d v="2025-12-05T00:00:00"/>
    <x v="4"/>
    <s v="Fuel"/>
    <n v="8886.49"/>
    <n v="239.35"/>
    <b v="1"/>
    <s v="Completed"/>
    <n v="239.35"/>
    <x v="3"/>
    <s v="REP003"/>
    <x v="2"/>
    <s v="Fleet Expense Card"/>
    <s v="Mid-Market"/>
  </r>
  <r>
    <s v="TXN0000377"/>
    <s v="CUST00042"/>
    <b v="1"/>
    <d v="2025-12-17T00:00:00"/>
    <x v="4"/>
    <s v="Lodging"/>
    <n v="6622.59"/>
    <n v="181.47"/>
    <b v="1"/>
    <s v="Completed"/>
    <n v="181.47"/>
    <x v="3"/>
    <s v="REP003"/>
    <x v="2"/>
    <s v="Fleet Expense Card"/>
    <s v="Mid-Market"/>
  </r>
  <r>
    <s v="TXN0000378"/>
    <s v="CUST00042"/>
    <b v="1"/>
    <d v="2025-12-08T00:00:00"/>
    <x v="4"/>
    <s v="Fuel"/>
    <n v="7728.29"/>
    <n v="235.54"/>
    <b v="1"/>
    <s v="Completed"/>
    <n v="235.54"/>
    <x v="3"/>
    <s v="REP003"/>
    <x v="2"/>
    <s v="Fleet Expense Card"/>
    <s v="Mid-Market"/>
  </r>
  <r>
    <s v="TXN0000379"/>
    <s v="CUST00043"/>
    <b v="1"/>
    <d v="2025-07-28T00:00:00"/>
    <x v="8"/>
    <s v="Toll"/>
    <n v="17272.669999999998"/>
    <n v="319.7"/>
    <b v="1"/>
    <s v="Completed"/>
    <n v="319.7"/>
    <x v="0"/>
    <s v="REP008"/>
    <x v="0"/>
    <s v="Toll Solution"/>
    <s v="Mid-Market"/>
  </r>
  <r>
    <s v="TXN0000380"/>
    <s v="CUST00043"/>
    <b v="1"/>
    <d v="2025-07-18T00:00:00"/>
    <x v="8"/>
    <s v="Toll"/>
    <n v="8223.93"/>
    <n v="140.86000000000001"/>
    <b v="1"/>
    <s v="Completed"/>
    <n v="140.86000000000001"/>
    <x v="0"/>
    <s v="REP008"/>
    <x v="0"/>
    <s v="Toll Solution"/>
    <s v="Mid-Market"/>
  </r>
  <r>
    <s v="TXN0000381"/>
    <s v="CUST00043"/>
    <b v="1"/>
    <d v="2025-08-25T00:00:00"/>
    <x v="0"/>
    <s v="Toll"/>
    <n v="14036.8"/>
    <n v="279.47000000000003"/>
    <b v="1"/>
    <s v="Completed"/>
    <n v="279.47000000000003"/>
    <x v="0"/>
    <s v="REP008"/>
    <x v="0"/>
    <s v="Toll Solution"/>
    <s v="Mid-Market"/>
  </r>
  <r>
    <s v="TXN0000382"/>
    <s v="CUST00043"/>
    <b v="1"/>
    <d v="2025-09-21T00:00:00"/>
    <x v="1"/>
    <s v="Toll"/>
    <n v="13354"/>
    <n v="208.91"/>
    <b v="1"/>
    <s v="Completed"/>
    <n v="208.91"/>
    <x v="0"/>
    <s v="REP008"/>
    <x v="0"/>
    <s v="Toll Solution"/>
    <s v="Mid-Market"/>
  </r>
  <r>
    <s v="TXN0000383"/>
    <s v="CUST00043"/>
    <b v="1"/>
    <d v="2025-09-26T00:00:00"/>
    <x v="1"/>
    <s v="Toll"/>
    <n v="16050.68"/>
    <n v="264.33"/>
    <b v="1"/>
    <s v="Completed"/>
    <n v="264.33"/>
    <x v="0"/>
    <s v="REP008"/>
    <x v="0"/>
    <s v="Toll Solution"/>
    <s v="Mid-Market"/>
  </r>
  <r>
    <s v="TXN0000384"/>
    <s v="CUST00043"/>
    <b v="1"/>
    <d v="2025-10-08T00:00:00"/>
    <x v="2"/>
    <s v="Toll"/>
    <n v="7695.31"/>
    <n v="145.94"/>
    <b v="1"/>
    <s v="Completed"/>
    <n v="145.94"/>
    <x v="0"/>
    <s v="REP008"/>
    <x v="0"/>
    <s v="Toll Solution"/>
    <s v="Mid-Market"/>
  </r>
  <r>
    <s v="TXN0000385"/>
    <s v="CUST00043"/>
    <b v="1"/>
    <d v="2025-10-20T00:00:00"/>
    <x v="2"/>
    <s v="Toll"/>
    <n v="7767.68"/>
    <n v="128.5"/>
    <b v="1"/>
    <s v="Completed"/>
    <n v="128.5"/>
    <x v="0"/>
    <s v="REP008"/>
    <x v="0"/>
    <s v="Toll Solution"/>
    <s v="Mid-Market"/>
  </r>
  <r>
    <s v="TXN0000386"/>
    <s v="CUST00043"/>
    <b v="1"/>
    <d v="2025-11-23T00:00:00"/>
    <x v="3"/>
    <s v="Toll"/>
    <n v="5901.94"/>
    <n v="110.6"/>
    <b v="1"/>
    <s v="Completed"/>
    <n v="110.6"/>
    <x v="0"/>
    <s v="REP008"/>
    <x v="0"/>
    <s v="Toll Solution"/>
    <s v="Mid-Market"/>
  </r>
  <r>
    <s v="TXN0000387"/>
    <s v="CUST00043"/>
    <b v="1"/>
    <d v="2025-11-30T00:00:00"/>
    <x v="3"/>
    <s v="Toll"/>
    <n v="11347.06"/>
    <n v="233.85"/>
    <b v="1"/>
    <s v="Completed"/>
    <n v="233.85"/>
    <x v="0"/>
    <s v="REP008"/>
    <x v="0"/>
    <s v="Toll Solution"/>
    <s v="Mid-Market"/>
  </r>
  <r>
    <s v="TXN0000388"/>
    <s v="CUST00043"/>
    <b v="1"/>
    <d v="2025-12-30T00:00:00"/>
    <x v="4"/>
    <s v="Toll"/>
    <n v="9274.65"/>
    <n v="161.97999999999999"/>
    <b v="1"/>
    <s v="Completed"/>
    <n v="161.97999999999999"/>
    <x v="0"/>
    <s v="REP008"/>
    <x v="0"/>
    <s v="Toll Solution"/>
    <s v="Mid-Market"/>
  </r>
  <r>
    <s v="TXN0000389"/>
    <s v="CUST00044"/>
    <b v="1"/>
    <d v="2025-09-26T00:00:00"/>
    <x v="1"/>
    <s v="Toll"/>
    <n v="15737.86"/>
    <n v="315.98"/>
    <b v="1"/>
    <s v="Completed"/>
    <n v="315.98"/>
    <x v="3"/>
    <s v="REP002"/>
    <x v="2"/>
    <s v="Toll Solution"/>
    <s v="Mid-Market"/>
  </r>
  <r>
    <s v="TXN0000390"/>
    <s v="CUST00044"/>
    <b v="1"/>
    <d v="2025-10-08T00:00:00"/>
    <x v="2"/>
    <s v="Toll"/>
    <n v="8505"/>
    <n v="172.57"/>
    <b v="1"/>
    <s v="Completed"/>
    <n v="172.57"/>
    <x v="3"/>
    <s v="REP002"/>
    <x v="2"/>
    <s v="Toll Solution"/>
    <s v="Mid-Market"/>
  </r>
  <r>
    <s v="TXN0000391"/>
    <s v="CUST00044"/>
    <b v="1"/>
    <d v="2025-10-26T00:00:00"/>
    <x v="2"/>
    <s v="Toll"/>
    <n v="15882.13"/>
    <n v="269.97000000000003"/>
    <b v="1"/>
    <s v="Completed"/>
    <n v="269.97000000000003"/>
    <x v="3"/>
    <s v="REP002"/>
    <x v="2"/>
    <s v="Toll Solution"/>
    <s v="Mid-Market"/>
  </r>
  <r>
    <s v="TXN0000392"/>
    <s v="CUST00044"/>
    <b v="1"/>
    <d v="2025-11-15T00:00:00"/>
    <x v="3"/>
    <s v="Toll"/>
    <n v="17068.63"/>
    <n v="337.73"/>
    <b v="1"/>
    <s v="Completed"/>
    <n v="337.73"/>
    <x v="3"/>
    <s v="REP002"/>
    <x v="2"/>
    <s v="Toll Solution"/>
    <s v="Mid-Market"/>
  </r>
  <r>
    <s v="TXN0000393"/>
    <s v="CUST00044"/>
    <b v="1"/>
    <d v="2025-11-17T00:00:00"/>
    <x v="3"/>
    <s v="Toll"/>
    <n v="15874.19"/>
    <n v="271.07"/>
    <b v="1"/>
    <s v="Completed"/>
    <n v="271.07"/>
    <x v="3"/>
    <s v="REP002"/>
    <x v="2"/>
    <s v="Toll Solution"/>
    <s v="Mid-Market"/>
  </r>
  <r>
    <s v="TXN0000394"/>
    <s v="CUST00044"/>
    <b v="1"/>
    <d v="2025-11-12T00:00:00"/>
    <x v="3"/>
    <s v="Toll"/>
    <n v="5738.72"/>
    <n v="96.45"/>
    <b v="1"/>
    <s v="Completed"/>
    <n v="96.45"/>
    <x v="3"/>
    <s v="REP002"/>
    <x v="2"/>
    <s v="Toll Solution"/>
    <s v="Mid-Market"/>
  </r>
  <r>
    <s v="TXN0000395"/>
    <s v="CUST00044"/>
    <b v="1"/>
    <d v="2025-12-07T00:00:00"/>
    <x v="4"/>
    <s v="Toll"/>
    <n v="16348.03"/>
    <n v="323.75"/>
    <b v="1"/>
    <s v="Completed"/>
    <n v="323.75"/>
    <x v="3"/>
    <s v="REP002"/>
    <x v="2"/>
    <s v="Toll Solution"/>
    <s v="Mid-Market"/>
  </r>
  <r>
    <s v="TXN0000396"/>
    <s v="CUST00045"/>
    <b v="1"/>
    <d v="2025-09-30T00:00:00"/>
    <x v="1"/>
    <s v="Parking"/>
    <n v="12358.79"/>
    <n v="359.77"/>
    <b v="1"/>
    <s v="Completed"/>
    <n v="359.77"/>
    <x v="3"/>
    <s v="REP002"/>
    <x v="1"/>
    <s v="Fleet Expense Card"/>
    <s v="Mid-Market"/>
  </r>
  <r>
    <s v="TXN0000397"/>
    <s v="CUST00045"/>
    <b v="1"/>
    <d v="2025-09-27T00:00:00"/>
    <x v="1"/>
    <s v="Parking"/>
    <n v="6138"/>
    <n v="166.6"/>
    <b v="1"/>
    <s v="Completed"/>
    <n v="166.6"/>
    <x v="3"/>
    <s v="REP002"/>
    <x v="1"/>
    <s v="Fleet Expense Card"/>
    <s v="Mid-Market"/>
  </r>
  <r>
    <s v="TXN0000398"/>
    <s v="CUST00045"/>
    <b v="1"/>
    <d v="2025-10-03T00:00:00"/>
    <x v="2"/>
    <s v="Lodging"/>
    <n v="17527.189999999999"/>
    <n v="498.96"/>
    <b v="1"/>
    <s v="Completed"/>
    <n v="498.96"/>
    <x v="3"/>
    <s v="REP002"/>
    <x v="1"/>
    <s v="Fleet Expense Card"/>
    <s v="Mid-Market"/>
  </r>
  <r>
    <s v="TXN0000399"/>
    <s v="CUST00045"/>
    <b v="1"/>
    <d v="2025-10-12T00:00:00"/>
    <x v="2"/>
    <s v="Fuel"/>
    <n v="11305.54"/>
    <n v="333.82"/>
    <b v="1"/>
    <s v="Completed"/>
    <n v="333.82"/>
    <x v="3"/>
    <s v="REP002"/>
    <x v="1"/>
    <s v="Fleet Expense Card"/>
    <s v="Mid-Market"/>
  </r>
  <r>
    <s v="TXN0000400"/>
    <s v="CUST00045"/>
    <b v="1"/>
    <d v="2025-11-20T00:00:00"/>
    <x v="3"/>
    <s v="Fuel"/>
    <n v="5810.5"/>
    <n v="164.78"/>
    <b v="1"/>
    <s v="Completed"/>
    <n v="164.78"/>
    <x v="3"/>
    <s v="REP002"/>
    <x v="1"/>
    <s v="Fleet Expense Card"/>
    <s v="Mid-Market"/>
  </r>
  <r>
    <s v="TXN0000401"/>
    <s v="CUST00045"/>
    <b v="1"/>
    <d v="2025-11-20T00:00:00"/>
    <x v="3"/>
    <s v="Lodging"/>
    <n v="6247.56"/>
    <n v="190.19"/>
    <b v="1"/>
    <s v="Completed"/>
    <n v="190.19"/>
    <x v="3"/>
    <s v="REP002"/>
    <x v="1"/>
    <s v="Fleet Expense Card"/>
    <s v="Mid-Market"/>
  </r>
  <r>
    <s v="TXN0000402"/>
    <s v="CUST00045"/>
    <b v="1"/>
    <d v="2025-12-17T00:00:00"/>
    <x v="4"/>
    <s v="Parking"/>
    <n v="17989.419999999998"/>
    <n v="436.65"/>
    <b v="1"/>
    <s v="Completed"/>
    <n v="436.65"/>
    <x v="3"/>
    <s v="REP002"/>
    <x v="1"/>
    <s v="Fleet Expense Card"/>
    <s v="Mid-Market"/>
  </r>
  <r>
    <s v="TXN0000403"/>
    <s v="CUST00045"/>
    <b v="1"/>
    <d v="2025-12-30T00:00:00"/>
    <x v="4"/>
    <s v="Fuel"/>
    <n v="13225.53"/>
    <n v="409.95"/>
    <b v="1"/>
    <s v="Completed"/>
    <n v="409.95"/>
    <x v="3"/>
    <s v="REP002"/>
    <x v="1"/>
    <s v="Fleet Expense Card"/>
    <s v="Mid-Market"/>
  </r>
  <r>
    <s v="TXN0000404"/>
    <s v="CUST00045"/>
    <b v="1"/>
    <d v="2025-12-11T00:00:00"/>
    <x v="4"/>
    <s v="Lodging"/>
    <n v="13716.16"/>
    <n v="388.94"/>
    <b v="1"/>
    <s v="Completed"/>
    <n v="388.94"/>
    <x v="3"/>
    <s v="REP002"/>
    <x v="1"/>
    <s v="Fleet Expense Card"/>
    <s v="Mid-Market"/>
  </r>
  <r>
    <s v="TXN0000405"/>
    <s v="CUST00046"/>
    <b v="1"/>
    <d v="2025-05-27T00:00:00"/>
    <x v="6"/>
    <s v="Fuel"/>
    <n v="3477.55"/>
    <n v="87.68"/>
    <b v="1"/>
    <s v="Completed"/>
    <n v="87.68"/>
    <x v="3"/>
    <s v="REP003"/>
    <x v="5"/>
    <s v="Fuel Card"/>
    <s v="SME"/>
  </r>
  <r>
    <s v="TXN0000406"/>
    <s v="CUST00046"/>
    <b v="1"/>
    <d v="2025-06-07T00:00:00"/>
    <x v="7"/>
    <s v="Fuel"/>
    <n v="3202.4"/>
    <n v="72.569999999999993"/>
    <b v="1"/>
    <s v="Completed"/>
    <n v="72.569999999999993"/>
    <x v="3"/>
    <s v="REP003"/>
    <x v="5"/>
    <s v="Fuel Card"/>
    <s v="SME"/>
  </r>
  <r>
    <s v="TXN0000407"/>
    <s v="CUST00046"/>
    <b v="1"/>
    <d v="2025-07-22T00:00:00"/>
    <x v="8"/>
    <s v="Fuel"/>
    <n v="3382.52"/>
    <n v="82.52"/>
    <b v="1"/>
    <s v="Completed"/>
    <n v="82.52"/>
    <x v="3"/>
    <s v="REP003"/>
    <x v="5"/>
    <s v="Fuel Card"/>
    <s v="SME"/>
  </r>
  <r>
    <s v="TXN0000408"/>
    <s v="CUST00046"/>
    <b v="1"/>
    <d v="2025-07-04T00:00:00"/>
    <x v="8"/>
    <s v="Fuel"/>
    <n v="3840.53"/>
    <n v="91.45"/>
    <b v="1"/>
    <s v="Completed"/>
    <n v="91.45"/>
    <x v="3"/>
    <s v="REP003"/>
    <x v="5"/>
    <s v="Fuel Card"/>
    <s v="SME"/>
  </r>
  <r>
    <s v="TXN0000409"/>
    <s v="CUST00046"/>
    <b v="1"/>
    <d v="2025-08-12T00:00:00"/>
    <x v="0"/>
    <s v="Fuel"/>
    <n v="2303.0700000000002"/>
    <n v="51.78"/>
    <b v="1"/>
    <s v="Completed"/>
    <n v="51.78"/>
    <x v="3"/>
    <s v="REP003"/>
    <x v="5"/>
    <s v="Fuel Card"/>
    <s v="SME"/>
  </r>
  <r>
    <s v="TXN0000410"/>
    <s v="CUST00046"/>
    <b v="1"/>
    <d v="2025-08-08T00:00:00"/>
    <x v="0"/>
    <s v="Fuel"/>
    <n v="2681.66"/>
    <n v="64.040000000000006"/>
    <b v="1"/>
    <s v="Completed"/>
    <n v="64.040000000000006"/>
    <x v="3"/>
    <s v="REP003"/>
    <x v="5"/>
    <s v="Fuel Card"/>
    <s v="SME"/>
  </r>
  <r>
    <s v="TXN0000411"/>
    <s v="CUST00046"/>
    <b v="1"/>
    <d v="2025-08-20T00:00:00"/>
    <x v="0"/>
    <s v="Fuel"/>
    <n v="5108.04"/>
    <n v="125.61"/>
    <b v="1"/>
    <s v="Completed"/>
    <n v="125.61"/>
    <x v="3"/>
    <s v="REP003"/>
    <x v="5"/>
    <s v="Fuel Card"/>
    <s v="SME"/>
  </r>
  <r>
    <s v="TXN0000412"/>
    <s v="CUST00046"/>
    <b v="1"/>
    <d v="2025-09-14T00:00:00"/>
    <x v="1"/>
    <s v="Fuel"/>
    <n v="2972.81"/>
    <n v="85.25"/>
    <b v="1"/>
    <s v="Completed"/>
    <n v="85.25"/>
    <x v="3"/>
    <s v="REP003"/>
    <x v="5"/>
    <s v="Fuel Card"/>
    <s v="SME"/>
  </r>
  <r>
    <s v="TXN0000413"/>
    <s v="CUST00046"/>
    <b v="1"/>
    <d v="2025-09-09T00:00:00"/>
    <x v="1"/>
    <s v="Fuel"/>
    <n v="5232.1400000000003"/>
    <n v="123.76"/>
    <b v="1"/>
    <s v="Completed"/>
    <n v="123.76"/>
    <x v="3"/>
    <s v="REP003"/>
    <x v="5"/>
    <s v="Fuel Card"/>
    <s v="SME"/>
  </r>
  <r>
    <s v="TXN0000414"/>
    <s v="CUST00046"/>
    <b v="1"/>
    <d v="2025-09-28T00:00:00"/>
    <x v="1"/>
    <s v="Fuel"/>
    <n v="4901.84"/>
    <n v="111.88"/>
    <b v="1"/>
    <s v="Completed"/>
    <n v="111.88"/>
    <x v="3"/>
    <s v="REP003"/>
    <x v="5"/>
    <s v="Fuel Card"/>
    <s v="SME"/>
  </r>
  <r>
    <s v="TXN0000415"/>
    <s v="CUST00046"/>
    <b v="1"/>
    <d v="2025-10-07T00:00:00"/>
    <x v="2"/>
    <s v="Fuel"/>
    <n v="4303.53"/>
    <n v="121.52"/>
    <b v="1"/>
    <s v="Completed"/>
    <n v="121.52"/>
    <x v="3"/>
    <s v="REP003"/>
    <x v="5"/>
    <s v="Fuel Card"/>
    <s v="SME"/>
  </r>
  <r>
    <s v="TXN0000416"/>
    <s v="CUST00046"/>
    <b v="1"/>
    <d v="2025-11-12T00:00:00"/>
    <x v="3"/>
    <s v="Fuel"/>
    <n v="3055.9"/>
    <n v="83.78"/>
    <b v="1"/>
    <s v="Completed"/>
    <n v="83.78"/>
    <x v="3"/>
    <s v="REP003"/>
    <x v="5"/>
    <s v="Fuel Card"/>
    <s v="SME"/>
  </r>
  <r>
    <s v="TXN0000417"/>
    <s v="CUST00046"/>
    <b v="1"/>
    <d v="2025-12-07T00:00:00"/>
    <x v="4"/>
    <s v="Fuel"/>
    <n v="2603.44"/>
    <n v="0"/>
    <b v="1"/>
    <s v="Cancelled"/>
    <n v="0"/>
    <x v="3"/>
    <s v="REP003"/>
    <x v="5"/>
    <s v="Fuel Card"/>
    <s v="SME"/>
  </r>
  <r>
    <s v="TXN0000418"/>
    <s v="CUST00046"/>
    <b v="1"/>
    <d v="2025-12-03T00:00:00"/>
    <x v="4"/>
    <s v="Fuel"/>
    <n v="4890.8599999999997"/>
    <n v="107.49"/>
    <b v="1"/>
    <s v="Completed"/>
    <n v="107.49"/>
    <x v="3"/>
    <s v="REP003"/>
    <x v="5"/>
    <s v="Fuel Card"/>
    <s v="SME"/>
  </r>
  <r>
    <s v="TXN0000419"/>
    <s v="CUST00049"/>
    <b v="1"/>
    <d v="2025-09-21T00:00:00"/>
    <x v="1"/>
    <s v="Fuel"/>
    <n v="4738.1400000000003"/>
    <n v="123.91"/>
    <b v="1"/>
    <s v="Completed"/>
    <n v="123.91"/>
    <x v="1"/>
    <s v="REP015"/>
    <x v="2"/>
    <s v="Fuel Card"/>
    <s v="SME"/>
  </r>
  <r>
    <s v="TXN0000420"/>
    <s v="CUST00049"/>
    <b v="1"/>
    <d v="2025-09-23T00:00:00"/>
    <x v="1"/>
    <s v="Fuel"/>
    <n v="2814.03"/>
    <n v="71.75"/>
    <b v="1"/>
    <s v="Completed"/>
    <n v="71.75"/>
    <x v="1"/>
    <s v="REP015"/>
    <x v="2"/>
    <s v="Fuel Card"/>
    <s v="SME"/>
  </r>
  <r>
    <s v="TXN0000421"/>
    <s v="CUST00049"/>
    <b v="1"/>
    <d v="2025-09-21T00:00:00"/>
    <x v="1"/>
    <s v="Fuel"/>
    <n v="5145.66"/>
    <n v="141.03"/>
    <b v="1"/>
    <s v="Completed"/>
    <n v="141.03"/>
    <x v="1"/>
    <s v="REP015"/>
    <x v="2"/>
    <s v="Fuel Card"/>
    <s v="SME"/>
  </r>
  <r>
    <s v="TXN0000422"/>
    <s v="CUST00049"/>
    <b v="1"/>
    <d v="2025-10-14T00:00:00"/>
    <x v="2"/>
    <s v="Fuel"/>
    <n v="2539.59"/>
    <n v="0"/>
    <b v="1"/>
    <s v="Cancelled"/>
    <n v="0"/>
    <x v="1"/>
    <s v="REP015"/>
    <x v="2"/>
    <s v="Fuel Card"/>
    <s v="SME"/>
  </r>
  <r>
    <s v="TXN0000423"/>
    <s v="CUST00049"/>
    <b v="1"/>
    <d v="2025-11-07T00:00:00"/>
    <x v="3"/>
    <s v="Fuel"/>
    <n v="1645.29"/>
    <n v="40.450000000000003"/>
    <b v="1"/>
    <s v="Completed"/>
    <n v="40.450000000000003"/>
    <x v="1"/>
    <s v="REP015"/>
    <x v="2"/>
    <s v="Fuel Card"/>
    <s v="SME"/>
  </r>
  <r>
    <s v="TXN0000424"/>
    <s v="CUST00049"/>
    <b v="1"/>
    <d v="2025-11-26T00:00:00"/>
    <x v="3"/>
    <s v="Fuel"/>
    <n v="1770.38"/>
    <n v="40.770000000000003"/>
    <b v="1"/>
    <s v="Completed"/>
    <n v="40.770000000000003"/>
    <x v="1"/>
    <s v="REP015"/>
    <x v="2"/>
    <s v="Fuel Card"/>
    <s v="SME"/>
  </r>
  <r>
    <s v="TXN0000425"/>
    <s v="CUST00049"/>
    <b v="1"/>
    <d v="2025-12-04T00:00:00"/>
    <x v="4"/>
    <s v="Fuel"/>
    <n v="4021.32"/>
    <n v="92.36"/>
    <b v="1"/>
    <s v="Completed"/>
    <n v="92.36"/>
    <x v="1"/>
    <s v="REP015"/>
    <x v="2"/>
    <s v="Fuel Card"/>
    <s v="SME"/>
  </r>
  <r>
    <s v="TXN0000426"/>
    <s v="CUST00049"/>
    <b v="1"/>
    <d v="2025-12-12T00:00:00"/>
    <x v="4"/>
    <s v="Fuel"/>
    <n v="2604.5300000000002"/>
    <n v="67.48"/>
    <b v="1"/>
    <s v="Completed"/>
    <n v="67.48"/>
    <x v="1"/>
    <s v="REP015"/>
    <x v="2"/>
    <s v="Fuel Card"/>
    <s v="SME"/>
  </r>
  <r>
    <s v="TXN0000427"/>
    <s v="CUST00049"/>
    <b v="1"/>
    <d v="2025-12-29T00:00:00"/>
    <x v="4"/>
    <s v="Fuel"/>
    <n v="2925.43"/>
    <n v="71.73"/>
    <b v="1"/>
    <s v="Completed"/>
    <n v="71.73"/>
    <x v="1"/>
    <s v="REP015"/>
    <x v="2"/>
    <s v="Fuel Card"/>
    <s v="SME"/>
  </r>
  <r>
    <s v="TXN0000428"/>
    <s v="CUST00051"/>
    <b v="1"/>
    <d v="2025-07-14T00:00:00"/>
    <x v="8"/>
    <s v="EV Charging"/>
    <n v="4034.42"/>
    <n v="132.12"/>
    <b v="1"/>
    <s v="Completed"/>
    <n v="132.12"/>
    <x v="2"/>
    <s v="REP006"/>
    <x v="1"/>
    <s v="EV Charge Card"/>
    <s v="SME"/>
  </r>
  <r>
    <s v="TXN0000429"/>
    <s v="CUST00051"/>
    <b v="1"/>
    <d v="2025-07-28T00:00:00"/>
    <x v="8"/>
    <s v="EV Charging"/>
    <n v="2458.67"/>
    <n v="75.7"/>
    <b v="1"/>
    <s v="Completed"/>
    <n v="75.7"/>
    <x v="2"/>
    <s v="REP006"/>
    <x v="1"/>
    <s v="EV Charge Card"/>
    <s v="SME"/>
  </r>
  <r>
    <s v="TXN0000430"/>
    <s v="CUST00051"/>
    <b v="1"/>
    <d v="2025-07-22T00:00:00"/>
    <x v="8"/>
    <s v="EV Charging"/>
    <n v="3888.79"/>
    <n v="130.24"/>
    <b v="1"/>
    <s v="Completed"/>
    <n v="130.24"/>
    <x v="2"/>
    <s v="REP006"/>
    <x v="1"/>
    <s v="EV Charge Card"/>
    <s v="SME"/>
  </r>
  <r>
    <s v="TXN0000431"/>
    <s v="CUST00051"/>
    <b v="1"/>
    <d v="2025-08-10T00:00:00"/>
    <x v="0"/>
    <s v="EV Charging"/>
    <n v="2879.28"/>
    <n v="94"/>
    <b v="1"/>
    <s v="Completed"/>
    <n v="94"/>
    <x v="2"/>
    <s v="REP006"/>
    <x v="1"/>
    <s v="EV Charge Card"/>
    <s v="SME"/>
  </r>
  <r>
    <s v="TXN0000432"/>
    <s v="CUST00051"/>
    <b v="1"/>
    <d v="2025-08-08T00:00:00"/>
    <x v="0"/>
    <s v="EV Charging"/>
    <n v="4069.73"/>
    <n v="117.06"/>
    <b v="1"/>
    <s v="Completed"/>
    <n v="117.06"/>
    <x v="2"/>
    <s v="REP006"/>
    <x v="1"/>
    <s v="EV Charge Card"/>
    <s v="SME"/>
  </r>
  <r>
    <s v="TXN0000433"/>
    <s v="CUST00051"/>
    <b v="1"/>
    <d v="2025-09-18T00:00:00"/>
    <x v="1"/>
    <s v="EV Charging"/>
    <n v="3764.98"/>
    <n v="100.93"/>
    <b v="1"/>
    <s v="Completed"/>
    <n v="100.93"/>
    <x v="2"/>
    <s v="REP006"/>
    <x v="1"/>
    <s v="EV Charge Card"/>
    <s v="SME"/>
  </r>
  <r>
    <s v="TXN0000434"/>
    <s v="CUST00051"/>
    <b v="1"/>
    <d v="2025-10-09T00:00:00"/>
    <x v="2"/>
    <s v="EV Charging"/>
    <n v="1690.76"/>
    <n v="50.55"/>
    <b v="1"/>
    <s v="Completed"/>
    <n v="50.55"/>
    <x v="2"/>
    <s v="REP006"/>
    <x v="1"/>
    <s v="EV Charge Card"/>
    <s v="SME"/>
  </r>
  <r>
    <s v="TXN0000435"/>
    <s v="CUST00051"/>
    <b v="1"/>
    <d v="2025-10-22T00:00:00"/>
    <x v="2"/>
    <s v="EV Charging"/>
    <n v="3815.3"/>
    <n v="100.93"/>
    <b v="1"/>
    <s v="Completed"/>
    <n v="100.93"/>
    <x v="2"/>
    <s v="REP006"/>
    <x v="1"/>
    <s v="EV Charge Card"/>
    <s v="SME"/>
  </r>
  <r>
    <s v="TXN0000436"/>
    <s v="CUST00051"/>
    <b v="1"/>
    <d v="2025-11-22T00:00:00"/>
    <x v="3"/>
    <s v="EV Charging"/>
    <n v="2098.62"/>
    <n v="68.08"/>
    <b v="1"/>
    <s v="Completed"/>
    <n v="68.08"/>
    <x v="2"/>
    <s v="REP006"/>
    <x v="1"/>
    <s v="EV Charge Card"/>
    <s v="SME"/>
  </r>
  <r>
    <s v="TXN0000437"/>
    <s v="CUST00051"/>
    <b v="1"/>
    <d v="2025-11-13T00:00:00"/>
    <x v="3"/>
    <s v="EV Charging"/>
    <n v="2638.84"/>
    <n v="71.97"/>
    <b v="1"/>
    <s v="Completed"/>
    <n v="71.97"/>
    <x v="2"/>
    <s v="REP006"/>
    <x v="1"/>
    <s v="EV Charge Card"/>
    <s v="SME"/>
  </r>
  <r>
    <s v="TXN0000438"/>
    <s v="CUST00051"/>
    <b v="1"/>
    <d v="2025-12-19T00:00:00"/>
    <x v="4"/>
    <s v="EV Charging"/>
    <n v="4397.42"/>
    <n v="122.93"/>
    <b v="1"/>
    <s v="Completed"/>
    <n v="122.93"/>
    <x v="2"/>
    <s v="REP006"/>
    <x v="1"/>
    <s v="EV Charge Card"/>
    <s v="SME"/>
  </r>
  <r>
    <s v="TXN0000439"/>
    <s v="CUST00051"/>
    <b v="1"/>
    <d v="2025-12-14T00:00:00"/>
    <x v="4"/>
    <s v="EV Charging"/>
    <n v="3849.39"/>
    <n v="125.14"/>
    <b v="1"/>
    <s v="Completed"/>
    <n v="125.14"/>
    <x v="2"/>
    <s v="REP006"/>
    <x v="1"/>
    <s v="EV Charge Card"/>
    <s v="SME"/>
  </r>
  <r>
    <s v="TXN0000440"/>
    <s v="CUST00054"/>
    <b v="1"/>
    <d v="2025-09-25T00:00:00"/>
    <x v="1"/>
    <s v="Fuel"/>
    <n v="2046.38"/>
    <n v="46.06"/>
    <b v="1"/>
    <s v="Completed"/>
    <n v="46.06"/>
    <x v="2"/>
    <s v="REP004"/>
    <x v="2"/>
    <s v="Fuel Card"/>
    <s v="SME"/>
  </r>
  <r>
    <s v="TXN0000441"/>
    <s v="CUST00054"/>
    <b v="1"/>
    <d v="2025-09-20T00:00:00"/>
    <x v="1"/>
    <s v="Fuel"/>
    <n v="4567.97"/>
    <n v="100.18"/>
    <b v="1"/>
    <s v="Completed"/>
    <n v="100.18"/>
    <x v="2"/>
    <s v="REP004"/>
    <x v="2"/>
    <s v="Fuel Card"/>
    <s v="SME"/>
  </r>
  <r>
    <s v="TXN0000442"/>
    <s v="CUST00054"/>
    <b v="1"/>
    <d v="2025-09-23T00:00:00"/>
    <x v="1"/>
    <s v="Fuel"/>
    <n v="3780.77"/>
    <n v="0"/>
    <b v="1"/>
    <s v="Cancelled"/>
    <n v="0"/>
    <x v="2"/>
    <s v="REP004"/>
    <x v="2"/>
    <s v="Fuel Card"/>
    <s v="SME"/>
  </r>
  <r>
    <s v="TXN0000443"/>
    <s v="CUST00054"/>
    <b v="1"/>
    <d v="2025-10-22T00:00:00"/>
    <x v="2"/>
    <s v="Fuel"/>
    <n v="4050.86"/>
    <n v="103.22"/>
    <b v="1"/>
    <s v="Completed"/>
    <n v="103.22"/>
    <x v="2"/>
    <s v="REP004"/>
    <x v="2"/>
    <s v="Fuel Card"/>
    <s v="SME"/>
  </r>
  <r>
    <s v="TXN0000444"/>
    <s v="CUST00054"/>
    <b v="1"/>
    <d v="2025-10-04T00:00:00"/>
    <x v="2"/>
    <s v="Fuel"/>
    <n v="2033.79"/>
    <n v="50.32"/>
    <b v="1"/>
    <s v="Completed"/>
    <n v="50.32"/>
    <x v="2"/>
    <s v="REP004"/>
    <x v="2"/>
    <s v="Fuel Card"/>
    <s v="SME"/>
  </r>
  <r>
    <s v="TXN0000445"/>
    <s v="CUST00054"/>
    <b v="1"/>
    <d v="2025-11-16T00:00:00"/>
    <x v="3"/>
    <s v="Fuel"/>
    <n v="2798.24"/>
    <n v="78.25"/>
    <b v="1"/>
    <s v="Completed"/>
    <n v="78.25"/>
    <x v="2"/>
    <s v="REP004"/>
    <x v="2"/>
    <s v="Fuel Card"/>
    <s v="SME"/>
  </r>
  <r>
    <s v="TXN0000446"/>
    <s v="CUST00054"/>
    <b v="1"/>
    <d v="2025-12-09T00:00:00"/>
    <x v="4"/>
    <s v="Fuel"/>
    <n v="4901.87"/>
    <n v="123.51"/>
    <b v="1"/>
    <s v="Completed"/>
    <n v="123.51"/>
    <x v="2"/>
    <s v="REP004"/>
    <x v="2"/>
    <s v="Fuel Card"/>
    <s v="SME"/>
  </r>
  <r>
    <s v="TXN0000447"/>
    <s v="CUST00054"/>
    <b v="1"/>
    <d v="2025-12-24T00:00:00"/>
    <x v="4"/>
    <s v="Fuel"/>
    <n v="4057.72"/>
    <n v="100.46"/>
    <b v="1"/>
    <s v="Completed"/>
    <n v="100.46"/>
    <x v="2"/>
    <s v="REP004"/>
    <x v="2"/>
    <s v="Fuel Card"/>
    <s v="SME"/>
  </r>
  <r>
    <s v="TXN0000448"/>
    <s v="CUST00057"/>
    <b v="1"/>
    <d v="2025-05-18T00:00:00"/>
    <x v="6"/>
    <s v="EV Charging"/>
    <n v="4627.5200000000004"/>
    <n v="128.35"/>
    <b v="1"/>
    <s v="Completed"/>
    <n v="128.35"/>
    <x v="3"/>
    <s v="REP002"/>
    <x v="2"/>
    <s v="EV Charge Card"/>
    <s v="Mid-Market"/>
  </r>
  <r>
    <s v="TXN0000449"/>
    <s v="CUST00057"/>
    <b v="1"/>
    <d v="2025-06-01T00:00:00"/>
    <x v="7"/>
    <s v="EV Charging"/>
    <n v="16271.19"/>
    <n v="466.26"/>
    <b v="1"/>
    <s v="Completed"/>
    <n v="466.26"/>
    <x v="3"/>
    <s v="REP002"/>
    <x v="2"/>
    <s v="EV Charge Card"/>
    <s v="Mid-Market"/>
  </r>
  <r>
    <s v="TXN0000450"/>
    <s v="CUST00057"/>
    <b v="1"/>
    <d v="2025-07-31T00:00:00"/>
    <x v="8"/>
    <s v="EV Charging"/>
    <n v="13214.45"/>
    <n v="350.07"/>
    <b v="1"/>
    <s v="Completed"/>
    <n v="350.07"/>
    <x v="3"/>
    <s v="REP002"/>
    <x v="2"/>
    <s v="EV Charge Card"/>
    <s v="Mid-Market"/>
  </r>
  <r>
    <s v="TXN0000451"/>
    <s v="CUST00057"/>
    <b v="1"/>
    <d v="2025-07-10T00:00:00"/>
    <x v="8"/>
    <s v="EV Charging"/>
    <n v="7973.52"/>
    <n v="257.08"/>
    <b v="1"/>
    <s v="Completed"/>
    <n v="257.08"/>
    <x v="3"/>
    <s v="REP002"/>
    <x v="2"/>
    <s v="EV Charge Card"/>
    <s v="Mid-Market"/>
  </r>
  <r>
    <s v="TXN0000452"/>
    <s v="CUST00057"/>
    <b v="1"/>
    <d v="2025-08-30T00:00:00"/>
    <x v="0"/>
    <s v="EV Charging"/>
    <n v="16621.45"/>
    <n v="578.88"/>
    <b v="1"/>
    <s v="Completed"/>
    <n v="578.88"/>
    <x v="3"/>
    <s v="REP002"/>
    <x v="2"/>
    <s v="EV Charge Card"/>
    <s v="Mid-Market"/>
  </r>
  <r>
    <s v="TXN0000453"/>
    <s v="CUST00057"/>
    <b v="1"/>
    <d v="2025-08-19T00:00:00"/>
    <x v="0"/>
    <s v="EV Charging"/>
    <n v="12536.3"/>
    <n v="360.81"/>
    <b v="1"/>
    <s v="Completed"/>
    <n v="360.81"/>
    <x v="3"/>
    <s v="REP002"/>
    <x v="2"/>
    <s v="EV Charge Card"/>
    <s v="Mid-Market"/>
  </r>
  <r>
    <s v="TXN0000454"/>
    <s v="CUST00057"/>
    <b v="1"/>
    <d v="2025-09-16T00:00:00"/>
    <x v="1"/>
    <s v="EV Charging"/>
    <n v="9326.65"/>
    <n v="247.31"/>
    <b v="1"/>
    <s v="Completed"/>
    <n v="247.31"/>
    <x v="3"/>
    <s v="REP002"/>
    <x v="2"/>
    <s v="EV Charge Card"/>
    <s v="Mid-Market"/>
  </r>
  <r>
    <s v="TXN0000455"/>
    <s v="CUST00057"/>
    <b v="1"/>
    <d v="2025-09-10T00:00:00"/>
    <x v="1"/>
    <s v="EV Charging"/>
    <n v="11575.25"/>
    <n v="331.71"/>
    <b v="1"/>
    <s v="Completed"/>
    <n v="331.71"/>
    <x v="3"/>
    <s v="REP002"/>
    <x v="2"/>
    <s v="EV Charge Card"/>
    <s v="Mid-Market"/>
  </r>
  <r>
    <s v="TXN0000456"/>
    <s v="CUST00057"/>
    <b v="1"/>
    <d v="2025-10-24T00:00:00"/>
    <x v="2"/>
    <s v="EV Charging"/>
    <n v="4902.4399999999996"/>
    <n v="171.17"/>
    <b v="1"/>
    <s v="Completed"/>
    <n v="171.17"/>
    <x v="3"/>
    <s v="REP002"/>
    <x v="2"/>
    <s v="EV Charge Card"/>
    <s v="Mid-Market"/>
  </r>
  <r>
    <s v="TXN0000457"/>
    <s v="CUST00057"/>
    <b v="1"/>
    <d v="2025-11-24T00:00:00"/>
    <x v="3"/>
    <s v="EV Charging"/>
    <n v="5690.88"/>
    <n v="179.93"/>
    <b v="1"/>
    <s v="Completed"/>
    <n v="179.93"/>
    <x v="3"/>
    <s v="REP002"/>
    <x v="2"/>
    <s v="EV Charge Card"/>
    <s v="Mid-Market"/>
  </r>
  <r>
    <s v="TXN0000458"/>
    <s v="CUST00057"/>
    <b v="1"/>
    <d v="2025-11-16T00:00:00"/>
    <x v="3"/>
    <s v="EV Charging"/>
    <n v="14696.54"/>
    <n v="421.58"/>
    <b v="1"/>
    <s v="Completed"/>
    <n v="421.58"/>
    <x v="3"/>
    <s v="REP002"/>
    <x v="2"/>
    <s v="EV Charge Card"/>
    <s v="Mid-Market"/>
  </r>
  <r>
    <s v="TXN0000459"/>
    <s v="CUST00057"/>
    <b v="1"/>
    <d v="2025-12-11T00:00:00"/>
    <x v="4"/>
    <s v="EV Charging"/>
    <n v="17766.59"/>
    <n v="574.66"/>
    <b v="1"/>
    <s v="Completed"/>
    <n v="574.66"/>
    <x v="3"/>
    <s v="REP002"/>
    <x v="2"/>
    <s v="EV Charge Card"/>
    <s v="Mid-Market"/>
  </r>
  <r>
    <s v="TXN0000460"/>
    <s v="CUST00057"/>
    <b v="1"/>
    <d v="2025-12-19T00:00:00"/>
    <x v="4"/>
    <s v="EV Charging"/>
    <n v="11724.54"/>
    <n v="317.3"/>
    <b v="1"/>
    <s v="Completed"/>
    <n v="317.3"/>
    <x v="3"/>
    <s v="REP002"/>
    <x v="2"/>
    <s v="EV Charge Card"/>
    <s v="Mid-Market"/>
  </r>
  <r>
    <s v="TXN0000461"/>
    <s v="CUST00057"/>
    <b v="1"/>
    <d v="2025-12-16T00:00:00"/>
    <x v="4"/>
    <s v="EV Charging"/>
    <n v="13848.54"/>
    <n v="0"/>
    <b v="1"/>
    <s v="Cancelled"/>
    <n v="0"/>
    <x v="3"/>
    <s v="REP002"/>
    <x v="2"/>
    <s v="EV Charge Card"/>
    <s v="Mid-Market"/>
  </r>
  <r>
    <s v="TXN0000462"/>
    <s v="CUST00059"/>
    <b v="1"/>
    <d v="2025-10-24T00:00:00"/>
    <x v="2"/>
    <s v="EV Charging"/>
    <n v="53421.8"/>
    <n v="1528"/>
    <b v="1"/>
    <s v="Completed"/>
    <n v="1528"/>
    <x v="4"/>
    <s v="REP012"/>
    <x v="0"/>
    <s v="EV Charge Card"/>
    <s v="Enterprise"/>
  </r>
  <r>
    <s v="TXN0000463"/>
    <s v="CUST00059"/>
    <b v="1"/>
    <d v="2025-10-14T00:00:00"/>
    <x v="2"/>
    <s v="EV Charging"/>
    <n v="35813.379999999997"/>
    <n v="1212.0899999999999"/>
    <b v="1"/>
    <s v="Completed"/>
    <n v="1212.0899999999999"/>
    <x v="4"/>
    <s v="REP012"/>
    <x v="0"/>
    <s v="EV Charge Card"/>
    <s v="Enterprise"/>
  </r>
  <r>
    <s v="TXN0000464"/>
    <s v="CUST00059"/>
    <b v="1"/>
    <d v="2025-10-11T00:00:00"/>
    <x v="2"/>
    <s v="EV Charging"/>
    <n v="15307.18"/>
    <n v="505.9"/>
    <b v="1"/>
    <s v="Completed"/>
    <n v="505.9"/>
    <x v="4"/>
    <s v="REP012"/>
    <x v="0"/>
    <s v="EV Charge Card"/>
    <s v="Enterprise"/>
  </r>
  <r>
    <s v="TXN0000465"/>
    <s v="CUST00059"/>
    <b v="1"/>
    <d v="2025-11-25T00:00:00"/>
    <x v="3"/>
    <s v="EV Charging"/>
    <n v="48483.08"/>
    <n v="1329.59"/>
    <b v="1"/>
    <s v="Completed"/>
    <n v="1329.59"/>
    <x v="4"/>
    <s v="REP012"/>
    <x v="0"/>
    <s v="EV Charge Card"/>
    <s v="Enterprise"/>
  </r>
  <r>
    <s v="TXN0000466"/>
    <s v="CUST00059"/>
    <b v="1"/>
    <d v="2025-12-14T00:00:00"/>
    <x v="4"/>
    <s v="EV Charging"/>
    <n v="40135.24"/>
    <n v="1414.19"/>
    <b v="1"/>
    <s v="Completed"/>
    <n v="1414.19"/>
    <x v="4"/>
    <s v="REP012"/>
    <x v="0"/>
    <s v="EV Charge Card"/>
    <s v="Enterprise"/>
  </r>
  <r>
    <s v="TXN0000467"/>
    <s v="CUST00059"/>
    <b v="1"/>
    <d v="2025-12-05T00:00:00"/>
    <x v="4"/>
    <s v="EV Charging"/>
    <n v="30281.03"/>
    <n v="859.41"/>
    <b v="1"/>
    <s v="Completed"/>
    <n v="859.41"/>
    <x v="4"/>
    <s v="REP012"/>
    <x v="0"/>
    <s v="EV Charge Card"/>
    <s v="Enterprise"/>
  </r>
  <r>
    <s v="TXN0000468"/>
    <s v="CUST00060"/>
    <b v="1"/>
    <d v="2025-04-19T00:00:00"/>
    <x v="5"/>
    <s v="EV Charging"/>
    <n v="1237.97"/>
    <n v="35.42"/>
    <b v="1"/>
    <s v="Completed"/>
    <n v="35.42"/>
    <x v="3"/>
    <s v="REP003"/>
    <x v="2"/>
    <s v="EV Charge Card"/>
    <s v="SME"/>
  </r>
  <r>
    <s v="TXN0000469"/>
    <s v="CUST00060"/>
    <b v="1"/>
    <d v="2025-04-16T00:00:00"/>
    <x v="5"/>
    <s v="EV Charging"/>
    <n v="5154.68"/>
    <n v="179.31"/>
    <b v="1"/>
    <s v="Completed"/>
    <n v="179.31"/>
    <x v="3"/>
    <s v="REP003"/>
    <x v="2"/>
    <s v="EV Charge Card"/>
    <s v="SME"/>
  </r>
  <r>
    <s v="TXN0000470"/>
    <s v="CUST00060"/>
    <b v="1"/>
    <d v="2025-04-20T00:00:00"/>
    <x v="5"/>
    <s v="EV Charging"/>
    <n v="2533.89"/>
    <n v="72.62"/>
    <b v="1"/>
    <s v="Completed"/>
    <n v="72.62"/>
    <x v="3"/>
    <s v="REP003"/>
    <x v="2"/>
    <s v="EV Charge Card"/>
    <s v="SME"/>
  </r>
  <r>
    <s v="TXN0000471"/>
    <s v="CUST00060"/>
    <b v="1"/>
    <d v="2025-05-05T00:00:00"/>
    <x v="6"/>
    <s v="EV Charging"/>
    <n v="4838.84"/>
    <n v="141.13999999999999"/>
    <b v="1"/>
    <s v="Completed"/>
    <n v="141.13999999999999"/>
    <x v="3"/>
    <s v="REP003"/>
    <x v="2"/>
    <s v="EV Charge Card"/>
    <s v="SME"/>
  </r>
  <r>
    <s v="TXN0000472"/>
    <s v="CUST00060"/>
    <b v="1"/>
    <d v="2025-05-16T00:00:00"/>
    <x v="6"/>
    <s v="EV Charging"/>
    <n v="5005.08"/>
    <n v="166.1"/>
    <b v="1"/>
    <s v="Completed"/>
    <n v="166.1"/>
    <x v="3"/>
    <s v="REP003"/>
    <x v="2"/>
    <s v="EV Charge Card"/>
    <s v="SME"/>
  </r>
  <r>
    <s v="TXN0000473"/>
    <s v="CUST00060"/>
    <b v="1"/>
    <d v="2025-06-26T00:00:00"/>
    <x v="7"/>
    <s v="EV Charging"/>
    <n v="2825.51"/>
    <n v="80.64"/>
    <b v="1"/>
    <s v="Completed"/>
    <n v="80.64"/>
    <x v="3"/>
    <s v="REP003"/>
    <x v="2"/>
    <s v="EV Charge Card"/>
    <s v="SME"/>
  </r>
  <r>
    <s v="TXN0000474"/>
    <s v="CUST00060"/>
    <b v="1"/>
    <d v="2025-06-01T00:00:00"/>
    <x v="7"/>
    <s v="EV Charging"/>
    <n v="2416.36"/>
    <n v="63.96"/>
    <b v="1"/>
    <s v="Completed"/>
    <n v="63.96"/>
    <x v="3"/>
    <s v="REP003"/>
    <x v="2"/>
    <s v="EV Charge Card"/>
    <s v="SME"/>
  </r>
  <r>
    <s v="TXN0000475"/>
    <s v="CUST00060"/>
    <b v="1"/>
    <d v="2025-06-19T00:00:00"/>
    <x v="7"/>
    <s v="EV Charging"/>
    <n v="3076.61"/>
    <n v="106.72"/>
    <b v="1"/>
    <s v="Completed"/>
    <n v="106.72"/>
    <x v="3"/>
    <s v="REP003"/>
    <x v="2"/>
    <s v="EV Charge Card"/>
    <s v="SME"/>
  </r>
  <r>
    <s v="TXN0000476"/>
    <s v="CUST00060"/>
    <b v="1"/>
    <d v="2025-07-12T00:00:00"/>
    <x v="8"/>
    <s v="EV Charging"/>
    <n v="4885.78"/>
    <n v="134.5"/>
    <b v="1"/>
    <s v="Completed"/>
    <n v="134.5"/>
    <x v="3"/>
    <s v="REP003"/>
    <x v="2"/>
    <s v="EV Charge Card"/>
    <s v="SME"/>
  </r>
  <r>
    <s v="TXN0000477"/>
    <s v="CUST00060"/>
    <b v="1"/>
    <d v="2025-08-25T00:00:00"/>
    <x v="0"/>
    <s v="EV Charging"/>
    <n v="1744.96"/>
    <n v="55.44"/>
    <b v="1"/>
    <s v="Completed"/>
    <n v="55.44"/>
    <x v="3"/>
    <s v="REP003"/>
    <x v="2"/>
    <s v="EV Charge Card"/>
    <s v="SME"/>
  </r>
  <r>
    <s v="TXN0000478"/>
    <s v="CUST99999"/>
    <b v="0"/>
    <d v="2025-08-20T00:00:00"/>
    <x v="0"/>
    <s v="EV Charging"/>
    <n v="1338.5"/>
    <n v="44.92"/>
    <b v="1"/>
    <s v="Completed"/>
    <n v="0"/>
    <x v="3"/>
    <s v="Unmatched"/>
    <x v="3"/>
    <s v="Unmatched"/>
    <s v="Unmatched"/>
  </r>
  <r>
    <s v="TXN0000479"/>
    <s v="CUST00060"/>
    <b v="1"/>
    <d v="2025-09-04T00:00:00"/>
    <x v="1"/>
    <s v="EV Charging"/>
    <n v="3492.8"/>
    <n v="123.78"/>
    <b v="1"/>
    <s v="Completed"/>
    <n v="123.78"/>
    <x v="3"/>
    <s v="REP003"/>
    <x v="2"/>
    <s v="EV Charge Card"/>
    <s v="SME"/>
  </r>
  <r>
    <s v="TXN0000480"/>
    <s v="CUST00060"/>
    <b v="1"/>
    <d v="2025-09-07T00:00:00"/>
    <x v="1"/>
    <s v="EV Charging"/>
    <n v="3067.08"/>
    <n v="0"/>
    <b v="1"/>
    <s v="Cancelled"/>
    <n v="0"/>
    <x v="3"/>
    <s v="REP003"/>
    <x v="2"/>
    <s v="EV Charge Card"/>
    <s v="SME"/>
  </r>
  <r>
    <s v="TXN0000481"/>
    <s v="CUST00060"/>
    <b v="1"/>
    <d v="2025-09-09T00:00:00"/>
    <x v="1"/>
    <s v="EV Charging"/>
    <n v="5202.84"/>
    <n v="145.09"/>
    <b v="1"/>
    <s v="Completed"/>
    <n v="145.09"/>
    <x v="3"/>
    <s v="REP003"/>
    <x v="2"/>
    <s v="EV Charge Card"/>
    <s v="SME"/>
  </r>
  <r>
    <s v="TXN0000482"/>
    <s v="CUST00060"/>
    <b v="1"/>
    <d v="2025-10-02T00:00:00"/>
    <x v="2"/>
    <s v="EV Charging"/>
    <n v="1999.62"/>
    <n v="67.27"/>
    <b v="1"/>
    <s v="Completed"/>
    <n v="67.27"/>
    <x v="3"/>
    <s v="REP003"/>
    <x v="2"/>
    <s v="EV Charge Card"/>
    <s v="SME"/>
  </r>
  <r>
    <s v="TXN0000483"/>
    <s v="CUST00060"/>
    <b v="1"/>
    <d v="2025-10-24T00:00:00"/>
    <x v="2"/>
    <s v="EV Charging"/>
    <n v="2713.91"/>
    <n v="93.48"/>
    <b v="1"/>
    <s v="Completed"/>
    <n v="93.48"/>
    <x v="3"/>
    <s v="REP003"/>
    <x v="2"/>
    <s v="EV Charge Card"/>
    <s v="SME"/>
  </r>
  <r>
    <s v="TXN0000484"/>
    <s v="CUST00060"/>
    <b v="1"/>
    <d v="2025-11-09T00:00:00"/>
    <x v="3"/>
    <s v="EV Charging"/>
    <n v="2066.02"/>
    <n v="72.87"/>
    <b v="1"/>
    <s v="Completed"/>
    <n v="72.87"/>
    <x v="3"/>
    <s v="REP003"/>
    <x v="2"/>
    <s v="EV Charge Card"/>
    <s v="SME"/>
  </r>
  <r>
    <s v="TXN0000485"/>
    <s v="CUST00060"/>
    <b v="1"/>
    <d v="2025-11-25T00:00:00"/>
    <x v="3"/>
    <s v="EV Charging"/>
    <n v="5190.6099999999997"/>
    <n v="155.1"/>
    <b v="1"/>
    <s v="Completed"/>
    <n v="155.1"/>
    <x v="3"/>
    <s v="REP003"/>
    <x v="2"/>
    <s v="EV Charge Card"/>
    <s v="SME"/>
  </r>
  <r>
    <s v="TXN0000486"/>
    <s v="CUST00060"/>
    <b v="1"/>
    <d v="2025-12-28T00:00:00"/>
    <x v="4"/>
    <s v="EV Charging"/>
    <n v="3146.63"/>
    <n v="84.1"/>
    <b v="1"/>
    <s v="Completed"/>
    <n v="84.1"/>
    <x v="3"/>
    <s v="REP003"/>
    <x v="2"/>
    <s v="EV Charge Card"/>
    <s v="SME"/>
  </r>
  <r>
    <s v="TXN0000487"/>
    <s v="CUST00060"/>
    <b v="1"/>
    <d v="2025-12-13T00:00:00"/>
    <x v="4"/>
    <s v="EV Charging"/>
    <n v="4240.3100000000004"/>
    <n v="134.71"/>
    <b v="1"/>
    <s v="Completed"/>
    <n v="134.71"/>
    <x v="3"/>
    <s v="REP003"/>
    <x v="2"/>
    <s v="EV Charge Card"/>
    <s v="SME"/>
  </r>
  <r>
    <s v="TXN0000488"/>
    <s v="CUST00061"/>
    <b v="1"/>
    <d v="2025-11-29T00:00:00"/>
    <x v="3"/>
    <s v="EV Charging"/>
    <n v="11010.89"/>
    <n v="346.52"/>
    <b v="1"/>
    <s v="Completed"/>
    <n v="346.52"/>
    <x v="0"/>
    <s v="REP007"/>
    <x v="2"/>
    <s v="EV Charge Card"/>
    <s v="Mid-Market"/>
  </r>
  <r>
    <s v="TXN0000489"/>
    <s v="CUST00061"/>
    <b v="1"/>
    <d v="2025-11-29T00:00:00"/>
    <x v="3"/>
    <s v="EV Charging"/>
    <n v="4637.42"/>
    <n v="161.34"/>
    <b v="1"/>
    <s v="Completed"/>
    <n v="161.34"/>
    <x v="0"/>
    <s v="REP007"/>
    <x v="2"/>
    <s v="EV Charge Card"/>
    <s v="Mid-Market"/>
  </r>
  <r>
    <s v="TXN0000490"/>
    <s v="CUST00061"/>
    <b v="1"/>
    <d v="2025-12-12T00:00:00"/>
    <x v="4"/>
    <s v="EV Charging"/>
    <n v="8186.35"/>
    <n v="219.11"/>
    <b v="1"/>
    <s v="Completed"/>
    <n v="219.11"/>
    <x v="0"/>
    <s v="REP007"/>
    <x v="2"/>
    <s v="EV Charge Card"/>
    <s v="Mid-Market"/>
  </r>
  <r>
    <s v="TXN0000491"/>
    <s v="CUST00061"/>
    <b v="1"/>
    <d v="2025-12-26T00:00:00"/>
    <x v="4"/>
    <s v="EV Charging"/>
    <n v="13199.5"/>
    <n v="439.86"/>
    <b v="1"/>
    <s v="Completed"/>
    <n v="439.86"/>
    <x v="0"/>
    <s v="REP007"/>
    <x v="2"/>
    <s v="EV Charge Card"/>
    <s v="Mid-Market"/>
  </r>
  <r>
    <s v="TXN0000492"/>
    <s v="CUST00061"/>
    <b v="1"/>
    <d v="2025-12-31T00:00:00"/>
    <x v="4"/>
    <s v="EV Charging"/>
    <n v="13291.54"/>
    <n v="429.22"/>
    <b v="1"/>
    <s v="Completed"/>
    <n v="429.22"/>
    <x v="0"/>
    <s v="REP007"/>
    <x v="2"/>
    <s v="EV Charge Card"/>
    <s v="Mid-Market"/>
  </r>
  <r>
    <s v="TXN0000493"/>
    <s v="CUST00062"/>
    <b v="1"/>
    <d v="2025-09-22T00:00:00"/>
    <x v="1"/>
    <s v="Toll"/>
    <n v="50811.839999999997"/>
    <n v="819.83"/>
    <b v="1"/>
    <s v="Completed"/>
    <n v="819.83"/>
    <x v="3"/>
    <s v="REP001"/>
    <x v="5"/>
    <s v="Toll Solution"/>
    <s v="Enterprise"/>
  </r>
  <r>
    <s v="TXN0000494"/>
    <s v="CUST00062"/>
    <b v="1"/>
    <d v="2025-09-21T00:00:00"/>
    <x v="1"/>
    <s v="Toll"/>
    <n v="51230.75"/>
    <n v="1054.3"/>
    <b v="1"/>
    <s v="Completed"/>
    <n v="1054.3"/>
    <x v="3"/>
    <s v="REP001"/>
    <x v="5"/>
    <s v="Toll Solution"/>
    <s v="Enterprise"/>
  </r>
  <r>
    <s v="TXN0000495"/>
    <s v="CUST00062"/>
    <b v="1"/>
    <d v="2025-09-20T00:00:00"/>
    <x v="1"/>
    <s v="Toll"/>
    <n v="17204.93"/>
    <n v="304.27999999999997"/>
    <b v="1"/>
    <s v="Completed"/>
    <n v="304.27999999999997"/>
    <x v="3"/>
    <s v="REP001"/>
    <x v="5"/>
    <s v="Toll Solution"/>
    <s v="Enterprise"/>
  </r>
  <r>
    <s v="TXN0000496"/>
    <s v="CUST00062"/>
    <b v="1"/>
    <d v="2025-10-20T00:00:00"/>
    <x v="2"/>
    <s v="Toll"/>
    <n v="30496.7"/>
    <n v="598.75"/>
    <b v="1"/>
    <s v="Completed"/>
    <n v="598.75"/>
    <x v="3"/>
    <s v="REP001"/>
    <x v="5"/>
    <s v="Toll Solution"/>
    <s v="Enterprise"/>
  </r>
  <r>
    <s v="TXN0000497"/>
    <s v="CUST00062"/>
    <b v="1"/>
    <d v="2025-10-19T00:00:00"/>
    <x v="2"/>
    <s v="Toll"/>
    <n v="60094.64"/>
    <n v="1054.57"/>
    <b v="1"/>
    <s v="Completed"/>
    <n v="1054.57"/>
    <x v="3"/>
    <s v="REP001"/>
    <x v="5"/>
    <s v="Toll Solution"/>
    <s v="Enterprise"/>
  </r>
  <r>
    <s v="TXN0000498"/>
    <s v="CUST00062"/>
    <b v="1"/>
    <d v="2025-10-23T00:00:00"/>
    <x v="2"/>
    <s v="Toll"/>
    <n v="34451.21"/>
    <n v="0"/>
    <b v="1"/>
    <s v="Cancelled"/>
    <n v="0"/>
    <x v="3"/>
    <s v="REP001"/>
    <x v="5"/>
    <s v="Toll Solution"/>
    <s v="Enterprise"/>
  </r>
  <r>
    <s v="TXN0000499"/>
    <s v="CUST00062"/>
    <b v="1"/>
    <d v="2025-11-12T00:00:00"/>
    <x v="3"/>
    <s v="Toll"/>
    <n v="38026.28"/>
    <n v="740.06"/>
    <b v="1"/>
    <s v="Completed"/>
    <n v="740.06"/>
    <x v="3"/>
    <s v="REP001"/>
    <x v="5"/>
    <s v="Toll Solution"/>
    <s v="Enterprise"/>
  </r>
  <r>
    <s v="TXN0000500"/>
    <s v="CUST00062"/>
    <b v="1"/>
    <d v="2025-11-16T00:00:00"/>
    <x v="3"/>
    <s v="Toll"/>
    <n v="55032.35"/>
    <n v="944.3"/>
    <b v="1"/>
    <s v="Completed"/>
    <n v="944.3"/>
    <x v="3"/>
    <s v="REP001"/>
    <x v="5"/>
    <s v="Toll Solution"/>
    <s v="Enterprise"/>
  </r>
  <r>
    <s v="TXN0000501"/>
    <s v="CUST00062"/>
    <b v="1"/>
    <d v="2025-12-29T00:00:00"/>
    <x v="4"/>
    <s v="Toll"/>
    <n v="15581.21"/>
    <n v="308.11"/>
    <b v="1"/>
    <s v="Completed"/>
    <n v="308.11"/>
    <x v="3"/>
    <s v="REP001"/>
    <x v="5"/>
    <s v="Toll Solution"/>
    <s v="Enterprise"/>
  </r>
  <r>
    <s v="TXN0000502"/>
    <s v="CUST00062"/>
    <b v="1"/>
    <d v="2025-09-19T00:00:00"/>
    <x v="1"/>
    <s v="Toll"/>
    <n v="20638.63"/>
    <n v="375.81"/>
    <b v="1"/>
    <s v="Completed"/>
    <n v="375.81"/>
    <x v="3"/>
    <s v="REP001"/>
    <x v="5"/>
    <s v="Toll Solution"/>
    <s v="Enterprise"/>
  </r>
  <r>
    <s v="TXN0000503"/>
    <s v="CUST00062"/>
    <b v="1"/>
    <d v="2025-12-23T00:00:00"/>
    <x v="4"/>
    <s v="Toll"/>
    <n v="57371.63"/>
    <n v="906.23"/>
    <b v="1"/>
    <s v="Completed"/>
    <n v="906.23"/>
    <x v="3"/>
    <s v="REP001"/>
    <x v="5"/>
    <s v="Toll Solution"/>
    <s v="Enterprise"/>
  </r>
  <r>
    <s v="TXN0000504"/>
    <s v="CUST00063"/>
    <b v="1"/>
    <d v="2025-02-24T00:00:00"/>
    <x v="9"/>
    <s v="Fuel"/>
    <n v="1813.01"/>
    <n v="43.26"/>
    <b v="1"/>
    <s v="Completed"/>
    <n v="43.26"/>
    <x v="1"/>
    <s v="REP013"/>
    <x v="0"/>
    <s v="Fuel Card"/>
    <s v="SME"/>
  </r>
  <r>
    <s v="TXN0000505"/>
    <s v="CUST00063"/>
    <b v="1"/>
    <d v="2025-03-01T00:00:00"/>
    <x v="10"/>
    <s v="Fuel"/>
    <n v="1286.73"/>
    <n v="36.159999999999997"/>
    <b v="1"/>
    <s v="Completed"/>
    <n v="36.159999999999997"/>
    <x v="1"/>
    <s v="REP013"/>
    <x v="0"/>
    <s v="Fuel Card"/>
    <s v="SME"/>
  </r>
  <r>
    <s v="TXN0000506"/>
    <s v="CUST00063"/>
    <b v="1"/>
    <d v="2025-03-22T00:00:00"/>
    <x v="10"/>
    <s v="Fuel"/>
    <n v="1494.65"/>
    <n v="42.8"/>
    <b v="1"/>
    <s v="Completed"/>
    <n v="42.8"/>
    <x v="1"/>
    <s v="REP013"/>
    <x v="0"/>
    <s v="Fuel Card"/>
    <s v="SME"/>
  </r>
  <r>
    <s v="TXN0000507"/>
    <s v="CUST00063"/>
    <b v="1"/>
    <d v="2025-03-22T00:00:00"/>
    <x v="10"/>
    <s v="Fuel"/>
    <n v="4232.7700000000004"/>
    <n v="102.27"/>
    <b v="1"/>
    <s v="Completed"/>
    <n v="102.27"/>
    <x v="1"/>
    <s v="REP013"/>
    <x v="0"/>
    <s v="Fuel Card"/>
    <s v="SME"/>
  </r>
  <r>
    <s v="TXN0000508"/>
    <s v="CUST00063"/>
    <b v="1"/>
    <d v="2025-04-06T00:00:00"/>
    <x v="5"/>
    <s v="Fuel"/>
    <n v="1734.55"/>
    <n v="37.630000000000003"/>
    <b v="1"/>
    <s v="Completed"/>
    <n v="37.630000000000003"/>
    <x v="1"/>
    <s v="REP013"/>
    <x v="0"/>
    <s v="Fuel Card"/>
    <s v="SME"/>
  </r>
  <r>
    <s v="TXN0000509"/>
    <s v="CUST00063"/>
    <b v="1"/>
    <d v="2025-04-22T00:00:00"/>
    <x v="5"/>
    <s v="Fuel"/>
    <n v="1701.39"/>
    <n v="41.02"/>
    <b v="1"/>
    <s v="Completed"/>
    <n v="41.02"/>
    <x v="1"/>
    <s v="REP013"/>
    <x v="0"/>
    <s v="Fuel Card"/>
    <s v="SME"/>
  </r>
  <r>
    <s v="TXN0000510"/>
    <s v="CUST00063"/>
    <b v="1"/>
    <d v="2025-04-12T00:00:00"/>
    <x v="5"/>
    <s v="Fuel"/>
    <n v="4325.62"/>
    <n v="103.54"/>
    <b v="1"/>
    <s v="Completed"/>
    <n v="103.54"/>
    <x v="1"/>
    <s v="REP013"/>
    <x v="0"/>
    <s v="Fuel Card"/>
    <s v="SME"/>
  </r>
  <r>
    <s v="TXN0000511"/>
    <s v="CUST00063"/>
    <b v="1"/>
    <d v="2025-05-03T00:00:00"/>
    <x v="6"/>
    <s v="Fuel"/>
    <n v="5144.8500000000004"/>
    <n v="146.94"/>
    <b v="1"/>
    <s v="Completed"/>
    <n v="146.94"/>
    <x v="1"/>
    <s v="REP013"/>
    <x v="0"/>
    <s v="Fuel Card"/>
    <s v="SME"/>
  </r>
  <r>
    <s v="TXN0000512"/>
    <s v="CUST00063"/>
    <b v="1"/>
    <d v="2025-06-30T00:00:00"/>
    <x v="7"/>
    <s v="Fuel"/>
    <n v="2512.96"/>
    <n v="53.77"/>
    <b v="1"/>
    <s v="Completed"/>
    <n v="53.77"/>
    <x v="1"/>
    <s v="REP013"/>
    <x v="0"/>
    <s v="Fuel Card"/>
    <s v="SME"/>
  </r>
  <r>
    <s v="TXN0000513"/>
    <s v="CUST00063"/>
    <b v="1"/>
    <d v="2025-07-08T00:00:00"/>
    <x v="8"/>
    <s v="Fuel"/>
    <n v="4768.4799999999996"/>
    <n v="132.81"/>
    <b v="1"/>
    <s v="Completed"/>
    <n v="132.81"/>
    <x v="1"/>
    <s v="REP013"/>
    <x v="0"/>
    <s v="Fuel Card"/>
    <s v="SME"/>
  </r>
  <r>
    <s v="TXN0000514"/>
    <s v="CUST00063"/>
    <b v="1"/>
    <d v="2025-07-20T00:00:00"/>
    <x v="8"/>
    <s v="Fuel"/>
    <n v="2455.89"/>
    <n v="66.849999999999994"/>
    <b v="1"/>
    <s v="Completed"/>
    <n v="66.849999999999994"/>
    <x v="1"/>
    <s v="REP013"/>
    <x v="0"/>
    <s v="Fuel Card"/>
    <s v="SME"/>
  </r>
  <r>
    <s v="TXN0000515"/>
    <s v="CUST00063"/>
    <b v="1"/>
    <d v="2025-08-21T00:00:00"/>
    <x v="0"/>
    <s v="Fuel"/>
    <n v="2231.7600000000002"/>
    <n v="0"/>
    <b v="1"/>
    <s v="Cancelled"/>
    <n v="0"/>
    <x v="1"/>
    <s v="REP013"/>
    <x v="0"/>
    <s v="Fuel Card"/>
    <s v="SME"/>
  </r>
  <r>
    <s v="TXN0000516"/>
    <s v="CUST00063"/>
    <b v="1"/>
    <d v="2025-09-08T00:00:00"/>
    <x v="1"/>
    <s v="Fuel"/>
    <n v="1363.03"/>
    <n v="30.83"/>
    <b v="1"/>
    <s v="Completed"/>
    <n v="30.83"/>
    <x v="1"/>
    <s v="REP013"/>
    <x v="0"/>
    <s v="Fuel Card"/>
    <s v="SME"/>
  </r>
  <r>
    <s v="TXN0000517"/>
    <s v="CUST00063"/>
    <b v="1"/>
    <d v="2025-10-11T00:00:00"/>
    <x v="2"/>
    <s v="Fuel"/>
    <n v="2216.69"/>
    <n v="49.21"/>
    <b v="1"/>
    <s v="Completed"/>
    <n v="49.21"/>
    <x v="1"/>
    <s v="REP013"/>
    <x v="0"/>
    <s v="Fuel Card"/>
    <s v="SME"/>
  </r>
  <r>
    <s v="TXN0000518"/>
    <s v="CUST00063"/>
    <b v="1"/>
    <d v="2025-11-25T00:00:00"/>
    <x v="3"/>
    <s v="Fuel"/>
    <n v="4287.74"/>
    <n v="93.41"/>
    <b v="1"/>
    <s v="Completed"/>
    <n v="93.41"/>
    <x v="1"/>
    <s v="REP013"/>
    <x v="0"/>
    <s v="Fuel Card"/>
    <s v="SME"/>
  </r>
  <r>
    <s v="TXN0000519"/>
    <s v="CUST00063"/>
    <b v="1"/>
    <d v="2025-11-14T00:00:00"/>
    <x v="3"/>
    <s v="Fuel"/>
    <n v="3601.79"/>
    <n v="0"/>
    <b v="1"/>
    <s v="Cancelled"/>
    <n v="0"/>
    <x v="1"/>
    <s v="REP013"/>
    <x v="0"/>
    <s v="Fuel Card"/>
    <s v="SME"/>
  </r>
  <r>
    <s v="TXN0000520"/>
    <s v="CUST00063"/>
    <b v="1"/>
    <d v="2025-11-27T00:00:00"/>
    <x v="3"/>
    <s v="Fuel"/>
    <n v="1352.73"/>
    <n v="35.479999999999997"/>
    <b v="1"/>
    <s v="Completed"/>
    <n v="35.479999999999997"/>
    <x v="1"/>
    <s v="REP013"/>
    <x v="0"/>
    <s v="Fuel Card"/>
    <s v="SME"/>
  </r>
  <r>
    <s v="TXN0000521"/>
    <s v="CUST00063"/>
    <b v="1"/>
    <d v="2025-12-24T00:00:00"/>
    <x v="4"/>
    <s v="Fuel"/>
    <n v="3042.44"/>
    <n v="83.75"/>
    <b v="1"/>
    <s v="Completed"/>
    <n v="83.75"/>
    <x v="1"/>
    <s v="REP013"/>
    <x v="0"/>
    <s v="Fuel Card"/>
    <s v="SME"/>
  </r>
  <r>
    <s v="TXN0000522"/>
    <s v="CUST00065"/>
    <b v="1"/>
    <d v="2025-07-31T00:00:00"/>
    <x v="8"/>
    <s v="Toll"/>
    <n v="2589.4899999999998"/>
    <n v="42.1"/>
    <b v="1"/>
    <s v="Completed"/>
    <n v="42.1"/>
    <x v="3"/>
    <s v="REP003"/>
    <x v="1"/>
    <s v="Toll Solution"/>
    <s v="SME"/>
  </r>
  <r>
    <s v="TXN0000523"/>
    <s v="CUST00065"/>
    <b v="1"/>
    <d v="2025-07-31T00:00:00"/>
    <x v="8"/>
    <s v="Toll"/>
    <n v="3110.59"/>
    <n v="0"/>
    <b v="1"/>
    <s v="Cancelled"/>
    <n v="0"/>
    <x v="3"/>
    <s v="REP003"/>
    <x v="1"/>
    <s v="Toll Solution"/>
    <s v="SME"/>
  </r>
  <r>
    <s v="TXN0000524"/>
    <s v="CUST00065"/>
    <b v="1"/>
    <d v="2025-08-16T00:00:00"/>
    <x v="0"/>
    <s v="Toll"/>
    <n v="2725.74"/>
    <n v="47.07"/>
    <b v="1"/>
    <s v="Completed"/>
    <n v="47.07"/>
    <x v="3"/>
    <s v="REP003"/>
    <x v="1"/>
    <s v="Toll Solution"/>
    <s v="SME"/>
  </r>
  <r>
    <s v="TXN0000525"/>
    <s v="CUST00065"/>
    <b v="1"/>
    <d v="2025-08-17T00:00:00"/>
    <x v="0"/>
    <s v="Toll"/>
    <n v="3207.95"/>
    <n v="64.52"/>
    <b v="1"/>
    <s v="Completed"/>
    <n v="64.52"/>
    <x v="3"/>
    <s v="REP003"/>
    <x v="1"/>
    <s v="Toll Solution"/>
    <s v="SME"/>
  </r>
  <r>
    <s v="TXN0000526"/>
    <s v="CUST00065"/>
    <b v="1"/>
    <d v="2025-09-10T00:00:00"/>
    <x v="1"/>
    <s v="Toll"/>
    <n v="1755.57"/>
    <n v="33.26"/>
    <b v="1"/>
    <s v="Completed"/>
    <n v="33.26"/>
    <x v="3"/>
    <s v="REP003"/>
    <x v="1"/>
    <s v="Toll Solution"/>
    <s v="SME"/>
  </r>
  <r>
    <s v="TXN0000527"/>
    <s v="CUST00065"/>
    <b v="1"/>
    <d v="2025-09-26T00:00:00"/>
    <x v="1"/>
    <s v="Toll"/>
    <n v="3653.62"/>
    <n v="64.709999999999994"/>
    <b v="1"/>
    <s v="Completed"/>
    <n v="64.709999999999994"/>
    <x v="3"/>
    <s v="REP003"/>
    <x v="1"/>
    <s v="Toll Solution"/>
    <s v="SME"/>
  </r>
  <r>
    <s v="TXN0000528"/>
    <s v="CUST00065"/>
    <b v="1"/>
    <d v="2025-09-28T00:00:00"/>
    <x v="1"/>
    <s v="Toll"/>
    <n v="2919.19"/>
    <n v="54.07"/>
    <b v="1"/>
    <s v="Completed"/>
    <n v="54.07"/>
    <x v="3"/>
    <s v="REP003"/>
    <x v="1"/>
    <s v="Toll Solution"/>
    <s v="SME"/>
  </r>
  <r>
    <s v="TXN0000529"/>
    <s v="CUST00065"/>
    <b v="1"/>
    <d v="2025-10-26T00:00:00"/>
    <x v="2"/>
    <s v="Toll"/>
    <n v="1857.23"/>
    <n v="35.479999999999997"/>
    <b v="1"/>
    <s v="Completed"/>
    <n v="35.479999999999997"/>
    <x v="3"/>
    <s v="REP003"/>
    <x v="1"/>
    <s v="Toll Solution"/>
    <s v="SME"/>
  </r>
  <r>
    <s v="TXN0000530"/>
    <s v="CUST00065"/>
    <b v="1"/>
    <d v="2025-10-20T00:00:00"/>
    <x v="2"/>
    <s v="Toll"/>
    <n v="4565.8900000000003"/>
    <n v="78.47"/>
    <b v="1"/>
    <s v="Completed"/>
    <n v="78.47"/>
    <x v="3"/>
    <s v="REP003"/>
    <x v="1"/>
    <s v="Toll Solution"/>
    <s v="SME"/>
  </r>
  <r>
    <s v="TXN0000531"/>
    <s v="CUST00065"/>
    <b v="1"/>
    <d v="2025-11-06T00:00:00"/>
    <x v="3"/>
    <s v="Toll"/>
    <n v="3834.72"/>
    <n v="69.84"/>
    <b v="1"/>
    <s v="Completed"/>
    <n v="69.84"/>
    <x v="3"/>
    <s v="REP003"/>
    <x v="1"/>
    <s v="Toll Solution"/>
    <s v="SME"/>
  </r>
  <r>
    <s v="TXN0000532"/>
    <s v="CUST00065"/>
    <b v="1"/>
    <d v="2025-12-17T00:00:00"/>
    <x v="4"/>
    <s v="Toll"/>
    <n v="1558.04"/>
    <n v="27.21"/>
    <b v="1"/>
    <s v="Completed"/>
    <n v="27.21"/>
    <x v="3"/>
    <s v="REP003"/>
    <x v="1"/>
    <s v="Toll Solution"/>
    <s v="SME"/>
  </r>
  <r>
    <s v="TXN0000533"/>
    <s v="CUST00065"/>
    <b v="1"/>
    <d v="2025-12-30T00:00:00"/>
    <x v="4"/>
    <s v="Toll"/>
    <n v="2904.83"/>
    <n v="59.19"/>
    <b v="1"/>
    <s v="Completed"/>
    <n v="59.19"/>
    <x v="3"/>
    <s v="REP003"/>
    <x v="1"/>
    <s v="Toll Solution"/>
    <s v="SME"/>
  </r>
  <r>
    <s v="TXN0000534"/>
    <s v="CUST00066"/>
    <b v="1"/>
    <d v="2025-08-29T00:00:00"/>
    <x v="0"/>
    <s v="Fuel"/>
    <n v="4275.6400000000003"/>
    <n v="91.09"/>
    <b v="1"/>
    <s v="Completed"/>
    <n v="91.09"/>
    <x v="1"/>
    <s v="REP013"/>
    <x v="2"/>
    <s v="Fuel Card"/>
    <s v="SME"/>
  </r>
  <r>
    <s v="TXN0000535"/>
    <s v="CUST00066"/>
    <b v="1"/>
    <d v="2025-09-19T00:00:00"/>
    <x v="1"/>
    <s v="Fuel"/>
    <n v="1540.63"/>
    <n v="40.9"/>
    <b v="1"/>
    <s v="Completed"/>
    <n v="40.9"/>
    <x v="1"/>
    <s v="REP013"/>
    <x v="2"/>
    <s v="Fuel Card"/>
    <s v="SME"/>
  </r>
  <r>
    <s v="TXN0000536"/>
    <s v="CUST00066"/>
    <b v="1"/>
    <d v="2025-10-06T00:00:00"/>
    <x v="2"/>
    <s v="Fuel"/>
    <n v="4393.16"/>
    <n v="126.06"/>
    <b v="1"/>
    <s v="Completed"/>
    <n v="126.06"/>
    <x v="1"/>
    <s v="REP013"/>
    <x v="2"/>
    <s v="Fuel Card"/>
    <s v="SME"/>
  </r>
  <r>
    <s v="TXN0000537"/>
    <s v="CUST00066"/>
    <b v="1"/>
    <d v="2025-10-24T00:00:00"/>
    <x v="2"/>
    <s v="Fuel"/>
    <n v="4929.09"/>
    <n v="127.69"/>
    <b v="1"/>
    <s v="Completed"/>
    <n v="127.69"/>
    <x v="1"/>
    <s v="REP013"/>
    <x v="2"/>
    <s v="Fuel Card"/>
    <s v="SME"/>
  </r>
  <r>
    <s v="TXN0000538"/>
    <s v="CUST00066"/>
    <b v="1"/>
    <d v="2025-10-02T00:00:00"/>
    <x v="2"/>
    <s v="Fuel"/>
    <n v="2136.69"/>
    <n v="0"/>
    <b v="1"/>
    <s v="Cancelled"/>
    <n v="0"/>
    <x v="1"/>
    <s v="REP013"/>
    <x v="2"/>
    <s v="Fuel Card"/>
    <s v="SME"/>
  </r>
  <r>
    <s v="TXN0000539"/>
    <s v="CUST00068"/>
    <b v="1"/>
    <d v="2025-12-27T00:00:00"/>
    <x v="4"/>
    <s v="Parking"/>
    <n v="2803.51"/>
    <n v="72.72"/>
    <b v="1"/>
    <s v="Completed"/>
    <n v="72.72"/>
    <x v="2"/>
    <s v="REP005"/>
    <x v="1"/>
    <s v="Fleet Expense Card"/>
    <s v="SME"/>
  </r>
  <r>
    <s v="TXN0000540"/>
    <s v="CUST00069"/>
    <b v="1"/>
    <d v="2025-07-24T00:00:00"/>
    <x v="8"/>
    <s v="Fuel"/>
    <n v="37987.57"/>
    <n v="909.84"/>
    <b v="1"/>
    <s v="Completed"/>
    <n v="909.84"/>
    <x v="1"/>
    <s v="REP015"/>
    <x v="2"/>
    <s v="Fuel Card"/>
    <s v="Enterprise"/>
  </r>
  <r>
    <s v="TXN0000541"/>
    <s v="CUST00069"/>
    <b v="1"/>
    <d v="2025-07-28T00:00:00"/>
    <x v="8"/>
    <s v="Fuel"/>
    <n v="47562.28"/>
    <n v="1121.07"/>
    <b v="1"/>
    <s v="Completed"/>
    <n v="1121.07"/>
    <x v="1"/>
    <s v="REP015"/>
    <x v="2"/>
    <s v="Fuel Card"/>
    <s v="Enterprise"/>
  </r>
  <r>
    <s v="TXN0000542"/>
    <s v="CUST00069"/>
    <b v="1"/>
    <d v="2025-07-25T00:00:00"/>
    <x v="8"/>
    <s v="Fuel"/>
    <n v="18263.060000000001"/>
    <n v="389.61"/>
    <b v="1"/>
    <s v="Completed"/>
    <n v="389.61"/>
    <x v="1"/>
    <s v="REP015"/>
    <x v="2"/>
    <s v="Fuel Card"/>
    <s v="Enterprise"/>
  </r>
  <r>
    <s v="TXN0000543"/>
    <s v="CUST00069"/>
    <b v="1"/>
    <d v="2025-08-26T00:00:00"/>
    <x v="0"/>
    <s v="Fuel"/>
    <n v="53244.76"/>
    <n v="1421.91"/>
    <b v="1"/>
    <s v="Completed"/>
    <n v="1421.91"/>
    <x v="1"/>
    <s v="REP015"/>
    <x v="2"/>
    <s v="Fuel Card"/>
    <s v="Enterprise"/>
  </r>
  <r>
    <s v="TXN0000544"/>
    <s v="CUST00069"/>
    <b v="1"/>
    <d v="2025-08-15T00:00:00"/>
    <x v="0"/>
    <s v="Fuel"/>
    <n v="25300.32"/>
    <n v="552.91999999999996"/>
    <b v="1"/>
    <s v="Completed"/>
    <n v="552.91999999999996"/>
    <x v="1"/>
    <s v="REP015"/>
    <x v="2"/>
    <s v="Fuel Card"/>
    <s v="Enterprise"/>
  </r>
  <r>
    <s v="TXN0000545"/>
    <s v="CUST00069"/>
    <b v="1"/>
    <d v="2025-08-01T00:00:00"/>
    <x v="0"/>
    <s v="Fuel"/>
    <n v="35816.25"/>
    <n v="780.21"/>
    <b v="1"/>
    <s v="Completed"/>
    <n v="780.21"/>
    <x v="1"/>
    <s v="REP015"/>
    <x v="2"/>
    <s v="Fuel Card"/>
    <s v="Enterprise"/>
  </r>
  <r>
    <s v="TXN0000546"/>
    <s v="CUST00069"/>
    <b v="1"/>
    <d v="2025-09-29T00:00:00"/>
    <x v="1"/>
    <s v="Fuel"/>
    <n v="34410.58"/>
    <n v="838.96"/>
    <b v="1"/>
    <s v="Completed"/>
    <n v="838.96"/>
    <x v="1"/>
    <s v="REP015"/>
    <x v="2"/>
    <s v="Fuel Card"/>
    <s v="Enterprise"/>
  </r>
  <r>
    <s v="TXN0000547"/>
    <s v="CUST00069"/>
    <b v="1"/>
    <d v="2025-09-24T00:00:00"/>
    <x v="1"/>
    <s v="Fuel"/>
    <n v="46528.22"/>
    <n v="1110.22"/>
    <b v="1"/>
    <s v="Completed"/>
    <n v="1110.22"/>
    <x v="1"/>
    <s v="REP015"/>
    <x v="2"/>
    <s v="Fuel Card"/>
    <s v="Enterprise"/>
  </r>
  <r>
    <s v="TXN0000548"/>
    <s v="CUST00069"/>
    <b v="1"/>
    <d v="2025-09-30T00:00:00"/>
    <x v="1"/>
    <s v="Fuel"/>
    <n v="25809.59"/>
    <n v="707.3"/>
    <b v="1"/>
    <s v="Completed"/>
    <n v="707.3"/>
    <x v="1"/>
    <s v="REP015"/>
    <x v="2"/>
    <s v="Fuel Card"/>
    <s v="Enterprise"/>
  </r>
  <r>
    <s v="TXN0000549"/>
    <s v="CUST00069"/>
    <b v="1"/>
    <d v="2025-10-21T00:00:00"/>
    <x v="2"/>
    <s v="Fuel"/>
    <n v="38567.96"/>
    <n v="883.2"/>
    <b v="1"/>
    <s v="Completed"/>
    <n v="883.2"/>
    <x v="1"/>
    <s v="REP015"/>
    <x v="2"/>
    <s v="Fuel Card"/>
    <s v="Enterprise"/>
  </r>
  <r>
    <s v="TXN0000550"/>
    <s v="CUST00069"/>
    <b v="1"/>
    <d v="2025-11-01T00:00:00"/>
    <x v="3"/>
    <s v="Fuel"/>
    <n v="44922.92"/>
    <n v="1257.76"/>
    <b v="1"/>
    <s v="Completed"/>
    <n v="1257.76"/>
    <x v="1"/>
    <s v="REP015"/>
    <x v="2"/>
    <s v="Fuel Card"/>
    <s v="Enterprise"/>
  </r>
  <r>
    <s v="TXN0000551"/>
    <s v="CUST00069"/>
    <b v="1"/>
    <d v="2025-11-07T00:00:00"/>
    <x v="3"/>
    <s v="Fuel"/>
    <n v="31470.93"/>
    <n v="793.06"/>
    <b v="1"/>
    <s v="Completed"/>
    <n v="793.06"/>
    <x v="1"/>
    <s v="REP015"/>
    <x v="2"/>
    <s v="Fuel Card"/>
    <s v="Enterprise"/>
  </r>
  <r>
    <s v="TXN0000552"/>
    <s v="CUST00069"/>
    <b v="1"/>
    <d v="2025-12-16T00:00:00"/>
    <x v="4"/>
    <s v="Fuel"/>
    <n v="40571.21"/>
    <n v="1062.1600000000001"/>
    <b v="1"/>
    <s v="Completed"/>
    <n v="1062.1600000000001"/>
    <x v="1"/>
    <s v="REP015"/>
    <x v="2"/>
    <s v="Fuel Card"/>
    <s v="Enterprise"/>
  </r>
  <r>
    <s v="TXN0000553"/>
    <s v="CUST00069"/>
    <b v="1"/>
    <d v="2025-12-02T00:00:00"/>
    <x v="4"/>
    <s v="Fuel"/>
    <n v="15695.47"/>
    <n v="437.87"/>
    <b v="1"/>
    <s v="Completed"/>
    <n v="437.87"/>
    <x v="1"/>
    <s v="REP015"/>
    <x v="2"/>
    <s v="Fuel Card"/>
    <s v="Enterprise"/>
  </r>
  <r>
    <s v="TXN0000554"/>
    <s v="CUST00070"/>
    <b v="1"/>
    <d v="2025-07-21T00:00:00"/>
    <x v="8"/>
    <s v="Fuel"/>
    <n v="17969.78"/>
    <n v="554.37"/>
    <b v="1"/>
    <s v="Completed"/>
    <n v="554.37"/>
    <x v="1"/>
    <s v="REP015"/>
    <x v="0"/>
    <s v="Fleet Expense Card"/>
    <s v="Mid-Market"/>
  </r>
  <r>
    <s v="TXN0000555"/>
    <s v="CUST00070"/>
    <b v="1"/>
    <d v="2025-08-18T00:00:00"/>
    <x v="0"/>
    <s v="Parking"/>
    <n v="9431.17"/>
    <n v="256.36"/>
    <b v="1"/>
    <s v="Completed"/>
    <n v="256.36"/>
    <x v="1"/>
    <s v="REP015"/>
    <x v="0"/>
    <s v="Fleet Expense Card"/>
    <s v="Mid-Market"/>
  </r>
  <r>
    <s v="TXN0000556"/>
    <s v="CUST00070"/>
    <b v="1"/>
    <d v="2025-08-09T00:00:00"/>
    <x v="0"/>
    <s v="Fuel"/>
    <n v="7761.74"/>
    <n v="216.55"/>
    <b v="1"/>
    <s v="Completed"/>
    <n v="216.55"/>
    <x v="1"/>
    <s v="REP015"/>
    <x v="0"/>
    <s v="Fleet Expense Card"/>
    <s v="Mid-Market"/>
  </r>
  <r>
    <s v="TXN0000557"/>
    <s v="CUST00070"/>
    <b v="1"/>
    <d v="2025-08-03T00:00:00"/>
    <x v="0"/>
    <s v="Lodging"/>
    <n v="14157.53"/>
    <n v="374.8"/>
    <b v="1"/>
    <s v="Completed"/>
    <n v="374.8"/>
    <x v="1"/>
    <s v="REP015"/>
    <x v="0"/>
    <s v="Fleet Expense Card"/>
    <s v="Mid-Market"/>
  </r>
  <r>
    <s v="TXN0000558"/>
    <s v="CUST00070"/>
    <b v="1"/>
    <d v="2025-09-03T00:00:00"/>
    <x v="1"/>
    <s v="Parking"/>
    <n v="9221.6"/>
    <n v="280.35000000000002"/>
    <b v="1"/>
    <s v="Completed"/>
    <n v="280.35000000000002"/>
    <x v="1"/>
    <s v="REP015"/>
    <x v="0"/>
    <s v="Fleet Expense Card"/>
    <s v="Mid-Market"/>
  </r>
  <r>
    <s v="TXN0000559"/>
    <s v="CUST00070"/>
    <b v="1"/>
    <d v="2025-10-12T00:00:00"/>
    <x v="2"/>
    <s v="Parking"/>
    <n v="12233.72"/>
    <n v="302.10000000000002"/>
    <b v="1"/>
    <s v="Completed"/>
    <n v="302.10000000000002"/>
    <x v="1"/>
    <s v="REP015"/>
    <x v="0"/>
    <s v="Fleet Expense Card"/>
    <s v="Mid-Market"/>
  </r>
  <r>
    <s v="TXN0000560"/>
    <s v="CUST00070"/>
    <b v="1"/>
    <d v="2025-11-06T00:00:00"/>
    <x v="3"/>
    <s v="Parking"/>
    <n v="8652.51"/>
    <n v="227.79"/>
    <b v="1"/>
    <s v="Completed"/>
    <n v="227.79"/>
    <x v="1"/>
    <s v="REP015"/>
    <x v="0"/>
    <s v="Fleet Expense Card"/>
    <s v="Mid-Market"/>
  </r>
  <r>
    <s v="TXN0000561"/>
    <s v="CUST00070"/>
    <b v="1"/>
    <d v="2025-12-13T00:00:00"/>
    <x v="4"/>
    <s v="Lodging"/>
    <n v="14234.34"/>
    <n v="426.76"/>
    <b v="1"/>
    <s v="Completed"/>
    <n v="426.76"/>
    <x v="1"/>
    <s v="REP015"/>
    <x v="0"/>
    <s v="Fleet Expense Card"/>
    <s v="Mid-Market"/>
  </r>
  <r>
    <s v="TXN0000562"/>
    <s v="CUST00070"/>
    <b v="1"/>
    <d v="2025-12-20T00:00:00"/>
    <x v="4"/>
    <s v="Fuel"/>
    <n v="7467.22"/>
    <n v="184.9"/>
    <b v="1"/>
    <s v="Completed"/>
    <n v="184.9"/>
    <x v="1"/>
    <s v="REP015"/>
    <x v="0"/>
    <s v="Fleet Expense Card"/>
    <s v="Mid-Market"/>
  </r>
  <r>
    <s v="TXN0000563"/>
    <s v="CUST00070"/>
    <b v="1"/>
    <d v="2025-12-06T00:00:00"/>
    <x v="4"/>
    <s v="Parking"/>
    <n v="14091.4"/>
    <n v="405.08"/>
    <b v="1"/>
    <s v="Completed"/>
    <n v="405.08"/>
    <x v="1"/>
    <s v="REP015"/>
    <x v="0"/>
    <s v="Fleet Expense Card"/>
    <s v="Mid-Market"/>
  </r>
  <r>
    <s v="TXN0000564"/>
    <s v="CUST00071"/>
    <b v="1"/>
    <d v="2025-07-17T00:00:00"/>
    <x v="8"/>
    <s v="Fuel"/>
    <n v="5013.28"/>
    <n v="130.97"/>
    <b v="1"/>
    <s v="Completed"/>
    <n v="130.97"/>
    <x v="4"/>
    <s v="REP012"/>
    <x v="0"/>
    <s v="Fuel Card"/>
    <s v="SME"/>
  </r>
  <r>
    <s v="TXN0000565"/>
    <s v="CUST00071"/>
    <b v="1"/>
    <d v="2025-08-13T00:00:00"/>
    <x v="0"/>
    <s v="Fuel"/>
    <n v="2134.46"/>
    <n v="56.9"/>
    <b v="1"/>
    <s v="Completed"/>
    <n v="56.9"/>
    <x v="4"/>
    <s v="REP012"/>
    <x v="0"/>
    <s v="Fuel Card"/>
    <s v="SME"/>
  </r>
  <r>
    <s v="TXN0000566"/>
    <s v="CUST00071"/>
    <b v="1"/>
    <d v="2025-08-24T00:00:00"/>
    <x v="0"/>
    <s v="Fuel"/>
    <n v="2271.38"/>
    <n v="64.37"/>
    <b v="1"/>
    <s v="Completed"/>
    <n v="64.37"/>
    <x v="4"/>
    <s v="REP012"/>
    <x v="0"/>
    <s v="Fuel Card"/>
    <s v="SME"/>
  </r>
  <r>
    <s v="TXN0000567"/>
    <s v="CUST00071"/>
    <b v="1"/>
    <d v="2025-08-29T00:00:00"/>
    <x v="0"/>
    <s v="Fuel"/>
    <n v="5052.47"/>
    <n v="138.84"/>
    <b v="1"/>
    <s v="Completed"/>
    <n v="138.84"/>
    <x v="4"/>
    <s v="REP012"/>
    <x v="0"/>
    <s v="Fuel Card"/>
    <s v="SME"/>
  </r>
  <r>
    <s v="TXN0000568"/>
    <s v="CUST00071"/>
    <b v="1"/>
    <d v="2025-09-09T00:00:00"/>
    <x v="1"/>
    <s v="Fuel"/>
    <n v="2438.62"/>
    <n v="60.11"/>
    <b v="1"/>
    <s v="Completed"/>
    <n v="60.11"/>
    <x v="4"/>
    <s v="REP012"/>
    <x v="0"/>
    <s v="Fuel Card"/>
    <s v="SME"/>
  </r>
  <r>
    <s v="TXN0000569"/>
    <s v="CUST00071"/>
    <b v="1"/>
    <d v="2025-10-15T00:00:00"/>
    <x v="2"/>
    <s v="Fuel"/>
    <n v="3998.79"/>
    <n v="97.68"/>
    <b v="1"/>
    <s v="Completed"/>
    <n v="97.68"/>
    <x v="4"/>
    <s v="REP012"/>
    <x v="0"/>
    <s v="Fuel Card"/>
    <s v="SME"/>
  </r>
  <r>
    <s v="TXN0000570"/>
    <s v="CUST00071"/>
    <b v="1"/>
    <d v="2025-10-16T00:00:00"/>
    <x v="2"/>
    <s v="Fuel"/>
    <n v="2461.6999999999998"/>
    <n v="57.52"/>
    <b v="1"/>
    <s v="Completed"/>
    <n v="57.52"/>
    <x v="4"/>
    <s v="REP012"/>
    <x v="0"/>
    <s v="Fuel Card"/>
    <s v="SME"/>
  </r>
  <r>
    <s v="TXN0000571"/>
    <s v="CUST00071"/>
    <b v="1"/>
    <d v="2025-11-21T00:00:00"/>
    <x v="3"/>
    <s v="Fuel"/>
    <n v="3822.13"/>
    <n v="109.11"/>
    <b v="1"/>
    <s v="Completed"/>
    <n v="109.11"/>
    <x v="4"/>
    <s v="REP012"/>
    <x v="0"/>
    <s v="Fuel Card"/>
    <s v="SME"/>
  </r>
  <r>
    <s v="TXN0000572"/>
    <s v="CUST00071"/>
    <b v="1"/>
    <d v="2025-11-09T00:00:00"/>
    <x v="3"/>
    <s v="Fuel"/>
    <n v="1884.24"/>
    <n v="53.15"/>
    <b v="1"/>
    <s v="Completed"/>
    <n v="53.15"/>
    <x v="4"/>
    <s v="REP012"/>
    <x v="0"/>
    <s v="Fuel Card"/>
    <s v="SME"/>
  </r>
  <r>
    <s v="TXN0000573"/>
    <s v="CUST00071"/>
    <b v="1"/>
    <d v="2025-12-30T00:00:00"/>
    <x v="4"/>
    <s v="Fuel"/>
    <n v="2457.58"/>
    <n v="58.35"/>
    <b v="1"/>
    <s v="Completed"/>
    <n v="58.35"/>
    <x v="4"/>
    <s v="REP012"/>
    <x v="0"/>
    <s v="Fuel Card"/>
    <s v="SME"/>
  </r>
  <r>
    <s v="TXN0000574"/>
    <s v="CUST00072"/>
    <b v="1"/>
    <d v="2025-08-23T00:00:00"/>
    <x v="0"/>
    <s v="Toll"/>
    <n v="2800.22"/>
    <n v="55.08"/>
    <b v="1"/>
    <s v="Completed"/>
    <n v="55.08"/>
    <x v="3"/>
    <s v="REP002"/>
    <x v="5"/>
    <s v="Toll Solution"/>
    <s v="SME"/>
  </r>
  <r>
    <s v="TXN0000575"/>
    <s v="CUST00072"/>
    <b v="1"/>
    <d v="2025-09-09T00:00:00"/>
    <x v="1"/>
    <s v="Toll"/>
    <n v="2472.37"/>
    <n v="49.33"/>
    <b v="1"/>
    <s v="Completed"/>
    <n v="49.33"/>
    <x v="3"/>
    <s v="REP002"/>
    <x v="5"/>
    <s v="Toll Solution"/>
    <s v="SME"/>
  </r>
  <r>
    <s v="TXN0000576"/>
    <s v="CUST00072"/>
    <b v="1"/>
    <d v="2025-09-04T00:00:00"/>
    <x v="1"/>
    <s v="Toll"/>
    <n v="2636.9"/>
    <n v="51.33"/>
    <b v="1"/>
    <s v="Completed"/>
    <n v="51.33"/>
    <x v="3"/>
    <s v="REP002"/>
    <x v="5"/>
    <s v="Toll Solution"/>
    <s v="SME"/>
  </r>
  <r>
    <s v="TXN0000577"/>
    <s v="CUST00072"/>
    <b v="1"/>
    <d v="2025-10-09T00:00:00"/>
    <x v="2"/>
    <s v="Toll"/>
    <n v="1977.64"/>
    <n v="38.99"/>
    <b v="1"/>
    <s v="Completed"/>
    <n v="38.99"/>
    <x v="3"/>
    <s v="REP002"/>
    <x v="5"/>
    <s v="Toll Solution"/>
    <s v="SME"/>
  </r>
  <r>
    <s v="TXN0000578"/>
    <s v="CUST00072"/>
    <b v="1"/>
    <d v="2025-10-27T00:00:00"/>
    <x v="2"/>
    <s v="Toll"/>
    <n v="4443.55"/>
    <n v="91.19"/>
    <b v="1"/>
    <s v="Completed"/>
    <n v="91.19"/>
    <x v="3"/>
    <s v="REP002"/>
    <x v="5"/>
    <s v="Toll Solution"/>
    <s v="SME"/>
  </r>
  <r>
    <s v="TXN0000579"/>
    <s v="CUST00072"/>
    <b v="1"/>
    <d v="2025-10-31T00:00:00"/>
    <x v="2"/>
    <s v="Toll"/>
    <n v="2394.92"/>
    <n v="41.35"/>
    <b v="1"/>
    <s v="Completed"/>
    <n v="41.35"/>
    <x v="3"/>
    <s v="REP002"/>
    <x v="5"/>
    <s v="Toll Solution"/>
    <s v="SME"/>
  </r>
  <r>
    <s v="TXN0000580"/>
    <s v="CUST00072"/>
    <b v="1"/>
    <d v="2025-11-30T00:00:00"/>
    <x v="3"/>
    <s v="Toll"/>
    <n v="5098.3"/>
    <n v="-90.82"/>
    <b v="0"/>
    <s v="Completed"/>
    <n v="0"/>
    <x v="3"/>
    <s v="REP002"/>
    <x v="5"/>
    <s v="Toll Solution"/>
    <s v="SME"/>
  </r>
  <r>
    <s v="TXN0000581"/>
    <s v="CUST00072"/>
    <b v="1"/>
    <d v="2025-11-09T00:00:00"/>
    <x v="3"/>
    <s v="Toll"/>
    <n v="2565.3200000000002"/>
    <n v="51.36"/>
    <b v="1"/>
    <s v="Completed"/>
    <n v="51.36"/>
    <x v="3"/>
    <s v="REP002"/>
    <x v="5"/>
    <s v="Toll Solution"/>
    <s v="SME"/>
  </r>
  <r>
    <s v="TXN0000582"/>
    <s v="CUST00072"/>
    <b v="1"/>
    <d v="2025-12-10T00:00:00"/>
    <x v="4"/>
    <s v="Toll"/>
    <n v="4418.6499999999996"/>
    <n v="0"/>
    <b v="1"/>
    <s v="Cancelled"/>
    <n v="0"/>
    <x v="3"/>
    <s v="REP002"/>
    <x v="5"/>
    <s v="Toll Solution"/>
    <s v="SME"/>
  </r>
  <r>
    <s v="TXN0000583"/>
    <s v="CUST00072"/>
    <b v="1"/>
    <d v="2025-12-05T00:00:00"/>
    <x v="4"/>
    <s v="Toll"/>
    <n v="1849.6"/>
    <n v="33.44"/>
    <b v="1"/>
    <s v="Completed"/>
    <n v="33.44"/>
    <x v="3"/>
    <s v="REP002"/>
    <x v="5"/>
    <s v="Toll Solution"/>
    <s v="SME"/>
  </r>
  <r>
    <s v="TXN0000584"/>
    <s v="CUST00074"/>
    <b v="1"/>
    <d v="2025-05-31T00:00:00"/>
    <x v="6"/>
    <s v="Toll"/>
    <n v="56225.65"/>
    <n v="984.19"/>
    <b v="1"/>
    <s v="Completed"/>
    <n v="984.19"/>
    <x v="3"/>
    <s v="REP002"/>
    <x v="5"/>
    <s v="Toll Solution"/>
    <s v="Enterprise"/>
  </r>
  <r>
    <s v="TXN0000585"/>
    <s v="CUST00074"/>
    <b v="1"/>
    <d v="2025-06-15T00:00:00"/>
    <x v="7"/>
    <s v="Toll"/>
    <n v="56669.19"/>
    <n v="974.65"/>
    <b v="1"/>
    <s v="Completed"/>
    <n v="974.65"/>
    <x v="3"/>
    <s v="REP002"/>
    <x v="5"/>
    <s v="Toll Solution"/>
    <s v="Enterprise"/>
  </r>
  <r>
    <s v="TXN0000586"/>
    <s v="CUST00074"/>
    <b v="1"/>
    <d v="2025-06-20T00:00:00"/>
    <x v="7"/>
    <s v="Toll"/>
    <n v="15339.09"/>
    <n v="0"/>
    <b v="1"/>
    <s v="Cancelled"/>
    <n v="0"/>
    <x v="3"/>
    <s v="REP002"/>
    <x v="5"/>
    <s v="Toll Solution"/>
    <s v="Enterprise"/>
  </r>
  <r>
    <s v="TXN0000587"/>
    <s v="CUST00074"/>
    <b v="1"/>
    <d v="2025-06-21T00:00:00"/>
    <x v="7"/>
    <s v="Toll"/>
    <n v="27926.59"/>
    <n v="492.18"/>
    <b v="1"/>
    <s v="Completed"/>
    <n v="492.18"/>
    <x v="3"/>
    <s v="REP002"/>
    <x v="5"/>
    <s v="Toll Solution"/>
    <s v="Enterprise"/>
  </r>
  <r>
    <s v="TXN0000588"/>
    <s v="CUST00074"/>
    <b v="1"/>
    <d v="2025-07-14T00:00:00"/>
    <x v="8"/>
    <s v="Toll"/>
    <n v="39912.35"/>
    <n v="771.29"/>
    <b v="1"/>
    <s v="Completed"/>
    <n v="771.29"/>
    <x v="3"/>
    <s v="REP002"/>
    <x v="5"/>
    <s v="Toll Solution"/>
    <s v="Enterprise"/>
  </r>
  <r>
    <s v="TXN0000589"/>
    <s v="CUST00074"/>
    <b v="1"/>
    <d v="2025-08-31T00:00:00"/>
    <x v="0"/>
    <s v="Toll"/>
    <n v="60204.07"/>
    <n v="955.22"/>
    <b v="1"/>
    <s v="Completed"/>
    <n v="955.22"/>
    <x v="3"/>
    <s v="REP002"/>
    <x v="5"/>
    <s v="Toll Solution"/>
    <s v="Enterprise"/>
  </r>
  <r>
    <s v="TXN0000590"/>
    <s v="CUST00074"/>
    <b v="1"/>
    <d v="2025-09-19T00:00:00"/>
    <x v="1"/>
    <s v="Toll"/>
    <n v="23249.53"/>
    <n v="0"/>
    <b v="1"/>
    <s v="Cancelled"/>
    <n v="0"/>
    <x v="3"/>
    <s v="REP002"/>
    <x v="5"/>
    <s v="Toll Solution"/>
    <s v="Enterprise"/>
  </r>
  <r>
    <s v="TXN0000591"/>
    <s v="CUST00074"/>
    <b v="1"/>
    <d v="2025-09-21T00:00:00"/>
    <x v="1"/>
    <s v="Toll"/>
    <n v="34919.21"/>
    <n v="689.77"/>
    <b v="1"/>
    <s v="Completed"/>
    <n v="689.77"/>
    <x v="3"/>
    <s v="REP002"/>
    <x v="5"/>
    <s v="Toll Solution"/>
    <s v="Enterprise"/>
  </r>
  <r>
    <s v="TXN0000592"/>
    <s v="CUST00074"/>
    <b v="1"/>
    <d v="2025-10-06T00:00:00"/>
    <x v="2"/>
    <s v="Toll"/>
    <n v="16735.97"/>
    <n v="282.77"/>
    <b v="1"/>
    <s v="Completed"/>
    <n v="282.77"/>
    <x v="3"/>
    <s v="REP002"/>
    <x v="5"/>
    <s v="Toll Solution"/>
    <s v="Enterprise"/>
  </r>
  <r>
    <s v="TXN0000593"/>
    <s v="CUST00074"/>
    <b v="1"/>
    <d v="2025-11-17T00:00:00"/>
    <x v="3"/>
    <s v="Toll"/>
    <n v="31628.29"/>
    <n v="595.49"/>
    <b v="1"/>
    <s v="Completed"/>
    <n v="595.49"/>
    <x v="3"/>
    <s v="REP002"/>
    <x v="5"/>
    <s v="Toll Solution"/>
    <s v="Enterprise"/>
  </r>
  <r>
    <s v="TXN0000594"/>
    <s v="CUST00074"/>
    <b v="1"/>
    <d v="2025-11-05T00:00:00"/>
    <x v="3"/>
    <s v="Toll"/>
    <n v="43674.29"/>
    <n v="850.14"/>
    <b v="1"/>
    <s v="Completed"/>
    <n v="850.14"/>
    <x v="3"/>
    <s v="REP002"/>
    <x v="5"/>
    <s v="Toll Solution"/>
    <s v="Enterprise"/>
  </r>
  <r>
    <s v="TXN0000595"/>
    <s v="CUST00074"/>
    <b v="1"/>
    <d v="2025-12-24T00:00:00"/>
    <x v="4"/>
    <s v="Toll"/>
    <n v="58074.16"/>
    <n v="1156.3"/>
    <b v="1"/>
    <s v="Completed"/>
    <n v="1156.3"/>
    <x v="3"/>
    <s v="REP002"/>
    <x v="5"/>
    <s v="Toll Solution"/>
    <s v="Enterprise"/>
  </r>
  <r>
    <s v="TXN0000596"/>
    <s v="CUST00074"/>
    <b v="1"/>
    <d v="2025-12-24T00:00:00"/>
    <x v="4"/>
    <s v="Toll"/>
    <n v="31697.05"/>
    <n v="607.33000000000004"/>
    <b v="1"/>
    <s v="Completed"/>
    <n v="607.33000000000004"/>
    <x v="3"/>
    <s v="REP002"/>
    <x v="5"/>
    <s v="Toll Solution"/>
    <s v="Enterprise"/>
  </r>
  <r>
    <s v="TXN0000597"/>
    <s v="CUST00074"/>
    <b v="1"/>
    <d v="2025-12-09T00:00:00"/>
    <x v="4"/>
    <s v="Toll"/>
    <n v="41116.11"/>
    <n v="782.3"/>
    <b v="1"/>
    <s v="Completed"/>
    <n v="782.3"/>
    <x v="3"/>
    <s v="REP002"/>
    <x v="5"/>
    <s v="Toll Solution"/>
    <s v="Enterprise"/>
  </r>
  <r>
    <s v="TXN0000598"/>
    <s v="CUST00077"/>
    <b v="1"/>
    <d v="2025-07-21T00:00:00"/>
    <x v="8"/>
    <s v="Lodging"/>
    <n v="15975.37"/>
    <n v="369.56"/>
    <b v="1"/>
    <s v="Completed"/>
    <n v="369.56"/>
    <x v="0"/>
    <s v="REP008"/>
    <x v="2"/>
    <s v="Fleet Expense Card"/>
    <s v="Mid-Market"/>
  </r>
  <r>
    <s v="TXN0000599"/>
    <s v="CUST00077"/>
    <b v="1"/>
    <d v="2025-07-30T00:00:00"/>
    <x v="8"/>
    <s v="Lodging"/>
    <n v="14357.06"/>
    <n v="391.13"/>
    <b v="1"/>
    <s v="Completed"/>
    <n v="391.13"/>
    <x v="0"/>
    <s v="REP008"/>
    <x v="2"/>
    <s v="Fleet Expense Card"/>
    <s v="Mid-Market"/>
  </r>
  <r>
    <s v="TXN0000600"/>
    <s v="CUST00077"/>
    <b v="1"/>
    <d v="2025-08-27T00:00:00"/>
    <x v="0"/>
    <s v="Parking"/>
    <n v="11478.48"/>
    <n v="301.35000000000002"/>
    <b v="1"/>
    <s v="Completed"/>
    <n v="301.35000000000002"/>
    <x v="0"/>
    <s v="REP008"/>
    <x v="2"/>
    <s v="Fleet Expense Card"/>
    <s v="Mid-Market"/>
  </r>
  <r>
    <s v="TXN0000601"/>
    <s v="CUST00077"/>
    <b v="1"/>
    <d v="2025-08-26T00:00:00"/>
    <x v="0"/>
    <s v="Lodging"/>
    <n v="14420.11"/>
    <n v="408.9"/>
    <b v="1"/>
    <s v="Completed"/>
    <n v="408.9"/>
    <x v="0"/>
    <s v="REP008"/>
    <x v="2"/>
    <s v="Fleet Expense Card"/>
    <s v="Mid-Market"/>
  </r>
  <r>
    <s v="TXN0000602"/>
    <s v="CUST00077"/>
    <b v="1"/>
    <d v="2025-09-25T00:00:00"/>
    <x v="1"/>
    <s v="Fuel"/>
    <n v="12585.21"/>
    <n v="342.69"/>
    <b v="1"/>
    <s v="Completed"/>
    <n v="342.69"/>
    <x v="0"/>
    <s v="REP008"/>
    <x v="2"/>
    <s v="Fleet Expense Card"/>
    <s v="Mid-Market"/>
  </r>
  <r>
    <s v="TXN0000603"/>
    <s v="CUST00077"/>
    <b v="1"/>
    <d v="2025-09-01T00:00:00"/>
    <x v="1"/>
    <s v="Parking"/>
    <n v="6548.72"/>
    <n v="176.47"/>
    <b v="1"/>
    <s v="Completed"/>
    <n v="176.47"/>
    <x v="0"/>
    <s v="REP008"/>
    <x v="2"/>
    <s v="Fleet Expense Card"/>
    <s v="Mid-Market"/>
  </r>
  <r>
    <s v="TXN0000604"/>
    <s v="CUST00077"/>
    <b v="1"/>
    <d v="2025-09-25T00:00:00"/>
    <x v="1"/>
    <s v="Parking"/>
    <n v="15267.89"/>
    <n v="359.61"/>
    <b v="1"/>
    <s v="Completed"/>
    <n v="359.61"/>
    <x v="0"/>
    <s v="REP008"/>
    <x v="2"/>
    <s v="Fleet Expense Card"/>
    <s v="Mid-Market"/>
  </r>
  <r>
    <s v="TXN0000605"/>
    <s v="CUST00077"/>
    <b v="1"/>
    <d v="2025-10-21T00:00:00"/>
    <x v="2"/>
    <s v="Fuel"/>
    <n v="9568.2199999999993"/>
    <n v="255"/>
    <b v="1"/>
    <s v="Completed"/>
    <n v="255"/>
    <x v="0"/>
    <s v="REP008"/>
    <x v="2"/>
    <s v="Fleet Expense Card"/>
    <s v="Mid-Market"/>
  </r>
  <r>
    <s v="TXN0000606"/>
    <s v="CUST00077"/>
    <b v="1"/>
    <d v="2025-10-08T00:00:00"/>
    <x v="2"/>
    <s v="Lodging"/>
    <n v="6620.41"/>
    <n v="182.16"/>
    <b v="1"/>
    <s v="Completed"/>
    <n v="182.16"/>
    <x v="0"/>
    <s v="REP008"/>
    <x v="2"/>
    <s v="Fleet Expense Card"/>
    <s v="Mid-Market"/>
  </r>
  <r>
    <s v="TXN0000607"/>
    <s v="CUST00077"/>
    <b v="1"/>
    <d v="2025-10-01T00:00:00"/>
    <x v="2"/>
    <s v="Parking"/>
    <n v="9780.0300000000007"/>
    <n v="302.52999999999997"/>
    <b v="1"/>
    <s v="Completed"/>
    <n v="302.52999999999997"/>
    <x v="0"/>
    <s v="REP008"/>
    <x v="2"/>
    <s v="Fleet Expense Card"/>
    <s v="Mid-Market"/>
  </r>
  <r>
    <s v="TXN0000608"/>
    <s v="CUST00077"/>
    <b v="1"/>
    <d v="2025-11-17T00:00:00"/>
    <x v="3"/>
    <s v="Parking"/>
    <n v="16698.560000000001"/>
    <n v="0"/>
    <b v="1"/>
    <s v="Cancelled"/>
    <n v="0"/>
    <x v="0"/>
    <s v="REP008"/>
    <x v="2"/>
    <s v="Fleet Expense Card"/>
    <s v="Mid-Market"/>
  </r>
  <r>
    <s v="TXN0000609"/>
    <s v="CUST00077"/>
    <b v="1"/>
    <d v="2025-12-03T00:00:00"/>
    <x v="4"/>
    <s v="Fuel"/>
    <n v="15969.5"/>
    <n v="443.83"/>
    <b v="1"/>
    <s v="Completed"/>
    <n v="443.83"/>
    <x v="0"/>
    <s v="REP008"/>
    <x v="2"/>
    <s v="Fleet Expense Card"/>
    <s v="Mid-Market"/>
  </r>
  <r>
    <s v="TXN0000610"/>
    <s v="CUST00077"/>
    <b v="1"/>
    <d v="2025-12-13T00:00:00"/>
    <x v="4"/>
    <s v="Fuel"/>
    <n v="16917.43"/>
    <n v="446.46"/>
    <b v="1"/>
    <s v="Completed"/>
    <n v="446.46"/>
    <x v="0"/>
    <s v="REP008"/>
    <x v="2"/>
    <s v="Fleet Expense Card"/>
    <s v="Mid-Market"/>
  </r>
  <r>
    <s v="TXN0000611"/>
    <s v="CUST00079"/>
    <b v="1"/>
    <d v="2025-06-29T00:00:00"/>
    <x v="7"/>
    <s v="EV Charging"/>
    <n v="1593.99"/>
    <n v="54.03"/>
    <b v="1"/>
    <s v="Completed"/>
    <n v="54.03"/>
    <x v="4"/>
    <s v="REP011"/>
    <x v="5"/>
    <s v="EV Charge Card"/>
    <s v="SME"/>
  </r>
  <r>
    <s v="TXN0000612"/>
    <s v="CUST00079"/>
    <b v="1"/>
    <d v="2025-07-20T00:00:00"/>
    <x v="8"/>
    <s v="EV Charging"/>
    <n v="2919.04"/>
    <n v="85.85"/>
    <b v="1"/>
    <s v="Completed"/>
    <n v="85.85"/>
    <x v="4"/>
    <s v="REP011"/>
    <x v="5"/>
    <s v="EV Charge Card"/>
    <s v="SME"/>
  </r>
  <r>
    <s v="TXN0000613"/>
    <s v="CUST00079"/>
    <b v="1"/>
    <d v="2025-07-21T00:00:00"/>
    <x v="8"/>
    <s v="EV Charging"/>
    <n v="5191.6899999999996"/>
    <n v="180.62"/>
    <b v="1"/>
    <s v="Completed"/>
    <n v="180.62"/>
    <x v="4"/>
    <s v="REP011"/>
    <x v="5"/>
    <s v="EV Charge Card"/>
    <s v="SME"/>
  </r>
  <r>
    <s v="TXN0000614"/>
    <s v="CUST00079"/>
    <b v="1"/>
    <d v="2025-07-18T00:00:00"/>
    <x v="8"/>
    <s v="EV Charging"/>
    <n v="1819.06"/>
    <n v="54.49"/>
    <b v="1"/>
    <s v="Completed"/>
    <n v="54.49"/>
    <x v="4"/>
    <s v="REP011"/>
    <x v="5"/>
    <s v="EV Charge Card"/>
    <s v="SME"/>
  </r>
  <r>
    <s v="TXN0000615"/>
    <s v="CUST00079"/>
    <b v="1"/>
    <d v="2025-08-23T00:00:00"/>
    <x v="0"/>
    <s v="EV Charging"/>
    <n v="1475.99"/>
    <n v="0"/>
    <b v="1"/>
    <s v="Cancelled"/>
    <n v="0"/>
    <x v="4"/>
    <s v="REP011"/>
    <x v="5"/>
    <s v="EV Charge Card"/>
    <s v="SME"/>
  </r>
  <r>
    <s v="TXN0000616"/>
    <s v="CUST00079"/>
    <b v="1"/>
    <d v="2025-08-29T00:00:00"/>
    <x v="0"/>
    <s v="EV Charging"/>
    <n v="2550.7600000000002"/>
    <n v="86.69"/>
    <b v="1"/>
    <s v="Completed"/>
    <n v="86.69"/>
    <x v="4"/>
    <s v="REP011"/>
    <x v="5"/>
    <s v="EV Charge Card"/>
    <s v="SME"/>
  </r>
  <r>
    <s v="TXN0000617"/>
    <s v="CUST00079"/>
    <b v="1"/>
    <d v="2025-08-30T00:00:00"/>
    <x v="0"/>
    <s v="EV Charging"/>
    <n v="1645.47"/>
    <n v="43.96"/>
    <b v="1"/>
    <s v="Completed"/>
    <n v="43.96"/>
    <x v="4"/>
    <s v="REP011"/>
    <x v="5"/>
    <s v="EV Charge Card"/>
    <s v="SME"/>
  </r>
  <r>
    <s v="TXN0000618"/>
    <s v="CUST00079"/>
    <b v="1"/>
    <d v="2025-09-05T00:00:00"/>
    <x v="1"/>
    <s v="EV Charging"/>
    <n v="2874.64"/>
    <n v="76.03"/>
    <b v="1"/>
    <s v="Completed"/>
    <n v="76.03"/>
    <x v="4"/>
    <s v="REP011"/>
    <x v="5"/>
    <s v="EV Charge Card"/>
    <s v="SME"/>
  </r>
  <r>
    <s v="TXN0000619"/>
    <s v="CUST00080"/>
    <b v="1"/>
    <d v="2025-03-16T00:00:00"/>
    <x v="10"/>
    <s v="EV Charging"/>
    <n v="20513.14"/>
    <n v="579.96"/>
    <b v="1"/>
    <s v="Completed"/>
    <n v="579.96"/>
    <x v="2"/>
    <s v="REP005"/>
    <x v="4"/>
    <s v="EV Charge Card"/>
    <s v="Enterprise"/>
  </r>
  <r>
    <s v="TXN0000620"/>
    <s v="CUST00080"/>
    <b v="1"/>
    <d v="2025-03-28T00:00:00"/>
    <x v="10"/>
    <s v="EV Charging"/>
    <n v="43907.519999999997"/>
    <n v="1412.13"/>
    <b v="1"/>
    <s v="Completed"/>
    <n v="1412.13"/>
    <x v="2"/>
    <s v="REP005"/>
    <x v="4"/>
    <s v="EV Charge Card"/>
    <s v="Enterprise"/>
  </r>
  <r>
    <s v="TXN0000621"/>
    <s v="CUST00080"/>
    <b v="1"/>
    <d v="2025-03-03T00:00:00"/>
    <x v="10"/>
    <s v="EV Charging"/>
    <n v="21214.14"/>
    <n v="709.16"/>
    <b v="1"/>
    <s v="Completed"/>
    <n v="709.16"/>
    <x v="2"/>
    <s v="REP005"/>
    <x v="4"/>
    <s v="EV Charge Card"/>
    <s v="Enterprise"/>
  </r>
  <r>
    <s v="TXN0000622"/>
    <s v="CUST00080"/>
    <b v="1"/>
    <d v="2025-04-02T00:00:00"/>
    <x v="5"/>
    <s v="EV Charging"/>
    <n v="61389.01"/>
    <n v="1843.28"/>
    <b v="1"/>
    <s v="Completed"/>
    <n v="1843.28"/>
    <x v="2"/>
    <s v="REP005"/>
    <x v="4"/>
    <s v="EV Charge Card"/>
    <s v="Enterprise"/>
  </r>
  <r>
    <s v="TXN0000623"/>
    <s v="CUST00080"/>
    <b v="1"/>
    <d v="2025-04-16T00:00:00"/>
    <x v="5"/>
    <s v="EV Charging"/>
    <n v="33447.85"/>
    <n v="1037"/>
    <b v="1"/>
    <s v="Completed"/>
    <n v="1037"/>
    <x v="2"/>
    <s v="REP005"/>
    <x v="4"/>
    <s v="EV Charge Card"/>
    <s v="Enterprise"/>
  </r>
  <r>
    <s v="TXN0000624"/>
    <s v="CUST00080"/>
    <b v="1"/>
    <d v="2025-04-12T00:00:00"/>
    <x v="5"/>
    <s v="EV Charging"/>
    <n v="30110.48"/>
    <n v="882.18"/>
    <b v="1"/>
    <s v="Completed"/>
    <n v="882.18"/>
    <x v="2"/>
    <s v="REP005"/>
    <x v="4"/>
    <s v="EV Charge Card"/>
    <s v="Enterprise"/>
  </r>
  <r>
    <s v="TXN0000625"/>
    <s v="CUST00080"/>
    <b v="1"/>
    <d v="2025-05-08T00:00:00"/>
    <x v="6"/>
    <s v="EV Charging"/>
    <n v="52810.46"/>
    <n v="1817.63"/>
    <b v="1"/>
    <s v="Completed"/>
    <n v="1817.63"/>
    <x v="2"/>
    <s v="REP005"/>
    <x v="4"/>
    <s v="EV Charge Card"/>
    <s v="Enterprise"/>
  </r>
  <r>
    <s v="TXN0000626"/>
    <s v="CUST00080"/>
    <b v="1"/>
    <d v="2025-06-21T00:00:00"/>
    <x v="7"/>
    <s v="EV Charging"/>
    <n v="39770.93"/>
    <n v="1227.29"/>
    <b v="1"/>
    <s v="Completed"/>
    <n v="1227.29"/>
    <x v="2"/>
    <s v="REP005"/>
    <x v="4"/>
    <s v="EV Charge Card"/>
    <s v="Enterprise"/>
  </r>
  <r>
    <s v="TXN0000627"/>
    <s v="CUST00080"/>
    <b v="1"/>
    <d v="2025-06-05T00:00:00"/>
    <x v="7"/>
    <s v="EV Charging"/>
    <n v="17743.77"/>
    <n v="534.91"/>
    <b v="1"/>
    <s v="Completed"/>
    <n v="534.91"/>
    <x v="2"/>
    <s v="REP005"/>
    <x v="4"/>
    <s v="EV Charge Card"/>
    <s v="Enterprise"/>
  </r>
  <r>
    <s v="TXN0000628"/>
    <s v="CUST00080"/>
    <b v="1"/>
    <d v="2025-07-11T00:00:00"/>
    <x v="8"/>
    <s v="EV Charging"/>
    <n v="14962.59"/>
    <n v="476.43"/>
    <b v="1"/>
    <s v="Completed"/>
    <n v="476.43"/>
    <x v="2"/>
    <s v="REP005"/>
    <x v="4"/>
    <s v="EV Charge Card"/>
    <s v="Enterprise"/>
  </r>
  <r>
    <s v="TXN0000629"/>
    <s v="CUST00080"/>
    <b v="1"/>
    <d v="2025-07-16T00:00:00"/>
    <x v="8"/>
    <s v="EV Charging"/>
    <n v="27480.04"/>
    <n v="836.63"/>
    <b v="1"/>
    <s v="Completed"/>
    <n v="836.63"/>
    <x v="2"/>
    <s v="REP005"/>
    <x v="4"/>
    <s v="EV Charge Card"/>
    <s v="Enterprise"/>
  </r>
  <r>
    <s v="TXN0000630"/>
    <s v="CUST00080"/>
    <b v="1"/>
    <d v="2025-08-07T00:00:00"/>
    <x v="0"/>
    <s v="EV Charging"/>
    <n v="45926.51"/>
    <n v="1636.29"/>
    <b v="1"/>
    <s v="Completed"/>
    <n v="1636.29"/>
    <x v="2"/>
    <s v="REP005"/>
    <x v="4"/>
    <s v="EV Charge Card"/>
    <s v="Enterprise"/>
  </r>
  <r>
    <s v="TXN0000631"/>
    <s v="CUST00080"/>
    <b v="1"/>
    <d v="2025-09-09T00:00:00"/>
    <x v="1"/>
    <s v="EV Charging"/>
    <n v="51436.57"/>
    <n v="1411.11"/>
    <b v="1"/>
    <s v="Completed"/>
    <n v="1411.11"/>
    <x v="2"/>
    <s v="REP005"/>
    <x v="4"/>
    <s v="EV Charge Card"/>
    <s v="Enterprise"/>
  </r>
  <r>
    <s v="TXN0000632"/>
    <s v="CUST00080"/>
    <b v="1"/>
    <d v="2025-09-12T00:00:00"/>
    <x v="1"/>
    <s v="EV Charging"/>
    <n v="58642.85"/>
    <n v="1995.22"/>
    <b v="1"/>
    <s v="Completed"/>
    <n v="1995.22"/>
    <x v="2"/>
    <s v="REP005"/>
    <x v="4"/>
    <s v="EV Charge Card"/>
    <s v="Enterprise"/>
  </r>
  <r>
    <s v="TXN0000633"/>
    <s v="CUST00080"/>
    <b v="1"/>
    <d v="2025-10-27T00:00:00"/>
    <x v="2"/>
    <s v="EV Charging"/>
    <n v="47200.46"/>
    <n v="1327"/>
    <b v="1"/>
    <s v="Completed"/>
    <n v="1327"/>
    <x v="2"/>
    <s v="REP005"/>
    <x v="4"/>
    <s v="EV Charge Card"/>
    <s v="Enterprise"/>
  </r>
  <r>
    <s v="TXN0000634"/>
    <s v="CUST00080"/>
    <b v="1"/>
    <d v="2025-10-27T00:00:00"/>
    <x v="2"/>
    <s v="EV Charging"/>
    <n v="43241.7"/>
    <n v="1247.2"/>
    <b v="1"/>
    <s v="Completed"/>
    <n v="1247.2"/>
    <x v="2"/>
    <s v="REP005"/>
    <x v="4"/>
    <s v="EV Charge Card"/>
    <s v="Enterprise"/>
  </r>
  <r>
    <s v="TXN0000635"/>
    <s v="CUST00080"/>
    <b v="1"/>
    <d v="2025-11-05T00:00:00"/>
    <x v="3"/>
    <s v="EV Charging"/>
    <n v="44266.11"/>
    <n v="1515.56"/>
    <b v="1"/>
    <s v="Completed"/>
    <n v="1515.56"/>
    <x v="2"/>
    <s v="REP005"/>
    <x v="4"/>
    <s v="EV Charge Card"/>
    <s v="Enterprise"/>
  </r>
  <r>
    <s v="TXN0000636"/>
    <s v="CUST00080"/>
    <b v="1"/>
    <d v="2025-12-19T00:00:00"/>
    <x v="4"/>
    <s v="EV Charging"/>
    <n v="61626.37"/>
    <n v="1666.09"/>
    <b v="1"/>
    <s v="Completed"/>
    <n v="1666.09"/>
    <x v="2"/>
    <s v="REP005"/>
    <x v="4"/>
    <s v="EV Charge Card"/>
    <s v="Enterprise"/>
  </r>
  <r>
    <s v="TXN0000637"/>
    <s v="CUST00080"/>
    <b v="1"/>
    <d v="2025-12-11T00:00:00"/>
    <x v="4"/>
    <s v="EV Charging"/>
    <m/>
    <n v="1325.61"/>
    <b v="1"/>
    <s v="Completed"/>
    <n v="1325.61"/>
    <x v="2"/>
    <s v="REP005"/>
    <x v="4"/>
    <s v="EV Charge Card"/>
    <s v="Enterprise"/>
  </r>
  <r>
    <s v="TXN0000638"/>
    <s v="CUST00080"/>
    <b v="1"/>
    <d v="2025-12-17T00:00:00"/>
    <x v="4"/>
    <s v="EV Charging"/>
    <n v="28579.11"/>
    <n v="1016.09"/>
    <b v="1"/>
    <s v="Completed"/>
    <n v="1016.09"/>
    <x v="2"/>
    <s v="REP005"/>
    <x v="4"/>
    <s v="EV Charge Card"/>
    <s v="Enterprise"/>
  </r>
  <r>
    <s v="TXN0000639"/>
    <s v="CUST00081"/>
    <b v="1"/>
    <d v="2025-05-25T00:00:00"/>
    <x v="6"/>
    <s v="EV Charging"/>
    <n v="34733.68"/>
    <n v="995.94"/>
    <b v="1"/>
    <s v="Completed"/>
    <n v="995.94"/>
    <x v="2"/>
    <s v="REP006"/>
    <x v="2"/>
    <s v="EV Charge Card"/>
    <s v="Enterprise"/>
  </r>
  <r>
    <s v="TXN0000640"/>
    <s v="CUST00081"/>
    <b v="1"/>
    <d v="2025-05-26T00:00:00"/>
    <x v="6"/>
    <s v="EV Charging"/>
    <n v="21756.35"/>
    <n v="0"/>
    <b v="1"/>
    <s v="Cancelled"/>
    <n v="0"/>
    <x v="2"/>
    <s v="REP006"/>
    <x v="2"/>
    <s v="EV Charge Card"/>
    <s v="Enterprise"/>
  </r>
  <r>
    <s v="TXN0000641"/>
    <s v="CUST00081"/>
    <b v="1"/>
    <d v="2025-05-28T00:00:00"/>
    <x v="6"/>
    <s v="EV Charging"/>
    <n v="43626.67"/>
    <n v="1457.28"/>
    <b v="1"/>
    <s v="Completed"/>
    <n v="1457.28"/>
    <x v="2"/>
    <s v="REP006"/>
    <x v="2"/>
    <s v="EV Charge Card"/>
    <s v="Enterprise"/>
  </r>
  <r>
    <s v="TXN0000642"/>
    <s v="CUST00081"/>
    <b v="1"/>
    <d v="2025-06-15T00:00:00"/>
    <x v="7"/>
    <s v="EV Charging"/>
    <n v="42115.64"/>
    <n v="1116.67"/>
    <b v="1"/>
    <s v="Completed"/>
    <n v="1116.67"/>
    <x v="2"/>
    <s v="REP006"/>
    <x v="2"/>
    <s v="EV Charge Card"/>
    <s v="Enterprise"/>
  </r>
  <r>
    <s v="TXN0000643"/>
    <s v="CUST00081"/>
    <b v="1"/>
    <d v="2025-06-29T00:00:00"/>
    <x v="7"/>
    <s v="EV Charging"/>
    <n v="22336.55"/>
    <n v="722.1"/>
    <b v="1"/>
    <s v="Completed"/>
    <n v="722.1"/>
    <x v="2"/>
    <s v="REP006"/>
    <x v="2"/>
    <s v="EV Charge Card"/>
    <s v="Enterprise"/>
  </r>
  <r>
    <s v="TXN0000644"/>
    <s v="CUST00081"/>
    <b v="1"/>
    <d v="2025-07-28T00:00:00"/>
    <x v="8"/>
    <s v="EV Charging"/>
    <n v="59510.52"/>
    <n v="1939.4"/>
    <b v="1"/>
    <s v="Completed"/>
    <n v="1939.4"/>
    <x v="2"/>
    <s v="REP006"/>
    <x v="2"/>
    <s v="EV Charge Card"/>
    <s v="Enterprise"/>
  </r>
  <r>
    <s v="TXN0000645"/>
    <s v="CUST00081"/>
    <b v="1"/>
    <d v="2025-07-11T00:00:00"/>
    <x v="8"/>
    <s v="EV Charging"/>
    <n v="52978.37"/>
    <n v="1404.96"/>
    <b v="1"/>
    <s v="Completed"/>
    <n v="1404.96"/>
    <x v="2"/>
    <s v="REP006"/>
    <x v="2"/>
    <s v="EV Charge Card"/>
    <s v="Enterprise"/>
  </r>
  <r>
    <s v="TXN0000646"/>
    <s v="CUST00081"/>
    <b v="1"/>
    <d v="2025-07-09T00:00:00"/>
    <x v="8"/>
    <s v="EV Charging"/>
    <n v="55771.07"/>
    <n v="1865.25"/>
    <b v="1"/>
    <s v="Completed"/>
    <n v="1865.25"/>
    <x v="2"/>
    <s v="REP006"/>
    <x v="2"/>
    <s v="EV Charge Card"/>
    <s v="Enterprise"/>
  </r>
  <r>
    <s v="TXN0000647"/>
    <s v="CUST00081"/>
    <b v="1"/>
    <d v="2025-08-28T00:00:00"/>
    <x v="0"/>
    <s v="EV Charging"/>
    <n v="15748.66"/>
    <n v="0"/>
    <b v="1"/>
    <s v="Cancelled"/>
    <n v="0"/>
    <x v="2"/>
    <s v="REP006"/>
    <x v="2"/>
    <s v="EV Charge Card"/>
    <s v="Enterprise"/>
  </r>
  <r>
    <s v="TXN0000648"/>
    <s v="CUST99999"/>
    <b v="0"/>
    <d v="2025-09-16T00:00:00"/>
    <x v="1"/>
    <s v="EV Charging"/>
    <n v="21874.94"/>
    <n v="604.19000000000005"/>
    <b v="1"/>
    <s v="Completed"/>
    <n v="0"/>
    <x v="2"/>
    <s v="Unmatched"/>
    <x v="3"/>
    <s v="Unmatched"/>
    <s v="Unmatched"/>
  </r>
  <r>
    <s v="TXN0000649"/>
    <s v="CUST00081"/>
    <b v="1"/>
    <d v="2025-09-28T00:00:00"/>
    <x v="1"/>
    <s v="EV Charging"/>
    <n v="25073.93"/>
    <n v="888.96"/>
    <b v="1"/>
    <s v="Completed"/>
    <n v="888.96"/>
    <x v="2"/>
    <s v="REP006"/>
    <x v="2"/>
    <s v="EV Charge Card"/>
    <s v="Enterprise"/>
  </r>
  <r>
    <s v="TXN0000650"/>
    <s v="CUST00081"/>
    <b v="1"/>
    <d v="2025-10-30T00:00:00"/>
    <x v="2"/>
    <s v="EV Charging"/>
    <n v="45273.75"/>
    <n v="1565.5"/>
    <b v="1"/>
    <s v="Completed"/>
    <n v="1565.5"/>
    <x v="2"/>
    <s v="REP006"/>
    <x v="2"/>
    <s v="EV Charge Card"/>
    <s v="Enterprise"/>
  </r>
  <r>
    <s v="TXN0000651"/>
    <s v="CUST00081"/>
    <b v="1"/>
    <d v="2025-11-01T00:00:00"/>
    <x v="3"/>
    <s v="EV Charging"/>
    <n v="44161.91"/>
    <n v="1367.24"/>
    <b v="1"/>
    <s v="Completed"/>
    <n v="1367.24"/>
    <x v="2"/>
    <s v="REP006"/>
    <x v="2"/>
    <s v="EV Charge Card"/>
    <s v="Enterprise"/>
  </r>
  <r>
    <s v="TXN0000652"/>
    <s v="CUST00081"/>
    <b v="1"/>
    <d v="2025-12-15T00:00:00"/>
    <x v="4"/>
    <s v="EV Charging"/>
    <n v="31028.799999999999"/>
    <n v="0"/>
    <b v="1"/>
    <s v="Cancelled"/>
    <n v="0"/>
    <x v="2"/>
    <s v="REP006"/>
    <x v="2"/>
    <s v="EV Charge Card"/>
    <s v="Enterprise"/>
  </r>
  <r>
    <s v="TXN0000653"/>
    <s v="CUST00081"/>
    <b v="1"/>
    <d v="2025-12-14T00:00:00"/>
    <x v="4"/>
    <s v="EV Charging"/>
    <n v="34981.25"/>
    <n v="944.38"/>
    <b v="1"/>
    <s v="Completed"/>
    <n v="944.38"/>
    <x v="2"/>
    <s v="REP006"/>
    <x v="2"/>
    <s v="EV Charge Card"/>
    <s v="Enterprise"/>
  </r>
  <r>
    <s v="TXN0000654"/>
    <s v="CUST00084"/>
    <b v="1"/>
    <d v="2025-12-29T00:00:00"/>
    <x v="4"/>
    <s v="Fuel"/>
    <n v="51147.08"/>
    <n v="1367.58"/>
    <b v="1"/>
    <s v="Completed"/>
    <n v="1367.58"/>
    <x v="4"/>
    <s v="REP012"/>
    <x v="5"/>
    <s v="Fuel Card"/>
    <s v="Enterprise"/>
  </r>
  <r>
    <s v="TXN0000655"/>
    <s v="CUST00084"/>
    <b v="1"/>
    <d v="2025-12-30T00:00:00"/>
    <x v="4"/>
    <s v="Fuel"/>
    <n v="32353.16"/>
    <n v="862.72"/>
    <b v="1"/>
    <s v="Completed"/>
    <n v="862.72"/>
    <x v="4"/>
    <s v="REP012"/>
    <x v="5"/>
    <s v="Fuel Card"/>
    <s v="Enterprise"/>
  </r>
  <r>
    <s v="TXN0000656"/>
    <s v="CUST00085"/>
    <b v="1"/>
    <d v="2025-10-18T00:00:00"/>
    <x v="2"/>
    <s v="Fuel"/>
    <n v="14942.11"/>
    <n v="410.75"/>
    <b v="1"/>
    <s v="Completed"/>
    <n v="410.75"/>
    <x v="3"/>
    <s v="REP003"/>
    <x v="2"/>
    <s v="Fuel Card"/>
    <s v="Enterprise"/>
  </r>
  <r>
    <s v="TXN0000657"/>
    <s v="CUST00085"/>
    <b v="1"/>
    <d v="2025-11-15T00:00:00"/>
    <x v="3"/>
    <s v="Fuel"/>
    <n v="15541.42"/>
    <n v="368.8"/>
    <b v="1"/>
    <s v="Completed"/>
    <n v="368.8"/>
    <x v="3"/>
    <s v="REP003"/>
    <x v="2"/>
    <s v="Fuel Card"/>
    <s v="Enterprise"/>
  </r>
  <r>
    <s v="TXN0000658"/>
    <s v="CUST00085"/>
    <b v="1"/>
    <d v="2025-11-23T00:00:00"/>
    <x v="3"/>
    <s v="Fuel"/>
    <n v="43088.37"/>
    <n v="1052.3"/>
    <b v="1"/>
    <s v="Completed"/>
    <n v="1052.3"/>
    <x v="3"/>
    <s v="REP003"/>
    <x v="2"/>
    <s v="Fuel Card"/>
    <s v="Enterprise"/>
  </r>
  <r>
    <s v="TXN0000659"/>
    <s v="CUST00085"/>
    <b v="1"/>
    <d v="2025-12-25T00:00:00"/>
    <x v="4"/>
    <s v="Fuel"/>
    <n v="19206.740000000002"/>
    <n v="464.2"/>
    <b v="1"/>
    <s v="Completed"/>
    <n v="464.2"/>
    <x v="3"/>
    <s v="REP003"/>
    <x v="2"/>
    <s v="Fuel Card"/>
    <s v="Enterprise"/>
  </r>
  <r>
    <s v="TXN0000660"/>
    <s v="CUST00085"/>
    <b v="1"/>
    <d v="2025-12-05T00:00:00"/>
    <x v="4"/>
    <s v="Fuel"/>
    <n v="61546.18"/>
    <n v="1387.34"/>
    <b v="1"/>
    <s v="Completed"/>
    <n v="1387.34"/>
    <x v="3"/>
    <s v="REP003"/>
    <x v="2"/>
    <s v="Fuel Card"/>
    <s v="Enterprise"/>
  </r>
  <r>
    <s v="TXN0000661"/>
    <s v="CUST00086"/>
    <b v="1"/>
    <d v="2025-04-26T00:00:00"/>
    <x v="5"/>
    <s v="EV Charging"/>
    <n v="17300.62"/>
    <n v="531.70000000000005"/>
    <b v="1"/>
    <s v="Completed"/>
    <n v="531.70000000000005"/>
    <x v="0"/>
    <s v="REP009"/>
    <x v="2"/>
    <s v="EV Charge Card"/>
    <s v="Mid-Market"/>
  </r>
  <r>
    <s v="TXN0000662"/>
    <s v="CUST00086"/>
    <b v="1"/>
    <d v="2025-04-27T00:00:00"/>
    <x v="5"/>
    <s v="EV Charging"/>
    <n v="4841.59"/>
    <n v="154.12"/>
    <b v="1"/>
    <s v="Completed"/>
    <n v="154.12"/>
    <x v="0"/>
    <s v="REP009"/>
    <x v="2"/>
    <s v="EV Charge Card"/>
    <s v="Mid-Market"/>
  </r>
  <r>
    <s v="TXN0000663"/>
    <s v="CUST00086"/>
    <b v="1"/>
    <d v="2025-05-02T00:00:00"/>
    <x v="6"/>
    <s v="EV Charging"/>
    <n v="4598.66"/>
    <n v="126.75"/>
    <b v="1"/>
    <s v="Completed"/>
    <n v="126.75"/>
    <x v="0"/>
    <s v="REP009"/>
    <x v="2"/>
    <s v="EV Charge Card"/>
    <s v="Mid-Market"/>
  </r>
  <r>
    <s v="TXN0000664"/>
    <s v="CUST00086"/>
    <b v="1"/>
    <d v="2025-05-06T00:00:00"/>
    <x v="6"/>
    <s v="EV Charging"/>
    <n v="10825.92"/>
    <n v="296.76"/>
    <b v="1"/>
    <s v="Completed"/>
    <n v="296.76"/>
    <x v="0"/>
    <s v="REP009"/>
    <x v="2"/>
    <s v="EV Charge Card"/>
    <s v="Mid-Market"/>
  </r>
  <r>
    <s v="TXN0000665"/>
    <s v="CUST00086"/>
    <b v="1"/>
    <d v="2025-06-16T00:00:00"/>
    <x v="7"/>
    <s v="EV Charging"/>
    <n v="13133.25"/>
    <n v="419.99"/>
    <b v="1"/>
    <s v="Completed"/>
    <n v="419.99"/>
    <x v="0"/>
    <s v="REP009"/>
    <x v="2"/>
    <s v="EV Charge Card"/>
    <s v="Mid-Market"/>
  </r>
  <r>
    <s v="TXN0000666"/>
    <s v="CUST00086"/>
    <b v="1"/>
    <d v="2025-07-05T00:00:00"/>
    <x v="8"/>
    <s v="EV Charging"/>
    <n v="16226.96"/>
    <n v="519.87"/>
    <b v="1"/>
    <s v="Completed"/>
    <n v="519.87"/>
    <x v="0"/>
    <s v="REP009"/>
    <x v="2"/>
    <s v="EV Charge Card"/>
    <s v="Mid-Market"/>
  </r>
  <r>
    <s v="TXN0000667"/>
    <s v="CUST00086"/>
    <b v="1"/>
    <d v="2025-07-09T00:00:00"/>
    <x v="8"/>
    <s v="EV Charging"/>
    <n v="13636.67"/>
    <n v="458.89"/>
    <b v="1"/>
    <s v="Completed"/>
    <n v="458.89"/>
    <x v="0"/>
    <s v="REP009"/>
    <x v="2"/>
    <s v="EV Charge Card"/>
    <s v="Mid-Market"/>
  </r>
  <r>
    <s v="TXN0000668"/>
    <s v="CUST00086"/>
    <b v="1"/>
    <d v="2025-07-22T00:00:00"/>
    <x v="8"/>
    <s v="EV Charging"/>
    <n v="4717.59"/>
    <n v="129.71"/>
    <b v="1"/>
    <s v="Completed"/>
    <n v="129.71"/>
    <x v="0"/>
    <s v="REP009"/>
    <x v="2"/>
    <s v="EV Charge Card"/>
    <s v="Mid-Market"/>
  </r>
  <r>
    <s v="TXN0000669"/>
    <s v="CUST00086"/>
    <b v="1"/>
    <d v="2025-08-04T00:00:00"/>
    <x v="0"/>
    <s v="EV Charging"/>
    <n v="15800.94"/>
    <n v="528.74"/>
    <b v="1"/>
    <s v="Completed"/>
    <n v="528.74"/>
    <x v="0"/>
    <s v="REP009"/>
    <x v="2"/>
    <s v="EV Charge Card"/>
    <s v="Mid-Market"/>
  </r>
  <r>
    <s v="TXN0000670"/>
    <s v="CUST00086"/>
    <b v="1"/>
    <d v="2025-08-10T00:00:00"/>
    <x v="0"/>
    <s v="EV Charging"/>
    <n v="14089.16"/>
    <n v="376.28"/>
    <b v="1"/>
    <s v="Completed"/>
    <n v="376.28"/>
    <x v="0"/>
    <s v="REP009"/>
    <x v="2"/>
    <s v="EV Charge Card"/>
    <s v="Mid-Market"/>
  </r>
  <r>
    <s v="TXN0000671"/>
    <s v="CUST00087"/>
    <b v="1"/>
    <d v="2025-04-10T00:00:00"/>
    <x v="5"/>
    <s v="Toll"/>
    <n v="32871.18"/>
    <n v="636.11"/>
    <b v="1"/>
    <s v="Completed"/>
    <n v="636.11"/>
    <x v="1"/>
    <s v="REP014"/>
    <x v="2"/>
    <s v="Toll Solution"/>
    <s v="Enterprise"/>
  </r>
  <r>
    <s v="TXN0000672"/>
    <s v="CUST00087"/>
    <b v="1"/>
    <d v="2025-04-23T00:00:00"/>
    <x v="5"/>
    <s v="Toll"/>
    <n v="34819.78"/>
    <n v="536.66999999999996"/>
    <b v="1"/>
    <s v="Completed"/>
    <n v="536.66999999999996"/>
    <x v="1"/>
    <s v="REP014"/>
    <x v="2"/>
    <s v="Toll Solution"/>
    <s v="Enterprise"/>
  </r>
  <r>
    <s v="TXN0000673"/>
    <s v="CUST00087"/>
    <b v="1"/>
    <d v="2025-05-16T00:00:00"/>
    <x v="6"/>
    <s v="Toll"/>
    <n v="21434.68"/>
    <n v="441.37"/>
    <b v="1"/>
    <s v="Completed"/>
    <n v="441.37"/>
    <x v="1"/>
    <s v="REP014"/>
    <x v="2"/>
    <s v="Toll Solution"/>
    <s v="Enterprise"/>
  </r>
  <r>
    <s v="TXN0000674"/>
    <s v="CUST00087"/>
    <b v="1"/>
    <d v="2025-05-16T00:00:00"/>
    <x v="6"/>
    <s v="Toll"/>
    <n v="56457.08"/>
    <n v="1043.8499999999999"/>
    <b v="1"/>
    <s v="Completed"/>
    <n v="1043.8499999999999"/>
    <x v="1"/>
    <s v="REP014"/>
    <x v="2"/>
    <s v="Toll Solution"/>
    <s v="Enterprise"/>
  </r>
  <r>
    <s v="TXN0000675"/>
    <s v="CUST00087"/>
    <b v="1"/>
    <d v="2025-05-04T00:00:00"/>
    <x v="6"/>
    <s v="Toll"/>
    <n v="58228.04"/>
    <n v="1179.81"/>
    <b v="1"/>
    <s v="Completed"/>
    <n v="1179.81"/>
    <x v="1"/>
    <s v="REP014"/>
    <x v="2"/>
    <s v="Toll Solution"/>
    <s v="Enterprise"/>
  </r>
  <r>
    <s v="TXN0000676"/>
    <s v="CUST00087"/>
    <b v="1"/>
    <d v="2025-06-22T00:00:00"/>
    <x v="7"/>
    <s v="Toll"/>
    <n v="27892.82"/>
    <n v="511.15"/>
    <b v="1"/>
    <s v="Completed"/>
    <n v="511.15"/>
    <x v="1"/>
    <s v="REP014"/>
    <x v="2"/>
    <s v="Toll Solution"/>
    <s v="Enterprise"/>
  </r>
  <r>
    <s v="TXN0000677"/>
    <s v="CUST00087"/>
    <b v="1"/>
    <d v="2025-07-21T00:00:00"/>
    <x v="8"/>
    <s v="Toll"/>
    <n v="56843.03"/>
    <n v="899.23"/>
    <b v="1"/>
    <s v="Completed"/>
    <n v="899.23"/>
    <x v="1"/>
    <s v="REP014"/>
    <x v="2"/>
    <s v="Toll Solution"/>
    <s v="Enterprise"/>
  </r>
  <r>
    <s v="TXN0000678"/>
    <s v="CUST00087"/>
    <b v="1"/>
    <d v="2025-08-11T00:00:00"/>
    <x v="0"/>
    <s v="Toll"/>
    <n v="18677.2"/>
    <n v="325.41000000000003"/>
    <b v="1"/>
    <s v="Completed"/>
    <n v="325.41000000000003"/>
    <x v="1"/>
    <s v="REP014"/>
    <x v="2"/>
    <s v="Toll Solution"/>
    <s v="Enterprise"/>
  </r>
  <r>
    <s v="TXN0000679"/>
    <s v="CUST00087"/>
    <b v="1"/>
    <d v="2025-08-10T00:00:00"/>
    <x v="0"/>
    <s v="Toll"/>
    <n v="15996.07"/>
    <n v="316.07"/>
    <b v="1"/>
    <s v="Completed"/>
    <n v="316.07"/>
    <x v="1"/>
    <s v="REP014"/>
    <x v="2"/>
    <s v="Toll Solution"/>
    <s v="Enterprise"/>
  </r>
  <r>
    <s v="TXN0000680"/>
    <s v="CUST00087"/>
    <b v="1"/>
    <d v="2025-09-05T00:00:00"/>
    <x v="1"/>
    <s v="Toll"/>
    <n v="44318.67"/>
    <n v="912.91"/>
    <b v="1"/>
    <s v="Completed"/>
    <n v="912.91"/>
    <x v="1"/>
    <s v="REP014"/>
    <x v="2"/>
    <s v="Toll Solution"/>
    <s v="Enterprise"/>
  </r>
  <r>
    <s v="TXN0000681"/>
    <s v="CUST00087"/>
    <b v="1"/>
    <d v="2025-09-09T00:00:00"/>
    <x v="1"/>
    <s v="Toll"/>
    <n v="23262.799999999999"/>
    <n v="370.83"/>
    <b v="1"/>
    <s v="Completed"/>
    <n v="370.83"/>
    <x v="1"/>
    <s v="REP014"/>
    <x v="2"/>
    <s v="Toll Solution"/>
    <s v="Enterprise"/>
  </r>
  <r>
    <s v="TXN0000682"/>
    <s v="CUST00087"/>
    <b v="1"/>
    <d v="2025-10-29T00:00:00"/>
    <x v="2"/>
    <s v="Toll"/>
    <n v="15578.85"/>
    <n v="252.16"/>
    <b v="1"/>
    <s v="Completed"/>
    <n v="252.16"/>
    <x v="1"/>
    <s v="REP014"/>
    <x v="2"/>
    <s v="Toll Solution"/>
    <s v="Enterprise"/>
  </r>
  <r>
    <s v="TXN0000683"/>
    <s v="CUST00087"/>
    <b v="1"/>
    <d v="2025-10-13T00:00:00"/>
    <x v="2"/>
    <s v="Toll"/>
    <n v="41183.75"/>
    <n v="658.72"/>
    <b v="1"/>
    <s v="Completed"/>
    <n v="658.72"/>
    <x v="1"/>
    <s v="REP014"/>
    <x v="2"/>
    <s v="Toll Solution"/>
    <s v="Enterprise"/>
  </r>
  <r>
    <s v="TXN0000684"/>
    <s v="CUST00087"/>
    <b v="1"/>
    <d v="2025-10-31T00:00:00"/>
    <x v="2"/>
    <s v="Toll"/>
    <n v="23704.23"/>
    <n v="488.88"/>
    <b v="1"/>
    <s v="Completed"/>
    <n v="488.88"/>
    <x v="1"/>
    <s v="REP014"/>
    <x v="2"/>
    <s v="Toll Solution"/>
    <s v="Enterprise"/>
  </r>
  <r>
    <s v="TXN0000685"/>
    <s v="CUST00087"/>
    <b v="1"/>
    <d v="2025-11-03T00:00:00"/>
    <x v="3"/>
    <s v="Toll"/>
    <n v="30570.560000000001"/>
    <n v="597.95000000000005"/>
    <b v="1"/>
    <s v="Completed"/>
    <n v="597.95000000000005"/>
    <x v="1"/>
    <s v="REP014"/>
    <x v="2"/>
    <s v="Toll Solution"/>
    <s v="Enterprise"/>
  </r>
  <r>
    <s v="TXN0000686"/>
    <s v="CUST00087"/>
    <b v="1"/>
    <d v="2025-11-01T00:00:00"/>
    <x v="3"/>
    <s v="Toll"/>
    <n v="19248.810000000001"/>
    <n v="309.68"/>
    <b v="1"/>
    <s v="Completed"/>
    <n v="309.68"/>
    <x v="1"/>
    <s v="REP014"/>
    <x v="2"/>
    <s v="Toll Solution"/>
    <s v="Enterprise"/>
  </r>
  <r>
    <s v="TXN0000687"/>
    <s v="CUST00087"/>
    <b v="1"/>
    <d v="2025-11-01T00:00:00"/>
    <x v="3"/>
    <s v="Toll"/>
    <n v="17426.400000000001"/>
    <n v="271.77999999999997"/>
    <b v="1"/>
    <s v="Completed"/>
    <n v="271.77999999999997"/>
    <x v="1"/>
    <s v="REP014"/>
    <x v="2"/>
    <s v="Toll Solution"/>
    <s v="Enterprise"/>
  </r>
  <r>
    <s v="TXN0000688"/>
    <s v="CUST00087"/>
    <b v="1"/>
    <d v="2025-12-14T00:00:00"/>
    <x v="4"/>
    <s v="Toll"/>
    <n v="24523.43"/>
    <n v="0"/>
    <b v="1"/>
    <s v="Cancelled"/>
    <n v="0"/>
    <x v="1"/>
    <s v="REP014"/>
    <x v="2"/>
    <s v="Toll Solution"/>
    <s v="Enterprise"/>
  </r>
  <r>
    <s v="TXN0000689"/>
    <s v="CUST00087"/>
    <b v="1"/>
    <d v="2025-12-23T00:00:00"/>
    <x v="4"/>
    <s v="Toll"/>
    <n v="35904.720000000001"/>
    <n v="641.46"/>
    <b v="1"/>
    <s v="Completed"/>
    <n v="641.46"/>
    <x v="1"/>
    <s v="REP014"/>
    <x v="2"/>
    <s v="Toll Solution"/>
    <s v="Enterprise"/>
  </r>
  <r>
    <s v="TXN0000690"/>
    <s v="CUST00087"/>
    <b v="1"/>
    <d v="2025-12-06T00:00:00"/>
    <x v="4"/>
    <s v="Toll"/>
    <n v="16455.14"/>
    <n v="258.27"/>
    <b v="1"/>
    <s v="Completed"/>
    <n v="258.27"/>
    <x v="1"/>
    <s v="REP014"/>
    <x v="2"/>
    <s v="Toll Solution"/>
    <s v="Enterprise"/>
  </r>
  <r>
    <s v="TXN0000691"/>
    <s v="CUST00090"/>
    <b v="1"/>
    <d v="2025-03-27T00:00:00"/>
    <x v="10"/>
    <s v="Toll"/>
    <n v="62725.96"/>
    <n v="1104.7"/>
    <b v="1"/>
    <s v="Completed"/>
    <n v="1104.7"/>
    <x v="1"/>
    <s v="REP014"/>
    <x v="2"/>
    <s v="Toll Solution"/>
    <s v="Enterprise"/>
  </r>
  <r>
    <s v="TXN0000692"/>
    <s v="CUST00090"/>
    <b v="1"/>
    <d v="2025-03-31T00:00:00"/>
    <x v="10"/>
    <s v="Toll"/>
    <n v="57241.16"/>
    <n v="1091.42"/>
    <b v="1"/>
    <s v="Completed"/>
    <n v="1091.42"/>
    <x v="1"/>
    <s v="REP014"/>
    <x v="2"/>
    <s v="Toll Solution"/>
    <s v="Enterprise"/>
  </r>
  <r>
    <s v="TXN0000693"/>
    <s v="CUST00090"/>
    <b v="1"/>
    <d v="2025-03-27T00:00:00"/>
    <x v="10"/>
    <s v="Toll"/>
    <n v="30743.03"/>
    <n v="626.19000000000005"/>
    <b v="1"/>
    <s v="Completed"/>
    <n v="626.19000000000005"/>
    <x v="1"/>
    <s v="REP014"/>
    <x v="2"/>
    <s v="Toll Solution"/>
    <s v="Enterprise"/>
  </r>
  <r>
    <s v="TXN0000694"/>
    <s v="CUST00090"/>
    <b v="1"/>
    <d v="2025-04-02T00:00:00"/>
    <x v="5"/>
    <s v="Toll"/>
    <n v="54731.18"/>
    <n v="1121.9100000000001"/>
    <b v="1"/>
    <s v="Completed"/>
    <n v="1121.9100000000001"/>
    <x v="1"/>
    <s v="REP014"/>
    <x v="2"/>
    <s v="Toll Solution"/>
    <s v="Enterprise"/>
  </r>
  <r>
    <s v="TXN0000695"/>
    <s v="CUST00090"/>
    <b v="1"/>
    <d v="2025-04-21T00:00:00"/>
    <x v="5"/>
    <s v="Toll"/>
    <n v="34118.46"/>
    <n v="691.02"/>
    <b v="1"/>
    <s v="Completed"/>
    <n v="691.02"/>
    <x v="1"/>
    <s v="REP014"/>
    <x v="2"/>
    <s v="Toll Solution"/>
    <s v="Enterprise"/>
  </r>
  <r>
    <s v="TXN0000696"/>
    <s v="CUST00090"/>
    <b v="1"/>
    <d v="2025-04-20T00:00:00"/>
    <x v="5"/>
    <s v="Toll"/>
    <n v="50442.16"/>
    <n v="866.19"/>
    <b v="1"/>
    <s v="Completed"/>
    <n v="866.19"/>
    <x v="1"/>
    <s v="REP014"/>
    <x v="2"/>
    <s v="Toll Solution"/>
    <s v="Enterprise"/>
  </r>
  <r>
    <s v="TXN0000697"/>
    <s v="CUST00090"/>
    <b v="1"/>
    <d v="2025-05-31T00:00:00"/>
    <x v="6"/>
    <s v="Toll"/>
    <n v="36716.47"/>
    <n v="646.04"/>
    <b v="1"/>
    <s v="Completed"/>
    <n v="646.04"/>
    <x v="1"/>
    <s v="REP014"/>
    <x v="2"/>
    <s v="Toll Solution"/>
    <s v="Enterprise"/>
  </r>
  <r>
    <s v="TXN0000698"/>
    <s v="CUST00090"/>
    <b v="1"/>
    <d v="2025-05-16T00:00:00"/>
    <x v="6"/>
    <s v="Toll"/>
    <n v="55486.94"/>
    <n v="863.01"/>
    <b v="1"/>
    <s v="Completed"/>
    <n v="863.01"/>
    <x v="1"/>
    <s v="REP014"/>
    <x v="2"/>
    <s v="Toll Solution"/>
    <s v="Enterprise"/>
  </r>
  <r>
    <s v="TXN0000699"/>
    <s v="CUST00090"/>
    <b v="1"/>
    <d v="2025-06-22T00:00:00"/>
    <x v="7"/>
    <s v="Toll"/>
    <n v="59330.22"/>
    <n v="980.8"/>
    <b v="1"/>
    <s v="Completed"/>
    <n v="980.8"/>
    <x v="1"/>
    <s v="REP014"/>
    <x v="2"/>
    <s v="Toll Solution"/>
    <s v="Enterprise"/>
  </r>
  <r>
    <s v="TXN0000700"/>
    <s v="CUST00090"/>
    <b v="1"/>
    <d v="2025-06-28T00:00:00"/>
    <x v="7"/>
    <s v="Toll"/>
    <n v="31756.33"/>
    <n v="0"/>
    <b v="1"/>
    <s v="Cancelled"/>
    <n v="0"/>
    <x v="1"/>
    <s v="REP014"/>
    <x v="2"/>
    <s v="Toll Solution"/>
    <s v="Enterprise"/>
  </r>
  <r>
    <s v="TXN0000701"/>
    <s v="CUST00090"/>
    <b v="1"/>
    <d v="2025-06-11T00:00:00"/>
    <x v="7"/>
    <s v="Toll"/>
    <n v="44029.59"/>
    <n v="684.61"/>
    <b v="1"/>
    <s v="Completed"/>
    <n v="684.61"/>
    <x v="1"/>
    <s v="REP014"/>
    <x v="2"/>
    <s v="Toll Solution"/>
    <s v="Enterprise"/>
  </r>
  <r>
    <s v="TXN0000702"/>
    <s v="CUST00090"/>
    <b v="1"/>
    <d v="2025-07-26T00:00:00"/>
    <x v="8"/>
    <s v="Toll"/>
    <n v="55527.27"/>
    <n v="1065.95"/>
    <b v="1"/>
    <s v="Completed"/>
    <n v="1065.95"/>
    <x v="1"/>
    <s v="REP014"/>
    <x v="2"/>
    <s v="Toll Solution"/>
    <s v="Enterprise"/>
  </r>
  <r>
    <s v="TXN0000703"/>
    <s v="CUST00090"/>
    <b v="1"/>
    <d v="2025-08-16T00:00:00"/>
    <x v="0"/>
    <s v="Toll"/>
    <n v="27373.61"/>
    <n v="432.06"/>
    <b v="1"/>
    <s v="Completed"/>
    <n v="432.06"/>
    <x v="1"/>
    <s v="REP014"/>
    <x v="2"/>
    <s v="Toll Solution"/>
    <s v="Enterprise"/>
  </r>
  <r>
    <s v="TXN0000704"/>
    <s v="CUST00090"/>
    <b v="1"/>
    <d v="2025-09-17T00:00:00"/>
    <x v="1"/>
    <s v="Toll"/>
    <n v="43073.63"/>
    <n v="765.95"/>
    <b v="1"/>
    <s v="Completed"/>
    <n v="765.95"/>
    <x v="1"/>
    <s v="REP014"/>
    <x v="2"/>
    <s v="Toll Solution"/>
    <s v="Enterprise"/>
  </r>
  <r>
    <s v="TXN0000705"/>
    <s v="CUST00090"/>
    <b v="1"/>
    <d v="2025-09-25T00:00:00"/>
    <x v="1"/>
    <s v="Toll"/>
    <n v="21231.95"/>
    <n v="337.5"/>
    <b v="1"/>
    <s v="Completed"/>
    <n v="337.5"/>
    <x v="1"/>
    <s v="REP014"/>
    <x v="2"/>
    <s v="Toll Solution"/>
    <s v="Enterprise"/>
  </r>
  <r>
    <s v="TXN0000706"/>
    <s v="CUST00090"/>
    <b v="1"/>
    <d v="2025-10-02T00:00:00"/>
    <x v="2"/>
    <s v="Toll"/>
    <n v="41349.58"/>
    <n v="673.55"/>
    <b v="1"/>
    <s v="Completed"/>
    <n v="673.55"/>
    <x v="1"/>
    <s v="REP014"/>
    <x v="2"/>
    <s v="Toll Solution"/>
    <s v="Enterprise"/>
  </r>
  <r>
    <s v="TXN0000707"/>
    <s v="CUST00090"/>
    <b v="1"/>
    <d v="2025-11-25T00:00:00"/>
    <x v="3"/>
    <s v="Toll"/>
    <n v="15207.16"/>
    <n v="275.67"/>
    <b v="1"/>
    <s v="Completed"/>
    <n v="275.67"/>
    <x v="1"/>
    <s v="REP014"/>
    <x v="2"/>
    <s v="Toll Solution"/>
    <s v="Enterprise"/>
  </r>
  <r>
    <s v="TXN0000708"/>
    <s v="CUST00090"/>
    <b v="1"/>
    <d v="2025-11-11T00:00:00"/>
    <x v="3"/>
    <s v="Toll"/>
    <n v="17628.2"/>
    <n v="341.33"/>
    <b v="1"/>
    <s v="Completed"/>
    <n v="341.33"/>
    <x v="1"/>
    <s v="REP014"/>
    <x v="2"/>
    <s v="Toll Solution"/>
    <s v="Enterprise"/>
  </r>
  <r>
    <s v="TXN0000709"/>
    <s v="CUST00090"/>
    <b v="1"/>
    <d v="2025-12-20T00:00:00"/>
    <x v="4"/>
    <s v="Toll"/>
    <n v="24930.61"/>
    <n v="493.07"/>
    <b v="1"/>
    <s v="Completed"/>
    <n v="493.07"/>
    <x v="1"/>
    <s v="REP014"/>
    <x v="2"/>
    <s v="Toll Solution"/>
    <s v="Enterprise"/>
  </r>
  <r>
    <s v="TXN0000710"/>
    <s v="CUST00091"/>
    <b v="1"/>
    <d v="2025-03-29T00:00:00"/>
    <x v="10"/>
    <s v="Fuel"/>
    <n v="22018.03"/>
    <n v="498.61"/>
    <b v="1"/>
    <s v="Completed"/>
    <n v="498.61"/>
    <x v="4"/>
    <s v="REP011"/>
    <x v="4"/>
    <s v="Fuel Card"/>
    <s v="Enterprise"/>
  </r>
  <r>
    <s v="TXN0000711"/>
    <s v="CUST00091"/>
    <b v="1"/>
    <d v="2025-03-30T00:00:00"/>
    <x v="10"/>
    <s v="Fuel"/>
    <n v="40836.79"/>
    <n v="964.2"/>
    <b v="1"/>
    <s v="Completed"/>
    <n v="964.2"/>
    <x v="4"/>
    <s v="REP011"/>
    <x v="4"/>
    <s v="Fuel Card"/>
    <s v="Enterprise"/>
  </r>
  <r>
    <s v="TXN0000712"/>
    <s v="CUST00091"/>
    <b v="1"/>
    <d v="2025-03-16T00:00:00"/>
    <x v="10"/>
    <s v="Fuel"/>
    <n v="42850.49"/>
    <n v="1100.01"/>
    <b v="1"/>
    <s v="Completed"/>
    <n v="1100.01"/>
    <x v="4"/>
    <s v="REP011"/>
    <x v="4"/>
    <s v="Fuel Card"/>
    <s v="Enterprise"/>
  </r>
  <r>
    <s v="TXN0000713"/>
    <s v="CUST00091"/>
    <b v="1"/>
    <d v="2025-04-17T00:00:00"/>
    <x v="5"/>
    <s v="Fuel"/>
    <n v="30295.33"/>
    <n v="648.52"/>
    <b v="1"/>
    <s v="Completed"/>
    <n v="648.52"/>
    <x v="4"/>
    <s v="REP011"/>
    <x v="4"/>
    <s v="Fuel Card"/>
    <s v="Enterprise"/>
  </r>
  <r>
    <s v="TXN0000714"/>
    <s v="CUST00091"/>
    <b v="1"/>
    <d v="2025-04-09T00:00:00"/>
    <x v="5"/>
    <s v="Fuel"/>
    <n v="30598.53"/>
    <n v="828.04"/>
    <b v="1"/>
    <s v="Completed"/>
    <n v="828.04"/>
    <x v="4"/>
    <s v="REP011"/>
    <x v="4"/>
    <s v="Fuel Card"/>
    <s v="Enterprise"/>
  </r>
  <r>
    <s v="TXN0000715"/>
    <s v="CUST00091"/>
    <b v="1"/>
    <d v="2025-04-30T00:00:00"/>
    <x v="5"/>
    <s v="Fuel"/>
    <n v="56533.29"/>
    <n v="1376.42"/>
    <b v="1"/>
    <s v="Completed"/>
    <n v="1376.42"/>
    <x v="4"/>
    <s v="REP011"/>
    <x v="4"/>
    <s v="Fuel Card"/>
    <s v="Enterprise"/>
  </r>
  <r>
    <s v="TXN0000716"/>
    <s v="CUST00091"/>
    <b v="1"/>
    <d v="2025-05-01T00:00:00"/>
    <x v="6"/>
    <s v="Fuel"/>
    <n v="36761.46"/>
    <n v="786.21"/>
    <b v="1"/>
    <s v="Completed"/>
    <n v="786.21"/>
    <x v="4"/>
    <s v="REP011"/>
    <x v="4"/>
    <s v="Fuel Card"/>
    <s v="Enterprise"/>
  </r>
  <r>
    <s v="TXN0000717"/>
    <s v="CUST00091"/>
    <b v="1"/>
    <d v="2025-05-08T00:00:00"/>
    <x v="6"/>
    <s v="Fuel"/>
    <n v="54082.42"/>
    <n v="1472.01"/>
    <b v="1"/>
    <s v="Completed"/>
    <n v="1472.01"/>
    <x v="4"/>
    <s v="REP011"/>
    <x v="4"/>
    <s v="Fuel Card"/>
    <s v="Enterprise"/>
  </r>
  <r>
    <s v="TXN0000718"/>
    <s v="CUST00091"/>
    <b v="1"/>
    <d v="2025-05-23T00:00:00"/>
    <x v="6"/>
    <s v="Fuel"/>
    <n v="38996.79"/>
    <n v="0"/>
    <b v="1"/>
    <s v="Cancelled"/>
    <n v="0"/>
    <x v="4"/>
    <s v="REP011"/>
    <x v="4"/>
    <s v="Fuel Card"/>
    <s v="Enterprise"/>
  </r>
  <r>
    <s v="TXN0000719"/>
    <s v="CUST00091"/>
    <b v="1"/>
    <d v="2025-06-01T00:00:00"/>
    <x v="7"/>
    <s v="Fuel"/>
    <n v="32937.75"/>
    <n v="920.72"/>
    <b v="1"/>
    <s v="Completed"/>
    <n v="920.72"/>
    <x v="4"/>
    <s v="REP011"/>
    <x v="4"/>
    <s v="Fuel Card"/>
    <s v="Enterprise"/>
  </r>
  <r>
    <s v="TXN0000720"/>
    <s v="CUST00091"/>
    <b v="1"/>
    <d v="2025-06-17T00:00:00"/>
    <x v="7"/>
    <s v="Fuel"/>
    <n v="51631.22"/>
    <n v="1180.95"/>
    <b v="1"/>
    <s v="Completed"/>
    <n v="1180.95"/>
    <x v="4"/>
    <s v="REP011"/>
    <x v="4"/>
    <s v="Fuel Card"/>
    <s v="Enterprise"/>
  </r>
  <r>
    <s v="TXN0000721"/>
    <s v="CUST00091"/>
    <b v="1"/>
    <d v="2025-07-03T00:00:00"/>
    <x v="8"/>
    <s v="Fuel"/>
    <n v="45794.17"/>
    <n v="1181.95"/>
    <b v="1"/>
    <s v="Completed"/>
    <n v="1181.95"/>
    <x v="4"/>
    <s v="REP011"/>
    <x v="4"/>
    <s v="Fuel Card"/>
    <s v="Enterprise"/>
  </r>
  <r>
    <s v="TXN0000722"/>
    <s v="CUST00091"/>
    <b v="1"/>
    <d v="2025-07-21T00:00:00"/>
    <x v="8"/>
    <s v="Fuel"/>
    <n v="55490.63"/>
    <n v="1231.8"/>
    <b v="1"/>
    <s v="Completed"/>
    <n v="1231.8"/>
    <x v="4"/>
    <s v="REP011"/>
    <x v="4"/>
    <s v="Fuel Card"/>
    <s v="Enterprise"/>
  </r>
  <r>
    <s v="TXN0000723"/>
    <s v="CUST00091"/>
    <b v="1"/>
    <d v="2025-07-24T00:00:00"/>
    <x v="8"/>
    <s v="Fuel"/>
    <n v="24751.69"/>
    <n v="615.96"/>
    <b v="1"/>
    <s v="Completed"/>
    <n v="615.96"/>
    <x v="4"/>
    <s v="REP011"/>
    <x v="4"/>
    <s v="Fuel Card"/>
    <s v="Enterprise"/>
  </r>
  <r>
    <s v="TXN0000724"/>
    <s v="CUST00091"/>
    <b v="1"/>
    <d v="2025-08-06T00:00:00"/>
    <x v="0"/>
    <s v="Fuel"/>
    <n v="20614.509999999998"/>
    <n v="535.21"/>
    <b v="1"/>
    <s v="Completed"/>
    <n v="535.21"/>
    <x v="4"/>
    <s v="REP011"/>
    <x v="4"/>
    <s v="Fuel Card"/>
    <s v="Enterprise"/>
  </r>
  <r>
    <s v="TXN0000725"/>
    <s v="CUST00091"/>
    <b v="1"/>
    <d v="2025-08-01T00:00:00"/>
    <x v="0"/>
    <s v="Fuel"/>
    <n v="54325.63"/>
    <n v="1343.44"/>
    <b v="1"/>
    <s v="Completed"/>
    <n v="1343.44"/>
    <x v="4"/>
    <s v="REP011"/>
    <x v="4"/>
    <s v="Fuel Card"/>
    <s v="Enterprise"/>
  </r>
  <r>
    <s v="TXN0000726"/>
    <s v="CUST00091"/>
    <b v="1"/>
    <d v="2025-08-30T00:00:00"/>
    <x v="0"/>
    <s v="Fuel"/>
    <n v="39475.61"/>
    <n v="1005.75"/>
    <b v="1"/>
    <s v="Completed"/>
    <n v="1005.75"/>
    <x v="4"/>
    <s v="REP011"/>
    <x v="4"/>
    <s v="Fuel Card"/>
    <s v="Enterprise"/>
  </r>
  <r>
    <s v="TXN0000727"/>
    <s v="CUST00091"/>
    <b v="1"/>
    <d v="2025-09-01T00:00:00"/>
    <x v="1"/>
    <s v="Fuel"/>
    <n v="39932.49"/>
    <n v="1061.06"/>
    <b v="1"/>
    <s v="Completed"/>
    <n v="1061.06"/>
    <x v="4"/>
    <s v="REP011"/>
    <x v="4"/>
    <s v="Fuel Card"/>
    <s v="Enterprise"/>
  </r>
  <r>
    <s v="TXN0000728"/>
    <s v="CUST00092"/>
    <b v="1"/>
    <d v="2025-11-24T00:00:00"/>
    <x v="3"/>
    <s v="EV Charging"/>
    <n v="2408.86"/>
    <n v="68.09"/>
    <b v="1"/>
    <s v="Completed"/>
    <n v="68.09"/>
    <x v="3"/>
    <s v="REP003"/>
    <x v="2"/>
    <s v="EV Charge Card"/>
    <s v="SME"/>
  </r>
  <r>
    <s v="TXN0000729"/>
    <s v="CUST00092"/>
    <b v="1"/>
    <d v="2025-11-14T00:00:00"/>
    <x v="3"/>
    <s v="EV Charging"/>
    <n v="3859.65"/>
    <n v="132.69999999999999"/>
    <b v="1"/>
    <s v="Completed"/>
    <n v="132.69999999999999"/>
    <x v="3"/>
    <s v="REP003"/>
    <x v="2"/>
    <s v="EV Charge Card"/>
    <s v="SME"/>
  </r>
  <r>
    <s v="TXN0000730"/>
    <s v="CUST00092"/>
    <b v="1"/>
    <d v="2025-12-13T00:00:00"/>
    <x v="4"/>
    <s v="EV Charging"/>
    <n v="1820"/>
    <n v="48.99"/>
    <b v="1"/>
    <s v="Completed"/>
    <n v="48.99"/>
    <x v="3"/>
    <s v="REP003"/>
    <x v="2"/>
    <s v="EV Charge Card"/>
    <s v="SME"/>
  </r>
  <r>
    <s v="TXN0000731"/>
    <s v="CUST00092"/>
    <b v="1"/>
    <d v="2025-12-29T00:00:00"/>
    <x v="4"/>
    <s v="EV Charging"/>
    <n v="4447.0600000000004"/>
    <n v="144.65"/>
    <b v="1"/>
    <s v="Completed"/>
    <n v="144.65"/>
    <x v="3"/>
    <s v="REP003"/>
    <x v="2"/>
    <s v="EV Charge Card"/>
    <s v="SME"/>
  </r>
  <r>
    <s v="TXN0000732"/>
    <s v="CUST00094"/>
    <b v="1"/>
    <d v="2025-11-23T00:00:00"/>
    <x v="3"/>
    <s v="Fuel"/>
    <n v="2543"/>
    <n v="66.099999999999994"/>
    <b v="1"/>
    <s v="Completed"/>
    <n v="66.099999999999994"/>
    <x v="1"/>
    <s v="REP014"/>
    <x v="1"/>
    <s v="Fuel Card"/>
    <s v="SME"/>
  </r>
  <r>
    <s v="TXN0000733"/>
    <s v="CUST00094"/>
    <b v="1"/>
    <d v="2025-11-24T00:00:00"/>
    <x v="3"/>
    <s v="Fuel"/>
    <n v="1471.43"/>
    <n v="36.06"/>
    <b v="1"/>
    <s v="Completed"/>
    <n v="36.06"/>
    <x v="1"/>
    <s v="REP014"/>
    <x v="1"/>
    <s v="Fuel Card"/>
    <s v="SME"/>
  </r>
  <r>
    <s v="TXN0000734"/>
    <s v="CUST00094"/>
    <b v="1"/>
    <d v="2025-12-23T00:00:00"/>
    <x v="4"/>
    <s v="Fuel"/>
    <n v="4751.47"/>
    <n v="128.08000000000001"/>
    <b v="1"/>
    <s v="Completed"/>
    <n v="128.08000000000001"/>
    <x v="1"/>
    <s v="REP014"/>
    <x v="1"/>
    <s v="Fuel Card"/>
    <s v="SME"/>
  </r>
  <r>
    <s v="TXN0000735"/>
    <s v="CUST00094"/>
    <b v="1"/>
    <d v="2025-12-15T00:00:00"/>
    <x v="4"/>
    <s v="Fuel"/>
    <n v="3617.33"/>
    <n v="86.22"/>
    <b v="1"/>
    <s v="Completed"/>
    <n v="86.22"/>
    <x v="1"/>
    <s v="REP014"/>
    <x v="1"/>
    <s v="Fuel Card"/>
    <s v="SME"/>
  </r>
  <r>
    <s v="TXN0000736"/>
    <s v="CUST00094"/>
    <b v="1"/>
    <d v="2025-12-14T00:00:00"/>
    <x v="4"/>
    <s v="Fuel"/>
    <n v="5083.0200000000004"/>
    <n v="123.12"/>
    <b v="1"/>
    <s v="Completed"/>
    <n v="123.12"/>
    <x v="1"/>
    <s v="REP014"/>
    <x v="1"/>
    <s v="Fuel Card"/>
    <s v="SME"/>
  </r>
  <r>
    <s v="TXN0000737"/>
    <s v="CUST00095"/>
    <b v="1"/>
    <d v="2025-08-21T00:00:00"/>
    <x v="0"/>
    <s v="Toll"/>
    <n v="4960.9799999999996"/>
    <n v="87.56"/>
    <b v="1"/>
    <s v="Completed"/>
    <n v="87.56"/>
    <x v="0"/>
    <s v="REP007"/>
    <x v="2"/>
    <s v="Toll Solution"/>
    <s v="SME"/>
  </r>
  <r>
    <s v="TXN0000738"/>
    <s v="CUST00095"/>
    <b v="1"/>
    <d v="2025-08-23T00:00:00"/>
    <x v="0"/>
    <s v="Toll"/>
    <n v="1949.9"/>
    <n v="0"/>
    <b v="1"/>
    <s v="Cancelled"/>
    <n v="0"/>
    <x v="0"/>
    <s v="REP007"/>
    <x v="2"/>
    <s v="Toll Solution"/>
    <s v="SME"/>
  </r>
  <r>
    <s v="TXN0000739"/>
    <s v="CUST00095"/>
    <b v="1"/>
    <d v="2025-08-29T00:00:00"/>
    <x v="0"/>
    <s v="Toll"/>
    <n v="3990.93"/>
    <n v="72.09"/>
    <b v="1"/>
    <s v="Completed"/>
    <n v="72.09"/>
    <x v="0"/>
    <s v="REP007"/>
    <x v="2"/>
    <s v="Toll Solution"/>
    <s v="SME"/>
  </r>
  <r>
    <s v="TXN0000740"/>
    <s v="CUST00095"/>
    <b v="1"/>
    <d v="2025-09-11T00:00:00"/>
    <x v="1"/>
    <s v="Toll"/>
    <n v="3593.83"/>
    <n v="66.37"/>
    <b v="1"/>
    <s v="Completed"/>
    <n v="66.37"/>
    <x v="0"/>
    <s v="REP007"/>
    <x v="2"/>
    <s v="Toll Solution"/>
    <s v="SME"/>
  </r>
  <r>
    <s v="TXN0000741"/>
    <s v="CUST00095"/>
    <b v="1"/>
    <d v="2025-09-16T00:00:00"/>
    <x v="1"/>
    <s v="Toll"/>
    <n v="3250.2"/>
    <n v="52.23"/>
    <b v="1"/>
    <s v="Completed"/>
    <n v="52.23"/>
    <x v="0"/>
    <s v="REP007"/>
    <x v="2"/>
    <s v="Toll Solution"/>
    <s v="SME"/>
  </r>
  <r>
    <s v="TXN0000742"/>
    <s v="CUST00095"/>
    <b v="1"/>
    <d v="2025-09-15T00:00:00"/>
    <x v="1"/>
    <s v="Toll"/>
    <n v="2411.75"/>
    <n v="40.74"/>
    <b v="1"/>
    <s v="Completed"/>
    <n v="40.74"/>
    <x v="0"/>
    <s v="REP007"/>
    <x v="2"/>
    <s v="Toll Solution"/>
    <s v="SME"/>
  </r>
  <r>
    <s v="TXN0000743"/>
    <s v="CUST00095"/>
    <b v="1"/>
    <d v="2025-10-20T00:00:00"/>
    <x v="2"/>
    <s v="Toll"/>
    <n v="4778.88"/>
    <n v="74.099999999999994"/>
    <b v="1"/>
    <s v="Completed"/>
    <n v="74.099999999999994"/>
    <x v="0"/>
    <s v="REP007"/>
    <x v="2"/>
    <s v="Toll Solution"/>
    <s v="SME"/>
  </r>
  <r>
    <s v="TXN0000744"/>
    <s v="CUST00095"/>
    <b v="1"/>
    <d v="2025-10-06T00:00:00"/>
    <x v="2"/>
    <s v="Toll"/>
    <n v="1237.03"/>
    <n v="23.02"/>
    <b v="1"/>
    <s v="Completed"/>
    <n v="23.02"/>
    <x v="0"/>
    <s v="REP007"/>
    <x v="2"/>
    <s v="Toll Solution"/>
    <s v="SME"/>
  </r>
  <r>
    <s v="TXN0000745"/>
    <s v="CUST00095"/>
    <b v="1"/>
    <d v="2025-11-30T00:00:00"/>
    <x v="3"/>
    <s v="Toll"/>
    <n v="1391.74"/>
    <n v="27.38"/>
    <b v="1"/>
    <s v="Completed"/>
    <n v="27.38"/>
    <x v="0"/>
    <s v="REP007"/>
    <x v="2"/>
    <s v="Toll Solution"/>
    <s v="SME"/>
  </r>
  <r>
    <s v="TXN0000746"/>
    <s v="CUST00095"/>
    <b v="1"/>
    <d v="2025-11-03T00:00:00"/>
    <x v="3"/>
    <s v="Toll"/>
    <n v="4300.87"/>
    <n v="70.86"/>
    <b v="1"/>
    <s v="Completed"/>
    <n v="70.86"/>
    <x v="0"/>
    <s v="REP007"/>
    <x v="2"/>
    <s v="Toll Solution"/>
    <s v="SME"/>
  </r>
  <r>
    <s v="TXN0000747"/>
    <s v="CUST00095"/>
    <b v="1"/>
    <d v="2025-12-06T00:00:00"/>
    <x v="4"/>
    <s v="Toll"/>
    <n v="1738.48"/>
    <n v="31.86"/>
    <b v="1"/>
    <s v="Completed"/>
    <n v="31.86"/>
    <x v="0"/>
    <s v="REP007"/>
    <x v="2"/>
    <s v="Toll Solution"/>
    <s v="SME"/>
  </r>
  <r>
    <s v="TXN0000748"/>
    <s v="CUST00096"/>
    <b v="1"/>
    <d v="2025-09-28T00:00:00"/>
    <x v="1"/>
    <s v="Fuel"/>
    <n v="4797.6099999999997"/>
    <n v="127.97"/>
    <b v="1"/>
    <s v="Cancelled"/>
    <n v="0"/>
    <x v="1"/>
    <s v="REP013"/>
    <x v="4"/>
    <s v="Fuel Card"/>
    <s v="SME"/>
  </r>
  <r>
    <s v="TXN0000749"/>
    <s v="CUST00096"/>
    <b v="1"/>
    <d v="2025-09-12T00:00:00"/>
    <x v="1"/>
    <s v="Fuel"/>
    <n v="3351.63"/>
    <n v="89.81"/>
    <b v="1"/>
    <s v="Completed"/>
    <n v="89.81"/>
    <x v="1"/>
    <s v="REP013"/>
    <x v="4"/>
    <s v="Fuel Card"/>
    <s v="SME"/>
  </r>
  <r>
    <s v="TXN0000750"/>
    <s v="CUST00096"/>
    <b v="1"/>
    <d v="2025-10-29T00:00:00"/>
    <x v="2"/>
    <s v="Fuel"/>
    <n v="3294.61"/>
    <n v="84.05"/>
    <b v="1"/>
    <s v="Completed"/>
    <n v="84.05"/>
    <x v="1"/>
    <s v="REP013"/>
    <x v="4"/>
    <s v="Fuel Card"/>
    <s v="SME"/>
  </r>
  <r>
    <s v="TXN0000751"/>
    <s v="CUST00096"/>
    <b v="1"/>
    <d v="2025-10-25T00:00:00"/>
    <x v="2"/>
    <s v="Fuel"/>
    <n v="3490.97"/>
    <n v="92.62"/>
    <b v="1"/>
    <s v="Completed"/>
    <n v="92.62"/>
    <x v="1"/>
    <s v="REP013"/>
    <x v="4"/>
    <s v="Fuel Card"/>
    <s v="SME"/>
  </r>
  <r>
    <s v="TXN0000752"/>
    <s v="CUST00096"/>
    <b v="1"/>
    <d v="2025-10-19T00:00:00"/>
    <x v="2"/>
    <s v="Fuel"/>
    <n v="2433.37"/>
    <n v="54.53"/>
    <b v="1"/>
    <s v="Completed"/>
    <n v="54.53"/>
    <x v="1"/>
    <s v="REP013"/>
    <x v="4"/>
    <s v="Fuel Card"/>
    <s v="SME"/>
  </r>
  <r>
    <s v="TXN0000753"/>
    <s v="CUST00096"/>
    <b v="1"/>
    <d v="2025-11-01T00:00:00"/>
    <x v="3"/>
    <s v="Fuel"/>
    <n v="3376.34"/>
    <n v="75.19"/>
    <b v="1"/>
    <s v="Completed"/>
    <n v="75.19"/>
    <x v="1"/>
    <s v="REP013"/>
    <x v="4"/>
    <s v="Fuel Card"/>
    <s v="SME"/>
  </r>
  <r>
    <s v="TXN0000754"/>
    <s v="CUST00096"/>
    <b v="1"/>
    <d v="2025-11-14T00:00:00"/>
    <x v="3"/>
    <s v="Fuel"/>
    <n v="2643.46"/>
    <n v="69.69"/>
    <b v="1"/>
    <s v="Completed"/>
    <n v="69.69"/>
    <x v="1"/>
    <s v="REP013"/>
    <x v="4"/>
    <s v="Fuel Card"/>
    <s v="SME"/>
  </r>
  <r>
    <s v="TXN0000755"/>
    <s v="CUST00096"/>
    <b v="1"/>
    <d v="2025-11-11T00:00:00"/>
    <x v="3"/>
    <s v="Fuel"/>
    <n v="3841.43"/>
    <n v="108.94"/>
    <b v="1"/>
    <s v="Completed"/>
    <n v="108.94"/>
    <x v="1"/>
    <s v="REP013"/>
    <x v="4"/>
    <s v="Fuel Card"/>
    <s v="SME"/>
  </r>
  <r>
    <s v="TXN0000756"/>
    <s v="CUST00097"/>
    <b v="1"/>
    <d v="2025-12-29T00:00:00"/>
    <x v="4"/>
    <s v="Fuel"/>
    <n v="3474.11"/>
    <n v="97.03"/>
    <b v="1"/>
    <s v="Completed"/>
    <n v="97.03"/>
    <x v="3"/>
    <s v="REP003"/>
    <x v="0"/>
    <s v="Fuel Card"/>
    <s v="SME"/>
  </r>
  <r>
    <s v="TXN0000757"/>
    <s v="CUST00097"/>
    <b v="1"/>
    <d v="2025-12-30T00:00:00"/>
    <x v="4"/>
    <s v="Fuel"/>
    <n v="4827.63"/>
    <n v="114.14"/>
    <b v="1"/>
    <s v="Completed"/>
    <n v="114.14"/>
    <x v="3"/>
    <s v="REP003"/>
    <x v="0"/>
    <s v="Fuel Card"/>
    <s v="SME"/>
  </r>
  <r>
    <s v="TXN0000758"/>
    <s v="CUST00098"/>
    <b v="1"/>
    <d v="2025-11-30T00:00:00"/>
    <x v="3"/>
    <s v="Fuel"/>
    <n v="2909.91"/>
    <n v="69.05"/>
    <b v="1"/>
    <s v="Completed"/>
    <n v="69.05"/>
    <x v="0"/>
    <s v="REP007"/>
    <x v="1"/>
    <s v="Fuel Card"/>
    <s v="SME"/>
  </r>
  <r>
    <s v="TXN0000759"/>
    <s v="CUST00098"/>
    <b v="1"/>
    <d v="2025-11-16T00:00:00"/>
    <x v="3"/>
    <s v="Fuel"/>
    <n v="3408.13"/>
    <n v="84.97"/>
    <b v="1"/>
    <s v="Completed"/>
    <n v="84.97"/>
    <x v="0"/>
    <s v="REP007"/>
    <x v="1"/>
    <s v="Fuel Card"/>
    <s v="SME"/>
  </r>
  <r>
    <s v="TXN0000760"/>
    <s v="CUST00098"/>
    <b v="1"/>
    <d v="2025-11-02T00:00:00"/>
    <x v="3"/>
    <s v="Fuel"/>
    <n v="4064.49"/>
    <n v="105.99"/>
    <b v="1"/>
    <s v="Completed"/>
    <n v="105.99"/>
    <x v="0"/>
    <s v="REP007"/>
    <x v="1"/>
    <s v="Fuel Card"/>
    <s v="SME"/>
  </r>
  <r>
    <s v="TXN0000761"/>
    <s v="CUST00098"/>
    <b v="1"/>
    <d v="2025-12-10T00:00:00"/>
    <x v="4"/>
    <s v="Fuel"/>
    <n v="1241.47"/>
    <n v="31.36"/>
    <b v="1"/>
    <s v="Completed"/>
    <n v="31.36"/>
    <x v="0"/>
    <s v="REP007"/>
    <x v="1"/>
    <s v="Fuel Card"/>
    <s v="SME"/>
  </r>
  <r>
    <s v="TXN0000762"/>
    <s v="CUST00099"/>
    <b v="1"/>
    <d v="2025-06-30T00:00:00"/>
    <x v="7"/>
    <s v="Fuel"/>
    <n v="39193.94"/>
    <n v="945.19"/>
    <b v="1"/>
    <s v="Completed"/>
    <n v="945.19"/>
    <x v="3"/>
    <s v="REP002"/>
    <x v="2"/>
    <s v="Fuel Card"/>
    <s v="Enterprise"/>
  </r>
  <r>
    <s v="TXN0000763"/>
    <s v="CUST00099"/>
    <b v="1"/>
    <d v="2025-06-27T00:00:00"/>
    <x v="7"/>
    <s v="Fuel"/>
    <n v="45752.63"/>
    <n v="1286.08"/>
    <b v="1"/>
    <s v="Completed"/>
    <n v="1286.08"/>
    <x v="3"/>
    <s v="REP002"/>
    <x v="2"/>
    <s v="Fuel Card"/>
    <s v="Enterprise"/>
  </r>
  <r>
    <s v="TXN0000764"/>
    <s v="CUST00099"/>
    <b v="1"/>
    <d v="2025-06-26T00:00:00"/>
    <x v="7"/>
    <s v="Fuel"/>
    <n v="52328.15"/>
    <n v="1465.44"/>
    <b v="1"/>
    <s v="Completed"/>
    <n v="1465.44"/>
    <x v="3"/>
    <s v="REP002"/>
    <x v="2"/>
    <s v="Fuel Card"/>
    <s v="Enterprise"/>
  </r>
  <r>
    <s v="TXN0000765"/>
    <s v="CUST00099"/>
    <b v="1"/>
    <d v="2025-07-31T00:00:00"/>
    <x v="8"/>
    <s v="Fuel"/>
    <n v="16831.7"/>
    <n v="430.52"/>
    <b v="1"/>
    <s v="Completed"/>
    <n v="430.52"/>
    <x v="3"/>
    <s v="REP002"/>
    <x v="2"/>
    <s v="Fuel Card"/>
    <s v="Enterprise"/>
  </r>
  <r>
    <s v="TXN0000766"/>
    <s v="CUST00099"/>
    <b v="1"/>
    <d v="2025-07-02T00:00:00"/>
    <x v="8"/>
    <s v="Fuel"/>
    <n v="20122.22"/>
    <n v="550.89"/>
    <b v="1"/>
    <s v="Completed"/>
    <n v="550.89"/>
    <x v="3"/>
    <s v="REP002"/>
    <x v="2"/>
    <s v="Fuel Card"/>
    <s v="Enterprise"/>
  </r>
  <r>
    <s v="TXN0000767"/>
    <s v="CUST00099"/>
    <b v="1"/>
    <d v="2025-07-24T00:00:00"/>
    <x v="8"/>
    <s v="Fuel"/>
    <n v="54496.82"/>
    <n v="1247.68"/>
    <b v="1"/>
    <s v="Completed"/>
    <n v="1247.68"/>
    <x v="3"/>
    <s v="REP002"/>
    <x v="2"/>
    <s v="Fuel Card"/>
    <s v="Enterprise"/>
  </r>
  <r>
    <s v="TXN0000768"/>
    <s v="CUST00099"/>
    <b v="1"/>
    <d v="2025-08-05T00:00:00"/>
    <x v="0"/>
    <s v="Fuel"/>
    <n v="26703.13"/>
    <n v="683.3"/>
    <b v="1"/>
    <s v="Completed"/>
    <n v="683.3"/>
    <x v="3"/>
    <s v="REP002"/>
    <x v="2"/>
    <s v="Fuel Card"/>
    <s v="Enterprise"/>
  </r>
  <r>
    <s v="TXN0000769"/>
    <s v="CUST00099"/>
    <b v="1"/>
    <d v="2025-08-21T00:00:00"/>
    <x v="0"/>
    <s v="Fuel"/>
    <n v="55674.75"/>
    <n v="1449.65"/>
    <b v="1"/>
    <s v="Completed"/>
    <n v="1449.65"/>
    <x v="3"/>
    <s v="REP002"/>
    <x v="2"/>
    <s v="Fuel Card"/>
    <s v="Enterprise"/>
  </r>
  <r>
    <s v="TXN0000770"/>
    <s v="CUST00099"/>
    <b v="1"/>
    <d v="2025-08-01T00:00:00"/>
    <x v="0"/>
    <s v="Fuel"/>
    <n v="60081.75"/>
    <n v="1672.54"/>
    <b v="1"/>
    <s v="Completed"/>
    <n v="1672.54"/>
    <x v="3"/>
    <s v="REP002"/>
    <x v="2"/>
    <s v="Fuel Card"/>
    <s v="Enterprise"/>
  </r>
  <r>
    <s v="TXN0000771"/>
    <s v="CUST00099"/>
    <b v="1"/>
    <d v="2025-09-06T00:00:00"/>
    <x v="1"/>
    <s v="Fuel"/>
    <n v="41470.699999999997"/>
    <n v="1180.31"/>
    <b v="1"/>
    <s v="Completed"/>
    <n v="1180.31"/>
    <x v="3"/>
    <s v="REP002"/>
    <x v="2"/>
    <s v="Fuel Card"/>
    <s v="Enterprise"/>
  </r>
  <r>
    <s v="TXN0000772"/>
    <s v="CUST00099"/>
    <b v="1"/>
    <d v="2025-09-24T00:00:00"/>
    <x v="1"/>
    <s v="Fuel"/>
    <n v="24471.51"/>
    <n v="676.31"/>
    <b v="1"/>
    <s v="Completed"/>
    <n v="676.31"/>
    <x v="3"/>
    <s v="REP002"/>
    <x v="2"/>
    <s v="Fuel Card"/>
    <s v="Enterprise"/>
  </r>
  <r>
    <s v="TXN0000773"/>
    <s v="CUST00099"/>
    <b v="1"/>
    <d v="2025-10-15T00:00:00"/>
    <x v="2"/>
    <s v="Fuel"/>
    <n v="18849.03"/>
    <n v="513.5"/>
    <b v="1"/>
    <s v="Completed"/>
    <n v="513.5"/>
    <x v="3"/>
    <s v="REP002"/>
    <x v="2"/>
    <s v="Fuel Card"/>
    <s v="Enterprise"/>
  </r>
  <r>
    <s v="TXN0000774"/>
    <s v="CUST00099"/>
    <b v="1"/>
    <d v="2025-11-14T00:00:00"/>
    <x v="3"/>
    <s v="Fuel"/>
    <n v="26596.71"/>
    <n v="662.22"/>
    <b v="1"/>
    <s v="Completed"/>
    <n v="662.22"/>
    <x v="3"/>
    <s v="REP002"/>
    <x v="2"/>
    <s v="Fuel Card"/>
    <s v="Enterprise"/>
  </r>
  <r>
    <s v="TXN0000775"/>
    <s v="CUST00100"/>
    <b v="1"/>
    <d v="2025-12-20T00:00:00"/>
    <x v="4"/>
    <s v="Fuel"/>
    <n v="3269.32"/>
    <n v="81.16"/>
    <b v="1"/>
    <s v="Completed"/>
    <n v="81.16"/>
    <x v="1"/>
    <s v="REP015"/>
    <x v="2"/>
    <s v="Fuel Card"/>
    <s v="SME"/>
  </r>
  <r>
    <s v="TXN0000776"/>
    <s v="CUST00100"/>
    <b v="1"/>
    <d v="2025-12-22T00:00:00"/>
    <x v="4"/>
    <s v="Fuel"/>
    <n v="2379.09"/>
    <n v="66.87"/>
    <b v="1"/>
    <s v="Completed"/>
    <n v="66.87"/>
    <x v="1"/>
    <s v="REP015"/>
    <x v="2"/>
    <s v="Fuel Card"/>
    <s v="SME"/>
  </r>
  <r>
    <s v="TXN0000777"/>
    <s v="CUST00100"/>
    <b v="1"/>
    <d v="2025-12-23T00:00:00"/>
    <x v="4"/>
    <s v="Fuel"/>
    <n v="1673.53"/>
    <n v="39.880000000000003"/>
    <b v="1"/>
    <s v="Completed"/>
    <n v="39.880000000000003"/>
    <x v="1"/>
    <s v="REP015"/>
    <x v="2"/>
    <s v="Fuel Card"/>
    <s v="SME"/>
  </r>
  <r>
    <s v="TXN0000778"/>
    <s v="CUST00102"/>
    <b v="1"/>
    <d v="2025-02-28T00:00:00"/>
    <x v="9"/>
    <s v="Toll"/>
    <n v="8302.93"/>
    <n v="171.75"/>
    <b v="1"/>
    <s v="Completed"/>
    <n v="171.75"/>
    <x v="2"/>
    <s v="REP005"/>
    <x v="0"/>
    <s v="Toll Solution"/>
    <s v="Mid-Market"/>
  </r>
  <r>
    <s v="TXN0000779"/>
    <s v="CUST00102"/>
    <b v="1"/>
    <d v="2025-03-24T00:00:00"/>
    <x v="10"/>
    <s v="Toll"/>
    <n v="12437.86"/>
    <n v="234.75"/>
    <b v="1"/>
    <s v="Completed"/>
    <n v="234.75"/>
    <x v="2"/>
    <s v="REP005"/>
    <x v="0"/>
    <s v="Toll Solution"/>
    <s v="Mid-Market"/>
  </r>
  <r>
    <s v="TXN0000780"/>
    <s v="CUST00102"/>
    <b v="1"/>
    <d v="2025-04-11T00:00:00"/>
    <x v="5"/>
    <s v="Toll"/>
    <n v="9375.98"/>
    <n v="188.89"/>
    <b v="1"/>
    <s v="Completed"/>
    <n v="188.89"/>
    <x v="2"/>
    <s v="REP005"/>
    <x v="0"/>
    <s v="Toll Solution"/>
    <s v="Mid-Market"/>
  </r>
  <r>
    <s v="TXN0000781"/>
    <s v="CUST00102"/>
    <b v="1"/>
    <d v="2025-04-14T00:00:00"/>
    <x v="5"/>
    <s v="Toll"/>
    <n v="6633.8"/>
    <n v="101.72"/>
    <b v="1"/>
    <s v="Completed"/>
    <n v="101.72"/>
    <x v="2"/>
    <s v="REP005"/>
    <x v="0"/>
    <s v="Toll Solution"/>
    <s v="Mid-Market"/>
  </r>
  <r>
    <s v="TXN0000782"/>
    <s v="CUST00102"/>
    <b v="1"/>
    <d v="2025-04-12T00:00:00"/>
    <x v="5"/>
    <s v="Toll"/>
    <n v="15628.31"/>
    <n v="309.8"/>
    <b v="1"/>
    <s v="Completed"/>
    <n v="309.8"/>
    <x v="2"/>
    <s v="REP005"/>
    <x v="0"/>
    <s v="Toll Solution"/>
    <s v="Mid-Market"/>
  </r>
  <r>
    <s v="TXN0000783"/>
    <s v="CUST00102"/>
    <b v="1"/>
    <d v="2025-05-23T00:00:00"/>
    <x v="6"/>
    <s v="Toll"/>
    <n v="9003.74"/>
    <n v="170.77"/>
    <b v="1"/>
    <s v="Completed"/>
    <n v="170.77"/>
    <x v="2"/>
    <s v="REP005"/>
    <x v="0"/>
    <s v="Toll Solution"/>
    <s v="Mid-Market"/>
  </r>
  <r>
    <s v="TXN0000784"/>
    <s v="CUST00102"/>
    <b v="1"/>
    <d v="2025-05-19T00:00:00"/>
    <x v="6"/>
    <s v="Toll"/>
    <n v="12945.24"/>
    <n v="225.11"/>
    <b v="1"/>
    <s v="Completed"/>
    <n v="225.11"/>
    <x v="2"/>
    <s v="REP005"/>
    <x v="0"/>
    <s v="Toll Solution"/>
    <s v="Mid-Market"/>
  </r>
  <r>
    <s v="TXN0000785"/>
    <s v="CUST00102"/>
    <b v="1"/>
    <d v="2025-06-29T00:00:00"/>
    <x v="7"/>
    <s v="Toll"/>
    <n v="13793.48"/>
    <n v="266.89"/>
    <b v="1"/>
    <s v="Completed"/>
    <n v="266.89"/>
    <x v="2"/>
    <s v="REP005"/>
    <x v="0"/>
    <s v="Toll Solution"/>
    <s v="Mid-Market"/>
  </r>
  <r>
    <s v="TXN0000786"/>
    <s v="CUST00102"/>
    <b v="1"/>
    <d v="2025-07-03T00:00:00"/>
    <x v="8"/>
    <s v="Toll"/>
    <n v="15780.62"/>
    <n v="289.25"/>
    <b v="1"/>
    <s v="Completed"/>
    <n v="289.25"/>
    <x v="2"/>
    <s v="REP005"/>
    <x v="0"/>
    <s v="Toll Solution"/>
    <s v="Mid-Market"/>
  </r>
  <r>
    <s v="TXN0000787"/>
    <s v="CUST00102"/>
    <b v="1"/>
    <d v="2025-07-13T00:00:00"/>
    <x v="8"/>
    <s v="Toll"/>
    <n v="10592.74"/>
    <n v="176.83"/>
    <b v="1"/>
    <s v="Completed"/>
    <n v="176.83"/>
    <x v="2"/>
    <s v="REP005"/>
    <x v="0"/>
    <s v="Toll Solution"/>
    <s v="Mid-Market"/>
  </r>
  <r>
    <s v="TXN0000788"/>
    <s v="CUST00102"/>
    <b v="1"/>
    <d v="2025-07-24T00:00:00"/>
    <x v="8"/>
    <s v="Toll"/>
    <n v="6971.99"/>
    <n v="136.13"/>
    <b v="1"/>
    <s v="Completed"/>
    <n v="136.13"/>
    <x v="2"/>
    <s v="REP005"/>
    <x v="0"/>
    <s v="Toll Solution"/>
    <s v="Mid-Market"/>
  </r>
  <r>
    <s v="TXN0000789"/>
    <s v="CUST00102"/>
    <b v="1"/>
    <d v="2025-08-21T00:00:00"/>
    <x v="0"/>
    <s v="Toll"/>
    <n v="6215.49"/>
    <n v="109.61"/>
    <b v="1"/>
    <s v="Completed"/>
    <n v="109.61"/>
    <x v="2"/>
    <s v="REP005"/>
    <x v="0"/>
    <s v="Toll Solution"/>
    <s v="Mid-Market"/>
  </r>
  <r>
    <s v="TXN0000790"/>
    <s v="CUST00102"/>
    <b v="1"/>
    <d v="2025-09-15T00:00:00"/>
    <x v="1"/>
    <s v="Toll"/>
    <n v="10583.48"/>
    <n v="191.92"/>
    <b v="1"/>
    <s v="Completed"/>
    <n v="191.92"/>
    <x v="2"/>
    <s v="REP005"/>
    <x v="0"/>
    <s v="Toll Solution"/>
    <s v="Mid-Market"/>
  </r>
  <r>
    <s v="TXN0000791"/>
    <s v="CUST00102"/>
    <b v="1"/>
    <d v="2025-09-30T00:00:00"/>
    <x v="1"/>
    <s v="Toll"/>
    <n v="13649.19"/>
    <n v="262.75"/>
    <b v="1"/>
    <s v="Completed"/>
    <n v="262.75"/>
    <x v="2"/>
    <s v="REP005"/>
    <x v="0"/>
    <s v="Toll Solution"/>
    <s v="Mid-Market"/>
  </r>
  <r>
    <s v="TXN0000792"/>
    <s v="CUST00102"/>
    <b v="1"/>
    <d v="2025-09-14T00:00:00"/>
    <x v="1"/>
    <s v="Toll"/>
    <n v="15023.87"/>
    <n v="259.02"/>
    <b v="1"/>
    <s v="Completed"/>
    <n v="259.02"/>
    <x v="2"/>
    <s v="REP005"/>
    <x v="0"/>
    <s v="Toll Solution"/>
    <s v="Mid-Market"/>
  </r>
  <r>
    <s v="TXN0000793"/>
    <s v="CUST00102"/>
    <b v="1"/>
    <d v="2025-10-12T00:00:00"/>
    <x v="2"/>
    <s v="Toll"/>
    <n v="15059.37"/>
    <n v="230.59"/>
    <b v="1"/>
    <s v="Completed"/>
    <n v="230.59"/>
    <x v="2"/>
    <s v="REP005"/>
    <x v="0"/>
    <s v="Toll Solution"/>
    <s v="Mid-Market"/>
  </r>
  <r>
    <s v="TXN0000794"/>
    <s v="CUST00102"/>
    <b v="1"/>
    <d v="2025-10-15T00:00:00"/>
    <x v="2"/>
    <s v="Toll"/>
    <n v="8502.6200000000008"/>
    <n v="145.68"/>
    <b v="1"/>
    <s v="Completed"/>
    <n v="145.68"/>
    <x v="2"/>
    <s v="REP005"/>
    <x v="0"/>
    <s v="Toll Solution"/>
    <s v="Mid-Market"/>
  </r>
  <r>
    <s v="TXN0000795"/>
    <s v="CUST00102"/>
    <b v="1"/>
    <d v="2025-11-12T00:00:00"/>
    <x v="3"/>
    <s v="Toll"/>
    <n v="12900.07"/>
    <n v="245.45"/>
    <b v="1"/>
    <s v="Completed"/>
    <n v="245.45"/>
    <x v="2"/>
    <s v="REP005"/>
    <x v="0"/>
    <s v="Toll Solution"/>
    <s v="Mid-Market"/>
  </r>
  <r>
    <s v="TXN0000796"/>
    <s v="CUST00102"/>
    <b v="1"/>
    <d v="2025-11-26T00:00:00"/>
    <x v="3"/>
    <s v="Toll"/>
    <n v="13301.08"/>
    <n v="260.2"/>
    <b v="1"/>
    <s v="Completed"/>
    <n v="260.2"/>
    <x v="2"/>
    <s v="REP005"/>
    <x v="0"/>
    <s v="Toll Solution"/>
    <s v="Mid-Market"/>
  </r>
  <r>
    <s v="TXN0000797"/>
    <s v="CUST00102"/>
    <b v="1"/>
    <d v="2025-12-25T00:00:00"/>
    <x v="4"/>
    <s v="Toll"/>
    <n v="5414.76"/>
    <n v="107.31"/>
    <b v="1"/>
    <s v="Completed"/>
    <n v="107.31"/>
    <x v="2"/>
    <s v="REP005"/>
    <x v="0"/>
    <s v="Toll Solution"/>
    <s v="Mid-Market"/>
  </r>
  <r>
    <s v="TXN0000798"/>
    <s v="CUST00103"/>
    <b v="1"/>
    <d v="2025-10-29T00:00:00"/>
    <x v="2"/>
    <s v="EV Charging"/>
    <n v="3177.51"/>
    <n v="93.2"/>
    <b v="1"/>
    <s v="Completed"/>
    <n v="93.2"/>
    <x v="1"/>
    <s v="REP014"/>
    <x v="2"/>
    <s v="EV Charge Card"/>
    <s v="SME"/>
  </r>
  <r>
    <s v="TXN0000799"/>
    <s v="CUST99999"/>
    <b v="0"/>
    <d v="2025-10-30T00:00:00"/>
    <x v="2"/>
    <s v="EV Charging"/>
    <n v="3028.76"/>
    <n v="0"/>
    <b v="1"/>
    <s v="Cancelled"/>
    <n v="0"/>
    <x v="1"/>
    <s v="Unmatched"/>
    <x v="3"/>
    <s v="Unmatched"/>
    <s v="Unmatched"/>
  </r>
  <r>
    <s v="TXN0000800"/>
    <s v="CUST00103"/>
    <b v="1"/>
    <d v="2025-10-31T00:00:00"/>
    <x v="2"/>
    <s v="EV Charging"/>
    <n v="3665.72"/>
    <n v="106.16"/>
    <b v="1"/>
    <s v="Completed"/>
    <n v="106.16"/>
    <x v="1"/>
    <s v="REP014"/>
    <x v="2"/>
    <s v="EV Charge Card"/>
    <s v="SME"/>
  </r>
  <r>
    <s v="TXN0000801"/>
    <s v="CUST00103"/>
    <b v="1"/>
    <d v="2025-11-13T00:00:00"/>
    <x v="3"/>
    <s v="EV Charging"/>
    <n v="4109.24"/>
    <n v="143.86000000000001"/>
    <b v="1"/>
    <s v="Completed"/>
    <n v="143.86000000000001"/>
    <x v="1"/>
    <s v="REP014"/>
    <x v="2"/>
    <s v="EV Charge Card"/>
    <s v="SME"/>
  </r>
  <r>
    <s v="TXN0000802"/>
    <s v="CUST00103"/>
    <b v="1"/>
    <d v="2025-12-28T00:00:00"/>
    <x v="4"/>
    <s v="EV Charging"/>
    <n v="2741.26"/>
    <n v="90.51"/>
    <b v="1"/>
    <s v="Completed"/>
    <n v="90.51"/>
    <x v="1"/>
    <s v="REP014"/>
    <x v="2"/>
    <s v="EV Charge Card"/>
    <s v="SME"/>
  </r>
  <r>
    <s v="TXN0000803"/>
    <s v="CUST00103"/>
    <b v="1"/>
    <d v="2025-12-19T00:00:00"/>
    <x v="4"/>
    <s v="EV Charging"/>
    <n v="5092.91"/>
    <n v="168.83"/>
    <b v="1"/>
    <s v="Completed"/>
    <n v="168.83"/>
    <x v="1"/>
    <s v="REP014"/>
    <x v="2"/>
    <s v="EV Charge Card"/>
    <s v="SME"/>
  </r>
  <r>
    <s v="TXN0000804"/>
    <s v="CUST00104"/>
    <b v="1"/>
    <d v="2025-06-25T00:00:00"/>
    <x v="7"/>
    <s v="Fuel"/>
    <n v="2481.04"/>
    <n v="58.58"/>
    <b v="1"/>
    <s v="Completed"/>
    <n v="58.58"/>
    <x v="2"/>
    <s v="REP006"/>
    <x v="2"/>
    <s v="Fuel Card"/>
    <s v="SME"/>
  </r>
  <r>
    <s v="TXN0000805"/>
    <s v="CUST00104"/>
    <b v="1"/>
    <d v="2025-07-04T00:00:00"/>
    <x v="8"/>
    <s v="Fuel"/>
    <n v="3442.55"/>
    <n v="95.26"/>
    <b v="1"/>
    <s v="Completed"/>
    <n v="95.26"/>
    <x v="2"/>
    <s v="REP006"/>
    <x v="2"/>
    <s v="Fuel Card"/>
    <s v="SME"/>
  </r>
  <r>
    <s v="TXN0000806"/>
    <s v="CUST00104"/>
    <b v="1"/>
    <d v="2025-07-11T00:00:00"/>
    <x v="8"/>
    <s v="Fuel"/>
    <n v="1252.8499999999999"/>
    <n v="28.11"/>
    <b v="1"/>
    <s v="Completed"/>
    <n v="28.11"/>
    <x v="2"/>
    <s v="REP006"/>
    <x v="2"/>
    <s v="Fuel Card"/>
    <s v="SME"/>
  </r>
  <r>
    <s v="TXN0000807"/>
    <s v="CUST00104"/>
    <b v="1"/>
    <d v="2025-07-31T00:00:00"/>
    <x v="8"/>
    <s v="Fuel"/>
    <n v="4945.07"/>
    <n v="114.72"/>
    <b v="1"/>
    <s v="Completed"/>
    <n v="114.72"/>
    <x v="2"/>
    <s v="REP006"/>
    <x v="2"/>
    <s v="Fuel Card"/>
    <s v="SME"/>
  </r>
  <r>
    <s v="TXN0000808"/>
    <s v="CUST00104"/>
    <b v="1"/>
    <d v="2025-08-29T00:00:00"/>
    <x v="0"/>
    <s v="Fuel"/>
    <n v="2469.5300000000002"/>
    <n v="58.91"/>
    <b v="1"/>
    <s v="Completed"/>
    <n v="58.91"/>
    <x v="2"/>
    <s v="REP006"/>
    <x v="2"/>
    <s v="Fuel Card"/>
    <s v="SME"/>
  </r>
  <r>
    <s v="TXN0000809"/>
    <s v="CUST00104"/>
    <b v="1"/>
    <d v="2025-08-02T00:00:00"/>
    <x v="0"/>
    <s v="Fuel"/>
    <n v="2437.9499999999998"/>
    <n v="67.95"/>
    <b v="1"/>
    <s v="Completed"/>
    <n v="67.95"/>
    <x v="2"/>
    <s v="REP006"/>
    <x v="2"/>
    <s v="Fuel Card"/>
    <s v="SME"/>
  </r>
  <r>
    <s v="TXN0000810"/>
    <s v="CUST00104"/>
    <b v="1"/>
    <d v="2025-09-20T00:00:00"/>
    <x v="1"/>
    <s v="Fuel"/>
    <n v="3508.54"/>
    <n v="95.58"/>
    <b v="1"/>
    <s v="Completed"/>
    <n v="95.58"/>
    <x v="2"/>
    <s v="REP006"/>
    <x v="2"/>
    <s v="Fuel Card"/>
    <s v="SME"/>
  </r>
  <r>
    <s v="TXN0000811"/>
    <s v="CUST00104"/>
    <b v="1"/>
    <d v="2025-09-08T00:00:00"/>
    <x v="1"/>
    <s v="Fuel"/>
    <n v="1241.8599999999999"/>
    <n v="28.31"/>
    <b v="1"/>
    <s v="Completed"/>
    <n v="28.31"/>
    <x v="2"/>
    <s v="REP006"/>
    <x v="2"/>
    <s v="Fuel Card"/>
    <s v="SME"/>
  </r>
  <r>
    <s v="TXN0000812"/>
    <s v="CUST00104"/>
    <b v="1"/>
    <d v="2025-09-04T00:00:00"/>
    <x v="1"/>
    <s v="Fuel"/>
    <n v="5135.18"/>
    <n v="114.62"/>
    <b v="1"/>
    <s v="Completed"/>
    <n v="114.62"/>
    <x v="2"/>
    <s v="REP006"/>
    <x v="2"/>
    <s v="Fuel Card"/>
    <s v="SME"/>
  </r>
  <r>
    <s v="TXN0000813"/>
    <s v="CUST00104"/>
    <b v="1"/>
    <d v="2025-10-20T00:00:00"/>
    <x v="2"/>
    <s v="Fuel"/>
    <n v="1876.22"/>
    <n v="42.26"/>
    <b v="1"/>
    <s v="Completed"/>
    <n v="42.26"/>
    <x v="2"/>
    <s v="REP006"/>
    <x v="2"/>
    <s v="Fuel Card"/>
    <s v="SME"/>
  </r>
  <r>
    <s v="TXN0000814"/>
    <s v="CUST00104"/>
    <b v="1"/>
    <d v="2025-11-06T00:00:00"/>
    <x v="3"/>
    <s v="Fuel"/>
    <n v="2585.12"/>
    <n v="65.77"/>
    <b v="1"/>
    <s v="Completed"/>
    <n v="65.77"/>
    <x v="2"/>
    <s v="REP006"/>
    <x v="2"/>
    <s v="Fuel Card"/>
    <s v="SME"/>
  </r>
  <r>
    <s v="TXN0000815"/>
    <s v="CUST00104"/>
    <b v="1"/>
    <d v="2025-11-10T00:00:00"/>
    <x v="3"/>
    <s v="Fuel"/>
    <n v="4882.07"/>
    <n v="126.81"/>
    <b v="1"/>
    <s v="Completed"/>
    <n v="126.81"/>
    <x v="2"/>
    <s v="REP006"/>
    <x v="2"/>
    <s v="Fuel Card"/>
    <s v="SME"/>
  </r>
  <r>
    <s v="TXN0000816"/>
    <s v="CUST00104"/>
    <b v="1"/>
    <d v="2025-12-05T00:00:00"/>
    <x v="4"/>
    <s v="Fuel"/>
    <n v="4382.34"/>
    <n v="99.14"/>
    <b v="1"/>
    <s v="Completed"/>
    <n v="99.14"/>
    <x v="2"/>
    <s v="REP006"/>
    <x v="2"/>
    <s v="Fuel Card"/>
    <s v="SME"/>
  </r>
  <r>
    <s v="TXN0000817"/>
    <s v="CUST00104"/>
    <b v="1"/>
    <d v="2025-12-22T00:00:00"/>
    <x v="4"/>
    <s v="Fuel"/>
    <n v="2223.1799999999998"/>
    <n v="50.44"/>
    <b v="1"/>
    <s v="Completed"/>
    <n v="50.44"/>
    <x v="2"/>
    <s v="REP006"/>
    <x v="2"/>
    <s v="Fuel Card"/>
    <s v="SME"/>
  </r>
  <r>
    <s v="TXN0000818"/>
    <s v="CUST00104"/>
    <b v="1"/>
    <d v="2025-12-18T00:00:00"/>
    <x v="4"/>
    <s v="Fuel"/>
    <n v="4636.34"/>
    <n v="123.2"/>
    <b v="1"/>
    <s v="Completed"/>
    <n v="123.2"/>
    <x v="2"/>
    <s v="REP006"/>
    <x v="2"/>
    <s v="Fuel Card"/>
    <s v="SME"/>
  </r>
  <r>
    <s v="TXN0000819"/>
    <s v="CUST00105"/>
    <b v="1"/>
    <d v="2025-05-26T00:00:00"/>
    <x v="6"/>
    <s v="Toll"/>
    <n v="4402.32"/>
    <n v="84.91"/>
    <b v="1"/>
    <s v="Completed"/>
    <n v="84.91"/>
    <x v="4"/>
    <s v="REP011"/>
    <x v="0"/>
    <s v="Toll Solution"/>
    <s v="SME"/>
  </r>
  <r>
    <s v="TXN0000820"/>
    <s v="CUST00105"/>
    <b v="1"/>
    <d v="2025-06-02T00:00:00"/>
    <x v="7"/>
    <s v="Toll"/>
    <n v="3109.87"/>
    <n v="54.09"/>
    <b v="1"/>
    <s v="Completed"/>
    <n v="54.09"/>
    <x v="4"/>
    <s v="REP011"/>
    <x v="0"/>
    <s v="Toll Solution"/>
    <s v="SME"/>
  </r>
  <r>
    <s v="TXN0000821"/>
    <s v="CUST00105"/>
    <b v="1"/>
    <d v="2025-07-07T00:00:00"/>
    <x v="8"/>
    <s v="Toll"/>
    <n v="3213.97"/>
    <n v="56.56"/>
    <b v="1"/>
    <s v="Completed"/>
    <n v="56.56"/>
    <x v="4"/>
    <s v="REP011"/>
    <x v="0"/>
    <s v="Toll Solution"/>
    <s v="SME"/>
  </r>
  <r>
    <s v="TXN0000822"/>
    <s v="CUST00105"/>
    <b v="1"/>
    <d v="2025-08-20T00:00:00"/>
    <x v="0"/>
    <s v="Toll"/>
    <n v="3253.34"/>
    <n v="51.92"/>
    <b v="1"/>
    <s v="Completed"/>
    <n v="51.92"/>
    <x v="4"/>
    <s v="REP011"/>
    <x v="0"/>
    <s v="Toll Solution"/>
    <s v="SME"/>
  </r>
  <r>
    <s v="TXN0000823"/>
    <s v="CUST00105"/>
    <b v="1"/>
    <d v="2025-08-25T00:00:00"/>
    <x v="0"/>
    <s v="Toll"/>
    <n v="4264.87"/>
    <n v="69.55"/>
    <b v="1"/>
    <s v="Completed"/>
    <n v="69.55"/>
    <x v="4"/>
    <s v="REP011"/>
    <x v="0"/>
    <s v="Toll Solution"/>
    <s v="SME"/>
  </r>
  <r>
    <s v="TXN0000824"/>
    <s v="CUST00105"/>
    <b v="1"/>
    <d v="2025-08-04T00:00:00"/>
    <x v="0"/>
    <s v="Toll"/>
    <n v="3160.01"/>
    <n v="52.1"/>
    <b v="1"/>
    <s v="Completed"/>
    <n v="52.1"/>
    <x v="4"/>
    <s v="REP011"/>
    <x v="0"/>
    <s v="Toll Solution"/>
    <s v="SME"/>
  </r>
  <r>
    <s v="TXN0000825"/>
    <s v="CUST00105"/>
    <b v="1"/>
    <d v="2025-09-19T00:00:00"/>
    <x v="1"/>
    <s v="Toll"/>
    <n v="4736.12"/>
    <n v="73.02"/>
    <b v="1"/>
    <s v="Completed"/>
    <n v="73.02"/>
    <x v="4"/>
    <s v="REP011"/>
    <x v="0"/>
    <s v="Toll Solution"/>
    <s v="SME"/>
  </r>
  <r>
    <s v="TXN0000826"/>
    <s v="CUST00105"/>
    <b v="1"/>
    <d v="2025-10-06T00:00:00"/>
    <x v="2"/>
    <s v="Toll"/>
    <n v="1989.03"/>
    <n v="35.049999999999997"/>
    <b v="1"/>
    <s v="Completed"/>
    <n v="35.049999999999997"/>
    <x v="4"/>
    <s v="REP011"/>
    <x v="0"/>
    <s v="Toll Solution"/>
    <s v="SME"/>
  </r>
  <r>
    <s v="TXN0000827"/>
    <s v="CUST00105"/>
    <b v="1"/>
    <d v="2025-10-06T00:00:00"/>
    <x v="2"/>
    <s v="Toll"/>
    <n v="4551.6899999999996"/>
    <n v="87.99"/>
    <b v="1"/>
    <s v="Completed"/>
    <n v="87.99"/>
    <x v="4"/>
    <s v="REP011"/>
    <x v="0"/>
    <s v="Toll Solution"/>
    <s v="SME"/>
  </r>
  <r>
    <s v="TXN0000828"/>
    <s v="CUST00105"/>
    <b v="1"/>
    <d v="2025-10-27T00:00:00"/>
    <x v="2"/>
    <s v="Toll"/>
    <n v="5016.01"/>
    <n v="83.04"/>
    <b v="1"/>
    <s v="Completed"/>
    <n v="83.04"/>
    <x v="4"/>
    <s v="REP011"/>
    <x v="0"/>
    <s v="Toll Solution"/>
    <s v="SME"/>
  </r>
  <r>
    <s v="TXN0000829"/>
    <s v="CUST00105"/>
    <b v="1"/>
    <d v="2025-11-03T00:00:00"/>
    <x v="3"/>
    <s v="Toll"/>
    <n v="3758.57"/>
    <n v="68.430000000000007"/>
    <b v="1"/>
    <s v="Completed"/>
    <n v="68.430000000000007"/>
    <x v="4"/>
    <s v="REP011"/>
    <x v="0"/>
    <s v="Toll Solution"/>
    <s v="SME"/>
  </r>
  <r>
    <s v="TXN0000830"/>
    <s v="CUST00105"/>
    <b v="1"/>
    <d v="2025-11-30T00:00:00"/>
    <x v="3"/>
    <s v="Toll"/>
    <n v="2529.06"/>
    <n v="40.770000000000003"/>
    <b v="1"/>
    <s v="Completed"/>
    <n v="40.770000000000003"/>
    <x v="4"/>
    <s v="REP011"/>
    <x v="0"/>
    <s v="Toll Solution"/>
    <s v="SME"/>
  </r>
  <r>
    <s v="TXN0000831"/>
    <s v="CUST00105"/>
    <b v="1"/>
    <d v="2025-11-03T00:00:00"/>
    <x v="3"/>
    <s v="Toll"/>
    <n v="5074.5600000000004"/>
    <n v="87.5"/>
    <b v="1"/>
    <s v="Completed"/>
    <n v="87.5"/>
    <x v="4"/>
    <s v="REP011"/>
    <x v="0"/>
    <s v="Toll Solution"/>
    <s v="SME"/>
  </r>
  <r>
    <s v="TXN0000832"/>
    <s v="CUST00105"/>
    <b v="1"/>
    <d v="2025-12-04T00:00:00"/>
    <x v="4"/>
    <s v="Toll"/>
    <n v="3518.1"/>
    <n v="71.22"/>
    <b v="1"/>
    <s v="Completed"/>
    <n v="71.22"/>
    <x v="4"/>
    <s v="REP011"/>
    <x v="0"/>
    <s v="Toll Solution"/>
    <s v="SME"/>
  </r>
  <r>
    <s v="TXN0000833"/>
    <s v="CUST00106"/>
    <b v="1"/>
    <d v="2025-05-12T00:00:00"/>
    <x v="6"/>
    <s v="Fuel"/>
    <n v="1967.5"/>
    <n v="43.57"/>
    <b v="1"/>
    <s v="Completed"/>
    <n v="43.57"/>
    <x v="0"/>
    <s v="REP008"/>
    <x v="5"/>
    <s v="Fuel Card"/>
    <s v="SME"/>
  </r>
  <r>
    <s v="TXN0000834"/>
    <s v="CUST00106"/>
    <b v="1"/>
    <d v="2025-06-03T00:00:00"/>
    <x v="7"/>
    <s v="Fuel"/>
    <n v="3525.43"/>
    <n v="93.07"/>
    <b v="1"/>
    <s v="Completed"/>
    <n v="93.07"/>
    <x v="0"/>
    <s v="REP008"/>
    <x v="5"/>
    <s v="Fuel Card"/>
    <s v="SME"/>
  </r>
  <r>
    <s v="TXN0000835"/>
    <s v="CUST00106"/>
    <b v="1"/>
    <d v="2025-07-06T00:00:00"/>
    <x v="8"/>
    <s v="Fuel"/>
    <n v="3085.42"/>
    <n v="87.8"/>
    <b v="1"/>
    <s v="Completed"/>
    <n v="87.8"/>
    <x v="0"/>
    <s v="REP008"/>
    <x v="5"/>
    <s v="Fuel Card"/>
    <s v="SME"/>
  </r>
  <r>
    <s v="TXN0000836"/>
    <s v="CUST00106"/>
    <b v="1"/>
    <d v="2025-07-28T00:00:00"/>
    <x v="8"/>
    <s v="Fuel"/>
    <n v="2004.02"/>
    <n v="56.63"/>
    <b v="1"/>
    <s v="Completed"/>
    <n v="56.63"/>
    <x v="0"/>
    <s v="REP008"/>
    <x v="5"/>
    <s v="Fuel Card"/>
    <s v="SME"/>
  </r>
  <r>
    <s v="TXN0000837"/>
    <s v="CUST00106"/>
    <b v="1"/>
    <d v="2025-08-21T00:00:00"/>
    <x v="0"/>
    <s v="Fuel"/>
    <n v="2394.54"/>
    <n v="62.67"/>
    <b v="1"/>
    <s v="Completed"/>
    <n v="62.67"/>
    <x v="0"/>
    <s v="REP008"/>
    <x v="5"/>
    <s v="Fuel Card"/>
    <s v="SME"/>
  </r>
  <r>
    <s v="TXN0000838"/>
    <s v="CUST00106"/>
    <b v="1"/>
    <d v="2025-08-07T00:00:00"/>
    <x v="0"/>
    <s v="Fuel"/>
    <n v="4884.1899999999996"/>
    <n v="104.62"/>
    <b v="1"/>
    <s v="Completed"/>
    <n v="104.62"/>
    <x v="0"/>
    <s v="REP008"/>
    <x v="5"/>
    <s v="Fuel Card"/>
    <s v="SME"/>
  </r>
  <r>
    <s v="TXN0000839"/>
    <s v="CUST00106"/>
    <b v="1"/>
    <d v="2025-08-25T00:00:00"/>
    <x v="0"/>
    <s v="Fuel"/>
    <n v="2365.87"/>
    <n v="59.97"/>
    <b v="1"/>
    <s v="Completed"/>
    <n v="59.97"/>
    <x v="0"/>
    <s v="REP008"/>
    <x v="5"/>
    <s v="Fuel Card"/>
    <s v="SME"/>
  </r>
  <r>
    <s v="TXN0000840"/>
    <s v="CUST00106"/>
    <b v="1"/>
    <d v="2025-09-15T00:00:00"/>
    <x v="1"/>
    <s v="Fuel"/>
    <n v="2224.0100000000002"/>
    <n v="56.25"/>
    <b v="1"/>
    <s v="Completed"/>
    <n v="56.25"/>
    <x v="0"/>
    <s v="REP008"/>
    <x v="5"/>
    <s v="Fuel Card"/>
    <s v="SME"/>
  </r>
  <r>
    <s v="TXN0000841"/>
    <s v="CUST00106"/>
    <b v="1"/>
    <d v="2025-10-20T00:00:00"/>
    <x v="2"/>
    <s v="Fuel"/>
    <n v="5185.6499999999996"/>
    <n v="125.62"/>
    <b v="1"/>
    <s v="Completed"/>
    <n v="125.62"/>
    <x v="0"/>
    <s v="REP008"/>
    <x v="5"/>
    <s v="Fuel Card"/>
    <s v="SME"/>
  </r>
  <r>
    <s v="TXN0000842"/>
    <s v="CUST00106"/>
    <b v="1"/>
    <d v="2025-10-29T00:00:00"/>
    <x v="2"/>
    <s v="Fuel"/>
    <n v="2498.9299999999998"/>
    <n v="64.59"/>
    <b v="1"/>
    <s v="Completed"/>
    <n v="64.59"/>
    <x v="0"/>
    <s v="REP008"/>
    <x v="5"/>
    <s v="Fuel Card"/>
    <s v="SME"/>
  </r>
  <r>
    <s v="TXN0000843"/>
    <s v="CUST00106"/>
    <b v="1"/>
    <d v="2025-10-09T00:00:00"/>
    <x v="2"/>
    <s v="Fuel"/>
    <n v="2907.67"/>
    <n v="62.52"/>
    <b v="1"/>
    <s v="Completed"/>
    <n v="62.52"/>
    <x v="0"/>
    <s v="REP008"/>
    <x v="5"/>
    <s v="Fuel Card"/>
    <s v="SME"/>
  </r>
  <r>
    <s v="TXN0000844"/>
    <s v="CUST00106"/>
    <b v="1"/>
    <d v="2025-11-10T00:00:00"/>
    <x v="3"/>
    <s v="Fuel"/>
    <n v="3928.9"/>
    <n v="97.9"/>
    <b v="1"/>
    <s v="Completed"/>
    <n v="97.9"/>
    <x v="0"/>
    <s v="REP008"/>
    <x v="5"/>
    <s v="Fuel Card"/>
    <s v="SME"/>
  </r>
  <r>
    <s v="TXN0000845"/>
    <s v="CUST00106"/>
    <b v="1"/>
    <d v="2025-11-19T00:00:00"/>
    <x v="3"/>
    <s v="Fuel"/>
    <n v="5175.8100000000004"/>
    <n v="111.8"/>
    <b v="1"/>
    <s v="Completed"/>
    <n v="111.8"/>
    <x v="0"/>
    <s v="REP008"/>
    <x v="5"/>
    <s v="Fuel Card"/>
    <s v="SME"/>
  </r>
  <r>
    <s v="TXN0000846"/>
    <s v="CUST00106"/>
    <b v="1"/>
    <d v="2025-12-17T00:00:00"/>
    <x v="4"/>
    <s v="Fuel"/>
    <n v="4551.57"/>
    <n v="130.83000000000001"/>
    <b v="1"/>
    <s v="Completed"/>
    <n v="130.83000000000001"/>
    <x v="0"/>
    <s v="REP008"/>
    <x v="5"/>
    <s v="Fuel Card"/>
    <s v="SME"/>
  </r>
  <r>
    <s v="TXN0000847"/>
    <s v="CUST00106"/>
    <b v="1"/>
    <d v="2025-12-04T00:00:00"/>
    <x v="4"/>
    <s v="Fuel"/>
    <n v="3161.77"/>
    <n v="78.19"/>
    <b v="1"/>
    <s v="Completed"/>
    <n v="78.19"/>
    <x v="0"/>
    <s v="REP008"/>
    <x v="5"/>
    <s v="Fuel Card"/>
    <s v="SME"/>
  </r>
  <r>
    <s v="TXN0000848"/>
    <s v="CUST00107"/>
    <b v="1"/>
    <d v="2025-04-21T00:00:00"/>
    <x v="5"/>
    <s v="EV Charging"/>
    <n v="4547.1400000000003"/>
    <n v="130.25"/>
    <b v="1"/>
    <s v="Completed"/>
    <n v="130.25"/>
    <x v="2"/>
    <s v="REP006"/>
    <x v="0"/>
    <s v="EV Charge Card"/>
    <s v="SME"/>
  </r>
  <r>
    <s v="TXN0000849"/>
    <s v="CUST00107"/>
    <b v="1"/>
    <d v="2025-04-21T00:00:00"/>
    <x v="5"/>
    <s v="EV Charging"/>
    <n v="2009"/>
    <n v="58.2"/>
    <b v="1"/>
    <s v="Completed"/>
    <n v="58.2"/>
    <x v="2"/>
    <s v="REP006"/>
    <x v="0"/>
    <s v="EV Charge Card"/>
    <s v="SME"/>
  </r>
  <r>
    <s v="TXN0000850"/>
    <s v="CUST00107"/>
    <b v="1"/>
    <d v="2025-04-27T00:00:00"/>
    <x v="5"/>
    <s v="EV Charging"/>
    <n v="3728.03"/>
    <n v="113.39"/>
    <b v="1"/>
    <s v="Completed"/>
    <n v="113.39"/>
    <x v="2"/>
    <s v="REP006"/>
    <x v="0"/>
    <s v="EV Charge Card"/>
    <s v="SME"/>
  </r>
  <r>
    <s v="TXN0000851"/>
    <s v="CUST00107"/>
    <b v="1"/>
    <d v="2025-05-09T00:00:00"/>
    <x v="6"/>
    <s v="EV Charging"/>
    <n v="1869.5"/>
    <n v="56.64"/>
    <b v="1"/>
    <s v="Completed"/>
    <n v="56.64"/>
    <x v="2"/>
    <s v="REP006"/>
    <x v="0"/>
    <s v="EV Charge Card"/>
    <s v="SME"/>
  </r>
  <r>
    <s v="TXN0000852"/>
    <s v="CUST00107"/>
    <b v="1"/>
    <d v="2025-05-18T00:00:00"/>
    <x v="6"/>
    <s v="EV Charging"/>
    <n v="4400.32"/>
    <n v="124.2"/>
    <b v="1"/>
    <s v="Completed"/>
    <n v="124.2"/>
    <x v="2"/>
    <s v="REP006"/>
    <x v="0"/>
    <s v="EV Charge Card"/>
    <s v="SME"/>
  </r>
  <r>
    <s v="TXN0000853"/>
    <s v="CUST00107"/>
    <b v="1"/>
    <d v="2025-05-18T00:00:00"/>
    <x v="6"/>
    <s v="EV Charging"/>
    <n v="4637.26"/>
    <n v="0"/>
    <b v="1"/>
    <s v="Cancelled"/>
    <n v="0"/>
    <x v="2"/>
    <s v="REP006"/>
    <x v="0"/>
    <s v="EV Charge Card"/>
    <s v="SME"/>
  </r>
  <r>
    <s v="TXN0000854"/>
    <s v="CUST00107"/>
    <b v="1"/>
    <d v="2025-06-29T00:00:00"/>
    <x v="7"/>
    <s v="EV Charging"/>
    <n v="2496.4499999999998"/>
    <n v="68.33"/>
    <b v="1"/>
    <s v="Completed"/>
    <n v="68.33"/>
    <x v="2"/>
    <s v="REP006"/>
    <x v="0"/>
    <s v="EV Charge Card"/>
    <s v="SME"/>
  </r>
  <r>
    <s v="TXN0000855"/>
    <s v="CUST00107"/>
    <b v="1"/>
    <d v="2025-07-25T00:00:00"/>
    <x v="8"/>
    <s v="EV Charging"/>
    <n v="1780.7"/>
    <n v="56.59"/>
    <b v="1"/>
    <s v="Completed"/>
    <n v="56.59"/>
    <x v="2"/>
    <s v="REP006"/>
    <x v="0"/>
    <s v="EV Charge Card"/>
    <s v="SME"/>
  </r>
  <r>
    <s v="TXN0000856"/>
    <s v="CUST00107"/>
    <b v="1"/>
    <d v="2025-08-21T00:00:00"/>
    <x v="0"/>
    <s v="EV Charging"/>
    <n v="2435.9299999999998"/>
    <n v="81.66"/>
    <b v="1"/>
    <s v="Completed"/>
    <n v="81.66"/>
    <x v="2"/>
    <s v="REP006"/>
    <x v="0"/>
    <s v="EV Charge Card"/>
    <s v="SME"/>
  </r>
  <r>
    <s v="TXN0000857"/>
    <s v="CUST00107"/>
    <b v="1"/>
    <d v="2025-08-06T00:00:00"/>
    <x v="0"/>
    <s v="EV Charging"/>
    <n v="4937.67"/>
    <n v="168.7"/>
    <b v="1"/>
    <s v="Completed"/>
    <n v="168.7"/>
    <x v="2"/>
    <s v="REP006"/>
    <x v="0"/>
    <s v="EV Charge Card"/>
    <s v="SME"/>
  </r>
  <r>
    <s v="TXN0000858"/>
    <s v="CUST00107"/>
    <b v="1"/>
    <d v="2025-09-03T00:00:00"/>
    <x v="1"/>
    <s v="EV Charging"/>
    <n v="1247.18"/>
    <n v="0"/>
    <b v="1"/>
    <s v="Cancelled"/>
    <n v="0"/>
    <x v="2"/>
    <s v="REP006"/>
    <x v="0"/>
    <s v="EV Charge Card"/>
    <s v="SME"/>
  </r>
  <r>
    <s v="TXN0000859"/>
    <s v="CUST00107"/>
    <b v="1"/>
    <d v="2025-09-30T00:00:00"/>
    <x v="1"/>
    <s v="EV Charging"/>
    <n v="2752.63"/>
    <n v="78.83"/>
    <b v="1"/>
    <s v="Completed"/>
    <n v="78.83"/>
    <x v="2"/>
    <s v="REP006"/>
    <x v="0"/>
    <s v="EV Charge Card"/>
    <s v="SME"/>
  </r>
  <r>
    <s v="TXN0000860"/>
    <s v="CUST00107"/>
    <b v="1"/>
    <d v="2025-10-12T00:00:00"/>
    <x v="2"/>
    <s v="EV Charging"/>
    <n v="1346.52"/>
    <n v="45.21"/>
    <b v="1"/>
    <s v="Completed"/>
    <n v="45.21"/>
    <x v="2"/>
    <s v="REP006"/>
    <x v="0"/>
    <s v="EV Charge Card"/>
    <s v="SME"/>
  </r>
  <r>
    <s v="TXN0000861"/>
    <s v="CUST00107"/>
    <b v="1"/>
    <d v="2025-11-14T00:00:00"/>
    <x v="3"/>
    <s v="EV Charging"/>
    <n v="1369.59"/>
    <n v="47.61"/>
    <b v="1"/>
    <s v="Completed"/>
    <n v="47.61"/>
    <x v="2"/>
    <s v="REP006"/>
    <x v="0"/>
    <s v="EV Charge Card"/>
    <s v="SME"/>
  </r>
  <r>
    <s v="TXN0000862"/>
    <s v="CUST00107"/>
    <b v="1"/>
    <d v="2025-11-09T00:00:00"/>
    <x v="3"/>
    <s v="EV Charging"/>
    <n v="2820.06"/>
    <n v="94.7"/>
    <b v="1"/>
    <s v="Completed"/>
    <n v="94.7"/>
    <x v="2"/>
    <s v="REP006"/>
    <x v="0"/>
    <s v="EV Charge Card"/>
    <s v="SME"/>
  </r>
  <r>
    <s v="TXN0000863"/>
    <s v="CUST00107"/>
    <b v="1"/>
    <d v="2025-11-22T00:00:00"/>
    <x v="3"/>
    <s v="EV Charging"/>
    <n v="3161.89"/>
    <n v="96.78"/>
    <b v="1"/>
    <s v="Completed"/>
    <n v="96.78"/>
    <x v="2"/>
    <s v="REP006"/>
    <x v="0"/>
    <s v="EV Charge Card"/>
    <s v="SME"/>
  </r>
  <r>
    <s v="TXN0000864"/>
    <s v="CUST00107"/>
    <b v="1"/>
    <d v="2025-12-21T00:00:00"/>
    <x v="4"/>
    <s v="EV Charging"/>
    <n v="3176.03"/>
    <n v="106.38"/>
    <b v="1"/>
    <s v="Completed"/>
    <n v="106.38"/>
    <x v="2"/>
    <s v="REP006"/>
    <x v="0"/>
    <s v="EV Charge Card"/>
    <s v="SME"/>
  </r>
  <r>
    <s v="TXN0000865"/>
    <s v="CUST00107"/>
    <b v="1"/>
    <d v="2025-12-03T00:00:00"/>
    <x v="4"/>
    <s v="EV Charging"/>
    <n v="2364.88"/>
    <n v="78.64"/>
    <b v="1"/>
    <s v="Completed"/>
    <n v="78.64"/>
    <x v="2"/>
    <s v="REP006"/>
    <x v="0"/>
    <s v="EV Charge Card"/>
    <s v="SME"/>
  </r>
  <r>
    <s v="TXN0000866"/>
    <s v="CUST00107"/>
    <b v="1"/>
    <d v="2025-12-20T00:00:00"/>
    <x v="4"/>
    <s v="EV Charging"/>
    <n v="1421.66"/>
    <n v="41.73"/>
    <b v="1"/>
    <s v="Completed"/>
    <n v="41.73"/>
    <x v="2"/>
    <s v="REP006"/>
    <x v="0"/>
    <s v="EV Charge Card"/>
    <s v="SME"/>
  </r>
  <r>
    <s v="TXN0000867"/>
    <s v="CUST00108"/>
    <b v="1"/>
    <d v="2025-07-27T00:00:00"/>
    <x v="8"/>
    <s v="Fuel"/>
    <n v="3938.66"/>
    <n v="107.78"/>
    <b v="1"/>
    <s v="Completed"/>
    <n v="107.78"/>
    <x v="2"/>
    <s v="REP005"/>
    <x v="2"/>
    <s v="Fuel Card"/>
    <s v="SME"/>
  </r>
  <r>
    <s v="TXN0000868"/>
    <s v="CUST00108"/>
    <b v="1"/>
    <d v="2025-07-24T00:00:00"/>
    <x v="8"/>
    <s v="Fuel"/>
    <n v="3464.68"/>
    <n v="85.81"/>
    <b v="1"/>
    <s v="Completed"/>
    <n v="85.81"/>
    <x v="2"/>
    <s v="REP005"/>
    <x v="2"/>
    <s v="Fuel Card"/>
    <s v="SME"/>
  </r>
  <r>
    <s v="TXN0000869"/>
    <s v="CUST00108"/>
    <b v="1"/>
    <d v="2025-08-02T00:00:00"/>
    <x v="0"/>
    <s v="Fuel"/>
    <n v="1960.07"/>
    <n v="42.34"/>
    <b v="1"/>
    <s v="Completed"/>
    <n v="42.34"/>
    <x v="2"/>
    <s v="REP005"/>
    <x v="2"/>
    <s v="Fuel Card"/>
    <s v="SME"/>
  </r>
  <r>
    <s v="TXN0000870"/>
    <s v="CUST00108"/>
    <b v="1"/>
    <d v="2025-08-10T00:00:00"/>
    <x v="0"/>
    <s v="Fuel"/>
    <n v="2808.09"/>
    <n v="66.67"/>
    <b v="1"/>
    <s v="Completed"/>
    <n v="66.67"/>
    <x v="2"/>
    <s v="REP005"/>
    <x v="2"/>
    <s v="Fuel Card"/>
    <s v="SME"/>
  </r>
  <r>
    <s v="TXN0000871"/>
    <s v="CUST00108"/>
    <b v="1"/>
    <d v="2025-09-05T00:00:00"/>
    <x v="1"/>
    <s v="Fuel"/>
    <n v="3907.95"/>
    <n v="110.15"/>
    <b v="1"/>
    <s v="Completed"/>
    <n v="110.15"/>
    <x v="2"/>
    <s v="REP005"/>
    <x v="2"/>
    <s v="Fuel Card"/>
    <s v="SME"/>
  </r>
  <r>
    <s v="TXN0000872"/>
    <s v="CUST00108"/>
    <b v="1"/>
    <d v="2025-10-20T00:00:00"/>
    <x v="2"/>
    <s v="Fuel"/>
    <n v="2405.9699999999998"/>
    <n v="51.92"/>
    <b v="1"/>
    <s v="Completed"/>
    <n v="51.92"/>
    <x v="2"/>
    <s v="REP005"/>
    <x v="2"/>
    <s v="Fuel Card"/>
    <s v="SME"/>
  </r>
  <r>
    <s v="TXN0000873"/>
    <s v="CUST00108"/>
    <b v="1"/>
    <d v="2025-10-04T00:00:00"/>
    <x v="2"/>
    <s v="Fuel"/>
    <n v="4196.8100000000004"/>
    <n v="118.8"/>
    <b v="1"/>
    <s v="Completed"/>
    <n v="118.8"/>
    <x v="2"/>
    <s v="REP005"/>
    <x v="2"/>
    <s v="Fuel Card"/>
    <s v="SME"/>
  </r>
  <r>
    <s v="TXN0000874"/>
    <s v="CUST00108"/>
    <b v="1"/>
    <d v="2025-11-06T00:00:00"/>
    <x v="3"/>
    <s v="Fuel"/>
    <n v="3786.59"/>
    <n v="94.47"/>
    <b v="1"/>
    <s v="Completed"/>
    <n v="94.47"/>
    <x v="2"/>
    <s v="REP005"/>
    <x v="2"/>
    <s v="Fuel Card"/>
    <s v="SME"/>
  </r>
  <r>
    <s v="TXN0000875"/>
    <s v="CUST00108"/>
    <b v="1"/>
    <d v="2025-12-11T00:00:00"/>
    <x v="4"/>
    <s v="Fuel"/>
    <n v="2944.23"/>
    <n v="78.400000000000006"/>
    <b v="1"/>
    <s v="Completed"/>
    <n v="78.400000000000006"/>
    <x v="2"/>
    <s v="REP005"/>
    <x v="2"/>
    <s v="Fuel Card"/>
    <s v="SME"/>
  </r>
  <r>
    <s v="TXN0000876"/>
    <s v="CUST00108"/>
    <b v="1"/>
    <d v="2025-12-14T00:00:00"/>
    <x v="4"/>
    <s v="Fuel"/>
    <n v="1280.45"/>
    <n v="31.78"/>
    <b v="1"/>
    <s v="Completed"/>
    <n v="31.78"/>
    <x v="2"/>
    <s v="REP005"/>
    <x v="2"/>
    <s v="Fuel Card"/>
    <s v="SME"/>
  </r>
  <r>
    <s v="TXN0000877"/>
    <s v="CUST00109"/>
    <b v="1"/>
    <d v="2025-05-24T00:00:00"/>
    <x v="6"/>
    <s v="Fuel"/>
    <n v="10888.04"/>
    <n v="299.45999999999998"/>
    <b v="1"/>
    <s v="Completed"/>
    <n v="299.45999999999998"/>
    <x v="0"/>
    <s v="REP009"/>
    <x v="1"/>
    <s v="Fuel Card"/>
    <s v="Mid-Market"/>
  </r>
  <r>
    <s v="TXN0000878"/>
    <s v="CUST00109"/>
    <b v="1"/>
    <d v="2025-05-22T00:00:00"/>
    <x v="6"/>
    <s v="Fuel"/>
    <n v="11908.22"/>
    <n v="283.57"/>
    <b v="1"/>
    <s v="Completed"/>
    <n v="283.57"/>
    <x v="0"/>
    <s v="REP009"/>
    <x v="1"/>
    <s v="Fuel Card"/>
    <s v="Mid-Market"/>
  </r>
  <r>
    <s v="TXN0000879"/>
    <s v="CUST00109"/>
    <b v="1"/>
    <d v="2025-06-26T00:00:00"/>
    <x v="7"/>
    <s v="Fuel"/>
    <n v="10000.879999999999"/>
    <n v="286.77"/>
    <b v="1"/>
    <s v="Completed"/>
    <n v="286.77"/>
    <x v="0"/>
    <s v="REP009"/>
    <x v="1"/>
    <s v="Fuel Card"/>
    <s v="Mid-Market"/>
  </r>
  <r>
    <s v="TXN0000880"/>
    <s v="CUST00109"/>
    <b v="1"/>
    <d v="2025-06-01T00:00:00"/>
    <x v="7"/>
    <s v="Fuel"/>
    <n v="17582.7"/>
    <n v="468.32"/>
    <b v="1"/>
    <s v="Completed"/>
    <n v="468.32"/>
    <x v="0"/>
    <s v="REP009"/>
    <x v="1"/>
    <s v="Fuel Card"/>
    <s v="Mid-Market"/>
  </r>
  <r>
    <s v="TXN0000881"/>
    <s v="CUST00109"/>
    <b v="1"/>
    <d v="2025-06-04T00:00:00"/>
    <x v="7"/>
    <s v="Fuel"/>
    <n v="5190.3100000000004"/>
    <n v="121.02"/>
    <b v="1"/>
    <s v="Completed"/>
    <n v="121.02"/>
    <x v="0"/>
    <s v="REP009"/>
    <x v="1"/>
    <s v="Fuel Card"/>
    <s v="Mid-Market"/>
  </r>
  <r>
    <s v="TXN0000882"/>
    <s v="CUST00109"/>
    <b v="1"/>
    <d v="2025-07-07T00:00:00"/>
    <x v="8"/>
    <s v="Fuel"/>
    <n v="16368.88"/>
    <n v="368.44"/>
    <b v="1"/>
    <s v="Completed"/>
    <n v="368.44"/>
    <x v="0"/>
    <s v="REP009"/>
    <x v="1"/>
    <s v="Fuel Card"/>
    <s v="Mid-Market"/>
  </r>
  <r>
    <s v="TXN0000883"/>
    <s v="CUST00109"/>
    <b v="1"/>
    <d v="2025-08-06T00:00:00"/>
    <x v="0"/>
    <s v="Fuel"/>
    <n v="14468.85"/>
    <n v="325.14"/>
    <b v="1"/>
    <s v="Completed"/>
    <n v="325.14"/>
    <x v="0"/>
    <s v="REP009"/>
    <x v="1"/>
    <s v="Fuel Card"/>
    <s v="Mid-Market"/>
  </r>
  <r>
    <s v="TXN0000884"/>
    <s v="CUST00109"/>
    <b v="1"/>
    <d v="2025-08-11T00:00:00"/>
    <x v="0"/>
    <s v="Fuel"/>
    <n v="4785.8599999999997"/>
    <n v="132.69"/>
    <b v="1"/>
    <s v="Completed"/>
    <n v="132.69"/>
    <x v="0"/>
    <s v="REP009"/>
    <x v="1"/>
    <s v="Fuel Card"/>
    <s v="Mid-Market"/>
  </r>
  <r>
    <s v="TXN0000885"/>
    <s v="CUST00109"/>
    <b v="1"/>
    <d v="2025-08-28T00:00:00"/>
    <x v="0"/>
    <s v="Fuel"/>
    <n v="13888.04"/>
    <n v="297.94"/>
    <b v="1"/>
    <s v="Completed"/>
    <n v="297.94"/>
    <x v="0"/>
    <s v="REP009"/>
    <x v="1"/>
    <s v="Fuel Card"/>
    <s v="Mid-Market"/>
  </r>
  <r>
    <s v="TXN0000886"/>
    <s v="CUST00109"/>
    <b v="1"/>
    <d v="2025-09-11T00:00:00"/>
    <x v="1"/>
    <s v="Fuel"/>
    <n v="17375.07"/>
    <n v="410.53"/>
    <b v="1"/>
    <s v="Completed"/>
    <n v="410.53"/>
    <x v="0"/>
    <s v="REP009"/>
    <x v="1"/>
    <s v="Fuel Card"/>
    <s v="Mid-Market"/>
  </r>
  <r>
    <s v="TXN0000887"/>
    <s v="CUST00109"/>
    <b v="1"/>
    <d v="2025-09-02T00:00:00"/>
    <x v="1"/>
    <s v="Fuel"/>
    <n v="9506.11"/>
    <n v="217.91"/>
    <b v="1"/>
    <s v="Completed"/>
    <n v="217.91"/>
    <x v="0"/>
    <s v="REP009"/>
    <x v="1"/>
    <s v="Fuel Card"/>
    <s v="Mid-Market"/>
  </r>
  <r>
    <s v="TXN0000888"/>
    <s v="CUST00109"/>
    <b v="1"/>
    <d v="2025-10-11T00:00:00"/>
    <x v="2"/>
    <s v="Fuel"/>
    <n v="16113.94"/>
    <n v="461.53"/>
    <b v="1"/>
    <s v="Completed"/>
    <n v="461.53"/>
    <x v="0"/>
    <s v="REP009"/>
    <x v="1"/>
    <s v="Fuel Card"/>
    <s v="Mid-Market"/>
  </r>
  <r>
    <s v="TXN0000889"/>
    <s v="CUST00111"/>
    <b v="1"/>
    <d v="2025-10-28T00:00:00"/>
    <x v="2"/>
    <s v="EV Charging"/>
    <n v="4043.54"/>
    <n v="132.30000000000001"/>
    <b v="1"/>
    <s v="Completed"/>
    <n v="132.30000000000001"/>
    <x v="2"/>
    <s v="REP005"/>
    <x v="2"/>
    <s v="EV Charge Card"/>
    <s v="SME"/>
  </r>
  <r>
    <s v="TXN0000890"/>
    <s v="CUST00111"/>
    <b v="1"/>
    <d v="2025-11-23T00:00:00"/>
    <x v="3"/>
    <s v="EV Charging"/>
    <n v="5209.42"/>
    <n v="162.13"/>
    <b v="1"/>
    <s v="Completed"/>
    <n v="162.13"/>
    <x v="2"/>
    <s v="REP005"/>
    <x v="2"/>
    <s v="EV Charge Card"/>
    <s v="SME"/>
  </r>
  <r>
    <s v="TXN0000891"/>
    <s v="CUST00111"/>
    <b v="1"/>
    <d v="2025-11-07T00:00:00"/>
    <x v="3"/>
    <s v="EV Charging"/>
    <n v="2450.9899999999998"/>
    <n v="71.069999999999993"/>
    <b v="1"/>
    <s v="Completed"/>
    <n v="71.069999999999993"/>
    <x v="2"/>
    <s v="REP005"/>
    <x v="2"/>
    <s v="EV Charge Card"/>
    <s v="SME"/>
  </r>
  <r>
    <s v="TXN0000892"/>
    <s v="CUST00111"/>
    <b v="1"/>
    <d v="2025-12-22T00:00:00"/>
    <x v="4"/>
    <s v="EV Charging"/>
    <n v="2806.06"/>
    <n v="79.14"/>
    <b v="1"/>
    <s v="Completed"/>
    <n v="79.14"/>
    <x v="2"/>
    <s v="REP005"/>
    <x v="2"/>
    <s v="EV Charge Card"/>
    <s v="SME"/>
  </r>
  <r>
    <s v="TXN0000893"/>
    <s v="CUST00111"/>
    <b v="1"/>
    <d v="2025-12-29T00:00:00"/>
    <x v="4"/>
    <s v="EV Charging"/>
    <n v="4870.43"/>
    <n v="137.77000000000001"/>
    <b v="1"/>
    <s v="Completed"/>
    <n v="137.77000000000001"/>
    <x v="2"/>
    <s v="REP005"/>
    <x v="2"/>
    <s v="EV Charge Card"/>
    <s v="SME"/>
  </r>
  <r>
    <s v="TXN0000894"/>
    <s v="CUST00113"/>
    <b v="1"/>
    <d v="2025-12-31T00:00:00"/>
    <x v="4"/>
    <s v="EV Charging"/>
    <n v="5091.6899999999996"/>
    <n v="156.88"/>
    <b v="1"/>
    <s v="Completed"/>
    <n v="156.88"/>
    <x v="1"/>
    <s v="REP014"/>
    <x v="1"/>
    <s v="EV Charge Card"/>
    <s v="SME"/>
  </r>
  <r>
    <s v="TXN0000895"/>
    <s v="CUST00113"/>
    <b v="1"/>
    <d v="2025-12-24T00:00:00"/>
    <x v="4"/>
    <s v="EV Charging"/>
    <n v="2074.27"/>
    <n v="61.94"/>
    <b v="1"/>
    <s v="Completed"/>
    <n v="61.94"/>
    <x v="1"/>
    <s v="REP014"/>
    <x v="1"/>
    <s v="EV Charge Card"/>
    <s v="SME"/>
  </r>
  <r>
    <s v="TXN0000896"/>
    <s v="CUST00113"/>
    <b v="1"/>
    <d v="2025-12-23T00:00:00"/>
    <x v="4"/>
    <s v="EV Charging"/>
    <n v="1270.51"/>
    <n v="0"/>
    <b v="1"/>
    <s v="Cancelled"/>
    <n v="0"/>
    <x v="1"/>
    <s v="REP014"/>
    <x v="1"/>
    <s v="EV Charge Card"/>
    <s v="SME"/>
  </r>
  <r>
    <s v="TXN0000897"/>
    <s v="CUST00114"/>
    <b v="1"/>
    <d v="2025-03-25T00:00:00"/>
    <x v="10"/>
    <s v="Toll"/>
    <n v="5061.5600000000004"/>
    <n v="91.65"/>
    <b v="1"/>
    <s v="Completed"/>
    <n v="91.65"/>
    <x v="3"/>
    <s v="REP003"/>
    <x v="2"/>
    <s v="Toll Solution"/>
    <s v="SME"/>
  </r>
  <r>
    <s v="TXN0000898"/>
    <s v="CUST00114"/>
    <b v="1"/>
    <d v="2025-03-18T00:00:00"/>
    <x v="10"/>
    <s v="Toll"/>
    <n v="4464.7"/>
    <n v="88.41"/>
    <b v="1"/>
    <s v="Completed"/>
    <n v="88.41"/>
    <x v="3"/>
    <s v="REP003"/>
    <x v="2"/>
    <s v="Toll Solution"/>
    <s v="SME"/>
  </r>
  <r>
    <s v="TXN0000899"/>
    <s v="CUST00114"/>
    <b v="1"/>
    <d v="2025-04-03T00:00:00"/>
    <x v="5"/>
    <s v="Toll"/>
    <n v="3535.05"/>
    <n v="59.09"/>
    <b v="1"/>
    <s v="Completed"/>
    <n v="59.09"/>
    <x v="3"/>
    <s v="REP003"/>
    <x v="2"/>
    <s v="Toll Solution"/>
    <s v="SME"/>
  </r>
  <r>
    <s v="TXN0000900"/>
    <s v="CUST00114"/>
    <b v="1"/>
    <d v="2025-05-29T00:00:00"/>
    <x v="6"/>
    <s v="Toll"/>
    <n v="4338.2299999999996"/>
    <n v="67.19"/>
    <b v="1"/>
    <s v="Completed"/>
    <n v="67.19"/>
    <x v="3"/>
    <s v="REP003"/>
    <x v="2"/>
    <s v="Toll Solution"/>
    <s v="SME"/>
  </r>
  <r>
    <s v="TXN0000901"/>
    <s v="CUST00114"/>
    <b v="1"/>
    <d v="2025-06-13T00:00:00"/>
    <x v="7"/>
    <s v="Toll"/>
    <n v="5249.07"/>
    <n v="80.52"/>
    <b v="1"/>
    <s v="Completed"/>
    <n v="80.52"/>
    <x v="3"/>
    <s v="REP003"/>
    <x v="2"/>
    <s v="Toll Solution"/>
    <s v="SME"/>
  </r>
  <r>
    <s v="TXN0000902"/>
    <s v="CUST00114"/>
    <b v="1"/>
    <d v="2025-07-08T00:00:00"/>
    <x v="8"/>
    <s v="Toll"/>
    <n v="1979.66"/>
    <n v="33.51"/>
    <b v="1"/>
    <s v="Completed"/>
    <n v="33.51"/>
    <x v="3"/>
    <s v="REP003"/>
    <x v="2"/>
    <s v="Toll Solution"/>
    <s v="SME"/>
  </r>
  <r>
    <s v="TXN0000903"/>
    <s v="CUST00114"/>
    <b v="1"/>
    <d v="2025-07-21T00:00:00"/>
    <x v="8"/>
    <s v="Toll"/>
    <n v="4237.92"/>
    <n v="66.680000000000007"/>
    <b v="1"/>
    <s v="Completed"/>
    <n v="66.680000000000007"/>
    <x v="3"/>
    <s v="REP003"/>
    <x v="2"/>
    <s v="Toll Solution"/>
    <s v="SME"/>
  </r>
  <r>
    <s v="TXN0000904"/>
    <s v="CUST00114"/>
    <b v="1"/>
    <d v="2025-08-10T00:00:00"/>
    <x v="0"/>
    <s v="Toll"/>
    <n v="2403.29"/>
    <n v="46.49"/>
    <b v="1"/>
    <s v="Completed"/>
    <n v="46.49"/>
    <x v="3"/>
    <s v="REP003"/>
    <x v="2"/>
    <s v="Toll Solution"/>
    <s v="SME"/>
  </r>
  <r>
    <s v="TXN0000905"/>
    <s v="CUST00114"/>
    <b v="1"/>
    <d v="2025-08-18T00:00:00"/>
    <x v="0"/>
    <s v="Toll"/>
    <n v="1387.41"/>
    <n v="24.04"/>
    <b v="1"/>
    <s v="Completed"/>
    <n v="24.04"/>
    <x v="3"/>
    <s v="REP003"/>
    <x v="2"/>
    <s v="Toll Solution"/>
    <s v="SME"/>
  </r>
  <r>
    <s v="TXN0000906"/>
    <s v="CUST00114"/>
    <b v="1"/>
    <d v="2025-08-11T00:00:00"/>
    <x v="0"/>
    <s v="Toll"/>
    <n v="4261.88"/>
    <n v="69.010000000000005"/>
    <b v="1"/>
    <s v="Completed"/>
    <n v="69.010000000000005"/>
    <x v="3"/>
    <s v="REP003"/>
    <x v="2"/>
    <s v="Toll Solution"/>
    <s v="SME"/>
  </r>
  <r>
    <s v="TXN0000907"/>
    <s v="CUST00114"/>
    <b v="1"/>
    <d v="2025-09-23T00:00:00"/>
    <x v="1"/>
    <s v="Toll"/>
    <n v="1776.65"/>
    <n v="28.45"/>
    <b v="1"/>
    <s v="Completed"/>
    <n v="28.45"/>
    <x v="3"/>
    <s v="REP003"/>
    <x v="2"/>
    <s v="Toll Solution"/>
    <s v="SME"/>
  </r>
  <r>
    <s v="TXN0000908"/>
    <s v="CUST00114"/>
    <b v="1"/>
    <d v="2025-09-08T00:00:00"/>
    <x v="1"/>
    <s v="Toll"/>
    <n v="2238.62"/>
    <n v="36.630000000000003"/>
    <b v="1"/>
    <s v="Completed"/>
    <n v="36.630000000000003"/>
    <x v="3"/>
    <s v="REP003"/>
    <x v="2"/>
    <s v="Toll Solution"/>
    <s v="SME"/>
  </r>
  <r>
    <s v="TXN0000909"/>
    <s v="CUST00114"/>
    <b v="1"/>
    <d v="2025-10-29T00:00:00"/>
    <x v="2"/>
    <s v="Toll"/>
    <n v="2419.61"/>
    <n v="47.11"/>
    <b v="1"/>
    <s v="Completed"/>
    <n v="47.11"/>
    <x v="3"/>
    <s v="REP003"/>
    <x v="2"/>
    <s v="Toll Solution"/>
    <s v="SME"/>
  </r>
  <r>
    <s v="TXN0000910"/>
    <s v="CUST00114"/>
    <b v="1"/>
    <d v="2025-10-10T00:00:00"/>
    <x v="2"/>
    <s v="Toll"/>
    <n v="2670.28"/>
    <n v="45.05"/>
    <b v="1"/>
    <s v="Completed"/>
    <n v="45.05"/>
    <x v="3"/>
    <s v="REP003"/>
    <x v="2"/>
    <s v="Toll Solution"/>
    <s v="SME"/>
  </r>
  <r>
    <s v="TXN0000911"/>
    <s v="CUST00114"/>
    <b v="1"/>
    <d v="2025-11-07T00:00:00"/>
    <x v="3"/>
    <s v="Toll"/>
    <n v="4340.25"/>
    <n v="70.489999999999995"/>
    <b v="1"/>
    <s v="Completed"/>
    <n v="70.489999999999995"/>
    <x v="3"/>
    <s v="REP003"/>
    <x v="2"/>
    <s v="Toll Solution"/>
    <s v="SME"/>
  </r>
  <r>
    <s v="TXN0000912"/>
    <s v="CUST00114"/>
    <b v="1"/>
    <d v="2025-12-23T00:00:00"/>
    <x v="4"/>
    <s v="Toll"/>
    <n v="4623.72"/>
    <n v="72.2"/>
    <b v="1"/>
    <s v="Completed"/>
    <n v="72.2"/>
    <x v="3"/>
    <s v="REP003"/>
    <x v="2"/>
    <s v="Toll Solution"/>
    <s v="SME"/>
  </r>
  <r>
    <s v="TXN0000913"/>
    <s v="CUST00114"/>
    <b v="1"/>
    <d v="2025-12-19T00:00:00"/>
    <x v="4"/>
    <s v="Toll"/>
    <n v="2873.71"/>
    <n v="51.87"/>
    <b v="1"/>
    <s v="Completed"/>
    <n v="51.87"/>
    <x v="3"/>
    <s v="REP003"/>
    <x v="2"/>
    <s v="Toll Solution"/>
    <s v="SME"/>
  </r>
  <r>
    <s v="TXN0000914"/>
    <s v="CUST00114"/>
    <b v="1"/>
    <d v="2025-12-12T00:00:00"/>
    <x v="4"/>
    <s v="Toll"/>
    <n v="4727.71"/>
    <n v="86.74"/>
    <b v="1"/>
    <s v="Completed"/>
    <n v="86.74"/>
    <x v="3"/>
    <s v="REP003"/>
    <x v="2"/>
    <s v="Toll Solution"/>
    <s v="SME"/>
  </r>
  <r>
    <s v="TXN0000915"/>
    <s v="CUST00117"/>
    <b v="1"/>
    <d v="2025-04-17T00:00:00"/>
    <x v="5"/>
    <s v="Fuel"/>
    <n v="21341.26"/>
    <n v="552.01"/>
    <b v="1"/>
    <s v="Completed"/>
    <n v="552.01"/>
    <x v="3"/>
    <s v="REP003"/>
    <x v="5"/>
    <s v="Fuel Card"/>
    <s v="Enterprise"/>
  </r>
  <r>
    <s v="TXN0000916"/>
    <s v="CUST00117"/>
    <b v="1"/>
    <d v="2025-04-19T00:00:00"/>
    <x v="5"/>
    <s v="Fuel"/>
    <n v="45246.11"/>
    <n v="1280.3"/>
    <b v="1"/>
    <s v="Completed"/>
    <n v="1280.3"/>
    <x v="3"/>
    <s v="REP003"/>
    <x v="5"/>
    <s v="Fuel Card"/>
    <s v="Enterprise"/>
  </r>
  <r>
    <s v="TXN0000917"/>
    <s v="CUST00117"/>
    <b v="1"/>
    <d v="2025-05-18T00:00:00"/>
    <x v="6"/>
    <s v="Fuel"/>
    <n v="31522.46"/>
    <n v="903.97"/>
    <b v="1"/>
    <s v="Completed"/>
    <n v="903.97"/>
    <x v="3"/>
    <s v="REP003"/>
    <x v="5"/>
    <s v="Fuel Card"/>
    <s v="Enterprise"/>
  </r>
  <r>
    <s v="TXN0000918"/>
    <s v="CUST00117"/>
    <b v="1"/>
    <d v="2025-05-21T00:00:00"/>
    <x v="6"/>
    <s v="Fuel"/>
    <n v="27058.81"/>
    <n v="665.44"/>
    <b v="1"/>
    <s v="Completed"/>
    <n v="665.44"/>
    <x v="3"/>
    <s v="REP003"/>
    <x v="5"/>
    <s v="Fuel Card"/>
    <s v="Enterprise"/>
  </r>
  <r>
    <s v="TXN0000919"/>
    <s v="CUST00117"/>
    <b v="1"/>
    <d v="2025-06-30T00:00:00"/>
    <x v="7"/>
    <s v="Fuel"/>
    <n v="32321.07"/>
    <n v="886.95"/>
    <b v="1"/>
    <s v="Completed"/>
    <n v="886.95"/>
    <x v="3"/>
    <s v="REP003"/>
    <x v="5"/>
    <s v="Fuel Card"/>
    <s v="Enterprise"/>
  </r>
  <r>
    <s v="TXN0000920"/>
    <s v="CUST00117"/>
    <b v="1"/>
    <d v="2025-06-25T00:00:00"/>
    <x v="7"/>
    <s v="Fuel"/>
    <n v="54712.84"/>
    <n v="1256.3399999999999"/>
    <b v="1"/>
    <s v="Completed"/>
    <n v="1256.3399999999999"/>
    <x v="3"/>
    <s v="REP003"/>
    <x v="5"/>
    <s v="Fuel Card"/>
    <s v="Enterprise"/>
  </r>
  <r>
    <s v="TXN0000921"/>
    <s v="CUST00117"/>
    <b v="1"/>
    <d v="2025-06-26T00:00:00"/>
    <x v="7"/>
    <s v="Fuel"/>
    <n v="15335.37"/>
    <n v="346.08"/>
    <b v="1"/>
    <s v="Completed"/>
    <n v="346.08"/>
    <x v="3"/>
    <s v="REP003"/>
    <x v="5"/>
    <s v="Fuel Card"/>
    <s v="Enterprise"/>
  </r>
  <r>
    <s v="TXN0000922"/>
    <s v="CUST00117"/>
    <b v="1"/>
    <d v="2025-07-03T00:00:00"/>
    <x v="8"/>
    <s v="Fuel"/>
    <n v="50722.17"/>
    <n v="1154.95"/>
    <b v="1"/>
    <s v="Completed"/>
    <n v="1154.95"/>
    <x v="3"/>
    <s v="REP003"/>
    <x v="5"/>
    <s v="Fuel Card"/>
    <s v="Enterprise"/>
  </r>
  <r>
    <s v="TXN0000923"/>
    <s v="CUST00117"/>
    <b v="1"/>
    <d v="2025-08-25T00:00:00"/>
    <x v="0"/>
    <s v="Fuel"/>
    <n v="62562.23"/>
    <n v="1689.29"/>
    <b v="1"/>
    <s v="Completed"/>
    <n v="1689.29"/>
    <x v="3"/>
    <s v="REP003"/>
    <x v="5"/>
    <s v="Fuel Card"/>
    <s v="Enterprise"/>
  </r>
  <r>
    <s v="TXN0000924"/>
    <s v="CUST00117"/>
    <b v="1"/>
    <d v="2025-08-21T00:00:00"/>
    <x v="0"/>
    <s v="Fuel"/>
    <n v="57370.52"/>
    <n v="1330.47"/>
    <b v="1"/>
    <s v="Completed"/>
    <n v="1330.47"/>
    <x v="3"/>
    <s v="REP003"/>
    <x v="5"/>
    <s v="Fuel Card"/>
    <s v="Enterprise"/>
  </r>
  <r>
    <s v="TXN0000925"/>
    <s v="CUST00117"/>
    <b v="1"/>
    <d v="2025-09-25T00:00:00"/>
    <x v="1"/>
    <s v="Fuel"/>
    <m/>
    <n v="796.3"/>
    <b v="1"/>
    <s v="Completed"/>
    <n v="796.3"/>
    <x v="3"/>
    <s v="REP003"/>
    <x v="5"/>
    <s v="Fuel Card"/>
    <s v="Enterprise"/>
  </r>
  <r>
    <s v="TXN0000926"/>
    <s v="CUST00117"/>
    <b v="1"/>
    <d v="2025-09-30T00:00:00"/>
    <x v="1"/>
    <s v="Fuel"/>
    <n v="53587.73"/>
    <n v="1161.8699999999999"/>
    <b v="1"/>
    <s v="Completed"/>
    <n v="1161.8699999999999"/>
    <x v="3"/>
    <s v="REP003"/>
    <x v="5"/>
    <s v="Fuel Card"/>
    <s v="Enterprise"/>
  </r>
  <r>
    <s v="TXN0000927"/>
    <s v="CUST00117"/>
    <b v="1"/>
    <d v="2025-10-23T00:00:00"/>
    <x v="2"/>
    <s v="Fuel"/>
    <n v="18517.189999999999"/>
    <n v="0"/>
    <b v="1"/>
    <s v="Cancelled"/>
    <n v="0"/>
    <x v="3"/>
    <s v="REP003"/>
    <x v="5"/>
    <s v="Fuel Card"/>
    <s v="Enterprise"/>
  </r>
  <r>
    <s v="TXN0000928"/>
    <s v="CUST00117"/>
    <b v="1"/>
    <d v="2025-11-20T00:00:00"/>
    <x v="3"/>
    <s v="Fuel"/>
    <n v="41628.36"/>
    <n v="1033.6199999999999"/>
    <b v="1"/>
    <s v="Completed"/>
    <n v="1033.6199999999999"/>
    <x v="3"/>
    <s v="REP003"/>
    <x v="5"/>
    <s v="Fuel Card"/>
    <s v="Enterprise"/>
  </r>
  <r>
    <s v="TXN0000929"/>
    <s v="CUST00117"/>
    <b v="1"/>
    <d v="2025-11-16T00:00:00"/>
    <x v="3"/>
    <s v="Fuel"/>
    <n v="19113.95"/>
    <n v="455.03"/>
    <b v="1"/>
    <s v="Cancelled"/>
    <n v="0"/>
    <x v="3"/>
    <s v="REP003"/>
    <x v="5"/>
    <s v="Fuel Card"/>
    <s v="Enterprise"/>
  </r>
  <r>
    <s v="TXN0000930"/>
    <s v="CUST00117"/>
    <b v="1"/>
    <d v="2025-12-13T00:00:00"/>
    <x v="4"/>
    <s v="Fuel"/>
    <n v="57048.62"/>
    <n v="1372.48"/>
    <b v="1"/>
    <s v="Completed"/>
    <n v="1372.48"/>
    <x v="3"/>
    <s v="REP003"/>
    <x v="5"/>
    <s v="Fuel Card"/>
    <s v="Enterprise"/>
  </r>
  <r>
    <s v="TXN0000931"/>
    <s v="CUST00118"/>
    <b v="1"/>
    <d v="2025-08-27T00:00:00"/>
    <x v="0"/>
    <s v="Toll"/>
    <n v="4467.12"/>
    <n v="84.45"/>
    <b v="1"/>
    <s v="Completed"/>
    <n v="84.45"/>
    <x v="3"/>
    <s v="REP002"/>
    <x v="2"/>
    <s v="Toll Solution"/>
    <s v="SME"/>
  </r>
  <r>
    <s v="TXN0000932"/>
    <s v="CUST00118"/>
    <b v="1"/>
    <d v="2025-08-22T00:00:00"/>
    <x v="0"/>
    <s v="Toll"/>
    <n v="4537.49"/>
    <n v="78.400000000000006"/>
    <b v="1"/>
    <s v="Completed"/>
    <n v="78.400000000000006"/>
    <x v="3"/>
    <s v="REP002"/>
    <x v="2"/>
    <s v="Toll Solution"/>
    <s v="SME"/>
  </r>
  <r>
    <s v="TXN0000933"/>
    <s v="CUST00118"/>
    <b v="1"/>
    <d v="2025-08-24T00:00:00"/>
    <x v="0"/>
    <s v="Toll"/>
    <n v="4127.07"/>
    <n v="64.81"/>
    <b v="1"/>
    <s v="Completed"/>
    <n v="64.81"/>
    <x v="3"/>
    <s v="REP002"/>
    <x v="2"/>
    <s v="Toll Solution"/>
    <s v="SME"/>
  </r>
  <r>
    <s v="TXN0000934"/>
    <s v="CUST00118"/>
    <b v="1"/>
    <d v="2025-09-25T00:00:00"/>
    <x v="1"/>
    <s v="Toll"/>
    <n v="3718.93"/>
    <n v="75.14"/>
    <b v="1"/>
    <s v="Completed"/>
    <n v="75.14"/>
    <x v="3"/>
    <s v="REP002"/>
    <x v="2"/>
    <s v="Toll Solution"/>
    <s v="SME"/>
  </r>
  <r>
    <s v="TXN0000935"/>
    <s v="CUST00118"/>
    <b v="1"/>
    <d v="2025-09-09T00:00:00"/>
    <x v="1"/>
    <s v="Toll"/>
    <n v="1384.95"/>
    <n v="25.29"/>
    <b v="1"/>
    <s v="Completed"/>
    <n v="25.29"/>
    <x v="3"/>
    <s v="REP002"/>
    <x v="2"/>
    <s v="Toll Solution"/>
    <s v="SME"/>
  </r>
  <r>
    <s v="TXN0000936"/>
    <s v="CUST00118"/>
    <b v="1"/>
    <d v="2025-10-07T00:00:00"/>
    <x v="2"/>
    <s v="Toll"/>
    <n v="4514.05"/>
    <n v="91.94"/>
    <b v="1"/>
    <s v="Completed"/>
    <n v="91.94"/>
    <x v="3"/>
    <s v="REP002"/>
    <x v="2"/>
    <s v="Toll Solution"/>
    <s v="SME"/>
  </r>
  <r>
    <s v="TXN0000937"/>
    <s v="CUST00118"/>
    <b v="1"/>
    <d v="2025-11-19T00:00:00"/>
    <x v="3"/>
    <s v="Toll"/>
    <n v="3815.79"/>
    <n v="73.599999999999994"/>
    <b v="1"/>
    <s v="Completed"/>
    <n v="73.599999999999994"/>
    <x v="3"/>
    <s v="REP002"/>
    <x v="2"/>
    <s v="Toll Solution"/>
    <s v="SME"/>
  </r>
  <r>
    <s v="TXN0000938"/>
    <s v="CUST00118"/>
    <b v="1"/>
    <d v="2025-11-30T00:00:00"/>
    <x v="3"/>
    <s v="Toll"/>
    <n v="1260.46"/>
    <n v="0"/>
    <b v="1"/>
    <s v="Cancelled"/>
    <n v="0"/>
    <x v="3"/>
    <s v="REP002"/>
    <x v="2"/>
    <s v="Toll Solution"/>
    <s v="SME"/>
  </r>
  <r>
    <s v="TXN0000939"/>
    <s v="CUST00118"/>
    <b v="1"/>
    <d v="2025-12-27T00:00:00"/>
    <x v="4"/>
    <s v="Toll"/>
    <n v="2607.4699999999998"/>
    <n v="41.78"/>
    <b v="1"/>
    <s v="Completed"/>
    <n v="41.78"/>
    <x v="3"/>
    <s v="REP002"/>
    <x v="2"/>
    <s v="Toll Solution"/>
    <s v="SME"/>
  </r>
  <r>
    <s v="TXN0000940"/>
    <s v="CUST00118"/>
    <b v="1"/>
    <d v="2025-12-21T00:00:00"/>
    <x v="4"/>
    <s v="Toll"/>
    <n v="2928.31"/>
    <n v="52.41"/>
    <b v="1"/>
    <s v="Completed"/>
    <n v="52.41"/>
    <x v="3"/>
    <s v="REP002"/>
    <x v="2"/>
    <s v="Toll Solution"/>
    <s v="SME"/>
  </r>
  <r>
    <s v="TXN0000941"/>
    <s v="CUST00119"/>
    <b v="1"/>
    <d v="2025-02-26T00:00:00"/>
    <x v="9"/>
    <s v="Fuel"/>
    <n v="8131.28"/>
    <n v="174.1"/>
    <b v="1"/>
    <s v="Completed"/>
    <n v="174.1"/>
    <x v="4"/>
    <s v="REP010"/>
    <x v="5"/>
    <s v="Fuel Card"/>
    <s v="Mid-Market"/>
  </r>
  <r>
    <s v="TXN0000942"/>
    <s v="CUST00119"/>
    <b v="1"/>
    <d v="2025-03-09T00:00:00"/>
    <x v="10"/>
    <s v="Fuel"/>
    <n v="15614.67"/>
    <n v="361.99"/>
    <b v="1"/>
    <s v="Completed"/>
    <n v="361.99"/>
    <x v="4"/>
    <s v="REP010"/>
    <x v="5"/>
    <s v="Fuel Card"/>
    <s v="Mid-Market"/>
  </r>
  <r>
    <s v="TXN0000943"/>
    <s v="CUST00119"/>
    <b v="1"/>
    <d v="2025-03-01T00:00:00"/>
    <x v="10"/>
    <s v="Fuel"/>
    <n v="17438.34"/>
    <n v="457.15"/>
    <b v="1"/>
    <s v="Completed"/>
    <n v="457.15"/>
    <x v="4"/>
    <s v="REP010"/>
    <x v="5"/>
    <s v="Fuel Card"/>
    <s v="Mid-Market"/>
  </r>
  <r>
    <s v="TXN0000944"/>
    <s v="CUST00119"/>
    <b v="1"/>
    <d v="2025-04-21T00:00:00"/>
    <x v="5"/>
    <s v="Fuel"/>
    <n v="17725.54"/>
    <n v="431.69"/>
    <b v="1"/>
    <s v="Completed"/>
    <n v="431.69"/>
    <x v="4"/>
    <s v="REP010"/>
    <x v="5"/>
    <s v="Fuel Card"/>
    <s v="Mid-Market"/>
  </r>
  <r>
    <s v="TXN0000945"/>
    <s v="CUST00119"/>
    <b v="1"/>
    <d v="2025-04-24T00:00:00"/>
    <x v="5"/>
    <s v="Fuel"/>
    <n v="8822.5"/>
    <n v="191.92"/>
    <b v="1"/>
    <s v="Completed"/>
    <n v="191.92"/>
    <x v="4"/>
    <s v="REP010"/>
    <x v="5"/>
    <s v="Fuel Card"/>
    <s v="Mid-Market"/>
  </r>
  <r>
    <s v="TXN0000946"/>
    <s v="CUST00119"/>
    <b v="1"/>
    <d v="2025-05-08T00:00:00"/>
    <x v="6"/>
    <s v="Fuel"/>
    <n v="17146.09"/>
    <n v="379.49"/>
    <b v="1"/>
    <s v="Completed"/>
    <n v="379.49"/>
    <x v="4"/>
    <s v="REP010"/>
    <x v="5"/>
    <s v="Fuel Card"/>
    <s v="Mid-Market"/>
  </r>
  <r>
    <s v="TXN0000947"/>
    <s v="CUST00119"/>
    <b v="1"/>
    <d v="2025-05-21T00:00:00"/>
    <x v="6"/>
    <s v="Fuel"/>
    <n v="11717.63"/>
    <n v="302.93"/>
    <b v="1"/>
    <s v="Completed"/>
    <n v="302.93"/>
    <x v="4"/>
    <s v="REP010"/>
    <x v="5"/>
    <s v="Fuel Card"/>
    <s v="Mid-Market"/>
  </r>
  <r>
    <s v="TXN0000948"/>
    <s v="CUST00119"/>
    <b v="1"/>
    <d v="2025-05-15T00:00:00"/>
    <x v="6"/>
    <s v="Fuel"/>
    <n v="6828.52"/>
    <n v="160.16999999999999"/>
    <b v="1"/>
    <s v="Completed"/>
    <n v="160.16999999999999"/>
    <x v="4"/>
    <s v="REP010"/>
    <x v="5"/>
    <s v="Fuel Card"/>
    <s v="Mid-Market"/>
  </r>
  <r>
    <s v="TXN0000949"/>
    <s v="CUST00119"/>
    <b v="1"/>
    <d v="2025-06-10T00:00:00"/>
    <x v="7"/>
    <s v="Fuel"/>
    <n v="12663.03"/>
    <n v="302.8"/>
    <b v="1"/>
    <s v="Completed"/>
    <n v="302.8"/>
    <x v="4"/>
    <s v="REP010"/>
    <x v="5"/>
    <s v="Fuel Card"/>
    <s v="Mid-Market"/>
  </r>
  <r>
    <s v="TXN0000950"/>
    <s v="CUST00119"/>
    <b v="1"/>
    <d v="2025-06-27T00:00:00"/>
    <x v="7"/>
    <s v="Fuel"/>
    <n v="4974.28"/>
    <n v="117.17"/>
    <b v="1"/>
    <s v="Completed"/>
    <n v="117.17"/>
    <x v="4"/>
    <s v="REP010"/>
    <x v="5"/>
    <s v="Fuel Card"/>
    <s v="Mid-Market"/>
  </r>
  <r>
    <s v="TXN0000951"/>
    <s v="CUST00119"/>
    <b v="1"/>
    <d v="2025-07-03T00:00:00"/>
    <x v="8"/>
    <s v="Fuel"/>
    <n v="11973.7"/>
    <n v="268.43"/>
    <b v="1"/>
    <s v="Completed"/>
    <n v="268.43"/>
    <x v="4"/>
    <s v="REP010"/>
    <x v="5"/>
    <s v="Fuel Card"/>
    <s v="Mid-Market"/>
  </r>
  <r>
    <s v="TXN0000952"/>
    <s v="CUST00119"/>
    <b v="1"/>
    <d v="2025-08-02T00:00:00"/>
    <x v="0"/>
    <s v="Fuel"/>
    <n v="9954.61"/>
    <n v="272.22000000000003"/>
    <b v="1"/>
    <s v="Completed"/>
    <n v="272.22000000000003"/>
    <x v="4"/>
    <s v="REP010"/>
    <x v="5"/>
    <s v="Fuel Card"/>
    <s v="Mid-Market"/>
  </r>
  <r>
    <s v="TXN0000953"/>
    <s v="CUST00119"/>
    <b v="1"/>
    <d v="2025-08-26T00:00:00"/>
    <x v="0"/>
    <s v="Fuel"/>
    <n v="10025.200000000001"/>
    <n v="281.47000000000003"/>
    <b v="1"/>
    <s v="Completed"/>
    <n v="281.47000000000003"/>
    <x v="4"/>
    <s v="REP010"/>
    <x v="5"/>
    <s v="Fuel Card"/>
    <s v="Mid-Market"/>
  </r>
  <r>
    <s v="TXN0000954"/>
    <s v="CUST00119"/>
    <b v="1"/>
    <d v="2025-09-10T00:00:00"/>
    <x v="1"/>
    <s v="Fuel"/>
    <n v="7605.23"/>
    <n v="207.46"/>
    <b v="1"/>
    <s v="Completed"/>
    <n v="207.46"/>
    <x v="4"/>
    <s v="REP010"/>
    <x v="5"/>
    <s v="Fuel Card"/>
    <s v="Mid-Market"/>
  </r>
  <r>
    <s v="TXN0000955"/>
    <s v="CUST00119"/>
    <b v="1"/>
    <d v="2025-09-11T00:00:00"/>
    <x v="1"/>
    <s v="Fuel"/>
    <n v="10985.31"/>
    <n v="306.36"/>
    <b v="1"/>
    <s v="Completed"/>
    <n v="306.36"/>
    <x v="4"/>
    <s v="REP010"/>
    <x v="5"/>
    <s v="Fuel Card"/>
    <s v="Mid-Market"/>
  </r>
  <r>
    <s v="TXN0000956"/>
    <s v="CUST00119"/>
    <b v="1"/>
    <d v="2025-10-19T00:00:00"/>
    <x v="2"/>
    <s v="Fuel"/>
    <n v="8418.18"/>
    <n v="232.49"/>
    <b v="1"/>
    <s v="Completed"/>
    <n v="232.49"/>
    <x v="4"/>
    <s v="REP010"/>
    <x v="5"/>
    <s v="Fuel Card"/>
    <s v="Mid-Market"/>
  </r>
  <r>
    <s v="TXN0000957"/>
    <s v="CUST00119"/>
    <b v="1"/>
    <d v="2025-10-04T00:00:00"/>
    <x v="2"/>
    <s v="Fuel"/>
    <n v="16516.32"/>
    <n v="467.18"/>
    <b v="1"/>
    <s v="Completed"/>
    <n v="467.18"/>
    <x v="4"/>
    <s v="REP010"/>
    <x v="5"/>
    <s v="Fuel Card"/>
    <s v="Mid-Market"/>
  </r>
  <r>
    <s v="TXN0000958"/>
    <s v="CUST00119"/>
    <b v="1"/>
    <d v="2025-10-05T00:00:00"/>
    <x v="2"/>
    <s v="Fuel"/>
    <n v="16552.240000000002"/>
    <n v="355.4"/>
    <b v="1"/>
    <s v="Completed"/>
    <n v="355.4"/>
    <x v="4"/>
    <s v="REP010"/>
    <x v="5"/>
    <s v="Fuel Card"/>
    <s v="Mid-Market"/>
  </r>
  <r>
    <s v="TXN0000959"/>
    <s v="CUST00119"/>
    <b v="1"/>
    <d v="2025-11-24T00:00:00"/>
    <x v="3"/>
    <s v="Fuel"/>
    <n v="12767.35"/>
    <n v="348.39"/>
    <b v="1"/>
    <s v="Completed"/>
    <n v="348.39"/>
    <x v="4"/>
    <s v="REP010"/>
    <x v="5"/>
    <s v="Fuel Card"/>
    <s v="Mid-Market"/>
  </r>
  <r>
    <s v="TXN0000960"/>
    <s v="CUST00119"/>
    <b v="1"/>
    <d v="2025-11-30T00:00:00"/>
    <x v="3"/>
    <s v="Fuel"/>
    <n v="5916.72"/>
    <n v="153.47"/>
    <b v="1"/>
    <s v="Completed"/>
    <n v="153.47"/>
    <x v="4"/>
    <s v="REP010"/>
    <x v="5"/>
    <s v="Fuel Card"/>
    <s v="Mid-Market"/>
  </r>
  <r>
    <s v="TXN0000961"/>
    <s v="CUST00119"/>
    <b v="1"/>
    <d v="2025-02-16T00:00:00"/>
    <x v="9"/>
    <s v="Fuel"/>
    <n v="16711"/>
    <n v="419.24"/>
    <b v="1"/>
    <s v="Completed"/>
    <n v="419.24"/>
    <x v="4"/>
    <s v="REP010"/>
    <x v="5"/>
    <s v="Fuel Card"/>
    <s v="Mid-Market"/>
  </r>
  <r>
    <s v="TXN0000962"/>
    <s v="CUST00119"/>
    <b v="1"/>
    <d v="2025-12-17T00:00:00"/>
    <x v="4"/>
    <s v="Fuel"/>
    <n v="12829.6"/>
    <n v="349.02"/>
    <b v="1"/>
    <s v="Completed"/>
    <n v="349.02"/>
    <x v="4"/>
    <s v="REP010"/>
    <x v="5"/>
    <s v="Fuel Card"/>
    <s v="Mid-Market"/>
  </r>
  <r>
    <s v="TXN0000963"/>
    <s v="CUST00119"/>
    <b v="1"/>
    <d v="2025-12-16T00:00:00"/>
    <x v="4"/>
    <s v="Fuel"/>
    <n v="13645.22"/>
    <n v="369.25"/>
    <b v="1"/>
    <s v="Completed"/>
    <n v="369.25"/>
    <x v="4"/>
    <s v="REP010"/>
    <x v="5"/>
    <s v="Fuel Card"/>
    <s v="Mid-Market"/>
  </r>
  <r>
    <s v="TXN0000964"/>
    <s v="CUST99999"/>
    <b v="0"/>
    <d v="2025-12-24T00:00:00"/>
    <x v="4"/>
    <s v="Fuel"/>
    <n v="17923.32"/>
    <n v="420.2"/>
    <b v="1"/>
    <s v="Completed"/>
    <n v="0"/>
    <x v="4"/>
    <s v="Unmatched"/>
    <x v="3"/>
    <s v="Unmatched"/>
    <s v="Unmatched"/>
  </r>
  <r>
    <s v="TXN0000965"/>
    <s v="CUST00120"/>
    <b v="1"/>
    <d v="2025-10-29T00:00:00"/>
    <x v="2"/>
    <s v="Fuel"/>
    <n v="4971.62"/>
    <n v="129.38999999999999"/>
    <b v="1"/>
    <s v="Completed"/>
    <n v="129.38999999999999"/>
    <x v="2"/>
    <s v="REP006"/>
    <x v="5"/>
    <s v="Fuel Card"/>
    <s v="Mid-Market"/>
  </r>
  <r>
    <s v="TXN0000966"/>
    <s v="CUST00120"/>
    <b v="1"/>
    <d v="2025-10-17T00:00:00"/>
    <x v="2"/>
    <s v="Fuel"/>
    <n v="10322.84"/>
    <n v="238"/>
    <b v="1"/>
    <s v="Completed"/>
    <n v="238"/>
    <x v="2"/>
    <s v="REP006"/>
    <x v="5"/>
    <s v="Fuel Card"/>
    <s v="Mid-Market"/>
  </r>
  <r>
    <s v="TXN0000967"/>
    <s v="CUST00120"/>
    <b v="1"/>
    <d v="2025-10-13T00:00:00"/>
    <x v="2"/>
    <s v="Fuel"/>
    <n v="5697.29"/>
    <n v="144.69999999999999"/>
    <b v="1"/>
    <s v="Completed"/>
    <n v="144.69999999999999"/>
    <x v="2"/>
    <s v="REP006"/>
    <x v="5"/>
    <s v="Fuel Card"/>
    <s v="Mid-Market"/>
  </r>
  <r>
    <s v="TXN0000968"/>
    <s v="CUST00120"/>
    <b v="1"/>
    <d v="2025-11-06T00:00:00"/>
    <x v="3"/>
    <s v="Fuel"/>
    <n v="8002.18"/>
    <n v="191.48"/>
    <b v="1"/>
    <s v="Completed"/>
    <n v="191.48"/>
    <x v="2"/>
    <s v="REP006"/>
    <x v="5"/>
    <s v="Fuel Card"/>
    <s v="Mid-Market"/>
  </r>
  <r>
    <s v="TXN0000969"/>
    <s v="CUST00120"/>
    <b v="1"/>
    <d v="2025-12-09T00:00:00"/>
    <x v="4"/>
    <s v="Fuel"/>
    <n v="14385.13"/>
    <n v="387.15"/>
    <b v="1"/>
    <s v="Completed"/>
    <n v="387.15"/>
    <x v="2"/>
    <s v="REP006"/>
    <x v="5"/>
    <s v="Fuel Card"/>
    <s v="Mid-Market"/>
  </r>
  <r>
    <s v="TXN0000970"/>
    <s v="CUST00121"/>
    <b v="1"/>
    <d v="2025-08-31T00:00:00"/>
    <x v="0"/>
    <s v="Fuel"/>
    <n v="2543.37"/>
    <n v="78.56"/>
    <b v="1"/>
    <s v="Completed"/>
    <n v="78.56"/>
    <x v="2"/>
    <s v="REP004"/>
    <x v="1"/>
    <s v="Fleet Expense Card"/>
    <s v="SME"/>
  </r>
  <r>
    <s v="TXN0000971"/>
    <s v="CUST00121"/>
    <b v="1"/>
    <d v="2025-08-31T00:00:00"/>
    <x v="0"/>
    <s v="Lodging"/>
    <n v="2749.26"/>
    <n v="84.64"/>
    <b v="1"/>
    <s v="Completed"/>
    <n v="84.64"/>
    <x v="2"/>
    <s v="REP004"/>
    <x v="1"/>
    <s v="Fleet Expense Card"/>
    <s v="SME"/>
  </r>
  <r>
    <s v="TXN0000972"/>
    <s v="CUST00121"/>
    <b v="1"/>
    <d v="2025-09-20T00:00:00"/>
    <x v="1"/>
    <s v="Lodging"/>
    <n v="1795.72"/>
    <n v="45.02"/>
    <b v="1"/>
    <s v="Completed"/>
    <n v="45.02"/>
    <x v="2"/>
    <s v="REP004"/>
    <x v="1"/>
    <s v="Fleet Expense Card"/>
    <s v="SME"/>
  </r>
  <r>
    <s v="TXN0000973"/>
    <s v="CUST00121"/>
    <b v="1"/>
    <d v="2025-09-01T00:00:00"/>
    <x v="1"/>
    <s v="Lodging"/>
    <n v="1231.8699999999999"/>
    <n v="34.1"/>
    <b v="1"/>
    <s v="Completed"/>
    <n v="34.1"/>
    <x v="2"/>
    <s v="REP004"/>
    <x v="1"/>
    <s v="Fleet Expense Card"/>
    <s v="SME"/>
  </r>
  <r>
    <s v="TXN0000974"/>
    <s v="CUST00121"/>
    <b v="1"/>
    <d v="2025-10-15T00:00:00"/>
    <x v="2"/>
    <s v="Lodging"/>
    <n v="4758.3100000000004"/>
    <n v="129.80000000000001"/>
    <b v="1"/>
    <s v="Completed"/>
    <n v="129.80000000000001"/>
    <x v="2"/>
    <s v="REP004"/>
    <x v="1"/>
    <s v="Fleet Expense Card"/>
    <s v="SME"/>
  </r>
  <r>
    <s v="TXN0000975"/>
    <s v="CUST00121"/>
    <b v="1"/>
    <d v="2025-10-27T00:00:00"/>
    <x v="2"/>
    <s v="Fuel"/>
    <n v="1447.73"/>
    <n v="43.23"/>
    <b v="1"/>
    <s v="Completed"/>
    <n v="43.23"/>
    <x v="2"/>
    <s v="REP004"/>
    <x v="1"/>
    <s v="Fleet Expense Card"/>
    <s v="SME"/>
  </r>
  <r>
    <s v="TXN0000976"/>
    <s v="CUST00121"/>
    <b v="1"/>
    <d v="2025-11-16T00:00:00"/>
    <x v="3"/>
    <s v="Parking"/>
    <n v="3221.54"/>
    <n v="84.74"/>
    <b v="1"/>
    <s v="Completed"/>
    <n v="84.74"/>
    <x v="2"/>
    <s v="REP004"/>
    <x v="1"/>
    <s v="Fleet Expense Card"/>
    <s v="SME"/>
  </r>
  <r>
    <s v="TXN0000977"/>
    <s v="CUST00121"/>
    <b v="1"/>
    <d v="2025-11-25T00:00:00"/>
    <x v="3"/>
    <s v="Lodging"/>
    <n v="1352.37"/>
    <n v="35.200000000000003"/>
    <b v="1"/>
    <s v="Completed"/>
    <n v="35.200000000000003"/>
    <x v="2"/>
    <s v="REP004"/>
    <x v="1"/>
    <s v="Fleet Expense Card"/>
    <s v="SME"/>
  </r>
  <r>
    <s v="TXN0000978"/>
    <s v="CUST00121"/>
    <b v="1"/>
    <d v="2025-11-05T00:00:00"/>
    <x v="3"/>
    <s v="Parking"/>
    <n v="2213.6999999999998"/>
    <n v="64.95"/>
    <b v="1"/>
    <s v="Completed"/>
    <n v="64.95"/>
    <x v="2"/>
    <s v="REP004"/>
    <x v="1"/>
    <s v="Fleet Expense Card"/>
    <s v="SME"/>
  </r>
  <r>
    <s v="TXN0000979"/>
    <s v="CUST00121"/>
    <b v="1"/>
    <d v="2025-12-03T00:00:00"/>
    <x v="4"/>
    <s v="Lodging"/>
    <n v="3919.48"/>
    <n v="95.59"/>
    <b v="1"/>
    <s v="Completed"/>
    <n v="95.59"/>
    <x v="2"/>
    <s v="REP004"/>
    <x v="1"/>
    <s v="Fleet Expense Card"/>
    <s v="SME"/>
  </r>
  <r>
    <s v="TXN0000980"/>
    <s v="CUST00122"/>
    <b v="1"/>
    <d v="2025-03-28T00:00:00"/>
    <x v="10"/>
    <s v="Fuel"/>
    <n v="3402.93"/>
    <n v="78.39"/>
    <b v="1"/>
    <s v="Completed"/>
    <n v="78.39"/>
    <x v="2"/>
    <s v="REP005"/>
    <x v="0"/>
    <s v="Fleet Expense Card"/>
    <s v="SME"/>
  </r>
  <r>
    <s v="TXN0000981"/>
    <s v="CUST00122"/>
    <b v="1"/>
    <d v="2025-03-29T00:00:00"/>
    <x v="10"/>
    <s v="Parking"/>
    <n v="4938.33"/>
    <n v="134.38999999999999"/>
    <b v="1"/>
    <s v="Completed"/>
    <n v="134.38999999999999"/>
    <x v="2"/>
    <s v="REP005"/>
    <x v="0"/>
    <s v="Fleet Expense Card"/>
    <s v="SME"/>
  </r>
  <r>
    <s v="TXN0000982"/>
    <s v="CUST00122"/>
    <b v="1"/>
    <d v="2025-04-21T00:00:00"/>
    <x v="5"/>
    <s v="Fuel"/>
    <n v="4761.26"/>
    <n v="0"/>
    <b v="1"/>
    <s v="Cancelled"/>
    <n v="0"/>
    <x v="2"/>
    <s v="REP005"/>
    <x v="0"/>
    <s v="Fleet Expense Card"/>
    <s v="SME"/>
  </r>
  <r>
    <s v="TXN0000983"/>
    <s v="CUST00122"/>
    <b v="1"/>
    <d v="2025-04-25T00:00:00"/>
    <x v="5"/>
    <s v="Fuel"/>
    <n v="3103.44"/>
    <n v="95.7"/>
    <b v="1"/>
    <s v="Completed"/>
    <n v="95.7"/>
    <x v="2"/>
    <s v="REP005"/>
    <x v="0"/>
    <s v="Fleet Expense Card"/>
    <s v="SME"/>
  </r>
  <r>
    <s v="TXN0000984"/>
    <s v="CUST00122"/>
    <b v="1"/>
    <d v="2025-05-15T00:00:00"/>
    <x v="6"/>
    <s v="Fuel"/>
    <n v="2427.27"/>
    <n v="74.48"/>
    <b v="1"/>
    <s v="Completed"/>
    <n v="74.48"/>
    <x v="2"/>
    <s v="REP005"/>
    <x v="0"/>
    <s v="Fleet Expense Card"/>
    <s v="SME"/>
  </r>
  <r>
    <s v="TXN0000985"/>
    <s v="CUST00122"/>
    <b v="1"/>
    <d v="2025-06-21T00:00:00"/>
    <x v="7"/>
    <s v="Fuel"/>
    <n v="3240.39"/>
    <n v="91.81"/>
    <b v="1"/>
    <s v="Completed"/>
    <n v="91.81"/>
    <x v="2"/>
    <s v="REP005"/>
    <x v="0"/>
    <s v="Fleet Expense Card"/>
    <s v="SME"/>
  </r>
  <r>
    <s v="TXN0000986"/>
    <s v="CUST00122"/>
    <b v="1"/>
    <d v="2025-06-05T00:00:00"/>
    <x v="7"/>
    <s v="Lodging"/>
    <n v="5200.46"/>
    <n v="147.85"/>
    <b v="1"/>
    <s v="Completed"/>
    <n v="147.85"/>
    <x v="2"/>
    <s v="REP005"/>
    <x v="0"/>
    <s v="Fleet Expense Card"/>
    <s v="SME"/>
  </r>
  <r>
    <s v="TXN0000987"/>
    <s v="CUST00122"/>
    <b v="1"/>
    <d v="2025-06-07T00:00:00"/>
    <x v="7"/>
    <s v="Fuel"/>
    <n v="2335.35"/>
    <n v="67.819999999999993"/>
    <b v="1"/>
    <s v="Completed"/>
    <n v="67.819999999999993"/>
    <x v="2"/>
    <s v="REP005"/>
    <x v="0"/>
    <s v="Fleet Expense Card"/>
    <s v="SME"/>
  </r>
  <r>
    <s v="TXN0000988"/>
    <s v="CUST00122"/>
    <b v="1"/>
    <d v="2025-07-07T00:00:00"/>
    <x v="8"/>
    <s v="Fuel"/>
    <n v="3264.53"/>
    <n v="90.99"/>
    <b v="1"/>
    <s v="Completed"/>
    <n v="90.99"/>
    <x v="2"/>
    <s v="REP005"/>
    <x v="0"/>
    <s v="Fleet Expense Card"/>
    <s v="SME"/>
  </r>
  <r>
    <s v="TXN0000989"/>
    <s v="CUST00122"/>
    <b v="1"/>
    <d v="2025-08-26T00:00:00"/>
    <x v="0"/>
    <s v="Lodging"/>
    <n v="4329.92"/>
    <n v="102.09"/>
    <b v="1"/>
    <s v="Completed"/>
    <n v="102.09"/>
    <x v="2"/>
    <s v="REP005"/>
    <x v="0"/>
    <s v="Fleet Expense Card"/>
    <s v="SME"/>
  </r>
  <r>
    <s v="TXN0000990"/>
    <s v="CUST00122"/>
    <b v="1"/>
    <d v="2025-08-15T00:00:00"/>
    <x v="0"/>
    <s v="Fuel"/>
    <n v="5237.22"/>
    <n v="133.27000000000001"/>
    <b v="1"/>
    <s v="Completed"/>
    <n v="133.27000000000001"/>
    <x v="2"/>
    <s v="REP005"/>
    <x v="0"/>
    <s v="Fleet Expense Card"/>
    <s v="SME"/>
  </r>
  <r>
    <s v="TXN0000991"/>
    <s v="CUST00122"/>
    <b v="1"/>
    <d v="2025-09-04T00:00:00"/>
    <x v="1"/>
    <s v="Lodging"/>
    <n v="1378.93"/>
    <n v="32.119999999999997"/>
    <b v="1"/>
    <s v="Completed"/>
    <n v="32.119999999999997"/>
    <x v="2"/>
    <s v="REP005"/>
    <x v="0"/>
    <s v="Fleet Expense Card"/>
    <s v="SME"/>
  </r>
  <r>
    <s v="TXN0000992"/>
    <s v="CUST00122"/>
    <b v="1"/>
    <d v="2025-10-06T00:00:00"/>
    <x v="2"/>
    <s v="Parking"/>
    <n v="2781.64"/>
    <n v="79.84"/>
    <b v="1"/>
    <s v="Completed"/>
    <n v="79.84"/>
    <x v="2"/>
    <s v="REP005"/>
    <x v="0"/>
    <s v="Fleet Expense Card"/>
    <s v="SME"/>
  </r>
  <r>
    <s v="TXN0000993"/>
    <s v="CUST00122"/>
    <b v="1"/>
    <d v="2025-10-07T00:00:00"/>
    <x v="2"/>
    <s v="Lodging"/>
    <n v="1359.09"/>
    <n v="40.92"/>
    <b v="1"/>
    <s v="Completed"/>
    <n v="40.92"/>
    <x v="2"/>
    <s v="REP005"/>
    <x v="0"/>
    <s v="Fleet Expense Card"/>
    <s v="SME"/>
  </r>
  <r>
    <s v="TXN0000994"/>
    <s v="CUST00123"/>
    <b v="1"/>
    <d v="2025-06-27T00:00:00"/>
    <x v="7"/>
    <s v="Fuel"/>
    <n v="5071.21"/>
    <n v="0"/>
    <b v="1"/>
    <s v="Cancelled"/>
    <n v="0"/>
    <x v="3"/>
    <s v="REP001"/>
    <x v="1"/>
    <s v="Fuel Card"/>
    <s v="Mid-Market"/>
  </r>
  <r>
    <s v="TXN0000995"/>
    <s v="CUST00123"/>
    <b v="1"/>
    <d v="2025-07-29T00:00:00"/>
    <x v="8"/>
    <s v="Fuel"/>
    <n v="11081.69"/>
    <n v="255.41"/>
    <b v="1"/>
    <s v="Completed"/>
    <n v="255.41"/>
    <x v="3"/>
    <s v="REP001"/>
    <x v="1"/>
    <s v="Fuel Card"/>
    <s v="Mid-Market"/>
  </r>
  <r>
    <s v="TXN0000996"/>
    <s v="CUST00123"/>
    <b v="1"/>
    <d v="2025-07-26T00:00:00"/>
    <x v="8"/>
    <s v="Fuel"/>
    <n v="10009.1"/>
    <n v="223.07"/>
    <b v="1"/>
    <s v="Completed"/>
    <n v="223.07"/>
    <x v="3"/>
    <s v="REP001"/>
    <x v="1"/>
    <s v="Fuel Card"/>
    <s v="Mid-Market"/>
  </r>
  <r>
    <s v="TXN0000997"/>
    <s v="CUST00123"/>
    <b v="1"/>
    <d v="2025-07-07T00:00:00"/>
    <x v="8"/>
    <s v="Fuel"/>
    <n v="17999.79"/>
    <n v="453.63"/>
    <b v="1"/>
    <s v="Completed"/>
    <n v="453.63"/>
    <x v="3"/>
    <s v="REP001"/>
    <x v="1"/>
    <s v="Fuel Card"/>
    <s v="Mid-Market"/>
  </r>
  <r>
    <s v="TXN0000998"/>
    <s v="CUST00123"/>
    <b v="1"/>
    <d v="2025-08-10T00:00:00"/>
    <x v="0"/>
    <s v="Fuel"/>
    <n v="16282.17"/>
    <n v="457.05"/>
    <b v="1"/>
    <s v="Completed"/>
    <n v="457.05"/>
    <x v="3"/>
    <s v="REP001"/>
    <x v="1"/>
    <s v="Fuel Card"/>
    <s v="Mid-Market"/>
  </r>
  <r>
    <s v="TXN0000999"/>
    <s v="CUST00123"/>
    <b v="1"/>
    <d v="2025-09-21T00:00:00"/>
    <x v="1"/>
    <s v="Fuel"/>
    <n v="8393"/>
    <n v="209.22"/>
    <b v="1"/>
    <s v="Completed"/>
    <n v="209.22"/>
    <x v="3"/>
    <s v="REP001"/>
    <x v="1"/>
    <s v="Fuel Card"/>
    <s v="Mid-Market"/>
  </r>
  <r>
    <s v="TXN0001000"/>
    <s v="CUST00123"/>
    <b v="1"/>
    <d v="2025-09-18T00:00:00"/>
    <x v="1"/>
    <s v="Fuel"/>
    <n v="13905.51"/>
    <n v="361.22"/>
    <b v="1"/>
    <s v="Completed"/>
    <n v="361.22"/>
    <x v="3"/>
    <s v="REP001"/>
    <x v="1"/>
    <s v="Fuel Card"/>
    <s v="Mid-Market"/>
  </r>
  <r>
    <s v="TXN0001001"/>
    <s v="CUST00123"/>
    <b v="1"/>
    <d v="2025-09-14T00:00:00"/>
    <x v="1"/>
    <s v="Fuel"/>
    <n v="12013.34"/>
    <n v="287.72000000000003"/>
    <b v="1"/>
    <s v="Completed"/>
    <n v="287.72000000000003"/>
    <x v="3"/>
    <s v="REP001"/>
    <x v="1"/>
    <s v="Fuel Card"/>
    <s v="Mid-Market"/>
  </r>
  <r>
    <s v="TXN0001002"/>
    <s v="CUST00123"/>
    <b v="1"/>
    <d v="2025-10-23T00:00:00"/>
    <x v="2"/>
    <s v="Fuel"/>
    <n v="17961.93"/>
    <n v="421"/>
    <b v="1"/>
    <s v="Completed"/>
    <n v="421"/>
    <x v="3"/>
    <s v="REP001"/>
    <x v="1"/>
    <s v="Fuel Card"/>
    <s v="Mid-Market"/>
  </r>
  <r>
    <s v="TXN0001003"/>
    <s v="CUST00123"/>
    <b v="1"/>
    <d v="2025-10-05T00:00:00"/>
    <x v="2"/>
    <s v="Fuel"/>
    <n v="8654.36"/>
    <n v="241.42"/>
    <b v="1"/>
    <s v="Completed"/>
    <n v="241.42"/>
    <x v="3"/>
    <s v="REP001"/>
    <x v="1"/>
    <s v="Fuel Card"/>
    <s v="Mid-Market"/>
  </r>
  <r>
    <s v="TXN0001004"/>
    <s v="CUST00123"/>
    <b v="1"/>
    <d v="2025-11-07T00:00:00"/>
    <x v="3"/>
    <s v="Fuel"/>
    <n v="17258.48"/>
    <n v="387.91"/>
    <b v="1"/>
    <s v="Completed"/>
    <n v="387.91"/>
    <x v="3"/>
    <s v="REP001"/>
    <x v="1"/>
    <s v="Fuel Card"/>
    <s v="Mid-Market"/>
  </r>
  <r>
    <s v="TXN0001005"/>
    <s v="CUST00123"/>
    <b v="1"/>
    <d v="2025-11-07T00:00:00"/>
    <x v="3"/>
    <s v="Fuel"/>
    <n v="11042.21"/>
    <n v="296.10000000000002"/>
    <b v="1"/>
    <s v="Completed"/>
    <n v="296.10000000000002"/>
    <x v="3"/>
    <s v="REP001"/>
    <x v="1"/>
    <s v="Fuel Card"/>
    <s v="Mid-Market"/>
  </r>
  <r>
    <s v="TXN0001006"/>
    <s v="CUST00123"/>
    <b v="1"/>
    <d v="2025-11-07T00:00:00"/>
    <x v="3"/>
    <s v="Fuel"/>
    <n v="13290.46"/>
    <n v="292.70999999999998"/>
    <b v="1"/>
    <s v="Completed"/>
    <n v="292.70999999999998"/>
    <x v="3"/>
    <s v="REP001"/>
    <x v="1"/>
    <s v="Fuel Card"/>
    <s v="Mid-Market"/>
  </r>
  <r>
    <s v="TXN0001007"/>
    <s v="CUST00123"/>
    <b v="1"/>
    <d v="2025-12-02T00:00:00"/>
    <x v="4"/>
    <s v="Fuel"/>
    <n v="5826.11"/>
    <n v="166.85"/>
    <b v="1"/>
    <s v="Completed"/>
    <n v="166.85"/>
    <x v="3"/>
    <s v="REP001"/>
    <x v="1"/>
    <s v="Fuel Card"/>
    <s v="Mid-Market"/>
  </r>
  <r>
    <s v="TXN0001008"/>
    <s v="CUST00123"/>
    <b v="1"/>
    <d v="2025-12-05T00:00:00"/>
    <x v="4"/>
    <s v="Fuel"/>
    <n v="6956.19"/>
    <n v="168.31"/>
    <b v="1"/>
    <s v="Completed"/>
    <n v="168.31"/>
    <x v="3"/>
    <s v="REP001"/>
    <x v="1"/>
    <s v="Fuel Card"/>
    <s v="Mid-Market"/>
  </r>
  <r>
    <s v="TXN0001009"/>
    <s v="CUST00123"/>
    <b v="1"/>
    <d v="2025-12-23T00:00:00"/>
    <x v="4"/>
    <s v="Fuel"/>
    <n v="11684.23"/>
    <n v="258.36"/>
    <b v="1"/>
    <s v="Completed"/>
    <n v="258.36"/>
    <x v="3"/>
    <s v="REP001"/>
    <x v="1"/>
    <s v="Fuel Card"/>
    <s v="Mid-Market"/>
  </r>
  <r>
    <s v="TXN0001010"/>
    <s v="CUST00124"/>
    <b v="1"/>
    <d v="2025-10-26T00:00:00"/>
    <x v="2"/>
    <s v="EV Charging"/>
    <n v="4766.1400000000003"/>
    <n v="137.86000000000001"/>
    <b v="1"/>
    <s v="Completed"/>
    <n v="137.86000000000001"/>
    <x v="2"/>
    <s v="REP006"/>
    <x v="2"/>
    <s v="EV Charge Card"/>
    <s v="SME"/>
  </r>
  <r>
    <s v="TXN0001011"/>
    <s v="CUST00124"/>
    <b v="1"/>
    <d v="2025-10-26T00:00:00"/>
    <x v="2"/>
    <s v="EV Charging"/>
    <n v="2840.93"/>
    <n v="86.7"/>
    <b v="1"/>
    <s v="Completed"/>
    <n v="86.7"/>
    <x v="2"/>
    <s v="REP006"/>
    <x v="2"/>
    <s v="EV Charge Card"/>
    <s v="SME"/>
  </r>
  <r>
    <s v="TXN0001012"/>
    <s v="CUST00124"/>
    <b v="1"/>
    <d v="2025-11-13T00:00:00"/>
    <x v="3"/>
    <s v="EV Charging"/>
    <n v="1734.69"/>
    <n v="47.44"/>
    <b v="1"/>
    <s v="Completed"/>
    <n v="47.44"/>
    <x v="2"/>
    <s v="REP006"/>
    <x v="2"/>
    <s v="EV Charge Card"/>
    <s v="SME"/>
  </r>
  <r>
    <s v="TXN0001013"/>
    <s v="CUST00124"/>
    <b v="1"/>
    <d v="2025-11-07T00:00:00"/>
    <x v="3"/>
    <s v="EV Charging"/>
    <n v="4401.16"/>
    <n v="0"/>
    <b v="1"/>
    <s v="Cancelled"/>
    <n v="0"/>
    <x v="2"/>
    <s v="REP006"/>
    <x v="2"/>
    <s v="EV Charge Card"/>
    <s v="SME"/>
  </r>
  <r>
    <s v="TXN0001014"/>
    <s v="CUST00124"/>
    <b v="1"/>
    <d v="2025-12-16T00:00:00"/>
    <x v="4"/>
    <s v="EV Charging"/>
    <n v="4115.05"/>
    <n v="117.14"/>
    <b v="1"/>
    <s v="Completed"/>
    <n v="117.14"/>
    <x v="2"/>
    <s v="REP006"/>
    <x v="2"/>
    <s v="EV Charge Card"/>
    <s v="SME"/>
  </r>
  <r>
    <s v="TXN0001015"/>
    <s v="CUST00124"/>
    <b v="1"/>
    <d v="2025-12-04T00:00:00"/>
    <x v="4"/>
    <s v="EV Charging"/>
    <n v="2219.8000000000002"/>
    <n v="72.13"/>
    <b v="1"/>
    <s v="Completed"/>
    <n v="72.13"/>
    <x v="2"/>
    <s v="REP006"/>
    <x v="2"/>
    <s v="EV Charge Card"/>
    <s v="SME"/>
  </r>
  <r>
    <s v="TXN0001016"/>
    <s v="CUST00124"/>
    <b v="1"/>
    <d v="2025-12-17T00:00:00"/>
    <x v="4"/>
    <s v="EV Charging"/>
    <n v="2938.19"/>
    <n v="95.56"/>
    <b v="1"/>
    <s v="Completed"/>
    <n v="95.56"/>
    <x v="2"/>
    <s v="REP006"/>
    <x v="2"/>
    <s v="EV Charge Card"/>
    <s v="SME"/>
  </r>
  <r>
    <s v="TXN0001017"/>
    <s v="CUST00125"/>
    <b v="1"/>
    <d v="2025-11-23T00:00:00"/>
    <x v="3"/>
    <s v="EV Charging"/>
    <n v="51255.55"/>
    <n v="1492.98"/>
    <b v="1"/>
    <s v="Completed"/>
    <n v="1492.98"/>
    <x v="2"/>
    <s v="REP005"/>
    <x v="1"/>
    <s v="EV Charge Card"/>
    <s v="Enterprise"/>
  </r>
  <r>
    <s v="TXN0001018"/>
    <s v="CUST00125"/>
    <b v="1"/>
    <d v="2025-11-30T00:00:00"/>
    <x v="3"/>
    <s v="EV Charging"/>
    <n v="53772.22"/>
    <n v="1505.07"/>
    <b v="1"/>
    <s v="Completed"/>
    <n v="1505.07"/>
    <x v="2"/>
    <s v="REP005"/>
    <x v="1"/>
    <s v="EV Charge Card"/>
    <s v="Enterprise"/>
  </r>
  <r>
    <s v="TXN0001019"/>
    <s v="CUST00125"/>
    <b v="1"/>
    <d v="2025-12-30T00:00:00"/>
    <x v="4"/>
    <s v="EV Charging"/>
    <n v="54893.26"/>
    <n v="1606"/>
    <b v="1"/>
    <s v="Completed"/>
    <n v="1606"/>
    <x v="2"/>
    <s v="REP005"/>
    <x v="1"/>
    <s v="EV Charge Card"/>
    <s v="Enterprise"/>
  </r>
  <r>
    <s v="TXN0001020"/>
    <s v="CUST00126"/>
    <b v="1"/>
    <d v="2025-06-28T00:00:00"/>
    <x v="7"/>
    <s v="EV Charging"/>
    <n v="2609.21"/>
    <n v="78.87"/>
    <b v="1"/>
    <s v="Completed"/>
    <n v="78.87"/>
    <x v="1"/>
    <s v="REP014"/>
    <x v="2"/>
    <s v="EV Charge Card"/>
    <s v="Unclassified"/>
  </r>
  <r>
    <s v="TXN0001021"/>
    <s v="CUST00126"/>
    <b v="1"/>
    <d v="2025-06-28T00:00:00"/>
    <x v="7"/>
    <s v="EV Charging"/>
    <n v="4735.51"/>
    <n v="155.63999999999999"/>
    <b v="1"/>
    <s v="Completed"/>
    <n v="155.63999999999999"/>
    <x v="1"/>
    <s v="REP014"/>
    <x v="2"/>
    <s v="EV Charge Card"/>
    <s v="Unclassified"/>
  </r>
  <r>
    <s v="TXN0001022"/>
    <s v="CUST00126"/>
    <b v="1"/>
    <d v="2025-07-07T00:00:00"/>
    <x v="8"/>
    <s v="EV Charging"/>
    <n v="2018.92"/>
    <n v="70.040000000000006"/>
    <b v="1"/>
    <s v="Completed"/>
    <n v="70.040000000000006"/>
    <x v="1"/>
    <s v="REP014"/>
    <x v="2"/>
    <s v="EV Charge Card"/>
    <s v="Unclassified"/>
  </r>
  <r>
    <s v="TXN0001023"/>
    <s v="CUST00126"/>
    <b v="1"/>
    <d v="2025-07-14T00:00:00"/>
    <x v="8"/>
    <s v="EV Charging"/>
    <n v="1428.54"/>
    <n v="49.33"/>
    <b v="1"/>
    <s v="Completed"/>
    <n v="49.33"/>
    <x v="1"/>
    <s v="REP014"/>
    <x v="2"/>
    <s v="EV Charge Card"/>
    <s v="Unclassified"/>
  </r>
  <r>
    <s v="TXN0001024"/>
    <s v="CUST00126"/>
    <b v="1"/>
    <d v="2025-07-26T00:00:00"/>
    <x v="8"/>
    <s v="EV Charging"/>
    <n v="3384.6"/>
    <n v="119.38"/>
    <b v="1"/>
    <s v="Completed"/>
    <n v="119.38"/>
    <x v="1"/>
    <s v="REP014"/>
    <x v="2"/>
    <s v="EV Charge Card"/>
    <s v="Unclassified"/>
  </r>
  <r>
    <s v="TXN0001025"/>
    <s v="CUST00126"/>
    <b v="1"/>
    <d v="2025-08-01T00:00:00"/>
    <x v="0"/>
    <s v="EV Charging"/>
    <n v="2046.46"/>
    <n v="57.8"/>
    <b v="1"/>
    <s v="Completed"/>
    <n v="57.8"/>
    <x v="1"/>
    <s v="REP014"/>
    <x v="2"/>
    <s v="EV Charge Card"/>
    <s v="Unclassified"/>
  </r>
  <r>
    <s v="TXN0001026"/>
    <s v="CUST00126"/>
    <b v="1"/>
    <d v="2025-08-31T00:00:00"/>
    <x v="0"/>
    <s v="EV Charging"/>
    <n v="5112.13"/>
    <n v="169.87"/>
    <b v="1"/>
    <s v="Completed"/>
    <n v="169.87"/>
    <x v="1"/>
    <s v="REP014"/>
    <x v="2"/>
    <s v="EV Charge Card"/>
    <s v="Unclassified"/>
  </r>
  <r>
    <s v="TXN0001027"/>
    <s v="CUST00126"/>
    <b v="1"/>
    <d v="2025-09-19T00:00:00"/>
    <x v="1"/>
    <s v="EV Charging"/>
    <n v="4939.9399999999996"/>
    <n v="155.97"/>
    <b v="1"/>
    <s v="Completed"/>
    <n v="155.97"/>
    <x v="1"/>
    <s v="REP014"/>
    <x v="2"/>
    <s v="EV Charge Card"/>
    <s v="Unclassified"/>
  </r>
  <r>
    <s v="TXN0001028"/>
    <s v="CUST00126"/>
    <b v="1"/>
    <d v="2025-10-04T00:00:00"/>
    <x v="2"/>
    <s v="EV Charging"/>
    <n v="4803.3500000000004"/>
    <n v="165.82"/>
    <b v="1"/>
    <s v="Completed"/>
    <n v="165.82"/>
    <x v="1"/>
    <s v="REP014"/>
    <x v="2"/>
    <s v="EV Charge Card"/>
    <s v="Unclassified"/>
  </r>
  <r>
    <s v="TXN0001029"/>
    <s v="CUST00126"/>
    <b v="1"/>
    <d v="2025-11-15T00:00:00"/>
    <x v="3"/>
    <s v="EV Charging"/>
    <n v="2876.85"/>
    <n v="99.28"/>
    <b v="1"/>
    <s v="Completed"/>
    <n v="99.28"/>
    <x v="1"/>
    <s v="REP014"/>
    <x v="2"/>
    <s v="EV Charge Card"/>
    <s v="Unclassified"/>
  </r>
  <r>
    <s v="TXN0001030"/>
    <s v="CUST00126"/>
    <b v="1"/>
    <d v="2025-12-07T00:00:00"/>
    <x v="4"/>
    <s v="EV Charging"/>
    <n v="3342.88"/>
    <n v="104.06"/>
    <b v="1"/>
    <s v="Completed"/>
    <n v="104.06"/>
    <x v="1"/>
    <s v="REP014"/>
    <x v="2"/>
    <s v="EV Charge Card"/>
    <s v="Unclassified"/>
  </r>
  <r>
    <s v="TXN0001031"/>
    <s v="CUST00126"/>
    <b v="1"/>
    <d v="2025-12-19T00:00:00"/>
    <x v="4"/>
    <s v="EV Charging"/>
    <n v="1949.83"/>
    <n v="57.74"/>
    <b v="1"/>
    <s v="Completed"/>
    <n v="57.74"/>
    <x v="1"/>
    <s v="REP014"/>
    <x v="2"/>
    <s v="EV Charge Card"/>
    <s v="Unclassified"/>
  </r>
  <r>
    <s v="TXN0001032"/>
    <s v="CUST00127"/>
    <b v="1"/>
    <d v="2025-09-17T00:00:00"/>
    <x v="1"/>
    <s v="Fuel"/>
    <n v="39838.75"/>
    <n v="922.94"/>
    <b v="1"/>
    <s v="Completed"/>
    <n v="922.94"/>
    <x v="4"/>
    <s v="REP012"/>
    <x v="1"/>
    <s v="Fleet Expense Card"/>
    <s v="Enterprise"/>
  </r>
  <r>
    <s v="TXN0001033"/>
    <s v="CUST00127"/>
    <b v="1"/>
    <d v="2025-10-07T00:00:00"/>
    <x v="2"/>
    <s v="Fuel"/>
    <n v="60638.21"/>
    <n v="1599.57"/>
    <b v="1"/>
    <s v="Completed"/>
    <n v="1599.57"/>
    <x v="4"/>
    <s v="REP012"/>
    <x v="1"/>
    <s v="Fleet Expense Card"/>
    <s v="Enterprise"/>
  </r>
  <r>
    <s v="TXN0001034"/>
    <s v="CUST00127"/>
    <b v="1"/>
    <d v="2025-10-22T00:00:00"/>
    <x v="2"/>
    <s v="Fuel"/>
    <n v="41980.2"/>
    <n v="1033.6400000000001"/>
    <b v="1"/>
    <s v="Completed"/>
    <n v="1033.6400000000001"/>
    <x v="4"/>
    <s v="REP012"/>
    <x v="1"/>
    <s v="Fleet Expense Card"/>
    <s v="Enterprise"/>
  </r>
  <r>
    <s v="TXN0001035"/>
    <s v="CUST00127"/>
    <b v="1"/>
    <d v="2025-11-10T00:00:00"/>
    <x v="3"/>
    <s v="Parking"/>
    <n v="27445.83"/>
    <n v="0"/>
    <b v="1"/>
    <s v="Cancelled"/>
    <n v="0"/>
    <x v="4"/>
    <s v="REP012"/>
    <x v="1"/>
    <s v="Fleet Expense Card"/>
    <s v="Enterprise"/>
  </r>
  <r>
    <s v="TXN0001036"/>
    <s v="CUST00127"/>
    <b v="1"/>
    <d v="2025-12-25T00:00:00"/>
    <x v="4"/>
    <s v="Fuel"/>
    <n v="29009.13"/>
    <n v="829.97"/>
    <b v="1"/>
    <s v="Completed"/>
    <n v="829.97"/>
    <x v="4"/>
    <s v="REP012"/>
    <x v="1"/>
    <s v="Fleet Expense Card"/>
    <s v="Enterprise"/>
  </r>
  <r>
    <s v="TXN0001037"/>
    <s v="CUST00127"/>
    <b v="1"/>
    <d v="2025-12-11T00:00:00"/>
    <x v="4"/>
    <s v="Fuel"/>
    <n v="35226.639999999999"/>
    <n v="1083.06"/>
    <b v="1"/>
    <s v="Completed"/>
    <n v="1083.06"/>
    <x v="4"/>
    <s v="REP012"/>
    <x v="1"/>
    <s v="Fleet Expense Card"/>
    <s v="Enterprise"/>
  </r>
  <r>
    <s v="TXN0001038"/>
    <s v="CUST00127"/>
    <b v="1"/>
    <d v="2025-12-20T00:00:00"/>
    <x v="4"/>
    <s v="Lodging"/>
    <n v="55533.72"/>
    <n v="1518.54"/>
    <b v="1"/>
    <s v="Completed"/>
    <n v="1518.54"/>
    <x v="4"/>
    <s v="REP012"/>
    <x v="1"/>
    <s v="Fleet Expense Card"/>
    <s v="Enterprise"/>
  </r>
  <r>
    <s v="TXN0001039"/>
    <s v="CUST00129"/>
    <b v="1"/>
    <d v="2025-03-24T00:00:00"/>
    <x v="10"/>
    <s v="Fuel"/>
    <n v="8122.93"/>
    <n v="174.99"/>
    <b v="1"/>
    <s v="Completed"/>
    <n v="174.99"/>
    <x v="2"/>
    <s v="REP005"/>
    <x v="0"/>
    <s v="Fuel Card"/>
    <s v="Mid-Market"/>
  </r>
  <r>
    <s v="TXN0001040"/>
    <s v="CUST00129"/>
    <b v="1"/>
    <d v="2025-03-12T00:00:00"/>
    <x v="10"/>
    <s v="Fuel"/>
    <n v="10598.53"/>
    <n v="236.83"/>
    <b v="1"/>
    <s v="Completed"/>
    <n v="236.83"/>
    <x v="2"/>
    <s v="REP005"/>
    <x v="0"/>
    <s v="Fuel Card"/>
    <s v="Mid-Market"/>
  </r>
  <r>
    <s v="TXN0001041"/>
    <s v="CUST00129"/>
    <b v="1"/>
    <d v="2025-04-26T00:00:00"/>
    <x v="5"/>
    <s v="Fuel"/>
    <n v="6130.57"/>
    <n v="161.46"/>
    <b v="1"/>
    <s v="Completed"/>
    <n v="161.46"/>
    <x v="2"/>
    <s v="REP005"/>
    <x v="0"/>
    <s v="Fuel Card"/>
    <s v="Mid-Market"/>
  </r>
  <r>
    <s v="TXN0001042"/>
    <s v="CUST00129"/>
    <b v="1"/>
    <d v="2025-04-10T00:00:00"/>
    <x v="5"/>
    <s v="Fuel"/>
    <n v="9784.23"/>
    <n v="224.18"/>
    <b v="1"/>
    <s v="Completed"/>
    <n v="224.18"/>
    <x v="2"/>
    <s v="REP005"/>
    <x v="0"/>
    <s v="Fuel Card"/>
    <s v="Mid-Market"/>
  </r>
  <r>
    <s v="TXN0001043"/>
    <s v="CUST00129"/>
    <b v="1"/>
    <d v="2025-04-08T00:00:00"/>
    <x v="5"/>
    <s v="Fuel"/>
    <n v="17472.36"/>
    <n v="471.42"/>
    <b v="1"/>
    <s v="Completed"/>
    <n v="471.42"/>
    <x v="2"/>
    <s v="REP005"/>
    <x v="0"/>
    <s v="Fuel Card"/>
    <s v="Mid-Market"/>
  </r>
  <r>
    <s v="TXN0001044"/>
    <s v="CUST00129"/>
    <b v="1"/>
    <d v="2025-05-09T00:00:00"/>
    <x v="6"/>
    <s v="Fuel"/>
    <n v="16551.73"/>
    <n v="375.61"/>
    <b v="1"/>
    <s v="Completed"/>
    <n v="375.61"/>
    <x v="2"/>
    <s v="REP005"/>
    <x v="0"/>
    <s v="Fuel Card"/>
    <s v="Mid-Market"/>
  </r>
  <r>
    <s v="TXN0001045"/>
    <s v="CUST00129"/>
    <b v="1"/>
    <d v="2025-06-25T00:00:00"/>
    <x v="7"/>
    <s v="Fuel"/>
    <n v="10602.72"/>
    <n v="280.89"/>
    <b v="1"/>
    <s v="Completed"/>
    <n v="280.89"/>
    <x v="2"/>
    <s v="REP005"/>
    <x v="0"/>
    <s v="Fuel Card"/>
    <s v="Mid-Market"/>
  </r>
  <r>
    <s v="TXN0001046"/>
    <s v="CUST00129"/>
    <b v="1"/>
    <d v="2025-07-24T00:00:00"/>
    <x v="8"/>
    <s v="Fuel"/>
    <n v="5194.29"/>
    <n v="0"/>
    <b v="1"/>
    <s v="Cancelled"/>
    <n v="0"/>
    <x v="2"/>
    <s v="REP005"/>
    <x v="0"/>
    <s v="Fuel Card"/>
    <s v="Mid-Market"/>
  </r>
  <r>
    <s v="TXN0001047"/>
    <s v="CUST00129"/>
    <b v="1"/>
    <d v="2025-08-04T00:00:00"/>
    <x v="0"/>
    <s v="Fuel"/>
    <n v="15859.62"/>
    <n v="411.82"/>
    <b v="1"/>
    <s v="Completed"/>
    <n v="411.82"/>
    <x v="2"/>
    <s v="REP005"/>
    <x v="0"/>
    <s v="Fuel Card"/>
    <s v="Mid-Market"/>
  </r>
  <r>
    <s v="TXN0001048"/>
    <s v="CUST00129"/>
    <b v="1"/>
    <d v="2025-08-02T00:00:00"/>
    <x v="0"/>
    <s v="Fuel"/>
    <n v="7771.91"/>
    <n v="218.78"/>
    <b v="1"/>
    <s v="Completed"/>
    <n v="218.78"/>
    <x v="2"/>
    <s v="REP005"/>
    <x v="0"/>
    <s v="Fuel Card"/>
    <s v="Mid-Market"/>
  </r>
  <r>
    <s v="TXN0001049"/>
    <s v="CUST00129"/>
    <b v="1"/>
    <d v="2025-08-22T00:00:00"/>
    <x v="0"/>
    <s v="Fuel"/>
    <n v="7735.59"/>
    <n v="188.83"/>
    <b v="1"/>
    <s v="Completed"/>
    <n v="188.83"/>
    <x v="2"/>
    <s v="REP005"/>
    <x v="0"/>
    <s v="Fuel Card"/>
    <s v="Mid-Market"/>
  </r>
  <r>
    <s v="TXN0001050"/>
    <s v="CUST00129"/>
    <b v="1"/>
    <d v="2025-09-26T00:00:00"/>
    <x v="1"/>
    <s v="Fuel"/>
    <n v="12260.07"/>
    <n v="265.5"/>
    <b v="1"/>
    <s v="Completed"/>
    <n v="265.5"/>
    <x v="2"/>
    <s v="REP005"/>
    <x v="0"/>
    <s v="Fuel Card"/>
    <s v="Mid-Market"/>
  </r>
  <r>
    <s v="TXN0001051"/>
    <s v="CUST00129"/>
    <b v="1"/>
    <d v="2025-09-28T00:00:00"/>
    <x v="1"/>
    <s v="Fuel"/>
    <n v="13919.31"/>
    <n v="322.14"/>
    <b v="1"/>
    <s v="Completed"/>
    <n v="322.14"/>
    <x v="2"/>
    <s v="REP005"/>
    <x v="0"/>
    <s v="Fuel Card"/>
    <s v="Mid-Market"/>
  </r>
  <r>
    <s v="TXN0001052"/>
    <s v="CUST00129"/>
    <b v="1"/>
    <d v="2025-10-19T00:00:00"/>
    <x v="2"/>
    <s v="Fuel"/>
    <n v="11411.8"/>
    <n v="250.41"/>
    <b v="1"/>
    <s v="Completed"/>
    <n v="250.41"/>
    <x v="2"/>
    <s v="REP005"/>
    <x v="0"/>
    <s v="Fuel Card"/>
    <s v="Mid-Market"/>
  </r>
  <r>
    <s v="TXN0001053"/>
    <s v="CUST00129"/>
    <b v="1"/>
    <d v="2025-11-07T00:00:00"/>
    <x v="3"/>
    <s v="Fuel"/>
    <n v="17308.52"/>
    <n v="454.93"/>
    <b v="1"/>
    <s v="Completed"/>
    <n v="454.93"/>
    <x v="2"/>
    <s v="REP005"/>
    <x v="0"/>
    <s v="Fuel Card"/>
    <s v="Mid-Market"/>
  </r>
  <r>
    <s v="TXN0001054"/>
    <s v="CUST00129"/>
    <b v="1"/>
    <d v="2025-11-03T00:00:00"/>
    <x v="3"/>
    <s v="Fuel"/>
    <n v="15894.24"/>
    <n v="351.49"/>
    <b v="1"/>
    <s v="Completed"/>
    <n v="351.49"/>
    <x v="2"/>
    <s v="REP005"/>
    <x v="0"/>
    <s v="Fuel Card"/>
    <s v="Mid-Market"/>
  </r>
  <r>
    <s v="TXN0001055"/>
    <s v="CUST00129"/>
    <b v="1"/>
    <d v="2025-11-19T00:00:00"/>
    <x v="3"/>
    <s v="Fuel"/>
    <n v="16650.759999999998"/>
    <n v="465.11"/>
    <b v="1"/>
    <s v="Completed"/>
    <n v="465.11"/>
    <x v="2"/>
    <s v="REP005"/>
    <x v="0"/>
    <s v="Fuel Card"/>
    <s v="Mid-Market"/>
  </r>
  <r>
    <s v="TXN0001056"/>
    <s v="CUST00129"/>
    <b v="1"/>
    <d v="2025-12-24T00:00:00"/>
    <x v="4"/>
    <s v="Fuel"/>
    <n v="9614.39"/>
    <n v="230.34"/>
    <b v="1"/>
    <s v="Completed"/>
    <n v="230.34"/>
    <x v="2"/>
    <s v="REP005"/>
    <x v="0"/>
    <s v="Fuel Card"/>
    <s v="Mid-Market"/>
  </r>
  <r>
    <s v="TXN0001057"/>
    <s v="CUST00129"/>
    <b v="1"/>
    <d v="2025-12-17T00:00:00"/>
    <x v="4"/>
    <s v="Fuel"/>
    <n v="5609.07"/>
    <n v="-153.43"/>
    <b v="0"/>
    <s v="Completed"/>
    <n v="0"/>
    <x v="2"/>
    <s v="REP005"/>
    <x v="0"/>
    <s v="Fuel Card"/>
    <s v="Mid-Market"/>
  </r>
  <r>
    <s v="TXN0001058"/>
    <s v="CUST00129"/>
    <b v="1"/>
    <d v="2025-12-15T00:00:00"/>
    <x v="4"/>
    <s v="Fuel"/>
    <n v="6209.98"/>
    <n v="143.97"/>
    <b v="1"/>
    <s v="Completed"/>
    <n v="143.97"/>
    <x v="2"/>
    <s v="REP005"/>
    <x v="0"/>
    <s v="Fuel Card"/>
    <s v="Mid-Market"/>
  </r>
  <r>
    <s v="TXN0001059"/>
    <s v="CUST00130"/>
    <b v="1"/>
    <d v="2025-11-12T00:00:00"/>
    <x v="3"/>
    <s v="Fuel"/>
    <n v="2450.13"/>
    <n v="53.32"/>
    <b v="1"/>
    <s v="Completed"/>
    <n v="53.32"/>
    <x v="2"/>
    <s v="REP006"/>
    <x v="2"/>
    <s v="Fuel Card"/>
    <s v="SME"/>
  </r>
  <r>
    <s v="TXN0001060"/>
    <s v="CUST00130"/>
    <b v="1"/>
    <d v="2025-11-16T00:00:00"/>
    <x v="3"/>
    <s v="Fuel"/>
    <n v="4863.7"/>
    <n v="114.95"/>
    <b v="1"/>
    <s v="Completed"/>
    <n v="114.95"/>
    <x v="2"/>
    <s v="REP006"/>
    <x v="2"/>
    <s v="Fuel Card"/>
    <s v="SME"/>
  </r>
  <r>
    <s v="TXN0001061"/>
    <s v="CUST00130"/>
    <b v="1"/>
    <d v="2025-12-02T00:00:00"/>
    <x v="4"/>
    <s v="Fuel"/>
    <n v="4224.1499999999996"/>
    <n v="92.93"/>
    <b v="1"/>
    <s v="Completed"/>
    <n v="92.93"/>
    <x v="2"/>
    <s v="REP006"/>
    <x v="2"/>
    <s v="Fuel Card"/>
    <s v="SME"/>
  </r>
  <r>
    <s v="TXN0001062"/>
    <s v="CUST00130"/>
    <b v="1"/>
    <d v="2025-12-28T00:00:00"/>
    <x v="4"/>
    <s v="Fuel"/>
    <n v="3628.41"/>
    <n v="77.209999999999994"/>
    <b v="1"/>
    <s v="Completed"/>
    <n v="77.209999999999994"/>
    <x v="2"/>
    <s v="REP006"/>
    <x v="2"/>
    <s v="Fuel Card"/>
    <s v="SME"/>
  </r>
  <r>
    <s v="TXN0001063"/>
    <s v="CUST00132"/>
    <b v="1"/>
    <d v="2025-03-31T00:00:00"/>
    <x v="10"/>
    <s v="Lodging"/>
    <n v="60072.82"/>
    <n v="1668.43"/>
    <b v="1"/>
    <s v="Completed"/>
    <n v="1668.43"/>
    <x v="3"/>
    <s v="REP001"/>
    <x v="0"/>
    <s v="Fleet Expense Card"/>
    <s v="Enterprise"/>
  </r>
  <r>
    <s v="TXN0001064"/>
    <s v="CUST00132"/>
    <b v="1"/>
    <d v="2025-04-21T00:00:00"/>
    <x v="5"/>
    <s v="Fuel"/>
    <n v="49740.12"/>
    <n v="1496.34"/>
    <b v="1"/>
    <s v="Completed"/>
    <n v="1496.34"/>
    <x v="3"/>
    <s v="REP001"/>
    <x v="0"/>
    <s v="Fleet Expense Card"/>
    <s v="Enterprise"/>
  </r>
  <r>
    <s v="TXN0001065"/>
    <s v="CUST00132"/>
    <b v="1"/>
    <d v="2025-05-04T00:00:00"/>
    <x v="6"/>
    <s v="Fuel"/>
    <n v="17069.38"/>
    <n v="444.98"/>
    <b v="1"/>
    <s v="Completed"/>
    <n v="444.98"/>
    <x v="3"/>
    <s v="REP001"/>
    <x v="0"/>
    <s v="Fleet Expense Card"/>
    <s v="Enterprise"/>
  </r>
  <r>
    <s v="TXN0001066"/>
    <s v="CUST00132"/>
    <b v="1"/>
    <d v="2025-05-16T00:00:00"/>
    <x v="6"/>
    <s v="Fuel"/>
    <n v="16778.77"/>
    <n v="520.49"/>
    <b v="1"/>
    <s v="Completed"/>
    <n v="520.49"/>
    <x v="3"/>
    <s v="REP001"/>
    <x v="0"/>
    <s v="Fleet Expense Card"/>
    <s v="Enterprise"/>
  </r>
  <r>
    <s v="TXN0001067"/>
    <s v="CUST00132"/>
    <b v="1"/>
    <d v="2025-06-12T00:00:00"/>
    <x v="7"/>
    <s v="Lodging"/>
    <n v="33631.980000000003"/>
    <n v="895.55"/>
    <b v="1"/>
    <s v="Completed"/>
    <n v="895.55"/>
    <x v="3"/>
    <s v="REP001"/>
    <x v="0"/>
    <s v="Fleet Expense Card"/>
    <s v="Enterprise"/>
  </r>
  <r>
    <s v="TXN0001068"/>
    <s v="CUST00132"/>
    <b v="1"/>
    <d v="2025-06-03T00:00:00"/>
    <x v="7"/>
    <s v="Parking"/>
    <n v="47506.12"/>
    <n v="1433.31"/>
    <b v="1"/>
    <s v="Completed"/>
    <n v="1433.31"/>
    <x v="3"/>
    <s v="REP001"/>
    <x v="0"/>
    <s v="Fleet Expense Card"/>
    <s v="Enterprise"/>
  </r>
  <r>
    <s v="TXN0001069"/>
    <s v="CUST00132"/>
    <b v="1"/>
    <d v="2025-07-16T00:00:00"/>
    <x v="8"/>
    <s v="Parking"/>
    <n v="58641.14"/>
    <n v="1441.28"/>
    <b v="1"/>
    <s v="Completed"/>
    <n v="1441.28"/>
    <x v="3"/>
    <s v="REP001"/>
    <x v="0"/>
    <s v="Fleet Expense Card"/>
    <s v="Enterprise"/>
  </r>
  <r>
    <s v="TXN0001070"/>
    <s v="CUST00132"/>
    <b v="1"/>
    <d v="2025-07-06T00:00:00"/>
    <x v="8"/>
    <s v="Lodging"/>
    <n v="36474.35"/>
    <n v="884.09"/>
    <b v="1"/>
    <s v="Completed"/>
    <n v="884.09"/>
    <x v="3"/>
    <s v="REP001"/>
    <x v="0"/>
    <s v="Fleet Expense Card"/>
    <s v="Enterprise"/>
  </r>
  <r>
    <s v="TXN0001071"/>
    <s v="CUST00132"/>
    <b v="1"/>
    <d v="2025-07-26T00:00:00"/>
    <x v="8"/>
    <s v="Fuel"/>
    <n v="58892.3"/>
    <n v="1398.03"/>
    <b v="1"/>
    <s v="Completed"/>
    <n v="1398.03"/>
    <x v="3"/>
    <s v="REP001"/>
    <x v="0"/>
    <s v="Fleet Expense Card"/>
    <s v="Enterprise"/>
  </r>
  <r>
    <s v="TXN0001072"/>
    <s v="CUST00132"/>
    <b v="1"/>
    <d v="2025-08-26T00:00:00"/>
    <x v="0"/>
    <s v="Fuel"/>
    <n v="48383.19"/>
    <n v="1186.7"/>
    <b v="1"/>
    <s v="Completed"/>
    <n v="1186.7"/>
    <x v="3"/>
    <s v="REP001"/>
    <x v="0"/>
    <s v="Fleet Expense Card"/>
    <s v="Enterprise"/>
  </r>
  <r>
    <s v="TXN0001073"/>
    <s v="CUST00132"/>
    <b v="1"/>
    <d v="2025-08-15T00:00:00"/>
    <x v="0"/>
    <s v="Parking"/>
    <n v="30777.29"/>
    <n v="710.08"/>
    <b v="1"/>
    <s v="Completed"/>
    <n v="710.08"/>
    <x v="3"/>
    <s v="REP001"/>
    <x v="0"/>
    <s v="Fleet Expense Card"/>
    <s v="Enterprise"/>
  </r>
  <r>
    <s v="TXN0001074"/>
    <s v="CUST00132"/>
    <b v="1"/>
    <d v="2025-09-08T00:00:00"/>
    <x v="1"/>
    <s v="Fuel"/>
    <n v="32617.41"/>
    <n v="798.81"/>
    <b v="1"/>
    <s v="Completed"/>
    <n v="798.81"/>
    <x v="3"/>
    <s v="REP001"/>
    <x v="0"/>
    <s v="Fleet Expense Card"/>
    <s v="Enterprise"/>
  </r>
  <r>
    <s v="TXN0001075"/>
    <s v="CUST00132"/>
    <b v="1"/>
    <d v="2025-10-26T00:00:00"/>
    <x v="2"/>
    <s v="Lodging"/>
    <n v="55369.04"/>
    <n v="1370.33"/>
    <b v="1"/>
    <s v="Completed"/>
    <n v="1370.33"/>
    <x v="3"/>
    <s v="REP001"/>
    <x v="0"/>
    <s v="Fleet Expense Card"/>
    <s v="Enterprise"/>
  </r>
  <r>
    <s v="TXN0001076"/>
    <s v="CUST00132"/>
    <b v="1"/>
    <d v="2025-10-05T00:00:00"/>
    <x v="2"/>
    <s v="Lodging"/>
    <n v="26662.51"/>
    <n v="680.73"/>
    <b v="1"/>
    <s v="Completed"/>
    <n v="680.73"/>
    <x v="3"/>
    <s v="REP001"/>
    <x v="0"/>
    <s v="Fleet Expense Card"/>
    <s v="Enterprise"/>
  </r>
  <r>
    <s v="TXN0001077"/>
    <s v="CUST00132"/>
    <b v="1"/>
    <d v="2025-11-24T00:00:00"/>
    <x v="3"/>
    <s v="Fuel"/>
    <n v="38482"/>
    <n v="1158.48"/>
    <b v="1"/>
    <s v="Completed"/>
    <n v="1158.48"/>
    <x v="3"/>
    <s v="REP001"/>
    <x v="0"/>
    <s v="Fleet Expense Card"/>
    <s v="Enterprise"/>
  </r>
  <r>
    <s v="TXN0001078"/>
    <s v="CUST00132"/>
    <b v="1"/>
    <d v="2025-11-06T00:00:00"/>
    <x v="3"/>
    <s v="Fuel"/>
    <n v="17535.62"/>
    <n v="457.94"/>
    <b v="1"/>
    <s v="Completed"/>
    <n v="457.94"/>
    <x v="3"/>
    <s v="REP001"/>
    <x v="0"/>
    <s v="Fleet Expense Card"/>
    <s v="Enterprise"/>
  </r>
  <r>
    <s v="TXN0001079"/>
    <s v="CUST00132"/>
    <b v="1"/>
    <d v="2025-11-04T00:00:00"/>
    <x v="3"/>
    <s v="Fuel"/>
    <n v="37513.17"/>
    <n v="913.63"/>
    <b v="1"/>
    <s v="Completed"/>
    <n v="913.63"/>
    <x v="3"/>
    <s v="REP001"/>
    <x v="0"/>
    <s v="Fleet Expense Card"/>
    <s v="Enterprise"/>
  </r>
  <r>
    <s v="TXN0001080"/>
    <s v="CUST00132"/>
    <b v="1"/>
    <d v="2025-12-21T00:00:00"/>
    <x v="4"/>
    <s v="Lodging"/>
    <n v="18495.919999999998"/>
    <n v="438.39"/>
    <b v="1"/>
    <s v="Completed"/>
    <n v="438.39"/>
    <x v="3"/>
    <s v="REP001"/>
    <x v="0"/>
    <s v="Fleet Expense Card"/>
    <s v="Enterprise"/>
  </r>
  <r>
    <s v="TXN0001081"/>
    <s v="CUST00132"/>
    <b v="1"/>
    <d v="2025-12-10T00:00:00"/>
    <x v="4"/>
    <s v="Parking"/>
    <n v="33033.65"/>
    <n v="782.37"/>
    <b v="1"/>
    <s v="Completed"/>
    <n v="782.37"/>
    <x v="3"/>
    <s v="REP001"/>
    <x v="0"/>
    <s v="Fleet Expense Card"/>
    <s v="Enterprise"/>
  </r>
  <r>
    <s v="TXN0001082"/>
    <s v="CUST00132"/>
    <b v="1"/>
    <d v="2025-12-05T00:00:00"/>
    <x v="4"/>
    <s v="Fuel"/>
    <n v="37898.769999999997"/>
    <n v="870.51"/>
    <b v="1"/>
    <s v="Completed"/>
    <n v="870.51"/>
    <x v="3"/>
    <s v="REP001"/>
    <x v="0"/>
    <s v="Fleet Expense Card"/>
    <s v="Enterprise"/>
  </r>
  <r>
    <s v="TXN0001083"/>
    <s v="CUST00133"/>
    <b v="1"/>
    <d v="2025-05-22T00:00:00"/>
    <x v="6"/>
    <s v="EV Charging"/>
    <n v="23813.65"/>
    <n v="818.84"/>
    <b v="1"/>
    <s v="Completed"/>
    <n v="818.84"/>
    <x v="1"/>
    <s v="REP015"/>
    <x v="1"/>
    <s v="EV Charge Card"/>
    <s v="Enterprise"/>
  </r>
  <r>
    <s v="TXN0001084"/>
    <s v="CUST00133"/>
    <b v="1"/>
    <d v="2025-06-10T00:00:00"/>
    <x v="7"/>
    <s v="EV Charging"/>
    <n v="23392.22"/>
    <n v="640.30999999999995"/>
    <b v="1"/>
    <s v="Completed"/>
    <n v="640.30999999999995"/>
    <x v="1"/>
    <s v="REP015"/>
    <x v="1"/>
    <s v="EV Charge Card"/>
    <s v="Enterprise"/>
  </r>
  <r>
    <s v="TXN0001085"/>
    <s v="CUST00133"/>
    <b v="1"/>
    <d v="2025-07-15T00:00:00"/>
    <x v="8"/>
    <s v="EV Charging"/>
    <n v="53195.26"/>
    <n v="1530.98"/>
    <b v="1"/>
    <s v="Completed"/>
    <n v="1530.98"/>
    <x v="1"/>
    <s v="REP015"/>
    <x v="1"/>
    <s v="EV Charge Card"/>
    <s v="Enterprise"/>
  </r>
  <r>
    <s v="TXN0001086"/>
    <s v="CUST00133"/>
    <b v="1"/>
    <d v="2025-08-11T00:00:00"/>
    <x v="0"/>
    <s v="EV Charging"/>
    <n v="20116.689999999999"/>
    <n v="582.32000000000005"/>
    <b v="1"/>
    <s v="Completed"/>
    <n v="582.32000000000005"/>
    <x v="1"/>
    <s v="REP015"/>
    <x v="1"/>
    <s v="EV Charge Card"/>
    <s v="Enterprise"/>
  </r>
  <r>
    <s v="TXN0001087"/>
    <s v="CUST00133"/>
    <b v="1"/>
    <d v="2025-08-26T00:00:00"/>
    <x v="0"/>
    <s v="EV Charging"/>
    <n v="52599"/>
    <n v="1741.21"/>
    <b v="1"/>
    <s v="Completed"/>
    <n v="1741.21"/>
    <x v="1"/>
    <s v="REP015"/>
    <x v="1"/>
    <s v="EV Charge Card"/>
    <s v="Enterprise"/>
  </r>
  <r>
    <s v="TXN0001088"/>
    <s v="CUST00133"/>
    <b v="1"/>
    <d v="2025-08-20T00:00:00"/>
    <x v="0"/>
    <s v="EV Charging"/>
    <n v="33135.49"/>
    <n v="975.28"/>
    <b v="1"/>
    <s v="Completed"/>
    <n v="975.28"/>
    <x v="1"/>
    <s v="REP015"/>
    <x v="1"/>
    <s v="EV Charge Card"/>
    <s v="Enterprise"/>
  </r>
  <r>
    <s v="TXN0001089"/>
    <s v="CUST00133"/>
    <b v="1"/>
    <d v="2025-09-06T00:00:00"/>
    <x v="1"/>
    <s v="EV Charging"/>
    <n v="41244.959999999999"/>
    <n v="1184.1300000000001"/>
    <b v="1"/>
    <s v="Completed"/>
    <n v="1184.1300000000001"/>
    <x v="1"/>
    <s v="REP015"/>
    <x v="1"/>
    <s v="EV Charge Card"/>
    <s v="Enterprise"/>
  </r>
  <r>
    <s v="TXN0001090"/>
    <s v="CUST00133"/>
    <b v="1"/>
    <d v="2025-09-10T00:00:00"/>
    <x v="1"/>
    <s v="EV Charging"/>
    <n v="41620.85"/>
    <n v="1121.82"/>
    <b v="1"/>
    <s v="Completed"/>
    <n v="1121.82"/>
    <x v="1"/>
    <s v="REP015"/>
    <x v="1"/>
    <s v="EV Charge Card"/>
    <s v="Enterprise"/>
  </r>
  <r>
    <s v="TXN0001091"/>
    <s v="CUST00133"/>
    <b v="1"/>
    <d v="2025-09-18T00:00:00"/>
    <x v="1"/>
    <s v="EV Charging"/>
    <n v="32166.05"/>
    <n v="0"/>
    <b v="1"/>
    <s v="Cancelled"/>
    <n v="0"/>
    <x v="1"/>
    <s v="REP015"/>
    <x v="1"/>
    <s v="EV Charge Card"/>
    <s v="Enterprise"/>
  </r>
  <r>
    <s v="TXN0001092"/>
    <s v="CUST00133"/>
    <b v="1"/>
    <d v="2025-10-18T00:00:00"/>
    <x v="2"/>
    <s v="EV Charging"/>
    <n v="35501.42"/>
    <n v="1135.6199999999999"/>
    <b v="1"/>
    <s v="Completed"/>
    <n v="1135.6199999999999"/>
    <x v="1"/>
    <s v="REP015"/>
    <x v="1"/>
    <s v="EV Charge Card"/>
    <s v="Enterprise"/>
  </r>
  <r>
    <s v="TXN0001093"/>
    <s v="CUST00133"/>
    <b v="1"/>
    <d v="2025-11-19T00:00:00"/>
    <x v="3"/>
    <s v="EV Charging"/>
    <n v="56182.61"/>
    <n v="1972.18"/>
    <b v="1"/>
    <s v="Completed"/>
    <n v="1972.18"/>
    <x v="1"/>
    <s v="REP015"/>
    <x v="1"/>
    <s v="EV Charge Card"/>
    <s v="Enterprise"/>
  </r>
  <r>
    <s v="TXN0001094"/>
    <s v="CUST00133"/>
    <b v="1"/>
    <d v="2025-11-17T00:00:00"/>
    <x v="3"/>
    <s v="EV Charging"/>
    <n v="55766.080000000002"/>
    <n v="1922"/>
    <b v="1"/>
    <s v="Completed"/>
    <n v="1922"/>
    <x v="1"/>
    <s v="REP015"/>
    <x v="1"/>
    <s v="EV Charge Card"/>
    <s v="Enterprise"/>
  </r>
  <r>
    <s v="TXN0001095"/>
    <s v="CUST00133"/>
    <b v="1"/>
    <d v="2025-11-27T00:00:00"/>
    <x v="3"/>
    <s v="EV Charging"/>
    <n v="39772.04"/>
    <n v="1226.18"/>
    <b v="1"/>
    <s v="Completed"/>
    <n v="1226.18"/>
    <x v="1"/>
    <s v="REP015"/>
    <x v="1"/>
    <s v="EV Charge Card"/>
    <s v="Enterprise"/>
  </r>
  <r>
    <s v="TXN0001096"/>
    <s v="CUST00133"/>
    <b v="1"/>
    <d v="2025-12-13T00:00:00"/>
    <x v="4"/>
    <s v="EV Charging"/>
    <n v="36648.870000000003"/>
    <n v="1154.8499999999999"/>
    <b v="1"/>
    <s v="Completed"/>
    <n v="1154.8499999999999"/>
    <x v="1"/>
    <s v="REP015"/>
    <x v="1"/>
    <s v="EV Charge Card"/>
    <s v="Enterprise"/>
  </r>
  <r>
    <s v="TXN0001097"/>
    <s v="CUST00133"/>
    <b v="1"/>
    <d v="2025-12-16T00:00:00"/>
    <x v="4"/>
    <s v="EV Charging"/>
    <n v="60688.51"/>
    <n v="1916.58"/>
    <b v="1"/>
    <s v="Completed"/>
    <n v="1916.58"/>
    <x v="1"/>
    <s v="REP015"/>
    <x v="1"/>
    <s v="EV Charge Card"/>
    <s v="Enterprise"/>
  </r>
  <r>
    <s v="TXN0001098"/>
    <s v="CUST00133"/>
    <b v="1"/>
    <d v="2025-12-25T00:00:00"/>
    <x v="4"/>
    <s v="EV Charging"/>
    <n v="41209.86"/>
    <n v="1298.3699999999999"/>
    <b v="1"/>
    <s v="Completed"/>
    <n v="1298.3699999999999"/>
    <x v="1"/>
    <s v="REP015"/>
    <x v="1"/>
    <s v="EV Charge Card"/>
    <s v="Enterprise"/>
  </r>
  <r>
    <s v="TXN0001099"/>
    <s v="CUST00137"/>
    <b v="1"/>
    <d v="2025-12-31T00:00:00"/>
    <x v="4"/>
    <s v="EV Charging"/>
    <n v="4378.25"/>
    <n v="137.63"/>
    <b v="1"/>
    <s v="Completed"/>
    <n v="137.63"/>
    <x v="2"/>
    <s v="REP006"/>
    <x v="0"/>
    <s v="EV Charge Card"/>
    <s v="SME"/>
  </r>
  <r>
    <s v="TXN0001100"/>
    <s v="CUST00137"/>
    <b v="1"/>
    <d v="2025-12-27T00:00:00"/>
    <x v="4"/>
    <s v="EV Charging"/>
    <n v="4635.84"/>
    <n v="148.97"/>
    <b v="1"/>
    <s v="Completed"/>
    <n v="148.97"/>
    <x v="2"/>
    <s v="REP006"/>
    <x v="0"/>
    <s v="EV Charge Card"/>
    <s v="SME"/>
  </r>
  <r>
    <s v="TXN0001101"/>
    <s v="CUST00137"/>
    <b v="1"/>
    <d v="2025-12-17T00:00:00"/>
    <x v="4"/>
    <s v="EV Charging"/>
    <n v="2855.24"/>
    <n v="89.77"/>
    <b v="1"/>
    <s v="Completed"/>
    <n v="89.77"/>
    <x v="2"/>
    <s v="REP006"/>
    <x v="0"/>
    <s v="EV Charge Card"/>
    <s v="SME"/>
  </r>
  <r>
    <s v="TXN0001102"/>
    <s v="CUST00138"/>
    <b v="1"/>
    <d v="2025-06-24T00:00:00"/>
    <x v="7"/>
    <s v="EV Charging"/>
    <n v="16178.66"/>
    <n v="497.38"/>
    <b v="1"/>
    <s v="Completed"/>
    <n v="497.38"/>
    <x v="3"/>
    <s v="REP002"/>
    <x v="2"/>
    <s v="EV Charge Card"/>
    <s v="Mid-Market"/>
  </r>
  <r>
    <s v="TXN0001103"/>
    <s v="CUST00138"/>
    <b v="1"/>
    <d v="2025-06-27T00:00:00"/>
    <x v="7"/>
    <s v="EV Charging"/>
    <n v="10048.81"/>
    <n v="344.1"/>
    <b v="1"/>
    <s v="Completed"/>
    <n v="344.1"/>
    <x v="3"/>
    <s v="REP002"/>
    <x v="2"/>
    <s v="EV Charge Card"/>
    <s v="Mid-Market"/>
  </r>
  <r>
    <s v="TXN0001104"/>
    <s v="CUST00138"/>
    <b v="1"/>
    <d v="2025-06-23T00:00:00"/>
    <x v="7"/>
    <s v="EV Charging"/>
    <n v="15492.71"/>
    <n v="499.75"/>
    <b v="1"/>
    <s v="Completed"/>
    <n v="499.75"/>
    <x v="3"/>
    <s v="REP002"/>
    <x v="2"/>
    <s v="EV Charge Card"/>
    <s v="Mid-Market"/>
  </r>
  <r>
    <s v="TXN0001105"/>
    <s v="CUST00138"/>
    <b v="1"/>
    <d v="2025-07-07T00:00:00"/>
    <x v="8"/>
    <s v="EV Charging"/>
    <n v="16819.18"/>
    <n v="573.07000000000005"/>
    <b v="1"/>
    <s v="Completed"/>
    <n v="573.07000000000005"/>
    <x v="3"/>
    <s v="REP002"/>
    <x v="2"/>
    <s v="EV Charge Card"/>
    <s v="Mid-Market"/>
  </r>
  <r>
    <s v="TXN0001106"/>
    <s v="CUST00138"/>
    <b v="1"/>
    <d v="2025-08-14T00:00:00"/>
    <x v="0"/>
    <s v="EV Charging"/>
    <n v="8876.93"/>
    <n v="298.95"/>
    <b v="1"/>
    <s v="Completed"/>
    <n v="298.95"/>
    <x v="3"/>
    <s v="REP002"/>
    <x v="2"/>
    <s v="EV Charge Card"/>
    <s v="Mid-Market"/>
  </r>
  <r>
    <s v="TXN0001107"/>
    <s v="CUST00138"/>
    <b v="1"/>
    <d v="2025-08-12T00:00:00"/>
    <x v="0"/>
    <s v="EV Charging"/>
    <n v="7032.65"/>
    <n v="209.59"/>
    <b v="1"/>
    <s v="Completed"/>
    <n v="209.59"/>
    <x v="3"/>
    <s v="REP002"/>
    <x v="2"/>
    <s v="EV Charge Card"/>
    <s v="Mid-Market"/>
  </r>
  <r>
    <s v="TXN0001108"/>
    <s v="CUST00138"/>
    <b v="1"/>
    <d v="2025-08-03T00:00:00"/>
    <x v="0"/>
    <s v="EV Charging"/>
    <n v="6062.67"/>
    <n v="160.41999999999999"/>
    <b v="1"/>
    <s v="Completed"/>
    <n v="160.41999999999999"/>
    <x v="3"/>
    <s v="REP002"/>
    <x v="2"/>
    <s v="EV Charge Card"/>
    <s v="Mid-Market"/>
  </r>
  <r>
    <s v="TXN0001109"/>
    <s v="CUST00138"/>
    <b v="1"/>
    <d v="2025-09-04T00:00:00"/>
    <x v="1"/>
    <s v="EV Charging"/>
    <n v="9223.5"/>
    <n v="260.85000000000002"/>
    <b v="1"/>
    <s v="Completed"/>
    <n v="260.85000000000002"/>
    <x v="3"/>
    <s v="REP002"/>
    <x v="2"/>
    <s v="EV Charge Card"/>
    <s v="Mid-Market"/>
  </r>
  <r>
    <s v="TXN0001110"/>
    <s v="CUST00138"/>
    <b v="1"/>
    <d v="2025-09-05T00:00:00"/>
    <x v="1"/>
    <s v="EV Charging"/>
    <n v="8833.8700000000008"/>
    <n v="238.02"/>
    <b v="1"/>
    <s v="Completed"/>
    <n v="238.02"/>
    <x v="3"/>
    <s v="REP002"/>
    <x v="2"/>
    <s v="EV Charge Card"/>
    <s v="Mid-Market"/>
  </r>
  <r>
    <s v="TXN0001111"/>
    <s v="CUST00138"/>
    <b v="1"/>
    <d v="2025-10-13T00:00:00"/>
    <x v="2"/>
    <s v="EV Charging"/>
    <n v="9426.07"/>
    <n v="292.48"/>
    <b v="1"/>
    <s v="Completed"/>
    <n v="292.48"/>
    <x v="3"/>
    <s v="REP002"/>
    <x v="2"/>
    <s v="EV Charge Card"/>
    <s v="Mid-Market"/>
  </r>
  <r>
    <s v="TXN0001112"/>
    <s v="CUST00138"/>
    <b v="1"/>
    <d v="2025-10-28T00:00:00"/>
    <x v="2"/>
    <s v="EV Charging"/>
    <n v="17466.599999999999"/>
    <n v="466.45"/>
    <b v="1"/>
    <s v="Completed"/>
    <n v="466.45"/>
    <x v="3"/>
    <s v="REP002"/>
    <x v="2"/>
    <s v="EV Charge Card"/>
    <s v="Mid-Market"/>
  </r>
  <r>
    <s v="TXN0001113"/>
    <s v="CUST00138"/>
    <b v="1"/>
    <d v="2025-10-02T00:00:00"/>
    <x v="2"/>
    <s v="EV Charging"/>
    <n v="12893.41"/>
    <n v="442.49"/>
    <b v="1"/>
    <s v="Completed"/>
    <n v="442.49"/>
    <x v="3"/>
    <s v="REP002"/>
    <x v="2"/>
    <s v="EV Charge Card"/>
    <s v="Mid-Market"/>
  </r>
  <r>
    <s v="TXN0001114"/>
    <s v="CUST00138"/>
    <b v="1"/>
    <d v="2025-11-06T00:00:00"/>
    <x v="3"/>
    <s v="EV Charging"/>
    <n v="7724.27"/>
    <n v="257.63"/>
    <b v="1"/>
    <s v="Completed"/>
    <n v="257.63"/>
    <x v="3"/>
    <s v="REP002"/>
    <x v="2"/>
    <s v="EV Charge Card"/>
    <s v="Mid-Market"/>
  </r>
  <r>
    <s v="TXN0001115"/>
    <s v="CUST00138"/>
    <b v="1"/>
    <d v="2025-11-22T00:00:00"/>
    <x v="3"/>
    <s v="EV Charging"/>
    <n v="6762.97"/>
    <n v="201.21"/>
    <b v="1"/>
    <s v="Completed"/>
    <n v="201.21"/>
    <x v="3"/>
    <s v="REP002"/>
    <x v="2"/>
    <s v="EV Charge Card"/>
    <s v="Mid-Market"/>
  </r>
  <r>
    <s v="TXN0001116"/>
    <s v="CUST00138"/>
    <b v="1"/>
    <d v="2025-11-26T00:00:00"/>
    <x v="3"/>
    <s v="EV Charging"/>
    <n v="6112.45"/>
    <n v="169.98"/>
    <b v="1"/>
    <s v="Completed"/>
    <n v="169.98"/>
    <x v="3"/>
    <s v="REP002"/>
    <x v="2"/>
    <s v="EV Charge Card"/>
    <s v="Mid-Market"/>
  </r>
  <r>
    <s v="TXN0001117"/>
    <s v="CUST00138"/>
    <b v="1"/>
    <d v="2025-12-29T00:00:00"/>
    <x v="4"/>
    <s v="EV Charging"/>
    <n v="17423.16"/>
    <n v="539.32000000000005"/>
    <b v="1"/>
    <s v="Completed"/>
    <n v="539.32000000000005"/>
    <x v="3"/>
    <s v="REP002"/>
    <x v="2"/>
    <s v="EV Charge Card"/>
    <s v="Mid-Market"/>
  </r>
  <r>
    <s v="TXN0001118"/>
    <s v="CUST00138"/>
    <b v="1"/>
    <d v="2025-12-18T00:00:00"/>
    <x v="4"/>
    <s v="EV Charging"/>
    <n v="7671.57"/>
    <n v="213.71"/>
    <b v="1"/>
    <s v="Completed"/>
    <n v="213.71"/>
    <x v="3"/>
    <s v="REP002"/>
    <x v="2"/>
    <s v="EV Charge Card"/>
    <s v="Mid-Market"/>
  </r>
  <r>
    <s v="TXN0001119"/>
    <s v="CUST00138"/>
    <b v="1"/>
    <d v="2025-12-30T00:00:00"/>
    <x v="4"/>
    <s v="EV Charging"/>
    <n v="7337.2"/>
    <n v="229.94"/>
    <b v="1"/>
    <s v="Completed"/>
    <n v="229.94"/>
    <x v="3"/>
    <s v="REP002"/>
    <x v="2"/>
    <s v="EV Charge Card"/>
    <s v="Mid-Market"/>
  </r>
  <r>
    <s v="TXN0001120"/>
    <s v="CUST00139"/>
    <b v="1"/>
    <d v="2025-06-24T00:00:00"/>
    <x v="7"/>
    <s v="Parking"/>
    <n v="9916.65"/>
    <n v="297.56"/>
    <b v="1"/>
    <s v="Completed"/>
    <n v="297.56"/>
    <x v="0"/>
    <s v="REP007"/>
    <x v="2"/>
    <s v="Fleet Expense Card"/>
    <s v="Mid-Market"/>
  </r>
  <r>
    <s v="TXN0001121"/>
    <s v="CUST00139"/>
    <b v="1"/>
    <d v="2025-06-24T00:00:00"/>
    <x v="7"/>
    <s v="Fuel"/>
    <n v="17777.259999999998"/>
    <n v="510.35"/>
    <b v="1"/>
    <s v="Completed"/>
    <n v="510.35"/>
    <x v="0"/>
    <s v="REP007"/>
    <x v="2"/>
    <s v="Fleet Expense Card"/>
    <s v="Mid-Market"/>
  </r>
  <r>
    <s v="TXN0001122"/>
    <s v="CUST00139"/>
    <b v="1"/>
    <d v="2025-07-01T00:00:00"/>
    <x v="8"/>
    <s v="Fuel"/>
    <n v="9603.2999999999993"/>
    <n v="257.61"/>
    <b v="1"/>
    <s v="Completed"/>
    <n v="257.61"/>
    <x v="0"/>
    <s v="REP007"/>
    <x v="2"/>
    <s v="Fleet Expense Card"/>
    <s v="Mid-Market"/>
  </r>
  <r>
    <s v="TXN0001123"/>
    <s v="CUST00139"/>
    <b v="1"/>
    <d v="2025-07-20T00:00:00"/>
    <x v="8"/>
    <s v="Parking"/>
    <n v="15003.88"/>
    <n v="380.46"/>
    <b v="1"/>
    <s v="Completed"/>
    <n v="380.46"/>
    <x v="0"/>
    <s v="REP007"/>
    <x v="2"/>
    <s v="Fleet Expense Card"/>
    <s v="Mid-Market"/>
  </r>
  <r>
    <s v="TXN0001124"/>
    <s v="CUST00139"/>
    <b v="1"/>
    <d v="2025-07-29T00:00:00"/>
    <x v="8"/>
    <s v="Lodging"/>
    <n v="5915.26"/>
    <n v="175.31"/>
    <b v="1"/>
    <s v="Completed"/>
    <n v="175.31"/>
    <x v="0"/>
    <s v="REP007"/>
    <x v="2"/>
    <s v="Fleet Expense Card"/>
    <s v="Mid-Market"/>
  </r>
  <r>
    <s v="TXN0001125"/>
    <s v="CUST00139"/>
    <b v="1"/>
    <d v="2025-08-29T00:00:00"/>
    <x v="0"/>
    <s v="Fuel"/>
    <n v="12458.38"/>
    <n v="381.42"/>
    <b v="1"/>
    <s v="Completed"/>
    <n v="381.42"/>
    <x v="0"/>
    <s v="REP007"/>
    <x v="2"/>
    <s v="Fleet Expense Card"/>
    <s v="Mid-Market"/>
  </r>
  <r>
    <s v="TXN0001126"/>
    <s v="CUST00139"/>
    <b v="1"/>
    <d v="2025-08-19T00:00:00"/>
    <x v="0"/>
    <s v="Lodging"/>
    <n v="9226.1200000000008"/>
    <n v="218.86"/>
    <b v="1"/>
    <s v="Completed"/>
    <n v="218.86"/>
    <x v="0"/>
    <s v="REP007"/>
    <x v="2"/>
    <s v="Fleet Expense Card"/>
    <s v="Mid-Market"/>
  </r>
  <r>
    <s v="TXN0001127"/>
    <s v="CUST00139"/>
    <b v="1"/>
    <d v="2025-08-28T00:00:00"/>
    <x v="0"/>
    <s v="Lodging"/>
    <n v="5474.97"/>
    <n v="152.81"/>
    <b v="1"/>
    <s v="Completed"/>
    <n v="152.81"/>
    <x v="0"/>
    <s v="REP007"/>
    <x v="2"/>
    <s v="Fleet Expense Card"/>
    <s v="Mid-Market"/>
  </r>
  <r>
    <s v="TXN0001128"/>
    <s v="CUST00139"/>
    <b v="1"/>
    <d v="2025-09-14T00:00:00"/>
    <x v="1"/>
    <s v="Parking"/>
    <n v="15998.44"/>
    <n v="487.04"/>
    <b v="1"/>
    <s v="Completed"/>
    <n v="487.04"/>
    <x v="0"/>
    <s v="REP007"/>
    <x v="2"/>
    <s v="Fleet Expense Card"/>
    <s v="Mid-Market"/>
  </r>
  <r>
    <s v="TXN0001129"/>
    <s v="CUST00139"/>
    <b v="1"/>
    <d v="2025-10-15T00:00:00"/>
    <x v="2"/>
    <s v="Fuel"/>
    <n v="12132.02"/>
    <n v="369.09"/>
    <b v="1"/>
    <s v="Completed"/>
    <n v="369.09"/>
    <x v="0"/>
    <s v="REP007"/>
    <x v="2"/>
    <s v="Fleet Expense Card"/>
    <s v="Mid-Market"/>
  </r>
  <r>
    <s v="TXN0001130"/>
    <s v="CUST00139"/>
    <b v="1"/>
    <d v="2025-10-05T00:00:00"/>
    <x v="2"/>
    <s v="Lodging"/>
    <n v="9758.93"/>
    <n v="224.3"/>
    <b v="1"/>
    <s v="Completed"/>
    <n v="224.3"/>
    <x v="0"/>
    <s v="REP007"/>
    <x v="2"/>
    <s v="Fleet Expense Card"/>
    <s v="Mid-Market"/>
  </r>
  <r>
    <s v="TXN0001131"/>
    <s v="CUST00139"/>
    <b v="1"/>
    <d v="2025-10-15T00:00:00"/>
    <x v="2"/>
    <s v="Fuel"/>
    <n v="5521.69"/>
    <n v="170.45"/>
    <b v="1"/>
    <s v="Completed"/>
    <n v="170.45"/>
    <x v="0"/>
    <s v="REP007"/>
    <x v="2"/>
    <s v="Fleet Expense Card"/>
    <s v="Mid-Market"/>
  </r>
  <r>
    <s v="TXN0001132"/>
    <s v="CUST00139"/>
    <b v="1"/>
    <d v="2025-11-07T00:00:00"/>
    <x v="3"/>
    <s v="Lodging"/>
    <n v="13706.69"/>
    <n v="385.31"/>
    <b v="1"/>
    <s v="Completed"/>
    <n v="385.31"/>
    <x v="0"/>
    <s v="REP007"/>
    <x v="2"/>
    <s v="Fleet Expense Card"/>
    <s v="Mid-Market"/>
  </r>
  <r>
    <s v="TXN0001133"/>
    <s v="CUST00139"/>
    <b v="1"/>
    <d v="2025-11-13T00:00:00"/>
    <x v="3"/>
    <s v="Lodging"/>
    <n v="9499.64"/>
    <n v="274.85000000000002"/>
    <b v="1"/>
    <s v="Completed"/>
    <n v="274.85000000000002"/>
    <x v="0"/>
    <s v="REP007"/>
    <x v="2"/>
    <s v="Fleet Expense Card"/>
    <s v="Mid-Market"/>
  </r>
  <r>
    <s v="TXN0001134"/>
    <s v="CUST00139"/>
    <b v="1"/>
    <d v="2025-11-06T00:00:00"/>
    <x v="3"/>
    <s v="Parking"/>
    <n v="5828.89"/>
    <n v="140.4"/>
    <b v="1"/>
    <s v="Completed"/>
    <n v="140.4"/>
    <x v="0"/>
    <s v="REP007"/>
    <x v="2"/>
    <s v="Fleet Expense Card"/>
    <s v="Mid-Market"/>
  </r>
  <r>
    <s v="TXN0001135"/>
    <s v="CUST00142"/>
    <b v="1"/>
    <d v="2025-10-31T00:00:00"/>
    <x v="2"/>
    <s v="Fuel"/>
    <n v="1778.56"/>
    <n v="44.63"/>
    <b v="1"/>
    <s v="Completed"/>
    <n v="44.63"/>
    <x v="0"/>
    <s v="REP009"/>
    <x v="2"/>
    <s v="Fuel Card"/>
    <s v="SME"/>
  </r>
  <r>
    <s v="TXN0001136"/>
    <s v="CUST00142"/>
    <b v="1"/>
    <d v="2025-10-28T00:00:00"/>
    <x v="2"/>
    <s v="Fuel"/>
    <n v="4374.99"/>
    <n v="110.96"/>
    <b v="1"/>
    <s v="Completed"/>
    <n v="110.96"/>
    <x v="0"/>
    <s v="REP009"/>
    <x v="2"/>
    <s v="Fuel Card"/>
    <s v="SME"/>
  </r>
  <r>
    <s v="TXN0001137"/>
    <s v="CUST00142"/>
    <b v="1"/>
    <d v="2025-11-14T00:00:00"/>
    <x v="3"/>
    <s v="Fuel"/>
    <n v="2147.17"/>
    <n v="0"/>
    <b v="1"/>
    <s v="Cancelled"/>
    <n v="0"/>
    <x v="0"/>
    <s v="REP009"/>
    <x v="2"/>
    <s v="Fuel Card"/>
    <s v="SME"/>
  </r>
  <r>
    <s v="TXN0001138"/>
    <s v="CUST00142"/>
    <b v="1"/>
    <d v="2025-11-09T00:00:00"/>
    <x v="3"/>
    <s v="Fuel"/>
    <n v="1599.48"/>
    <n v="37.89"/>
    <b v="1"/>
    <s v="Completed"/>
    <n v="37.89"/>
    <x v="0"/>
    <s v="REP009"/>
    <x v="2"/>
    <s v="Fuel Card"/>
    <s v="SME"/>
  </r>
  <r>
    <s v="TXN0001139"/>
    <s v="CUST00142"/>
    <b v="1"/>
    <d v="2025-11-02T00:00:00"/>
    <x v="3"/>
    <s v="Fuel"/>
    <n v="5024.5600000000004"/>
    <n v="128.16999999999999"/>
    <b v="1"/>
    <s v="Completed"/>
    <n v="128.16999999999999"/>
    <x v="0"/>
    <s v="REP009"/>
    <x v="2"/>
    <s v="Fuel Card"/>
    <s v="SME"/>
  </r>
  <r>
    <s v="TXN0001140"/>
    <s v="CUST00142"/>
    <b v="1"/>
    <d v="2025-12-17T00:00:00"/>
    <x v="4"/>
    <s v="Fuel"/>
    <n v="3895.49"/>
    <n v="107.06"/>
    <b v="1"/>
    <s v="Completed"/>
    <n v="107.06"/>
    <x v="0"/>
    <s v="REP009"/>
    <x v="2"/>
    <s v="Fuel Card"/>
    <s v="SME"/>
  </r>
  <r>
    <s v="TXN0001141"/>
    <s v="CUST00142"/>
    <b v="1"/>
    <d v="2025-12-30T00:00:00"/>
    <x v="4"/>
    <s v="Fuel"/>
    <n v="3557.25"/>
    <n v="84.01"/>
    <b v="1"/>
    <s v="Completed"/>
    <n v="84.01"/>
    <x v="0"/>
    <s v="REP009"/>
    <x v="2"/>
    <s v="Fuel Card"/>
    <s v="SME"/>
  </r>
  <r>
    <s v="TXN0001142"/>
    <s v="CUST00145"/>
    <b v="1"/>
    <d v="2025-09-28T00:00:00"/>
    <x v="1"/>
    <s v="Fuel"/>
    <n v="4030.63"/>
    <n v="90.37"/>
    <b v="1"/>
    <s v="Completed"/>
    <n v="90.37"/>
    <x v="0"/>
    <s v="REP009"/>
    <x v="2"/>
    <s v="Fuel Card"/>
    <s v="SME"/>
  </r>
  <r>
    <s v="TXN0001143"/>
    <s v="CUST00145"/>
    <b v="1"/>
    <d v="2025-09-25T00:00:00"/>
    <x v="1"/>
    <s v="Fuel"/>
    <n v="1900.67"/>
    <n v="47.7"/>
    <b v="1"/>
    <s v="Completed"/>
    <n v="47.7"/>
    <x v="0"/>
    <s v="REP009"/>
    <x v="2"/>
    <s v="Fuel Card"/>
    <s v="SME"/>
  </r>
  <r>
    <s v="TXN0001144"/>
    <s v="CUST00145"/>
    <b v="1"/>
    <d v="2025-10-03T00:00:00"/>
    <x v="2"/>
    <s v="Fuel"/>
    <n v="1551.78"/>
    <n v="37.25"/>
    <b v="1"/>
    <s v="Completed"/>
    <n v="37.25"/>
    <x v="0"/>
    <s v="REP009"/>
    <x v="2"/>
    <s v="Fuel Card"/>
    <s v="SME"/>
  </r>
  <r>
    <s v="TXN0001145"/>
    <s v="CUST00145"/>
    <b v="1"/>
    <d v="2025-10-12T00:00:00"/>
    <x v="2"/>
    <s v="Fuel"/>
    <n v="3065.33"/>
    <n v="66.75"/>
    <b v="1"/>
    <s v="Completed"/>
    <n v="66.75"/>
    <x v="0"/>
    <s v="REP009"/>
    <x v="2"/>
    <s v="Fuel Card"/>
    <s v="SME"/>
  </r>
  <r>
    <s v="TXN0001146"/>
    <s v="CUST00145"/>
    <b v="1"/>
    <d v="2025-10-17T00:00:00"/>
    <x v="2"/>
    <s v="Fuel"/>
    <n v="3713.09"/>
    <n v="84.81"/>
    <b v="1"/>
    <s v="Completed"/>
    <n v="84.81"/>
    <x v="0"/>
    <s v="REP009"/>
    <x v="2"/>
    <s v="Fuel Card"/>
    <s v="SME"/>
  </r>
  <r>
    <s v="TXN0001147"/>
    <s v="CUST00145"/>
    <b v="1"/>
    <d v="2025-11-07T00:00:00"/>
    <x v="3"/>
    <s v="Fuel"/>
    <n v="4960.12"/>
    <n v="0"/>
    <b v="1"/>
    <s v="Cancelled"/>
    <n v="0"/>
    <x v="0"/>
    <s v="REP009"/>
    <x v="2"/>
    <s v="Fuel Card"/>
    <s v="SME"/>
  </r>
  <r>
    <s v="TXN0001148"/>
    <s v="CUST00145"/>
    <b v="1"/>
    <d v="2025-12-06T00:00:00"/>
    <x v="4"/>
    <s v="Fuel"/>
    <n v="1784.61"/>
    <n v="40.58"/>
    <b v="1"/>
    <s v="Completed"/>
    <n v="40.58"/>
    <x v="0"/>
    <s v="REP009"/>
    <x v="2"/>
    <s v="Fuel Card"/>
    <s v="SME"/>
  </r>
  <r>
    <s v="TXN0001149"/>
    <s v="CUST00146"/>
    <b v="1"/>
    <d v="2025-12-10T00:00:00"/>
    <x v="4"/>
    <s v="EV Charging"/>
    <n v="35341.800000000003"/>
    <n v="974.05"/>
    <b v="1"/>
    <s v="Completed"/>
    <n v="974.05"/>
    <x v="4"/>
    <s v="REP010"/>
    <x v="4"/>
    <s v="EV Charge Card"/>
    <s v="Enterprise"/>
  </r>
  <r>
    <s v="TXN0001150"/>
    <s v="CUST00146"/>
    <b v="1"/>
    <d v="2025-12-13T00:00:00"/>
    <x v="4"/>
    <s v="EV Charging"/>
    <n v="59184.66"/>
    <n v="1845.67"/>
    <b v="1"/>
    <s v="Completed"/>
    <n v="1845.67"/>
    <x v="4"/>
    <s v="REP010"/>
    <x v="4"/>
    <s v="EV Charge Card"/>
    <s v="Enterprise"/>
  </r>
  <r>
    <s v="TXN0001151"/>
    <s v="CUST00147"/>
    <b v="1"/>
    <d v="2025-07-25T00:00:00"/>
    <x v="8"/>
    <s v="Toll"/>
    <n v="32666.39"/>
    <n v="637"/>
    <b v="1"/>
    <s v="Completed"/>
    <n v="637"/>
    <x v="4"/>
    <s v="REP010"/>
    <x v="2"/>
    <s v="Toll Solution"/>
    <s v="Enterprise"/>
  </r>
  <r>
    <s v="TXN0001152"/>
    <s v="CUST00147"/>
    <b v="1"/>
    <d v="2025-08-26T00:00:00"/>
    <x v="0"/>
    <s v="Toll"/>
    <n v="29533.45"/>
    <n v="605.27"/>
    <b v="1"/>
    <s v="Completed"/>
    <n v="605.27"/>
    <x v="4"/>
    <s v="REP010"/>
    <x v="2"/>
    <s v="Toll Solution"/>
    <s v="Enterprise"/>
  </r>
  <r>
    <s v="TXN0001153"/>
    <s v="CUST00147"/>
    <b v="1"/>
    <d v="2025-08-12T00:00:00"/>
    <x v="0"/>
    <s v="Toll"/>
    <n v="46508.31"/>
    <n v="836.3"/>
    <b v="1"/>
    <s v="Completed"/>
    <n v="836.3"/>
    <x v="4"/>
    <s v="REP010"/>
    <x v="2"/>
    <s v="Toll Solution"/>
    <s v="Enterprise"/>
  </r>
  <r>
    <s v="TXN0001154"/>
    <s v="CUST00147"/>
    <b v="1"/>
    <d v="2025-09-30T00:00:00"/>
    <x v="1"/>
    <s v="Toll"/>
    <n v="16644.48"/>
    <n v="282.45999999999998"/>
    <b v="1"/>
    <s v="Completed"/>
    <n v="282.45999999999998"/>
    <x v="4"/>
    <s v="REP010"/>
    <x v="2"/>
    <s v="Toll Solution"/>
    <s v="Enterprise"/>
  </r>
  <r>
    <s v="TXN0001155"/>
    <s v="CUST00147"/>
    <b v="1"/>
    <d v="2025-09-10T00:00:00"/>
    <x v="1"/>
    <s v="Toll"/>
    <n v="28221.03"/>
    <n v="553.24"/>
    <b v="1"/>
    <s v="Completed"/>
    <n v="553.24"/>
    <x v="4"/>
    <s v="REP010"/>
    <x v="2"/>
    <s v="Toll Solution"/>
    <s v="Enterprise"/>
  </r>
  <r>
    <s v="TXN0001156"/>
    <s v="CUST00147"/>
    <b v="1"/>
    <d v="2025-09-13T00:00:00"/>
    <x v="1"/>
    <s v="Toll"/>
    <n v="45317.760000000002"/>
    <n v="898.63"/>
    <b v="1"/>
    <s v="Completed"/>
    <n v="898.63"/>
    <x v="4"/>
    <s v="REP010"/>
    <x v="2"/>
    <s v="Toll Solution"/>
    <s v="Enterprise"/>
  </r>
  <r>
    <s v="TXN0001157"/>
    <s v="CUST00147"/>
    <b v="1"/>
    <d v="2025-10-24T00:00:00"/>
    <x v="2"/>
    <s v="Toll"/>
    <n v="39504.22"/>
    <n v="695.56"/>
    <b v="1"/>
    <s v="Completed"/>
    <n v="695.56"/>
    <x v="4"/>
    <s v="REP010"/>
    <x v="2"/>
    <s v="Toll Solution"/>
    <s v="Enterprise"/>
  </r>
  <r>
    <s v="TXN0001158"/>
    <s v="CUST00147"/>
    <b v="1"/>
    <d v="2025-11-19T00:00:00"/>
    <x v="3"/>
    <s v="Toll"/>
    <n v="29974.32"/>
    <n v="507.14"/>
    <b v="1"/>
    <s v="Completed"/>
    <n v="507.14"/>
    <x v="4"/>
    <s v="REP010"/>
    <x v="2"/>
    <s v="Toll Solution"/>
    <s v="Enterprise"/>
  </r>
  <r>
    <s v="TXN0001159"/>
    <s v="CUST00147"/>
    <b v="1"/>
    <d v="2025-11-06T00:00:00"/>
    <x v="3"/>
    <s v="Toll"/>
    <n v="19266.12"/>
    <n v="295.62"/>
    <b v="1"/>
    <s v="Completed"/>
    <n v="295.62"/>
    <x v="4"/>
    <s v="REP010"/>
    <x v="2"/>
    <s v="Toll Solution"/>
    <s v="Enterprise"/>
  </r>
  <r>
    <s v="TXN0001160"/>
    <s v="CUST00147"/>
    <b v="1"/>
    <d v="2025-12-04T00:00:00"/>
    <x v="4"/>
    <s v="Toll"/>
    <n v="39096.589999999997"/>
    <n v="728.02"/>
    <b v="1"/>
    <s v="Completed"/>
    <n v="728.02"/>
    <x v="4"/>
    <s v="REP010"/>
    <x v="2"/>
    <s v="Toll Solution"/>
    <s v="Enterprise"/>
  </r>
  <r>
    <s v="TXN0001161"/>
    <s v="CUST00148"/>
    <b v="1"/>
    <d v="2025-11-25T00:00:00"/>
    <x v="3"/>
    <s v="Fuel"/>
    <n v="1892.38"/>
    <n v="47.08"/>
    <b v="1"/>
    <s v="Completed"/>
    <n v="47.08"/>
    <x v="0"/>
    <s v="REP009"/>
    <x v="2"/>
    <s v="Fuel Card"/>
    <s v="Unclassified"/>
  </r>
  <r>
    <s v="TXN0001162"/>
    <s v="CUST00148"/>
    <b v="1"/>
    <d v="2025-11-28T00:00:00"/>
    <x v="3"/>
    <s v="Fuel"/>
    <n v="2609.61"/>
    <n v="0"/>
    <b v="1"/>
    <s v="Cancelled"/>
    <n v="0"/>
    <x v="0"/>
    <s v="REP009"/>
    <x v="2"/>
    <s v="Fuel Card"/>
    <s v="Unclassified"/>
  </r>
  <r>
    <s v="TXN0001163"/>
    <s v="CUST00148"/>
    <b v="1"/>
    <d v="2025-11-22T00:00:00"/>
    <x v="3"/>
    <s v="Fuel"/>
    <n v="5104.17"/>
    <n v="152.41"/>
    <b v="1"/>
    <s v="Cancelled"/>
    <n v="0"/>
    <x v="0"/>
    <s v="REP009"/>
    <x v="2"/>
    <s v="Fuel Card"/>
    <s v="Unclassified"/>
  </r>
  <r>
    <s v="TXN0001164"/>
    <s v="CUST00148"/>
    <b v="1"/>
    <d v="2025-12-20T00:00:00"/>
    <x v="4"/>
    <s v="Fuel"/>
    <n v="5003.6899999999996"/>
    <n v="121.81"/>
    <b v="1"/>
    <s v="Completed"/>
    <n v="121.81"/>
    <x v="0"/>
    <s v="REP009"/>
    <x v="2"/>
    <s v="Fuel Card"/>
    <s v="Unclassified"/>
  </r>
  <r>
    <s v="TXN0001165"/>
    <s v="CUST00150"/>
    <b v="1"/>
    <d v="2025-11-23T00:00:00"/>
    <x v="3"/>
    <s v="Fuel"/>
    <n v="10856.86"/>
    <n v="294.47000000000003"/>
    <b v="1"/>
    <s v="Completed"/>
    <n v="294.47000000000003"/>
    <x v="2"/>
    <s v="REP004"/>
    <x v="1"/>
    <s v="Fuel Card"/>
    <s v="Mid-Market"/>
  </r>
  <r>
    <s v="TXN0001166"/>
    <s v="CUST00150"/>
    <b v="1"/>
    <d v="2025-11-28T00:00:00"/>
    <x v="3"/>
    <s v="Fuel"/>
    <n v="15732.11"/>
    <n v="386.73"/>
    <b v="1"/>
    <s v="Completed"/>
    <n v="386.73"/>
    <x v="2"/>
    <s v="REP004"/>
    <x v="1"/>
    <s v="Fuel Card"/>
    <s v="Mid-Market"/>
  </r>
  <r>
    <s v="TXN0001167"/>
    <s v="CUST00150"/>
    <b v="1"/>
    <d v="2025-12-05T00:00:00"/>
    <x v="4"/>
    <s v="Fuel"/>
    <n v="12820.05"/>
    <n v="284.18"/>
    <b v="1"/>
    <s v="Completed"/>
    <n v="284.18"/>
    <x v="2"/>
    <s v="REP004"/>
    <x v="1"/>
    <s v="Fuel Card"/>
    <s v="Mid-Market"/>
  </r>
  <r>
    <s v="TXN0001168"/>
    <s v="CUST00150"/>
    <b v="1"/>
    <d v="2025-12-14T00:00:00"/>
    <x v="4"/>
    <s v="Fuel"/>
    <n v="12500.06"/>
    <n v="347.35"/>
    <b v="1"/>
    <s v="Completed"/>
    <n v="347.35"/>
    <x v="2"/>
    <s v="REP004"/>
    <x v="1"/>
    <s v="Fuel Card"/>
    <s v="Mid-Market"/>
  </r>
  <r>
    <s v="TXN0001169"/>
    <s v="CUST00150"/>
    <b v="1"/>
    <d v="2025-12-23T00:00:00"/>
    <x v="4"/>
    <s v="Fuel"/>
    <n v="4780.6000000000004"/>
    <n v="104.51"/>
    <b v="1"/>
    <s v="Completed"/>
    <n v="104.51"/>
    <x v="2"/>
    <s v="REP004"/>
    <x v="1"/>
    <s v="Fuel Card"/>
    <s v="Mid-Market"/>
  </r>
  <r>
    <s v="TXN0001170"/>
    <s v="CUST00151"/>
    <b v="1"/>
    <d v="2025-10-11T00:00:00"/>
    <x v="2"/>
    <s v="Fuel"/>
    <n v="7710.25"/>
    <n v="221.18"/>
    <b v="1"/>
    <s v="Completed"/>
    <n v="221.18"/>
    <x v="0"/>
    <s v="REP007"/>
    <x v="1"/>
    <s v="Fuel Card"/>
    <s v="Mid-Market"/>
  </r>
  <r>
    <s v="TXN0001171"/>
    <s v="CUST00151"/>
    <b v="1"/>
    <d v="2025-10-28T00:00:00"/>
    <x v="2"/>
    <s v="Fuel"/>
    <n v="5837.81"/>
    <n v="127.61"/>
    <b v="1"/>
    <s v="Completed"/>
    <n v="127.61"/>
    <x v="0"/>
    <s v="REP007"/>
    <x v="1"/>
    <s v="Fuel Card"/>
    <s v="Mid-Market"/>
  </r>
  <r>
    <s v="TXN0001172"/>
    <s v="CUST00151"/>
    <b v="1"/>
    <d v="2025-11-30T00:00:00"/>
    <x v="3"/>
    <s v="Fuel"/>
    <n v="12687.76"/>
    <n v="354.17"/>
    <b v="1"/>
    <s v="Completed"/>
    <n v="354.17"/>
    <x v="0"/>
    <s v="REP007"/>
    <x v="1"/>
    <s v="Fuel Card"/>
    <s v="Mid-Market"/>
  </r>
  <r>
    <s v="TXN0001173"/>
    <s v="CUST00151"/>
    <b v="1"/>
    <d v="2025-11-12T00:00:00"/>
    <x v="3"/>
    <s v="Fuel"/>
    <n v="16721.349999999999"/>
    <n v="465.49"/>
    <b v="1"/>
    <s v="Completed"/>
    <n v="465.49"/>
    <x v="0"/>
    <s v="REP007"/>
    <x v="1"/>
    <s v="Fuel Card"/>
    <s v="Mid-Market"/>
  </r>
  <r>
    <s v="TXN0001174"/>
    <s v="CUST00151"/>
    <b v="1"/>
    <d v="2025-11-14T00:00:00"/>
    <x v="3"/>
    <s v="Fuel"/>
    <n v="16018.15"/>
    <n v="361.99"/>
    <b v="1"/>
    <s v="Completed"/>
    <n v="361.99"/>
    <x v="0"/>
    <s v="REP007"/>
    <x v="1"/>
    <s v="Fuel Card"/>
    <s v="Mid-Market"/>
  </r>
  <r>
    <s v="TXN0001175"/>
    <s v="CUST00151"/>
    <b v="1"/>
    <d v="2025-12-15T00:00:00"/>
    <x v="4"/>
    <s v="Fuel"/>
    <n v="5534.58"/>
    <n v="0"/>
    <b v="1"/>
    <s v="Cancelled"/>
    <n v="0"/>
    <x v="0"/>
    <s v="REP007"/>
    <x v="1"/>
    <s v="Fuel Card"/>
    <s v="Mid-Market"/>
  </r>
  <r>
    <s v="TXN0001176"/>
    <s v="CUST00151"/>
    <b v="1"/>
    <d v="2025-12-07T00:00:00"/>
    <x v="4"/>
    <s v="Fuel"/>
    <n v="7939.26"/>
    <n v="192.71"/>
    <b v="1"/>
    <s v="Completed"/>
    <n v="192.71"/>
    <x v="0"/>
    <s v="REP007"/>
    <x v="1"/>
    <s v="Fuel Card"/>
    <s v="Mid-Market"/>
  </r>
  <r>
    <s v="TXN0001177"/>
    <s v="CUST00152"/>
    <b v="1"/>
    <d v="2025-10-28T00:00:00"/>
    <x v="2"/>
    <s v="Fuel"/>
    <n v="2213.77"/>
    <n v="50.32"/>
    <b v="1"/>
    <s v="Completed"/>
    <n v="50.32"/>
    <x v="1"/>
    <s v="REP015"/>
    <x v="2"/>
    <s v="Fuel Card"/>
    <s v="SME"/>
  </r>
  <r>
    <s v="TXN0001178"/>
    <s v="CUST00152"/>
    <b v="1"/>
    <d v="2025-11-25T00:00:00"/>
    <x v="3"/>
    <s v="Fuel"/>
    <n v="1400.1"/>
    <n v="31.26"/>
    <b v="1"/>
    <s v="Completed"/>
    <n v="31.26"/>
    <x v="1"/>
    <s v="REP015"/>
    <x v="2"/>
    <s v="Fuel Card"/>
    <s v="SME"/>
  </r>
  <r>
    <s v="TXN0001179"/>
    <s v="CUST00152"/>
    <b v="1"/>
    <d v="2025-12-18T00:00:00"/>
    <x v="4"/>
    <s v="Fuel"/>
    <n v="2715.35"/>
    <n v="72.290000000000006"/>
    <b v="1"/>
    <s v="Completed"/>
    <n v="72.290000000000006"/>
    <x v="1"/>
    <s v="REP015"/>
    <x v="2"/>
    <s v="Fuel Card"/>
    <s v="SME"/>
  </r>
  <r>
    <s v="TXN0001180"/>
    <s v="CUST00152"/>
    <b v="1"/>
    <d v="2025-12-09T00:00:00"/>
    <x v="4"/>
    <s v="Fuel"/>
    <n v="3173.78"/>
    <n v="70.38"/>
    <b v="1"/>
    <s v="Completed"/>
    <n v="70.38"/>
    <x v="1"/>
    <s v="REP015"/>
    <x v="2"/>
    <s v="Fuel Card"/>
    <s v="SME"/>
  </r>
  <r>
    <s v="TXN0001181"/>
    <s v="CUST00154"/>
    <b v="1"/>
    <d v="2025-06-26T00:00:00"/>
    <x v="7"/>
    <s v="Parking"/>
    <n v="2481.5500000000002"/>
    <n v="58.9"/>
    <b v="1"/>
    <s v="Completed"/>
    <n v="58.9"/>
    <x v="0"/>
    <s v="REP008"/>
    <x v="1"/>
    <s v="Fleet Expense Card"/>
    <s v="SME"/>
  </r>
  <r>
    <s v="TXN0001182"/>
    <s v="CUST00154"/>
    <b v="1"/>
    <d v="2025-06-13T00:00:00"/>
    <x v="7"/>
    <s v="Parking"/>
    <n v="3296.68"/>
    <n v="101.81"/>
    <b v="1"/>
    <s v="Completed"/>
    <n v="101.81"/>
    <x v="0"/>
    <s v="REP008"/>
    <x v="1"/>
    <s v="Fleet Expense Card"/>
    <s v="SME"/>
  </r>
  <r>
    <s v="TXN0001183"/>
    <s v="CUST00154"/>
    <b v="1"/>
    <d v="2025-06-29T00:00:00"/>
    <x v="7"/>
    <s v="Fuel"/>
    <n v="1236.97"/>
    <n v="30"/>
    <b v="1"/>
    <s v="Completed"/>
    <n v="30"/>
    <x v="0"/>
    <s v="REP008"/>
    <x v="1"/>
    <s v="Fleet Expense Card"/>
    <s v="SME"/>
  </r>
  <r>
    <s v="TXN0001184"/>
    <s v="CUST00154"/>
    <b v="1"/>
    <d v="2025-07-14T00:00:00"/>
    <x v="8"/>
    <s v="Lodging"/>
    <n v="1750.25"/>
    <n v="51.46"/>
    <b v="1"/>
    <s v="Completed"/>
    <n v="51.46"/>
    <x v="0"/>
    <s v="REP008"/>
    <x v="1"/>
    <s v="Fleet Expense Card"/>
    <s v="SME"/>
  </r>
  <r>
    <s v="TXN0001185"/>
    <s v="CUST00154"/>
    <b v="1"/>
    <d v="2025-07-15T00:00:00"/>
    <x v="8"/>
    <s v="Parking"/>
    <n v="2958.43"/>
    <n v="69.13"/>
    <b v="1"/>
    <s v="Completed"/>
    <n v="69.13"/>
    <x v="0"/>
    <s v="REP008"/>
    <x v="1"/>
    <s v="Fleet Expense Card"/>
    <s v="SME"/>
  </r>
  <r>
    <s v="TXN0001186"/>
    <s v="CUST00154"/>
    <b v="1"/>
    <d v="2025-08-19T00:00:00"/>
    <x v="0"/>
    <s v="Parking"/>
    <n v="2406.98"/>
    <n v="60.97"/>
    <b v="1"/>
    <s v="Completed"/>
    <n v="60.97"/>
    <x v="0"/>
    <s v="REP008"/>
    <x v="1"/>
    <s v="Fleet Expense Card"/>
    <s v="SME"/>
  </r>
  <r>
    <s v="TXN0001187"/>
    <s v="CUST00155"/>
    <b v="1"/>
    <d v="2025-12-31T00:00:00"/>
    <x v="4"/>
    <s v="Fuel"/>
    <n v="2198.7600000000002"/>
    <n v="49.75"/>
    <b v="1"/>
    <s v="Completed"/>
    <n v="49.75"/>
    <x v="3"/>
    <s v="REP003"/>
    <x v="2"/>
    <s v="Fuel Card"/>
    <s v="SME"/>
  </r>
  <r>
    <s v="TXN0001188"/>
    <s v="CUST00157"/>
    <b v="1"/>
    <d v="2025-10-24T00:00:00"/>
    <x v="2"/>
    <s v="EV Charging"/>
    <n v="25169.31"/>
    <n v="669.11"/>
    <b v="1"/>
    <s v="Completed"/>
    <n v="669.11"/>
    <x v="4"/>
    <s v="REP010"/>
    <x v="1"/>
    <s v="EV Charge Card"/>
    <s v="Enterprise"/>
  </r>
  <r>
    <s v="TXN0001189"/>
    <s v="CUST00157"/>
    <b v="1"/>
    <d v="2025-11-04T00:00:00"/>
    <x v="3"/>
    <s v="EV Charging"/>
    <n v="36005.25"/>
    <n v="1108.8"/>
    <b v="1"/>
    <s v="Completed"/>
    <n v="1108.8"/>
    <x v="4"/>
    <s v="REP010"/>
    <x v="1"/>
    <s v="EV Charge Card"/>
    <s v="Enterprise"/>
  </r>
  <r>
    <s v="TXN0001190"/>
    <s v="CUST00157"/>
    <b v="1"/>
    <d v="2025-12-10T00:00:00"/>
    <x v="4"/>
    <s v="EV Charging"/>
    <n v="19231.990000000002"/>
    <n v="550.75"/>
    <b v="1"/>
    <s v="Completed"/>
    <n v="550.75"/>
    <x v="4"/>
    <s v="REP010"/>
    <x v="1"/>
    <s v="EV Charge Card"/>
    <s v="Enterprise"/>
  </r>
  <r>
    <s v="TXN0001191"/>
    <s v="CUST00161"/>
    <b v="1"/>
    <d v="2025-04-24T00:00:00"/>
    <x v="5"/>
    <s v="Toll"/>
    <n v="8047.27"/>
    <n v="162.93"/>
    <b v="1"/>
    <s v="Completed"/>
    <n v="162.93"/>
    <x v="2"/>
    <s v="REP004"/>
    <x v="2"/>
    <s v="Toll Solution"/>
    <s v="Mid-Market"/>
  </r>
  <r>
    <s v="TXN0001192"/>
    <s v="CUST00161"/>
    <b v="1"/>
    <d v="2025-04-28T00:00:00"/>
    <x v="5"/>
    <s v="Toll"/>
    <n v="10945.56"/>
    <n v="215.94"/>
    <b v="1"/>
    <s v="Completed"/>
    <n v="215.94"/>
    <x v="2"/>
    <s v="REP004"/>
    <x v="2"/>
    <s v="Toll Solution"/>
    <s v="Mid-Market"/>
  </r>
  <r>
    <s v="TXN0001193"/>
    <s v="CUST00161"/>
    <b v="1"/>
    <d v="2025-04-27T00:00:00"/>
    <x v="5"/>
    <s v="Toll"/>
    <n v="13989.84"/>
    <n v="267.73"/>
    <b v="1"/>
    <s v="Completed"/>
    <n v="267.73"/>
    <x v="2"/>
    <s v="REP004"/>
    <x v="2"/>
    <s v="Toll Solution"/>
    <s v="Mid-Market"/>
  </r>
  <r>
    <s v="TXN0001194"/>
    <s v="CUST00161"/>
    <b v="1"/>
    <d v="2025-05-22T00:00:00"/>
    <x v="6"/>
    <s v="Toll"/>
    <n v="5526.93"/>
    <n v="87.1"/>
    <b v="1"/>
    <s v="Completed"/>
    <n v="87.1"/>
    <x v="2"/>
    <s v="REP004"/>
    <x v="2"/>
    <s v="Toll Solution"/>
    <s v="Mid-Market"/>
  </r>
  <r>
    <s v="TXN0001195"/>
    <s v="CUST00161"/>
    <b v="1"/>
    <d v="2025-05-10T00:00:00"/>
    <x v="6"/>
    <s v="Toll"/>
    <n v="5400.01"/>
    <n v="103.66"/>
    <b v="1"/>
    <s v="Completed"/>
    <n v="103.66"/>
    <x v="2"/>
    <s v="REP004"/>
    <x v="2"/>
    <s v="Toll Solution"/>
    <s v="Mid-Market"/>
  </r>
  <r>
    <s v="TXN0001196"/>
    <s v="CUST00161"/>
    <b v="1"/>
    <d v="2025-05-24T00:00:00"/>
    <x v="6"/>
    <s v="Toll"/>
    <n v="17808.54"/>
    <n v="321.86"/>
    <b v="1"/>
    <s v="Completed"/>
    <n v="321.86"/>
    <x v="2"/>
    <s v="REP004"/>
    <x v="2"/>
    <s v="Toll Solution"/>
    <s v="Mid-Market"/>
  </r>
  <r>
    <s v="TXN0001197"/>
    <s v="CUST00161"/>
    <b v="1"/>
    <d v="2025-06-12T00:00:00"/>
    <x v="7"/>
    <s v="Toll"/>
    <n v="13604.36"/>
    <n v="0"/>
    <b v="1"/>
    <s v="Cancelled"/>
    <n v="0"/>
    <x v="2"/>
    <s v="REP004"/>
    <x v="2"/>
    <s v="Toll Solution"/>
    <s v="Mid-Market"/>
  </r>
  <r>
    <s v="TXN0001198"/>
    <s v="CUST00161"/>
    <b v="1"/>
    <d v="2025-06-01T00:00:00"/>
    <x v="7"/>
    <s v="Toll"/>
    <n v="12996.7"/>
    <n v="255.11"/>
    <b v="1"/>
    <s v="Completed"/>
    <n v="255.11"/>
    <x v="2"/>
    <s v="REP004"/>
    <x v="2"/>
    <s v="Toll Solution"/>
    <s v="Mid-Market"/>
  </r>
  <r>
    <s v="TXN0001199"/>
    <s v="CUST00161"/>
    <b v="1"/>
    <d v="2025-06-14T00:00:00"/>
    <x v="7"/>
    <s v="Toll"/>
    <n v="11287.17"/>
    <n v="179.8"/>
    <b v="1"/>
    <s v="Completed"/>
    <n v="179.8"/>
    <x v="2"/>
    <s v="REP004"/>
    <x v="2"/>
    <s v="Toll Solution"/>
    <s v="Mid-Market"/>
  </r>
  <r>
    <s v="TXN0001200"/>
    <s v="CUST00161"/>
    <b v="1"/>
    <d v="2025-07-30T00:00:00"/>
    <x v="8"/>
    <s v="Toll"/>
    <n v="9796.08"/>
    <n v="199.11"/>
    <b v="1"/>
    <s v="Completed"/>
    <n v="199.11"/>
    <x v="2"/>
    <s v="REP004"/>
    <x v="2"/>
    <s v="Toll Solution"/>
    <s v="Mid-Market"/>
  </r>
  <r>
    <s v="TXN0001201"/>
    <s v="CUST00161"/>
    <b v="1"/>
    <d v="2025-07-23T00:00:00"/>
    <x v="8"/>
    <s v="Toll"/>
    <n v="5495.21"/>
    <n v="99.38"/>
    <b v="1"/>
    <s v="Completed"/>
    <n v="99.38"/>
    <x v="2"/>
    <s v="REP004"/>
    <x v="2"/>
    <s v="Toll Solution"/>
    <s v="Mid-Market"/>
  </r>
  <r>
    <s v="TXN0001202"/>
    <s v="CUST00161"/>
    <b v="1"/>
    <d v="2025-07-30T00:00:00"/>
    <x v="8"/>
    <s v="Toll"/>
    <n v="12224.49"/>
    <n v="239.05"/>
    <b v="1"/>
    <s v="Completed"/>
    <n v="239.05"/>
    <x v="2"/>
    <s v="REP004"/>
    <x v="2"/>
    <s v="Toll Solution"/>
    <s v="Mid-Market"/>
  </r>
  <r>
    <s v="TXN0001203"/>
    <s v="CUST00161"/>
    <b v="1"/>
    <d v="2025-08-08T00:00:00"/>
    <x v="0"/>
    <s v="Toll"/>
    <n v="15702.78"/>
    <n v="313.42"/>
    <b v="1"/>
    <s v="Completed"/>
    <n v="313.42"/>
    <x v="2"/>
    <s v="REP004"/>
    <x v="2"/>
    <s v="Toll Solution"/>
    <s v="Mid-Market"/>
  </r>
  <r>
    <s v="TXN0001204"/>
    <s v="CUST00161"/>
    <b v="1"/>
    <d v="2025-09-19T00:00:00"/>
    <x v="1"/>
    <s v="Toll"/>
    <n v="11887.59"/>
    <n v="227.63"/>
    <b v="1"/>
    <s v="Completed"/>
    <n v="227.63"/>
    <x v="2"/>
    <s v="REP004"/>
    <x v="2"/>
    <s v="Toll Solution"/>
    <s v="Mid-Market"/>
  </r>
  <r>
    <s v="TXN0001205"/>
    <s v="CUST00161"/>
    <b v="1"/>
    <d v="2025-09-27T00:00:00"/>
    <x v="1"/>
    <s v="Toll"/>
    <n v="17553.75"/>
    <n v="286.64999999999998"/>
    <b v="1"/>
    <s v="Completed"/>
    <n v="286.64999999999998"/>
    <x v="2"/>
    <s v="REP004"/>
    <x v="2"/>
    <s v="Toll Solution"/>
    <s v="Mid-Market"/>
  </r>
  <r>
    <s v="TXN0001206"/>
    <s v="CUST00161"/>
    <b v="1"/>
    <d v="2025-09-15T00:00:00"/>
    <x v="1"/>
    <s v="Toll"/>
    <n v="12375.29"/>
    <n v="245.94"/>
    <b v="1"/>
    <s v="Completed"/>
    <n v="245.94"/>
    <x v="2"/>
    <s v="REP004"/>
    <x v="2"/>
    <s v="Toll Solution"/>
    <s v="Mid-Market"/>
  </r>
  <r>
    <s v="TXN0001207"/>
    <s v="CUST00161"/>
    <b v="1"/>
    <d v="2025-10-20T00:00:00"/>
    <x v="2"/>
    <s v="Toll"/>
    <n v="8166.39"/>
    <n v="147.85"/>
    <b v="1"/>
    <s v="Completed"/>
    <n v="147.85"/>
    <x v="2"/>
    <s v="REP004"/>
    <x v="2"/>
    <s v="Toll Solution"/>
    <s v="Mid-Market"/>
  </r>
  <r>
    <s v="TXN0001208"/>
    <s v="CUST00161"/>
    <b v="1"/>
    <d v="2025-10-25T00:00:00"/>
    <x v="2"/>
    <s v="Toll"/>
    <n v="8698.52"/>
    <n v="161.99"/>
    <b v="1"/>
    <s v="Completed"/>
    <n v="161.99"/>
    <x v="2"/>
    <s v="REP004"/>
    <x v="2"/>
    <s v="Toll Solution"/>
    <s v="Mid-Market"/>
  </r>
  <r>
    <s v="TXN0001209"/>
    <s v="CUST00161"/>
    <b v="1"/>
    <d v="2025-10-31T00:00:00"/>
    <x v="2"/>
    <s v="Toll"/>
    <n v="13364.16"/>
    <n v="218.8"/>
    <b v="1"/>
    <s v="Completed"/>
    <n v="218.8"/>
    <x v="2"/>
    <s v="REP004"/>
    <x v="2"/>
    <s v="Toll Solution"/>
    <s v="Mid-Market"/>
  </r>
  <r>
    <s v="TXN0001210"/>
    <s v="CUST00161"/>
    <b v="1"/>
    <d v="2025-11-16T00:00:00"/>
    <x v="3"/>
    <s v="Toll"/>
    <n v="8071.44"/>
    <n v="155.99"/>
    <b v="1"/>
    <s v="Completed"/>
    <n v="155.99"/>
    <x v="2"/>
    <s v="REP004"/>
    <x v="2"/>
    <s v="Toll Solution"/>
    <s v="Mid-Market"/>
  </r>
  <r>
    <s v="TXN0001211"/>
    <s v="CUST00161"/>
    <b v="1"/>
    <d v="2025-11-14T00:00:00"/>
    <x v="3"/>
    <s v="Toll"/>
    <n v="12929.27"/>
    <n v="257.33"/>
    <b v="1"/>
    <s v="Completed"/>
    <n v="257.33"/>
    <x v="2"/>
    <s v="REP004"/>
    <x v="2"/>
    <s v="Toll Solution"/>
    <s v="Mid-Market"/>
  </r>
  <r>
    <s v="TXN0001212"/>
    <s v="CUST00161"/>
    <b v="1"/>
    <d v="2025-12-11T00:00:00"/>
    <x v="4"/>
    <s v="Toll"/>
    <n v="10179.74"/>
    <n v="163.18"/>
    <b v="1"/>
    <s v="Completed"/>
    <n v="163.18"/>
    <x v="2"/>
    <s v="REP004"/>
    <x v="2"/>
    <s v="Toll Solution"/>
    <s v="Mid-Market"/>
  </r>
  <r>
    <s v="TXN0001213"/>
    <s v="CUST00162"/>
    <b v="1"/>
    <d v="2025-02-23T00:00:00"/>
    <x v="9"/>
    <s v="EV Charging"/>
    <n v="53136.55"/>
    <n v="1574.58"/>
    <b v="1"/>
    <s v="Completed"/>
    <n v="1574.58"/>
    <x v="1"/>
    <s v="REP014"/>
    <x v="2"/>
    <s v="EV Charge Card"/>
    <s v="Enterprise"/>
  </r>
  <r>
    <s v="TXN0001214"/>
    <s v="CUST00162"/>
    <b v="1"/>
    <d v="2025-02-28T00:00:00"/>
    <x v="9"/>
    <s v="EV Charging"/>
    <n v="48205.77"/>
    <n v="1463.05"/>
    <b v="1"/>
    <s v="Completed"/>
    <n v="1463.05"/>
    <x v="1"/>
    <s v="REP014"/>
    <x v="2"/>
    <s v="EV Charge Card"/>
    <s v="Enterprise"/>
  </r>
  <r>
    <s v="TXN0001215"/>
    <s v="CUST00162"/>
    <b v="1"/>
    <d v="2025-02-22T00:00:00"/>
    <x v="9"/>
    <s v="EV Charging"/>
    <n v="30768.14"/>
    <n v="829.23"/>
    <b v="1"/>
    <s v="Completed"/>
    <n v="829.23"/>
    <x v="1"/>
    <s v="REP014"/>
    <x v="2"/>
    <s v="EV Charge Card"/>
    <s v="Enterprise"/>
  </r>
  <r>
    <s v="TXN0001216"/>
    <s v="CUST00162"/>
    <b v="1"/>
    <d v="2025-03-18T00:00:00"/>
    <x v="10"/>
    <s v="EV Charging"/>
    <n v="20983.4"/>
    <n v="643.51"/>
    <b v="1"/>
    <s v="Completed"/>
    <n v="643.51"/>
    <x v="1"/>
    <s v="REP014"/>
    <x v="2"/>
    <s v="EV Charge Card"/>
    <s v="Enterprise"/>
  </r>
  <r>
    <s v="TXN0001217"/>
    <s v="CUST00162"/>
    <b v="1"/>
    <d v="2025-04-06T00:00:00"/>
    <x v="5"/>
    <s v="EV Charging"/>
    <n v="41281.99"/>
    <n v="1317.48"/>
    <b v="1"/>
    <s v="Completed"/>
    <n v="1317.48"/>
    <x v="1"/>
    <s v="REP014"/>
    <x v="2"/>
    <s v="EV Charge Card"/>
    <s v="Enterprise"/>
  </r>
  <r>
    <s v="TXN0001218"/>
    <s v="CUST00162"/>
    <b v="1"/>
    <d v="2025-04-08T00:00:00"/>
    <x v="5"/>
    <s v="EV Charging"/>
    <n v="48972.39"/>
    <n v="1564.95"/>
    <b v="1"/>
    <s v="Completed"/>
    <n v="1564.95"/>
    <x v="1"/>
    <s v="REP014"/>
    <x v="2"/>
    <s v="EV Charge Card"/>
    <s v="Enterprise"/>
  </r>
  <r>
    <s v="TXN0001219"/>
    <s v="CUST00162"/>
    <b v="1"/>
    <d v="2025-05-02T00:00:00"/>
    <x v="6"/>
    <s v="EV Charging"/>
    <n v="15787.48"/>
    <n v="423.04"/>
    <b v="1"/>
    <s v="Completed"/>
    <n v="423.04"/>
    <x v="1"/>
    <s v="REP014"/>
    <x v="2"/>
    <s v="EV Charge Card"/>
    <s v="Enterprise"/>
  </r>
  <r>
    <s v="TXN0001220"/>
    <s v="CUST00162"/>
    <b v="1"/>
    <d v="2025-05-04T00:00:00"/>
    <x v="6"/>
    <s v="EV Charging"/>
    <n v="24261.88"/>
    <n v="785.1"/>
    <b v="1"/>
    <s v="Completed"/>
    <n v="785.1"/>
    <x v="1"/>
    <s v="REP014"/>
    <x v="2"/>
    <s v="EV Charge Card"/>
    <s v="Enterprise"/>
  </r>
  <r>
    <s v="TXN0001221"/>
    <s v="CUST00162"/>
    <b v="1"/>
    <d v="2025-06-24T00:00:00"/>
    <x v="7"/>
    <s v="EV Charging"/>
    <n v="43663.43"/>
    <n v="0"/>
    <b v="1"/>
    <s v="Cancelled"/>
    <n v="0"/>
    <x v="1"/>
    <s v="REP014"/>
    <x v="2"/>
    <s v="EV Charge Card"/>
    <s v="Enterprise"/>
  </r>
  <r>
    <s v="TXN0001222"/>
    <s v="CUST00162"/>
    <b v="1"/>
    <d v="2025-06-24T00:00:00"/>
    <x v="7"/>
    <s v="EV Charging"/>
    <n v="61083.27"/>
    <n v="1636.5"/>
    <b v="1"/>
    <s v="Completed"/>
    <n v="1636.5"/>
    <x v="1"/>
    <s v="REP014"/>
    <x v="2"/>
    <s v="EV Charge Card"/>
    <s v="Enterprise"/>
  </r>
  <r>
    <s v="TXN0001223"/>
    <s v="CUST00162"/>
    <b v="1"/>
    <d v="2025-06-02T00:00:00"/>
    <x v="7"/>
    <s v="EV Charging"/>
    <n v="48222.41"/>
    <n v="1501.55"/>
    <b v="1"/>
    <s v="Completed"/>
    <n v="1501.55"/>
    <x v="1"/>
    <s v="REP014"/>
    <x v="2"/>
    <s v="EV Charge Card"/>
    <s v="Enterprise"/>
  </r>
  <r>
    <s v="TXN0001224"/>
    <s v="CUST00162"/>
    <b v="1"/>
    <d v="2025-07-03T00:00:00"/>
    <x v="8"/>
    <s v="EV Charging"/>
    <n v="31194.26"/>
    <n v="940.74"/>
    <b v="1"/>
    <s v="Completed"/>
    <n v="940.74"/>
    <x v="1"/>
    <s v="REP014"/>
    <x v="2"/>
    <s v="EV Charge Card"/>
    <s v="Enterprise"/>
  </r>
  <r>
    <s v="TXN0001225"/>
    <s v="CUST00162"/>
    <b v="1"/>
    <d v="2025-08-07T00:00:00"/>
    <x v="0"/>
    <s v="EV Charging"/>
    <n v="28137.48"/>
    <n v="925.89"/>
    <b v="1"/>
    <s v="Completed"/>
    <n v="925.89"/>
    <x v="1"/>
    <s v="REP014"/>
    <x v="2"/>
    <s v="EV Charge Card"/>
    <s v="Enterprise"/>
  </r>
  <r>
    <s v="TXN0001226"/>
    <s v="CUST00162"/>
    <b v="1"/>
    <d v="2025-08-16T00:00:00"/>
    <x v="0"/>
    <s v="EV Charging"/>
    <n v="19415.73"/>
    <n v="564.41999999999996"/>
    <b v="1"/>
    <s v="Completed"/>
    <n v="564.41999999999996"/>
    <x v="1"/>
    <s v="REP014"/>
    <x v="2"/>
    <s v="EV Charge Card"/>
    <s v="Enterprise"/>
  </r>
  <r>
    <s v="TXN0001227"/>
    <s v="CUST00162"/>
    <b v="1"/>
    <d v="2025-09-02T00:00:00"/>
    <x v="1"/>
    <s v="EV Charging"/>
    <n v="38230.550000000003"/>
    <n v="1030.67"/>
    <b v="1"/>
    <s v="Completed"/>
    <n v="1030.67"/>
    <x v="1"/>
    <s v="REP014"/>
    <x v="2"/>
    <s v="EV Charge Card"/>
    <s v="Enterprise"/>
  </r>
  <r>
    <s v="TXN0001228"/>
    <s v="CUST00162"/>
    <b v="1"/>
    <d v="2025-09-24T00:00:00"/>
    <x v="1"/>
    <s v="EV Charging"/>
    <n v="25791.16"/>
    <n v="770.26"/>
    <b v="1"/>
    <s v="Completed"/>
    <n v="770.26"/>
    <x v="1"/>
    <s v="REP014"/>
    <x v="2"/>
    <s v="EV Charge Card"/>
    <s v="Enterprise"/>
  </r>
  <r>
    <s v="TXN0001229"/>
    <s v="CUST00162"/>
    <b v="1"/>
    <d v="2025-09-17T00:00:00"/>
    <x v="1"/>
    <s v="EV Charging"/>
    <n v="57014.38"/>
    <n v="1601.28"/>
    <b v="1"/>
    <s v="Completed"/>
    <n v="1601.28"/>
    <x v="1"/>
    <s v="REP014"/>
    <x v="2"/>
    <s v="EV Charge Card"/>
    <s v="Enterprise"/>
  </r>
  <r>
    <s v="TXN0001230"/>
    <s v="CUST00162"/>
    <b v="1"/>
    <d v="2025-10-24T00:00:00"/>
    <x v="2"/>
    <s v="EV Charging"/>
    <n v="54293.03"/>
    <n v="1768.41"/>
    <b v="1"/>
    <s v="Completed"/>
    <n v="1768.41"/>
    <x v="1"/>
    <s v="REP014"/>
    <x v="2"/>
    <s v="EV Charge Card"/>
    <s v="Enterprise"/>
  </r>
  <r>
    <s v="TXN0001231"/>
    <s v="CUST00162"/>
    <b v="1"/>
    <d v="2025-11-02T00:00:00"/>
    <x v="3"/>
    <s v="EV Charging"/>
    <n v="26705.040000000001"/>
    <n v="872.25"/>
    <b v="1"/>
    <s v="Completed"/>
    <n v="872.25"/>
    <x v="1"/>
    <s v="REP014"/>
    <x v="2"/>
    <s v="EV Charge Card"/>
    <s v="Enterprise"/>
  </r>
  <r>
    <s v="TXN0001232"/>
    <s v="CUST00162"/>
    <b v="1"/>
    <d v="2025-12-16T00:00:00"/>
    <x v="4"/>
    <s v="EV Charging"/>
    <n v="31657.87"/>
    <n v="896.82"/>
    <b v="1"/>
    <s v="Completed"/>
    <n v="896.82"/>
    <x v="1"/>
    <s v="REP014"/>
    <x v="2"/>
    <s v="EV Charge Card"/>
    <s v="Enterprise"/>
  </r>
  <r>
    <s v="TXN0001233"/>
    <s v="CUST00163"/>
    <b v="1"/>
    <d v="2025-07-18T00:00:00"/>
    <x v="8"/>
    <s v="Fuel"/>
    <n v="3972.73"/>
    <n v="113.27"/>
    <b v="1"/>
    <s v="Completed"/>
    <n v="113.27"/>
    <x v="2"/>
    <s v="REP004"/>
    <x v="2"/>
    <s v="Fuel Card"/>
    <s v="SME"/>
  </r>
  <r>
    <s v="TXN0001234"/>
    <s v="CUST00163"/>
    <b v="1"/>
    <d v="2025-08-22T00:00:00"/>
    <x v="0"/>
    <s v="Fuel"/>
    <n v="3341.59"/>
    <n v="95.3"/>
    <b v="1"/>
    <s v="Completed"/>
    <n v="95.3"/>
    <x v="2"/>
    <s v="REP004"/>
    <x v="2"/>
    <s v="Fuel Card"/>
    <s v="SME"/>
  </r>
  <r>
    <s v="TXN0001235"/>
    <s v="CUST00163"/>
    <b v="1"/>
    <d v="2025-08-29T00:00:00"/>
    <x v="0"/>
    <s v="Fuel"/>
    <n v="2346.92"/>
    <n v="60.54"/>
    <b v="1"/>
    <s v="Completed"/>
    <n v="60.54"/>
    <x v="2"/>
    <s v="REP004"/>
    <x v="2"/>
    <s v="Fuel Card"/>
    <s v="SME"/>
  </r>
  <r>
    <s v="TXN0001236"/>
    <s v="CUST00163"/>
    <b v="1"/>
    <d v="2025-08-25T00:00:00"/>
    <x v="0"/>
    <s v="Fuel"/>
    <n v="4308.8100000000004"/>
    <n v="100.35"/>
    <b v="1"/>
    <s v="Completed"/>
    <n v="100.35"/>
    <x v="2"/>
    <s v="REP004"/>
    <x v="2"/>
    <s v="Fuel Card"/>
    <s v="SME"/>
  </r>
  <r>
    <s v="TXN0001237"/>
    <s v="CUST00163"/>
    <b v="1"/>
    <d v="2025-09-15T00:00:00"/>
    <x v="1"/>
    <s v="Fuel"/>
    <n v="3093.04"/>
    <n v="67.37"/>
    <b v="1"/>
    <s v="Completed"/>
    <n v="67.37"/>
    <x v="2"/>
    <s v="REP004"/>
    <x v="2"/>
    <s v="Fuel Card"/>
    <s v="SME"/>
  </r>
  <r>
    <s v="TXN0001238"/>
    <s v="CUST00163"/>
    <b v="1"/>
    <d v="2025-09-21T00:00:00"/>
    <x v="1"/>
    <s v="Fuel"/>
    <n v="1877.61"/>
    <n v="50.51"/>
    <b v="1"/>
    <s v="Completed"/>
    <n v="50.51"/>
    <x v="2"/>
    <s v="REP004"/>
    <x v="2"/>
    <s v="Fuel Card"/>
    <s v="SME"/>
  </r>
  <r>
    <s v="TXN0001239"/>
    <s v="CUST00163"/>
    <b v="1"/>
    <d v="2025-09-14T00:00:00"/>
    <x v="1"/>
    <s v="Fuel"/>
    <n v="2224.1799999999998"/>
    <n v="0"/>
    <b v="1"/>
    <s v="Cancelled"/>
    <n v="0"/>
    <x v="2"/>
    <s v="REP004"/>
    <x v="2"/>
    <s v="Fuel Card"/>
    <s v="SME"/>
  </r>
  <r>
    <s v="TXN0001240"/>
    <s v="CUST00163"/>
    <b v="1"/>
    <d v="2025-10-18T00:00:00"/>
    <x v="2"/>
    <s v="Fuel"/>
    <n v="2176.84"/>
    <n v="52.74"/>
    <b v="1"/>
    <s v="Completed"/>
    <n v="52.74"/>
    <x v="2"/>
    <s v="REP004"/>
    <x v="2"/>
    <s v="Fuel Card"/>
    <s v="SME"/>
  </r>
  <r>
    <s v="TXN0001241"/>
    <s v="CUST00163"/>
    <b v="1"/>
    <d v="2025-10-16T00:00:00"/>
    <x v="2"/>
    <s v="Fuel"/>
    <n v="5000.9799999999996"/>
    <n v="115.4"/>
    <b v="1"/>
    <s v="Completed"/>
    <n v="115.4"/>
    <x v="2"/>
    <s v="REP004"/>
    <x v="2"/>
    <s v="Fuel Card"/>
    <s v="SME"/>
  </r>
  <r>
    <s v="TXN0001242"/>
    <s v="CUST00163"/>
    <b v="1"/>
    <d v="2025-10-19T00:00:00"/>
    <x v="2"/>
    <s v="Fuel"/>
    <n v="5162.75"/>
    <n v="140.91"/>
    <b v="1"/>
    <s v="Completed"/>
    <n v="140.91"/>
    <x v="2"/>
    <s v="REP004"/>
    <x v="2"/>
    <s v="Fuel Card"/>
    <s v="SME"/>
  </r>
  <r>
    <s v="TXN0001243"/>
    <s v="CUST00163"/>
    <b v="1"/>
    <d v="2025-11-28T00:00:00"/>
    <x v="3"/>
    <s v="Fuel"/>
    <n v="3559.68"/>
    <n v="78.790000000000006"/>
    <b v="1"/>
    <s v="Completed"/>
    <n v="78.790000000000006"/>
    <x v="2"/>
    <s v="REP004"/>
    <x v="2"/>
    <s v="Fuel Card"/>
    <s v="SME"/>
  </r>
  <r>
    <s v="TXN0001244"/>
    <s v="CUST00163"/>
    <b v="1"/>
    <d v="2025-11-25T00:00:00"/>
    <x v="3"/>
    <s v="Fuel"/>
    <n v="3165.16"/>
    <n v="79.680000000000007"/>
    <b v="1"/>
    <s v="Completed"/>
    <n v="79.680000000000007"/>
    <x v="2"/>
    <s v="REP004"/>
    <x v="2"/>
    <s v="Fuel Card"/>
    <s v="SME"/>
  </r>
  <r>
    <s v="TXN0001245"/>
    <s v="CUST00163"/>
    <b v="1"/>
    <d v="2025-12-30T00:00:00"/>
    <x v="4"/>
    <s v="Fuel"/>
    <n v="4233.03"/>
    <n v="99.9"/>
    <b v="1"/>
    <s v="Completed"/>
    <n v="99.9"/>
    <x v="2"/>
    <s v="REP004"/>
    <x v="2"/>
    <s v="Fuel Card"/>
    <s v="SME"/>
  </r>
  <r>
    <s v="TXN0001246"/>
    <s v="CUST00163"/>
    <b v="1"/>
    <d v="2025-12-25T00:00:00"/>
    <x v="4"/>
    <s v="Fuel"/>
    <n v="5062.66"/>
    <n v="136.38999999999999"/>
    <b v="1"/>
    <s v="Completed"/>
    <n v="136.38999999999999"/>
    <x v="2"/>
    <s v="REP004"/>
    <x v="2"/>
    <s v="Fuel Card"/>
    <s v="SME"/>
  </r>
  <r>
    <s v="TXN0001247"/>
    <s v="CUST00166"/>
    <b v="1"/>
    <d v="2025-09-29T00:00:00"/>
    <x v="1"/>
    <s v="Toll"/>
    <n v="5237.13"/>
    <n v="81.19"/>
    <b v="1"/>
    <s v="Completed"/>
    <n v="81.19"/>
    <x v="1"/>
    <s v="REP013"/>
    <x v="2"/>
    <s v="Toll Solution"/>
    <s v="SME"/>
  </r>
  <r>
    <s v="TXN0001248"/>
    <s v="CUST00166"/>
    <b v="1"/>
    <d v="2025-09-29T00:00:00"/>
    <x v="1"/>
    <s v="Toll"/>
    <n v="4146.63"/>
    <n v="84.48"/>
    <b v="1"/>
    <s v="Completed"/>
    <n v="84.48"/>
    <x v="1"/>
    <s v="REP013"/>
    <x v="2"/>
    <s v="Toll Solution"/>
    <s v="SME"/>
  </r>
  <r>
    <s v="TXN0001249"/>
    <s v="CUST00166"/>
    <b v="1"/>
    <d v="2025-10-01T00:00:00"/>
    <x v="2"/>
    <s v="Toll"/>
    <n v="1408.75"/>
    <n v="25.51"/>
    <b v="1"/>
    <s v="Completed"/>
    <n v="25.51"/>
    <x v="1"/>
    <s v="REP013"/>
    <x v="2"/>
    <s v="Toll Solution"/>
    <s v="SME"/>
  </r>
  <r>
    <s v="TXN0001250"/>
    <s v="CUST00166"/>
    <b v="1"/>
    <d v="2025-11-13T00:00:00"/>
    <x v="3"/>
    <s v="Toll"/>
    <n v="4890.6899999999996"/>
    <n v="100.4"/>
    <b v="1"/>
    <s v="Completed"/>
    <n v="100.4"/>
    <x v="1"/>
    <s v="REP013"/>
    <x v="2"/>
    <s v="Toll Solution"/>
    <s v="SME"/>
  </r>
  <r>
    <s v="TXN0001251"/>
    <s v="CUST00166"/>
    <b v="1"/>
    <d v="2025-12-23T00:00:00"/>
    <x v="4"/>
    <s v="Toll"/>
    <n v="2179.34"/>
    <n v="34.9"/>
    <b v="1"/>
    <s v="Completed"/>
    <n v="34.9"/>
    <x v="1"/>
    <s v="REP013"/>
    <x v="2"/>
    <s v="Toll Solution"/>
    <s v="SME"/>
  </r>
  <r>
    <s v="TXN0001252"/>
    <s v="CUST00166"/>
    <b v="1"/>
    <d v="2025-12-26T00:00:00"/>
    <x v="4"/>
    <s v="Toll"/>
    <n v="4136.6400000000003"/>
    <n v="79.849999999999994"/>
    <b v="1"/>
    <s v="Completed"/>
    <n v="79.849999999999994"/>
    <x v="1"/>
    <s v="REP013"/>
    <x v="2"/>
    <s v="Toll Solution"/>
    <s v="SME"/>
  </r>
  <r>
    <s v="TXN0001253"/>
    <s v="CUST00166"/>
    <b v="1"/>
    <d v="2025-12-19T00:00:00"/>
    <x v="4"/>
    <s v="Toll"/>
    <n v="4309.07"/>
    <n v="76.78"/>
    <b v="1"/>
    <s v="Completed"/>
    <n v="76.78"/>
    <x v="1"/>
    <s v="REP013"/>
    <x v="2"/>
    <s v="Toll Solution"/>
    <s v="SME"/>
  </r>
  <r>
    <s v="TXN0001254"/>
    <s v="CUST00167"/>
    <b v="1"/>
    <d v="2025-09-24T00:00:00"/>
    <x v="1"/>
    <s v="EV Charging"/>
    <n v="5474.2"/>
    <n v="146.59"/>
    <b v="1"/>
    <s v="Completed"/>
    <n v="146.59"/>
    <x v="4"/>
    <s v="REP012"/>
    <x v="2"/>
    <s v="EV Charge Card"/>
    <s v="Mid-Market"/>
  </r>
  <r>
    <s v="TXN0001255"/>
    <s v="CUST00167"/>
    <b v="1"/>
    <d v="2025-09-28T00:00:00"/>
    <x v="1"/>
    <s v="EV Charging"/>
    <n v="6954.46"/>
    <n v="187.59"/>
    <b v="1"/>
    <s v="Completed"/>
    <n v="187.59"/>
    <x v="4"/>
    <s v="REP012"/>
    <x v="2"/>
    <s v="EV Charge Card"/>
    <s v="Mid-Market"/>
  </r>
  <r>
    <s v="TXN0001256"/>
    <s v="CUST00167"/>
    <b v="1"/>
    <d v="2025-10-31T00:00:00"/>
    <x v="2"/>
    <s v="EV Charging"/>
    <n v="13254.12"/>
    <n v="467.44"/>
    <b v="1"/>
    <s v="Completed"/>
    <n v="467.44"/>
    <x v="4"/>
    <s v="REP012"/>
    <x v="2"/>
    <s v="EV Charge Card"/>
    <s v="Mid-Market"/>
  </r>
  <r>
    <s v="TXN0001257"/>
    <s v="CUST00167"/>
    <b v="1"/>
    <d v="2025-10-09T00:00:00"/>
    <x v="2"/>
    <s v="EV Charging"/>
    <n v="11695.26"/>
    <n v="320.26"/>
    <b v="1"/>
    <s v="Completed"/>
    <n v="320.26"/>
    <x v="4"/>
    <s v="REP012"/>
    <x v="2"/>
    <s v="EV Charge Card"/>
    <s v="Mid-Market"/>
  </r>
  <r>
    <s v="TXN0001258"/>
    <s v="CUST00167"/>
    <b v="1"/>
    <d v="2025-10-19T00:00:00"/>
    <x v="2"/>
    <s v="EV Charging"/>
    <n v="14572.38"/>
    <n v="389.22"/>
    <b v="1"/>
    <s v="Completed"/>
    <n v="389.22"/>
    <x v="4"/>
    <s v="REP012"/>
    <x v="2"/>
    <s v="EV Charge Card"/>
    <s v="Mid-Market"/>
  </r>
  <r>
    <s v="TXN0001259"/>
    <s v="CUST00167"/>
    <b v="1"/>
    <d v="2025-11-17T00:00:00"/>
    <x v="3"/>
    <s v="EV Charging"/>
    <n v="8137.8"/>
    <n v="254.22"/>
    <b v="1"/>
    <s v="Completed"/>
    <n v="254.22"/>
    <x v="4"/>
    <s v="REP012"/>
    <x v="2"/>
    <s v="EV Charge Card"/>
    <s v="Mid-Market"/>
  </r>
  <r>
    <s v="TXN0001260"/>
    <s v="CUST00167"/>
    <b v="1"/>
    <d v="2025-11-12T00:00:00"/>
    <x v="3"/>
    <s v="EV Charging"/>
    <n v="5388.16"/>
    <n v="174.51"/>
    <b v="1"/>
    <s v="Completed"/>
    <n v="174.51"/>
    <x v="4"/>
    <s v="REP012"/>
    <x v="2"/>
    <s v="EV Charge Card"/>
    <s v="Mid-Market"/>
  </r>
  <r>
    <s v="TXN0001261"/>
    <s v="CUST00167"/>
    <b v="1"/>
    <d v="2025-12-30T00:00:00"/>
    <x v="4"/>
    <s v="EV Charging"/>
    <n v="15133"/>
    <n v="0"/>
    <b v="1"/>
    <s v="Cancelled"/>
    <n v="0"/>
    <x v="4"/>
    <s v="REP012"/>
    <x v="2"/>
    <s v="EV Charge Card"/>
    <s v="Mid-Market"/>
  </r>
  <r>
    <s v="TXN0001262"/>
    <s v="CUST00167"/>
    <b v="1"/>
    <d v="2025-12-07T00:00:00"/>
    <x v="4"/>
    <s v="EV Charging"/>
    <n v="11437.48"/>
    <n v="0"/>
    <b v="1"/>
    <s v="Cancelled"/>
    <n v="0"/>
    <x v="4"/>
    <s v="REP012"/>
    <x v="2"/>
    <s v="EV Charge Card"/>
    <s v="Mid-Market"/>
  </r>
  <r>
    <s v="TXN0001263"/>
    <s v="CUST00167"/>
    <b v="1"/>
    <d v="2025-12-02T00:00:00"/>
    <x v="4"/>
    <s v="EV Charging"/>
    <n v="8946.84"/>
    <n v="237.99"/>
    <b v="1"/>
    <s v="Completed"/>
    <n v="237.99"/>
    <x v="4"/>
    <s v="REP012"/>
    <x v="2"/>
    <s v="EV Charge Card"/>
    <s v="Mid-Market"/>
  </r>
  <r>
    <s v="TXN0001264"/>
    <s v="CUST00169"/>
    <b v="1"/>
    <d v="2025-08-30T00:00:00"/>
    <x v="0"/>
    <s v="Fuel"/>
    <n v="13141.85"/>
    <n v="364.65"/>
    <b v="1"/>
    <s v="Completed"/>
    <n v="364.65"/>
    <x v="4"/>
    <s v="REP010"/>
    <x v="5"/>
    <s v="Fuel Card"/>
    <s v="Mid-Market"/>
  </r>
  <r>
    <s v="TXN0001265"/>
    <s v="CUST00169"/>
    <b v="1"/>
    <d v="2025-08-30T00:00:00"/>
    <x v="0"/>
    <s v="Fuel"/>
    <n v="11704.32"/>
    <n v="328.28"/>
    <b v="1"/>
    <s v="Completed"/>
    <n v="328.28"/>
    <x v="4"/>
    <s v="REP010"/>
    <x v="5"/>
    <s v="Fuel Card"/>
    <s v="Mid-Market"/>
  </r>
  <r>
    <s v="TXN0001266"/>
    <s v="CUST00169"/>
    <b v="1"/>
    <d v="2025-09-30T00:00:00"/>
    <x v="1"/>
    <s v="Fuel"/>
    <n v="8657.77"/>
    <n v="211.48"/>
    <b v="1"/>
    <s v="Completed"/>
    <n v="211.48"/>
    <x v="4"/>
    <s v="REP010"/>
    <x v="5"/>
    <s v="Fuel Card"/>
    <s v="Mid-Market"/>
  </r>
  <r>
    <s v="TXN0001267"/>
    <s v="CUST00169"/>
    <b v="1"/>
    <d v="2025-09-11T00:00:00"/>
    <x v="1"/>
    <s v="Fuel"/>
    <n v="13131.54"/>
    <n v="371.42"/>
    <b v="1"/>
    <s v="Completed"/>
    <n v="371.42"/>
    <x v="4"/>
    <s v="REP010"/>
    <x v="5"/>
    <s v="Fuel Card"/>
    <s v="Mid-Market"/>
  </r>
  <r>
    <s v="TXN0001268"/>
    <s v="CUST00169"/>
    <b v="1"/>
    <d v="2025-10-29T00:00:00"/>
    <x v="2"/>
    <s v="Fuel"/>
    <n v="17579.79"/>
    <n v="433"/>
    <b v="1"/>
    <s v="Completed"/>
    <n v="433"/>
    <x v="4"/>
    <s v="REP010"/>
    <x v="5"/>
    <s v="Fuel Card"/>
    <s v="Mid-Market"/>
  </r>
  <r>
    <s v="TXN0001269"/>
    <s v="CUST00169"/>
    <b v="1"/>
    <d v="2025-11-02T00:00:00"/>
    <x v="3"/>
    <s v="Fuel"/>
    <n v="8121.08"/>
    <n v="204.67"/>
    <b v="1"/>
    <s v="Completed"/>
    <n v="204.67"/>
    <x v="4"/>
    <s v="REP010"/>
    <x v="5"/>
    <s v="Fuel Card"/>
    <s v="Mid-Market"/>
  </r>
  <r>
    <s v="TXN0001270"/>
    <s v="CUST00169"/>
    <b v="1"/>
    <d v="2025-11-13T00:00:00"/>
    <x v="3"/>
    <s v="Fuel"/>
    <n v="6307.37"/>
    <n v="135.61000000000001"/>
    <b v="1"/>
    <s v="Completed"/>
    <n v="135.61000000000001"/>
    <x v="4"/>
    <s v="REP010"/>
    <x v="5"/>
    <s v="Fuel Card"/>
    <s v="Mid-Market"/>
  </r>
  <r>
    <s v="TXN0001271"/>
    <s v="CUST00169"/>
    <b v="1"/>
    <d v="2025-11-16T00:00:00"/>
    <x v="3"/>
    <s v="Fuel"/>
    <n v="14568.44"/>
    <n v="360.82"/>
    <b v="1"/>
    <s v="Completed"/>
    <n v="360.82"/>
    <x v="4"/>
    <s v="REP010"/>
    <x v="5"/>
    <s v="Fuel Card"/>
    <s v="Mid-Market"/>
  </r>
  <r>
    <s v="TXN0001272"/>
    <s v="CUST00169"/>
    <b v="1"/>
    <d v="2025-12-14T00:00:00"/>
    <x v="4"/>
    <s v="Fuel"/>
    <n v="15381.92"/>
    <n v="428.19"/>
    <b v="1"/>
    <s v="Completed"/>
    <n v="428.19"/>
    <x v="4"/>
    <s v="REP010"/>
    <x v="5"/>
    <s v="Fuel Card"/>
    <s v="Mid-Market"/>
  </r>
  <r>
    <s v="TXN0001273"/>
    <s v="CUST00170"/>
    <b v="1"/>
    <d v="2025-04-29T00:00:00"/>
    <x v="5"/>
    <s v="Toll"/>
    <n v="1825.29"/>
    <n v="29.9"/>
    <b v="1"/>
    <s v="Completed"/>
    <n v="29.9"/>
    <x v="2"/>
    <s v="REP006"/>
    <x v="4"/>
    <s v="Toll Solution"/>
    <s v="SME"/>
  </r>
  <r>
    <s v="TXN0001274"/>
    <s v="CUST00170"/>
    <b v="1"/>
    <d v="2025-05-05T00:00:00"/>
    <x v="6"/>
    <s v="Toll"/>
    <n v="2179"/>
    <n v="35.1"/>
    <b v="1"/>
    <s v="Completed"/>
    <n v="35.1"/>
    <x v="2"/>
    <s v="REP006"/>
    <x v="4"/>
    <s v="Toll Solution"/>
    <s v="SME"/>
  </r>
  <r>
    <s v="TXN0001275"/>
    <s v="CUST00170"/>
    <b v="1"/>
    <d v="2025-05-16T00:00:00"/>
    <x v="6"/>
    <s v="Toll"/>
    <n v="5007.5200000000004"/>
    <n v="78.75"/>
    <b v="1"/>
    <s v="Completed"/>
    <n v="78.75"/>
    <x v="2"/>
    <s v="REP006"/>
    <x v="4"/>
    <s v="Toll Solution"/>
    <s v="SME"/>
  </r>
  <r>
    <s v="TXN0001276"/>
    <s v="CUST00170"/>
    <b v="1"/>
    <d v="2025-05-26T00:00:00"/>
    <x v="6"/>
    <s v="Toll"/>
    <n v="4725.97"/>
    <n v="88.37"/>
    <b v="1"/>
    <s v="Completed"/>
    <n v="88.37"/>
    <x v="2"/>
    <s v="REP006"/>
    <x v="4"/>
    <s v="Toll Solution"/>
    <s v="SME"/>
  </r>
  <r>
    <s v="TXN0001277"/>
    <s v="CUST99999"/>
    <b v="0"/>
    <d v="2025-06-26T00:00:00"/>
    <x v="7"/>
    <s v="Toll"/>
    <n v="4430.1899999999996"/>
    <n v="79.06"/>
    <b v="1"/>
    <s v="Completed"/>
    <n v="0"/>
    <x v="2"/>
    <s v="Unmatched"/>
    <x v="3"/>
    <s v="Unmatched"/>
    <s v="Unmatched"/>
  </r>
  <r>
    <s v="TXN0001278"/>
    <s v="CUST00170"/>
    <b v="1"/>
    <d v="2025-07-08T00:00:00"/>
    <x v="8"/>
    <s v="Toll"/>
    <n v="3595.29"/>
    <n v="69.89"/>
    <b v="1"/>
    <s v="Completed"/>
    <n v="69.89"/>
    <x v="2"/>
    <s v="REP006"/>
    <x v="4"/>
    <s v="Toll Solution"/>
    <s v="SME"/>
  </r>
  <r>
    <s v="TXN0001279"/>
    <s v="CUST00170"/>
    <b v="1"/>
    <d v="2025-07-19T00:00:00"/>
    <x v="8"/>
    <s v="Toll"/>
    <n v="1387.16"/>
    <n v="24.84"/>
    <b v="1"/>
    <s v="Completed"/>
    <n v="24.84"/>
    <x v="2"/>
    <s v="REP006"/>
    <x v="4"/>
    <s v="Toll Solution"/>
    <s v="SME"/>
  </r>
  <r>
    <s v="TXN0001280"/>
    <s v="CUST00170"/>
    <b v="1"/>
    <d v="2025-07-16T00:00:00"/>
    <x v="8"/>
    <s v="Toll"/>
    <n v="3956.35"/>
    <n v="74.069999999999993"/>
    <b v="1"/>
    <s v="Completed"/>
    <n v="74.069999999999993"/>
    <x v="2"/>
    <s v="REP006"/>
    <x v="4"/>
    <s v="Toll Solution"/>
    <s v="SME"/>
  </r>
  <r>
    <s v="TXN0001281"/>
    <s v="CUST00170"/>
    <b v="1"/>
    <d v="2025-08-20T00:00:00"/>
    <x v="0"/>
    <s v="Toll"/>
    <n v="4787.12"/>
    <n v="74.28"/>
    <b v="1"/>
    <s v="Completed"/>
    <n v="74.28"/>
    <x v="2"/>
    <s v="REP006"/>
    <x v="4"/>
    <s v="Toll Solution"/>
    <s v="SME"/>
  </r>
  <r>
    <s v="TXN0001282"/>
    <s v="CUST00170"/>
    <b v="1"/>
    <d v="2025-09-01T00:00:00"/>
    <x v="1"/>
    <s v="Toll"/>
    <n v="4769.53"/>
    <n v="98.62"/>
    <b v="1"/>
    <s v="Completed"/>
    <n v="98.62"/>
    <x v="2"/>
    <s v="REP006"/>
    <x v="4"/>
    <s v="Toll Solution"/>
    <s v="SME"/>
  </r>
  <r>
    <s v="TXN0001283"/>
    <s v="CUST00170"/>
    <b v="1"/>
    <d v="2025-09-01T00:00:00"/>
    <x v="1"/>
    <s v="Toll"/>
    <n v="4612.0600000000004"/>
    <n v="86.94"/>
    <b v="1"/>
    <s v="Completed"/>
    <n v="86.94"/>
    <x v="2"/>
    <s v="REP006"/>
    <x v="4"/>
    <s v="Toll Solution"/>
    <s v="SME"/>
  </r>
  <r>
    <s v="TXN0001284"/>
    <s v="CUST00170"/>
    <b v="1"/>
    <d v="2025-09-01T00:00:00"/>
    <x v="1"/>
    <s v="Toll"/>
    <n v="5017.53"/>
    <n v="82.73"/>
    <b v="1"/>
    <s v="Completed"/>
    <n v="82.73"/>
    <x v="2"/>
    <s v="REP006"/>
    <x v="4"/>
    <s v="Toll Solution"/>
    <s v="SME"/>
  </r>
  <r>
    <s v="TXN0001285"/>
    <s v="CUST00171"/>
    <b v="1"/>
    <d v="2025-09-08T00:00:00"/>
    <x v="1"/>
    <s v="Fuel"/>
    <n v="43646.75"/>
    <n v="1030.45"/>
    <b v="1"/>
    <s v="Completed"/>
    <n v="1030.45"/>
    <x v="3"/>
    <s v="REP001"/>
    <x v="2"/>
    <s v="Fuel Card"/>
    <s v="Enterprise"/>
  </r>
  <r>
    <s v="TXN0001286"/>
    <s v="CUST00171"/>
    <b v="1"/>
    <d v="2025-09-22T00:00:00"/>
    <x v="1"/>
    <s v="Fuel"/>
    <n v="57899.33"/>
    <n v="1546.32"/>
    <b v="1"/>
    <s v="Completed"/>
    <n v="1546.32"/>
    <x v="3"/>
    <s v="REP001"/>
    <x v="2"/>
    <s v="Fuel Card"/>
    <s v="Enterprise"/>
  </r>
  <r>
    <s v="TXN0001287"/>
    <s v="CUST00171"/>
    <b v="1"/>
    <d v="2025-10-10T00:00:00"/>
    <x v="2"/>
    <s v="Fuel"/>
    <n v="28691.75"/>
    <n v="737.33"/>
    <b v="1"/>
    <s v="Completed"/>
    <n v="737.33"/>
    <x v="3"/>
    <s v="REP001"/>
    <x v="2"/>
    <s v="Fuel Card"/>
    <s v="Enterprise"/>
  </r>
  <r>
    <s v="TXN0001288"/>
    <s v="CUST00171"/>
    <b v="1"/>
    <d v="2025-10-24T00:00:00"/>
    <x v="2"/>
    <s v="Fuel"/>
    <n v="54290.27"/>
    <n v="1158.3599999999999"/>
    <b v="1"/>
    <s v="Completed"/>
    <n v="1158.3599999999999"/>
    <x v="3"/>
    <s v="REP001"/>
    <x v="2"/>
    <s v="Fuel Card"/>
    <s v="Enterprise"/>
  </r>
  <r>
    <s v="TXN0001289"/>
    <s v="CUST00171"/>
    <b v="1"/>
    <d v="2025-11-30T00:00:00"/>
    <x v="3"/>
    <s v="Fuel"/>
    <n v="29203.18"/>
    <n v="691.7"/>
    <b v="1"/>
    <s v="Completed"/>
    <n v="691.7"/>
    <x v="3"/>
    <s v="REP001"/>
    <x v="2"/>
    <s v="Fuel Card"/>
    <s v="Enterprise"/>
  </r>
  <r>
    <s v="TXN0001290"/>
    <s v="CUST00171"/>
    <b v="1"/>
    <d v="2025-12-07T00:00:00"/>
    <x v="4"/>
    <s v="Fuel"/>
    <n v="59148.67"/>
    <n v="0"/>
    <b v="1"/>
    <s v="Cancelled"/>
    <n v="0"/>
    <x v="3"/>
    <s v="REP001"/>
    <x v="2"/>
    <s v="Fuel Card"/>
    <s v="Enterprise"/>
  </r>
  <r>
    <s v="TXN0001291"/>
    <s v="CUST00171"/>
    <b v="1"/>
    <d v="2025-12-01T00:00:00"/>
    <x v="4"/>
    <s v="Fuel"/>
    <n v="28705.74"/>
    <n v="726.23"/>
    <b v="1"/>
    <s v="Completed"/>
    <n v="726.23"/>
    <x v="3"/>
    <s v="REP001"/>
    <x v="2"/>
    <s v="Fuel Card"/>
    <s v="Enterprise"/>
  </r>
  <r>
    <s v="TXN0001292"/>
    <s v="CUST00172"/>
    <b v="1"/>
    <d v="2025-12-08T00:00:00"/>
    <x v="4"/>
    <s v="Lodging"/>
    <n v="3420.9"/>
    <n v="81.53"/>
    <b v="1"/>
    <s v="Completed"/>
    <n v="81.53"/>
    <x v="0"/>
    <s v="REP007"/>
    <x v="2"/>
    <s v="Fleet Expense Card"/>
    <s v="SME"/>
  </r>
  <r>
    <s v="TXN0001293"/>
    <s v="CUST00172"/>
    <b v="1"/>
    <d v="2025-12-06T00:00:00"/>
    <x v="4"/>
    <s v="Lodging"/>
    <n v="3566.71"/>
    <n v="86.16"/>
    <b v="1"/>
    <s v="Completed"/>
    <n v="86.16"/>
    <x v="0"/>
    <s v="REP007"/>
    <x v="2"/>
    <s v="Fleet Expense Card"/>
    <s v="SME"/>
  </r>
  <r>
    <s v="TXN0001294"/>
    <s v="CUST00173"/>
    <b v="1"/>
    <d v="2025-03-30T00:00:00"/>
    <x v="10"/>
    <s v="Fuel"/>
    <n v="3626.96"/>
    <n v="78.58"/>
    <b v="1"/>
    <s v="Completed"/>
    <n v="78.58"/>
    <x v="4"/>
    <s v="REP012"/>
    <x v="5"/>
    <s v="Fuel Card"/>
    <s v="SME"/>
  </r>
  <r>
    <s v="TXN0001295"/>
    <s v="CUST00173"/>
    <b v="1"/>
    <d v="2025-03-27T00:00:00"/>
    <x v="10"/>
    <s v="Fuel"/>
    <n v="3179.96"/>
    <n v="90.19"/>
    <b v="1"/>
    <s v="Completed"/>
    <n v="90.19"/>
    <x v="4"/>
    <s v="REP012"/>
    <x v="5"/>
    <s v="Fuel Card"/>
    <s v="SME"/>
  </r>
  <r>
    <s v="TXN0001296"/>
    <s v="CUST00173"/>
    <b v="1"/>
    <d v="2025-04-06T00:00:00"/>
    <x v="5"/>
    <s v="Fuel"/>
    <n v="1276.93"/>
    <n v="28.63"/>
    <b v="1"/>
    <s v="Completed"/>
    <n v="28.63"/>
    <x v="4"/>
    <s v="REP012"/>
    <x v="5"/>
    <s v="Fuel Card"/>
    <s v="SME"/>
  </r>
  <r>
    <s v="TXN0001297"/>
    <s v="CUST00173"/>
    <b v="1"/>
    <d v="2025-04-07T00:00:00"/>
    <x v="5"/>
    <s v="Fuel"/>
    <n v="4690.2700000000004"/>
    <n v="113.95"/>
    <b v="1"/>
    <s v="Completed"/>
    <n v="113.95"/>
    <x v="4"/>
    <s v="REP012"/>
    <x v="5"/>
    <s v="Fuel Card"/>
    <s v="SME"/>
  </r>
  <r>
    <s v="TXN0001298"/>
    <s v="CUST00173"/>
    <b v="1"/>
    <d v="2025-05-19T00:00:00"/>
    <x v="6"/>
    <s v="Fuel"/>
    <n v="2248.11"/>
    <n v="55.13"/>
    <b v="1"/>
    <s v="Completed"/>
    <n v="55.13"/>
    <x v="4"/>
    <s v="REP012"/>
    <x v="5"/>
    <s v="Fuel Card"/>
    <s v="SME"/>
  </r>
  <r>
    <s v="TXN0001299"/>
    <s v="CUST00173"/>
    <b v="1"/>
    <d v="2025-06-26T00:00:00"/>
    <x v="7"/>
    <s v="Fuel"/>
    <n v="4570.08"/>
    <n v="127.96"/>
    <b v="1"/>
    <s v="Completed"/>
    <n v="127.96"/>
    <x v="4"/>
    <s v="REP012"/>
    <x v="5"/>
    <s v="Fuel Card"/>
    <s v="SME"/>
  </r>
  <r>
    <s v="TXN0001300"/>
    <s v="CUST00173"/>
    <b v="1"/>
    <d v="2025-07-25T00:00:00"/>
    <x v="8"/>
    <s v="Fuel"/>
    <n v="3252.7"/>
    <n v="72.45"/>
    <b v="1"/>
    <s v="Completed"/>
    <n v="72.45"/>
    <x v="4"/>
    <s v="REP012"/>
    <x v="5"/>
    <s v="Fuel Card"/>
    <s v="SME"/>
  </r>
  <r>
    <s v="TXN0001301"/>
    <s v="CUST00173"/>
    <b v="1"/>
    <d v="2025-07-20T00:00:00"/>
    <x v="8"/>
    <s v="Fuel"/>
    <n v="4586.1899999999996"/>
    <n v="128.55000000000001"/>
    <b v="1"/>
    <s v="Completed"/>
    <n v="128.55000000000001"/>
    <x v="4"/>
    <s v="REP012"/>
    <x v="5"/>
    <s v="Fuel Card"/>
    <s v="SME"/>
  </r>
  <r>
    <s v="TXN0001302"/>
    <s v="CUST00173"/>
    <b v="1"/>
    <d v="2025-07-04T00:00:00"/>
    <x v="8"/>
    <s v="Fuel"/>
    <n v="1759.65"/>
    <n v="39.93"/>
    <b v="1"/>
    <s v="Completed"/>
    <n v="39.93"/>
    <x v="4"/>
    <s v="REP012"/>
    <x v="5"/>
    <s v="Fuel Card"/>
    <s v="SME"/>
  </r>
  <r>
    <s v="TXN0001303"/>
    <s v="CUST00173"/>
    <b v="1"/>
    <d v="2025-08-01T00:00:00"/>
    <x v="0"/>
    <s v="Fuel"/>
    <n v="1878.84"/>
    <n v="41.11"/>
    <b v="1"/>
    <s v="Completed"/>
    <n v="41.11"/>
    <x v="4"/>
    <s v="REP012"/>
    <x v="5"/>
    <s v="Fuel Card"/>
    <s v="SME"/>
  </r>
  <r>
    <s v="TXN0001304"/>
    <s v="CUST00173"/>
    <b v="1"/>
    <d v="2025-08-19T00:00:00"/>
    <x v="0"/>
    <s v="Fuel"/>
    <n v="2760.84"/>
    <n v="61.76"/>
    <b v="1"/>
    <s v="Completed"/>
    <n v="61.76"/>
    <x v="4"/>
    <s v="REP012"/>
    <x v="5"/>
    <s v="Fuel Card"/>
    <s v="SME"/>
  </r>
  <r>
    <s v="TXN0001305"/>
    <s v="CUST00173"/>
    <b v="1"/>
    <d v="2025-08-22T00:00:00"/>
    <x v="0"/>
    <s v="Fuel"/>
    <n v="3077.09"/>
    <n v="74.58"/>
    <b v="1"/>
    <s v="Completed"/>
    <n v="74.58"/>
    <x v="4"/>
    <s v="REP012"/>
    <x v="5"/>
    <s v="Fuel Card"/>
    <s v="SME"/>
  </r>
  <r>
    <s v="TXN0001306"/>
    <s v="CUST00173"/>
    <b v="1"/>
    <d v="2025-09-14T00:00:00"/>
    <x v="1"/>
    <s v="Fuel"/>
    <n v="3731.8"/>
    <n v="87.84"/>
    <b v="1"/>
    <s v="Completed"/>
    <n v="87.84"/>
    <x v="4"/>
    <s v="REP012"/>
    <x v="5"/>
    <s v="Fuel Card"/>
    <s v="SME"/>
  </r>
  <r>
    <s v="TXN0001307"/>
    <s v="CUST00173"/>
    <b v="1"/>
    <d v="2025-10-10T00:00:00"/>
    <x v="2"/>
    <s v="Fuel"/>
    <n v="2730.36"/>
    <n v="69.89"/>
    <b v="1"/>
    <s v="Completed"/>
    <n v="69.89"/>
    <x v="4"/>
    <s v="REP012"/>
    <x v="5"/>
    <s v="Fuel Card"/>
    <s v="SME"/>
  </r>
  <r>
    <s v="TXN0001308"/>
    <s v="CUST00173"/>
    <b v="1"/>
    <d v="2025-10-18T00:00:00"/>
    <x v="2"/>
    <s v="Fuel"/>
    <n v="2650.78"/>
    <n v="64.8"/>
    <b v="1"/>
    <s v="Completed"/>
    <n v="64.8"/>
    <x v="4"/>
    <s v="REP012"/>
    <x v="5"/>
    <s v="Fuel Card"/>
    <s v="SME"/>
  </r>
  <r>
    <s v="TXN0001309"/>
    <s v="CUST00173"/>
    <b v="1"/>
    <d v="2025-11-28T00:00:00"/>
    <x v="3"/>
    <s v="Fuel"/>
    <n v="3729.5"/>
    <n v="85.1"/>
    <b v="1"/>
    <s v="Completed"/>
    <n v="85.1"/>
    <x v="4"/>
    <s v="REP012"/>
    <x v="5"/>
    <s v="Fuel Card"/>
    <s v="SME"/>
  </r>
  <r>
    <s v="TXN0001310"/>
    <s v="CUST00173"/>
    <b v="1"/>
    <d v="2025-12-02T00:00:00"/>
    <x v="4"/>
    <s v="Fuel"/>
    <n v="4199.84"/>
    <n v="94.15"/>
    <b v="1"/>
    <s v="Completed"/>
    <n v="94.15"/>
    <x v="4"/>
    <s v="REP012"/>
    <x v="5"/>
    <s v="Fuel Card"/>
    <s v="SME"/>
  </r>
  <r>
    <s v="TXN0001311"/>
    <s v="CUST00175"/>
    <b v="1"/>
    <d v="2025-11-30T00:00:00"/>
    <x v="3"/>
    <s v="Fuel"/>
    <n v="10082.200000000001"/>
    <n v="286.42"/>
    <b v="1"/>
    <s v="Completed"/>
    <n v="286.42"/>
    <x v="0"/>
    <s v="REP999"/>
    <x v="2"/>
    <s v="Fuel Card"/>
    <s v="Mid-Market"/>
  </r>
  <r>
    <s v="TXN0001312"/>
    <s v="CUST00175"/>
    <b v="1"/>
    <d v="2025-11-27T00:00:00"/>
    <x v="3"/>
    <s v="Fuel"/>
    <n v="8166.65"/>
    <n v="202.11"/>
    <b v="1"/>
    <s v="Completed"/>
    <n v="202.11"/>
    <x v="0"/>
    <s v="REP999"/>
    <x v="2"/>
    <s v="Fuel Card"/>
    <s v="Mid-Market"/>
  </r>
  <r>
    <s v="TXN0001313"/>
    <s v="CUST00175"/>
    <b v="1"/>
    <d v="2025-12-21T00:00:00"/>
    <x v="4"/>
    <s v="Fuel"/>
    <n v="14614.37"/>
    <n v="341.43"/>
    <b v="1"/>
    <s v="Completed"/>
    <n v="341.43"/>
    <x v="0"/>
    <s v="REP999"/>
    <x v="2"/>
    <s v="Fuel Card"/>
    <s v="Mid-Market"/>
  </r>
  <r>
    <s v="TXN0001314"/>
    <s v="CUST00175"/>
    <b v="1"/>
    <d v="2025-12-13T00:00:00"/>
    <x v="4"/>
    <s v="Fuel"/>
    <n v="15552.55"/>
    <n v="338.96"/>
    <b v="1"/>
    <s v="Completed"/>
    <n v="338.96"/>
    <x v="0"/>
    <s v="REP999"/>
    <x v="2"/>
    <s v="Fuel Card"/>
    <s v="Mid-Market"/>
  </r>
  <r>
    <s v="TXN0001315"/>
    <s v="CUST00176"/>
    <b v="1"/>
    <d v="2025-05-29T00:00:00"/>
    <x v="6"/>
    <s v="Lodging"/>
    <n v="4493.6000000000004"/>
    <n v="119.08"/>
    <b v="1"/>
    <s v="Completed"/>
    <n v="119.08"/>
    <x v="3"/>
    <s v="REP001"/>
    <x v="2"/>
    <s v="Fleet Expense Card"/>
    <s v="SME"/>
  </r>
  <r>
    <s v="TXN0001316"/>
    <s v="CUST00176"/>
    <b v="1"/>
    <d v="2025-05-28T00:00:00"/>
    <x v="6"/>
    <s v="Parking"/>
    <n v="3033.52"/>
    <n v="78.62"/>
    <b v="1"/>
    <s v="Completed"/>
    <n v="78.62"/>
    <x v="3"/>
    <s v="REP001"/>
    <x v="2"/>
    <s v="Fleet Expense Card"/>
    <s v="SME"/>
  </r>
  <r>
    <s v="TXN0001317"/>
    <s v="CUST00176"/>
    <b v="1"/>
    <d v="2025-05-22T00:00:00"/>
    <x v="6"/>
    <s v="Lodging"/>
    <n v="5146.33"/>
    <n v="137.88999999999999"/>
    <b v="1"/>
    <s v="Completed"/>
    <n v="137.88999999999999"/>
    <x v="3"/>
    <s v="REP001"/>
    <x v="2"/>
    <s v="Fleet Expense Card"/>
    <s v="SME"/>
  </r>
  <r>
    <s v="TXN0001318"/>
    <s v="CUST00176"/>
    <b v="1"/>
    <d v="2025-06-01T00:00:00"/>
    <x v="7"/>
    <s v="Lodging"/>
    <n v="1762.23"/>
    <n v="47.74"/>
    <b v="1"/>
    <s v="Completed"/>
    <n v="47.74"/>
    <x v="3"/>
    <s v="REP001"/>
    <x v="2"/>
    <s v="Fleet Expense Card"/>
    <s v="SME"/>
  </r>
  <r>
    <s v="TXN0001319"/>
    <s v="CUST00176"/>
    <b v="1"/>
    <d v="2025-07-29T00:00:00"/>
    <x v="8"/>
    <s v="Fuel"/>
    <n v="5233.22"/>
    <n v="124.62"/>
    <b v="1"/>
    <s v="Completed"/>
    <n v="124.62"/>
    <x v="3"/>
    <s v="REP001"/>
    <x v="2"/>
    <s v="Fleet Expense Card"/>
    <s v="SME"/>
  </r>
  <r>
    <s v="TXN0001320"/>
    <s v="CUST00176"/>
    <b v="1"/>
    <d v="2025-07-31T00:00:00"/>
    <x v="8"/>
    <s v="Lodging"/>
    <n v="2233.9899999999998"/>
    <n v="0"/>
    <b v="1"/>
    <s v="Cancelled"/>
    <n v="0"/>
    <x v="3"/>
    <s v="REP001"/>
    <x v="2"/>
    <s v="Fleet Expense Card"/>
    <s v="SME"/>
  </r>
  <r>
    <s v="TXN0001321"/>
    <s v="CUST00176"/>
    <b v="1"/>
    <d v="2025-07-25T00:00:00"/>
    <x v="8"/>
    <s v="Parking"/>
    <n v="5005.82"/>
    <n v="131.72"/>
    <b v="1"/>
    <s v="Completed"/>
    <n v="131.72"/>
    <x v="3"/>
    <s v="REP001"/>
    <x v="2"/>
    <s v="Fleet Expense Card"/>
    <s v="SME"/>
  </r>
  <r>
    <s v="TXN0001322"/>
    <s v="CUST00176"/>
    <b v="1"/>
    <d v="2025-08-01T00:00:00"/>
    <x v="0"/>
    <s v="Fuel"/>
    <n v="3931.99"/>
    <n v="108.78"/>
    <b v="1"/>
    <s v="Completed"/>
    <n v="108.78"/>
    <x v="3"/>
    <s v="REP001"/>
    <x v="2"/>
    <s v="Fleet Expense Card"/>
    <s v="SME"/>
  </r>
  <r>
    <s v="TXN0001323"/>
    <s v="CUST00176"/>
    <b v="1"/>
    <d v="2025-09-04T00:00:00"/>
    <x v="1"/>
    <s v="Fuel"/>
    <n v="3269.84"/>
    <n v="93.27"/>
    <b v="1"/>
    <s v="Completed"/>
    <n v="93.27"/>
    <x v="3"/>
    <s v="REP001"/>
    <x v="2"/>
    <s v="Fleet Expense Card"/>
    <s v="SME"/>
  </r>
  <r>
    <s v="TXN0001324"/>
    <s v="CUST00176"/>
    <b v="1"/>
    <d v="2025-10-29T00:00:00"/>
    <x v="2"/>
    <s v="Parking"/>
    <n v="4825.7700000000004"/>
    <n v="114.56"/>
    <b v="1"/>
    <s v="Completed"/>
    <n v="114.56"/>
    <x v="3"/>
    <s v="REP001"/>
    <x v="2"/>
    <s v="Fleet Expense Card"/>
    <s v="SME"/>
  </r>
  <r>
    <s v="TXN0001325"/>
    <s v="CUST00176"/>
    <b v="1"/>
    <d v="2025-11-24T00:00:00"/>
    <x v="3"/>
    <s v="Parking"/>
    <n v="2337.75"/>
    <n v="67.790000000000006"/>
    <b v="1"/>
    <s v="Completed"/>
    <n v="67.790000000000006"/>
    <x v="3"/>
    <s v="REP001"/>
    <x v="2"/>
    <s v="Fleet Expense Card"/>
    <s v="SME"/>
  </r>
  <r>
    <s v="TXN0001326"/>
    <s v="CUST00176"/>
    <b v="1"/>
    <d v="2025-11-02T00:00:00"/>
    <x v="3"/>
    <s v="Fuel"/>
    <n v="4503.04"/>
    <n v="130.91999999999999"/>
    <b v="1"/>
    <s v="Completed"/>
    <n v="130.91999999999999"/>
    <x v="3"/>
    <s v="REP001"/>
    <x v="2"/>
    <s v="Fleet Expense Card"/>
    <s v="SME"/>
  </r>
  <r>
    <s v="TXN0001327"/>
    <s v="CUST00176"/>
    <b v="1"/>
    <d v="2025-12-07T00:00:00"/>
    <x v="4"/>
    <s v="Fuel"/>
    <n v="4690.42"/>
    <n v="112.82"/>
    <b v="1"/>
    <s v="Completed"/>
    <n v="112.82"/>
    <x v="3"/>
    <s v="REP001"/>
    <x v="2"/>
    <s v="Fleet Expense Card"/>
    <s v="SME"/>
  </r>
  <r>
    <s v="TXN0001328"/>
    <s v="CUST00176"/>
    <b v="1"/>
    <d v="2025-12-04T00:00:00"/>
    <x v="4"/>
    <s v="Lodging"/>
    <n v="4432.08"/>
    <n v="113.78"/>
    <b v="1"/>
    <s v="Completed"/>
    <n v="113.78"/>
    <x v="3"/>
    <s v="REP001"/>
    <x v="2"/>
    <s v="Fleet Expense Card"/>
    <s v="SME"/>
  </r>
  <r>
    <s v="TXN0001329"/>
    <s v="CUST00179"/>
    <b v="1"/>
    <d v="2025-06-28T00:00:00"/>
    <x v="7"/>
    <s v="Fuel"/>
    <n v="16522.97"/>
    <n v="424.96"/>
    <b v="1"/>
    <s v="Completed"/>
    <n v="424.96"/>
    <x v="0"/>
    <s v="REP009"/>
    <x v="5"/>
    <s v="Fuel Card"/>
    <s v="Mid-Market"/>
  </r>
  <r>
    <s v="TXN0001330"/>
    <s v="CUST00179"/>
    <b v="1"/>
    <d v="2025-07-21T00:00:00"/>
    <x v="8"/>
    <s v="Fuel"/>
    <n v="10722.96"/>
    <n v="249.06"/>
    <b v="1"/>
    <s v="Completed"/>
    <n v="249.06"/>
    <x v="0"/>
    <s v="REP009"/>
    <x v="5"/>
    <s v="Fuel Card"/>
    <s v="Mid-Market"/>
  </r>
  <r>
    <s v="TXN0001331"/>
    <s v="CUST00179"/>
    <b v="1"/>
    <d v="2025-07-08T00:00:00"/>
    <x v="8"/>
    <s v="Fuel"/>
    <n v="7850.1"/>
    <n v="211.13"/>
    <b v="1"/>
    <s v="Completed"/>
    <n v="211.13"/>
    <x v="0"/>
    <s v="REP009"/>
    <x v="5"/>
    <s v="Fuel Card"/>
    <s v="Mid-Market"/>
  </r>
  <r>
    <s v="TXN0001332"/>
    <s v="CUST00179"/>
    <b v="1"/>
    <d v="2025-08-19T00:00:00"/>
    <x v="0"/>
    <s v="Fuel"/>
    <n v="9172.91"/>
    <n v="261.19"/>
    <b v="1"/>
    <s v="Completed"/>
    <n v="261.19"/>
    <x v="0"/>
    <s v="REP009"/>
    <x v="5"/>
    <s v="Fuel Card"/>
    <s v="Mid-Market"/>
  </r>
  <r>
    <s v="TXN0001333"/>
    <s v="CUST00179"/>
    <b v="1"/>
    <d v="2025-09-16T00:00:00"/>
    <x v="1"/>
    <s v="Fuel"/>
    <n v="12101.11"/>
    <n v="313.72000000000003"/>
    <b v="1"/>
    <s v="Completed"/>
    <n v="313.72000000000003"/>
    <x v="0"/>
    <s v="REP009"/>
    <x v="5"/>
    <s v="Fuel Card"/>
    <s v="Mid-Market"/>
  </r>
  <r>
    <s v="TXN0001334"/>
    <s v="CUST00179"/>
    <b v="1"/>
    <d v="2025-09-14T00:00:00"/>
    <x v="1"/>
    <s v="Fuel"/>
    <n v="14274.87"/>
    <n v="326.22000000000003"/>
    <b v="1"/>
    <s v="Completed"/>
    <n v="326.22000000000003"/>
    <x v="0"/>
    <s v="REP009"/>
    <x v="5"/>
    <s v="Fuel Card"/>
    <s v="Mid-Market"/>
  </r>
  <r>
    <s v="TXN0001335"/>
    <s v="CUST00179"/>
    <b v="1"/>
    <d v="2025-10-07T00:00:00"/>
    <x v="2"/>
    <s v="Fuel"/>
    <n v="4493.1000000000004"/>
    <n v="117.2"/>
    <b v="1"/>
    <s v="Completed"/>
    <n v="117.2"/>
    <x v="0"/>
    <s v="REP009"/>
    <x v="5"/>
    <s v="Fuel Card"/>
    <s v="Mid-Market"/>
  </r>
  <r>
    <s v="TXN0001336"/>
    <s v="CUST00179"/>
    <b v="1"/>
    <d v="2025-11-11T00:00:00"/>
    <x v="3"/>
    <s v="Fuel"/>
    <n v="14313.35"/>
    <n v="351.32"/>
    <b v="1"/>
    <s v="Completed"/>
    <n v="351.32"/>
    <x v="0"/>
    <s v="REP009"/>
    <x v="5"/>
    <s v="Fuel Card"/>
    <s v="Mid-Market"/>
  </r>
  <r>
    <s v="TXN0001337"/>
    <s v="CUST00179"/>
    <b v="1"/>
    <d v="2025-12-15T00:00:00"/>
    <x v="4"/>
    <s v="Fuel"/>
    <n v="17537.95"/>
    <n v="462.33"/>
    <b v="1"/>
    <s v="Completed"/>
    <n v="462.33"/>
    <x v="0"/>
    <s v="REP009"/>
    <x v="5"/>
    <s v="Fuel Card"/>
    <s v="Mid-Market"/>
  </r>
  <r>
    <s v="TXN0001338"/>
    <s v="CUST00179"/>
    <b v="1"/>
    <d v="2025-12-11T00:00:00"/>
    <x v="4"/>
    <s v="Fuel"/>
    <n v="9762.89"/>
    <n v="241.88"/>
    <b v="1"/>
    <s v="Completed"/>
    <n v="241.88"/>
    <x v="0"/>
    <s v="REP009"/>
    <x v="5"/>
    <s v="Fuel Card"/>
    <s v="Mid-Market"/>
  </r>
  <r>
    <s v="TXN0001339"/>
    <s v="CUST00179"/>
    <b v="1"/>
    <d v="2025-12-01T00:00:00"/>
    <x v="4"/>
    <s v="Fuel"/>
    <n v="6570.57"/>
    <n v="176.13"/>
    <b v="1"/>
    <s v="Completed"/>
    <n v="176.13"/>
    <x v="0"/>
    <s v="REP009"/>
    <x v="5"/>
    <s v="Fuel Card"/>
    <s v="Mid-Market"/>
  </r>
  <r>
    <s v="TXN0001340"/>
    <s v="CUST00180"/>
    <b v="1"/>
    <d v="2025-02-26T00:00:00"/>
    <x v="9"/>
    <s v="Fuel"/>
    <n v="3094.96"/>
    <n v="81.55"/>
    <b v="1"/>
    <s v="Completed"/>
    <n v="81.55"/>
    <x v="3"/>
    <s v="REP003"/>
    <x v="5"/>
    <s v="Fuel Card"/>
    <s v="Unclassified"/>
  </r>
  <r>
    <s v="TXN0001341"/>
    <s v="CUST00180"/>
    <b v="1"/>
    <d v="2025-03-10T00:00:00"/>
    <x v="10"/>
    <s v="Fuel"/>
    <n v="2307.31"/>
    <n v="62.61"/>
    <b v="1"/>
    <s v="Completed"/>
    <n v="62.61"/>
    <x v="3"/>
    <s v="REP003"/>
    <x v="5"/>
    <s v="Fuel Card"/>
    <s v="Unclassified"/>
  </r>
  <r>
    <s v="TXN0001342"/>
    <s v="CUST00180"/>
    <b v="1"/>
    <d v="2025-03-16T00:00:00"/>
    <x v="10"/>
    <s v="Fuel"/>
    <n v="2711.55"/>
    <n v="73.239999999999995"/>
    <b v="1"/>
    <s v="Completed"/>
    <n v="73.239999999999995"/>
    <x v="3"/>
    <s v="REP003"/>
    <x v="5"/>
    <s v="Fuel Card"/>
    <s v="Unclassified"/>
  </r>
  <r>
    <s v="TXN0001343"/>
    <s v="CUST00180"/>
    <b v="1"/>
    <d v="2025-04-25T00:00:00"/>
    <x v="5"/>
    <s v="Fuel"/>
    <n v="2465.41"/>
    <n v="70.33"/>
    <b v="1"/>
    <s v="Completed"/>
    <n v="70.33"/>
    <x v="3"/>
    <s v="REP003"/>
    <x v="5"/>
    <s v="Fuel Card"/>
    <s v="Unclassified"/>
  </r>
  <r>
    <s v="TXN0001344"/>
    <s v="CUST00180"/>
    <b v="1"/>
    <d v="2025-04-17T00:00:00"/>
    <x v="5"/>
    <s v="Fuel"/>
    <n v="3333.72"/>
    <n v="80.040000000000006"/>
    <b v="1"/>
    <s v="Completed"/>
    <n v="80.040000000000006"/>
    <x v="3"/>
    <s v="REP003"/>
    <x v="5"/>
    <s v="Fuel Card"/>
    <s v="Unclassified"/>
  </r>
  <r>
    <s v="TXN0001345"/>
    <s v="CUST00180"/>
    <b v="1"/>
    <d v="2025-05-23T00:00:00"/>
    <x v="6"/>
    <s v="Fuel"/>
    <n v="2484.21"/>
    <n v="67.150000000000006"/>
    <b v="1"/>
    <s v="Completed"/>
    <n v="67.150000000000006"/>
    <x v="3"/>
    <s v="REP003"/>
    <x v="5"/>
    <s v="Fuel Card"/>
    <s v="Unclassified"/>
  </r>
  <r>
    <s v="TXN0001346"/>
    <s v="CUST00180"/>
    <b v="1"/>
    <d v="2025-05-26T00:00:00"/>
    <x v="6"/>
    <s v="Fuel"/>
    <n v="2998.69"/>
    <n v="66.14"/>
    <b v="1"/>
    <s v="Completed"/>
    <n v="66.14"/>
    <x v="3"/>
    <s v="REP003"/>
    <x v="5"/>
    <s v="Fuel Card"/>
    <s v="Unclassified"/>
  </r>
  <r>
    <s v="TXN0001347"/>
    <s v="CUST00180"/>
    <b v="1"/>
    <d v="2025-06-25T00:00:00"/>
    <x v="7"/>
    <s v="Fuel"/>
    <n v="3245.62"/>
    <n v="69.48"/>
    <b v="1"/>
    <s v="Completed"/>
    <n v="69.48"/>
    <x v="3"/>
    <s v="REP003"/>
    <x v="5"/>
    <s v="Fuel Card"/>
    <s v="Unclassified"/>
  </r>
  <r>
    <s v="TXN0001348"/>
    <s v="CUST00180"/>
    <b v="1"/>
    <d v="2025-06-13T00:00:00"/>
    <x v="7"/>
    <s v="Fuel"/>
    <n v="2492.8000000000002"/>
    <n v="60.75"/>
    <b v="1"/>
    <s v="Completed"/>
    <n v="60.75"/>
    <x v="3"/>
    <s v="REP003"/>
    <x v="5"/>
    <s v="Fuel Card"/>
    <s v="Unclassified"/>
  </r>
  <r>
    <s v="TXN0001349"/>
    <s v="CUST00180"/>
    <b v="1"/>
    <d v="2025-07-11T00:00:00"/>
    <x v="8"/>
    <s v="Fuel"/>
    <n v="2302.2399999999998"/>
    <n v="52.31"/>
    <b v="1"/>
    <s v="Completed"/>
    <n v="52.31"/>
    <x v="3"/>
    <s v="REP003"/>
    <x v="5"/>
    <s v="Fuel Card"/>
    <s v="Unclassified"/>
  </r>
  <r>
    <s v="TXN0001350"/>
    <s v="CUST00180"/>
    <b v="1"/>
    <d v="2025-07-12T00:00:00"/>
    <x v="8"/>
    <s v="Fuel"/>
    <n v="1949.84"/>
    <n v="46.17"/>
    <b v="1"/>
    <s v="Completed"/>
    <n v="46.17"/>
    <x v="3"/>
    <s v="REP003"/>
    <x v="5"/>
    <s v="Fuel Card"/>
    <s v="Unclassified"/>
  </r>
  <r>
    <s v="TXN0001351"/>
    <s v="CUST00180"/>
    <b v="1"/>
    <d v="2025-08-14T00:00:00"/>
    <x v="0"/>
    <s v="Fuel"/>
    <n v="1290.04"/>
    <n v="30.18"/>
    <b v="1"/>
    <s v="Completed"/>
    <n v="30.18"/>
    <x v="3"/>
    <s v="REP003"/>
    <x v="5"/>
    <s v="Fuel Card"/>
    <s v="Unclassified"/>
  </r>
  <r>
    <s v="TXN0001352"/>
    <s v="CUST00180"/>
    <b v="1"/>
    <d v="2025-08-09T00:00:00"/>
    <x v="0"/>
    <s v="Fuel"/>
    <n v="4756.8"/>
    <n v="128.01"/>
    <b v="1"/>
    <s v="Completed"/>
    <n v="128.01"/>
    <x v="3"/>
    <s v="REP003"/>
    <x v="5"/>
    <s v="Fuel Card"/>
    <s v="Unclassified"/>
  </r>
  <r>
    <s v="TXN0001353"/>
    <s v="CUST00180"/>
    <b v="1"/>
    <d v="2025-08-27T00:00:00"/>
    <x v="0"/>
    <s v="Fuel"/>
    <n v="4891.6400000000003"/>
    <n v="111.74"/>
    <b v="1"/>
    <s v="Completed"/>
    <n v="111.74"/>
    <x v="3"/>
    <s v="REP003"/>
    <x v="5"/>
    <s v="Fuel Card"/>
    <s v="Unclassified"/>
  </r>
  <r>
    <s v="TXN0001354"/>
    <s v="CUST00180"/>
    <b v="1"/>
    <d v="2025-09-13T00:00:00"/>
    <x v="1"/>
    <s v="Fuel"/>
    <n v="3845.87"/>
    <n v="93.26"/>
    <b v="1"/>
    <s v="Completed"/>
    <n v="93.26"/>
    <x v="3"/>
    <s v="REP003"/>
    <x v="5"/>
    <s v="Fuel Card"/>
    <s v="Unclassified"/>
  </r>
  <r>
    <s v="TXN0001355"/>
    <s v="CUST00180"/>
    <b v="1"/>
    <d v="2025-09-25T00:00:00"/>
    <x v="1"/>
    <s v="Fuel"/>
    <n v="5039.3100000000004"/>
    <n v="110.81"/>
    <b v="1"/>
    <s v="Completed"/>
    <n v="110.81"/>
    <x v="3"/>
    <s v="REP003"/>
    <x v="5"/>
    <s v="Fuel Card"/>
    <s v="Unclassified"/>
  </r>
  <r>
    <s v="TXN0001356"/>
    <s v="CUST00180"/>
    <b v="1"/>
    <d v="2025-09-20T00:00:00"/>
    <x v="1"/>
    <s v="Fuel"/>
    <n v="2106.9299999999998"/>
    <n v="49.71"/>
    <b v="1"/>
    <s v="Completed"/>
    <n v="49.71"/>
    <x v="3"/>
    <s v="REP003"/>
    <x v="5"/>
    <s v="Fuel Card"/>
    <s v="Unclassified"/>
  </r>
  <r>
    <s v="TXN0001357"/>
    <s v="CUST00180"/>
    <b v="1"/>
    <d v="2025-10-05T00:00:00"/>
    <x v="2"/>
    <s v="Fuel"/>
    <n v="3525.92"/>
    <n v="95.53"/>
    <b v="1"/>
    <s v="Completed"/>
    <n v="95.53"/>
    <x v="3"/>
    <s v="REP003"/>
    <x v="5"/>
    <s v="Fuel Card"/>
    <s v="Unclassified"/>
  </r>
  <r>
    <s v="TXN0001358"/>
    <s v="CUST00180"/>
    <b v="1"/>
    <d v="2025-10-15T00:00:00"/>
    <x v="2"/>
    <s v="Fuel"/>
    <n v="2403.81"/>
    <n v="0"/>
    <b v="1"/>
    <s v="Cancelled"/>
    <n v="0"/>
    <x v="3"/>
    <s v="REP003"/>
    <x v="5"/>
    <s v="Fuel Card"/>
    <s v="Unclassified"/>
  </r>
  <r>
    <s v="TXN0001359"/>
    <s v="CUST00180"/>
    <b v="1"/>
    <d v="2025-10-03T00:00:00"/>
    <x v="2"/>
    <s v="Fuel"/>
    <n v="4877.25"/>
    <n v="130.57"/>
    <b v="1"/>
    <s v="Completed"/>
    <n v="130.57"/>
    <x v="3"/>
    <s v="REP003"/>
    <x v="5"/>
    <s v="Fuel Card"/>
    <s v="Unclassified"/>
  </r>
  <r>
    <s v="TXN0001360"/>
    <s v="CUST00180"/>
    <b v="1"/>
    <d v="2025-11-13T00:00:00"/>
    <x v="3"/>
    <s v="Fuel"/>
    <n v="2960.02"/>
    <n v="74.81"/>
    <b v="1"/>
    <s v="Completed"/>
    <n v="74.81"/>
    <x v="3"/>
    <s v="REP003"/>
    <x v="5"/>
    <s v="Fuel Card"/>
    <s v="Unclassified"/>
  </r>
  <r>
    <s v="TXN0001361"/>
    <s v="CUST00180"/>
    <b v="1"/>
    <d v="2025-12-18T00:00:00"/>
    <x v="4"/>
    <s v="Fuel"/>
    <n v="5039.82"/>
    <n v="129.33000000000001"/>
    <b v="1"/>
    <s v="Completed"/>
    <n v="129.33000000000001"/>
    <x v="3"/>
    <s v="REP003"/>
    <x v="5"/>
    <s v="Fuel Card"/>
    <s v="Unclassified"/>
  </r>
  <r>
    <s v="TXN0001362"/>
    <s v="CUST00181"/>
    <b v="1"/>
    <d v="2025-12-26T00:00:00"/>
    <x v="4"/>
    <s v="EV Charging"/>
    <n v="12763.13"/>
    <n v="447.71"/>
    <b v="1"/>
    <s v="Completed"/>
    <n v="447.71"/>
    <x v="0"/>
    <s v="REP009"/>
    <x v="0"/>
    <s v="EV Charge Card"/>
    <s v="Mid-Market"/>
  </r>
  <r>
    <s v="TXN0001363"/>
    <s v="CUST00181"/>
    <b v="1"/>
    <d v="2025-12-31T00:00:00"/>
    <x v="4"/>
    <s v="EV Charging"/>
    <n v="15008.58"/>
    <n v="472.15"/>
    <b v="1"/>
    <s v="Completed"/>
    <n v="472.15"/>
    <x v="0"/>
    <s v="REP009"/>
    <x v="0"/>
    <s v="EV Charge Card"/>
    <s v="Mid-Market"/>
  </r>
  <r>
    <s v="TXN0001364"/>
    <s v="CUST00181"/>
    <b v="1"/>
    <d v="2025-12-20T00:00:00"/>
    <x v="4"/>
    <s v="EV Charging"/>
    <n v="4863.21"/>
    <n v="138.66999999999999"/>
    <b v="1"/>
    <s v="Completed"/>
    <n v="138.66999999999999"/>
    <x v="0"/>
    <s v="REP009"/>
    <x v="0"/>
    <s v="EV Charge Card"/>
    <s v="Mid-Market"/>
  </r>
  <r>
    <s v="TXN0001365"/>
    <s v="CUST00182"/>
    <b v="1"/>
    <d v="2025-09-17T00:00:00"/>
    <x v="1"/>
    <s v="Toll"/>
    <n v="4201.41"/>
    <n v="76.94"/>
    <b v="1"/>
    <s v="Completed"/>
    <n v="76.94"/>
    <x v="0"/>
    <s v="REP009"/>
    <x v="4"/>
    <s v="Toll Solution"/>
    <s v="SME"/>
  </r>
  <r>
    <s v="TXN0001366"/>
    <s v="CUST00182"/>
    <b v="1"/>
    <d v="2025-09-01T00:00:00"/>
    <x v="1"/>
    <s v="Toll"/>
    <n v="4917.24"/>
    <n v="75.55"/>
    <b v="1"/>
    <s v="Completed"/>
    <n v="75.55"/>
    <x v="0"/>
    <s v="REP009"/>
    <x v="4"/>
    <s v="Toll Solution"/>
    <s v="SME"/>
  </r>
  <r>
    <s v="TXN0001367"/>
    <s v="CUST00182"/>
    <b v="1"/>
    <d v="2025-10-21T00:00:00"/>
    <x v="2"/>
    <s v="Toll"/>
    <n v="2133.63"/>
    <n v="35.4"/>
    <b v="1"/>
    <s v="Completed"/>
    <n v="35.4"/>
    <x v="0"/>
    <s v="REP009"/>
    <x v="4"/>
    <s v="Toll Solution"/>
    <s v="SME"/>
  </r>
  <r>
    <s v="TXN0001368"/>
    <s v="CUST00182"/>
    <b v="1"/>
    <d v="2025-11-24T00:00:00"/>
    <x v="3"/>
    <s v="Toll"/>
    <n v="5041.33"/>
    <n v="99.3"/>
    <b v="1"/>
    <s v="Completed"/>
    <n v="99.3"/>
    <x v="0"/>
    <s v="REP009"/>
    <x v="4"/>
    <s v="Toll Solution"/>
    <s v="SME"/>
  </r>
  <r>
    <s v="TXN0001369"/>
    <s v="CUST00182"/>
    <b v="1"/>
    <d v="2025-11-10T00:00:00"/>
    <x v="3"/>
    <s v="Toll"/>
    <n v="4796.5"/>
    <n v="75.430000000000007"/>
    <b v="1"/>
    <s v="Completed"/>
    <n v="75.430000000000007"/>
    <x v="0"/>
    <s v="REP009"/>
    <x v="4"/>
    <s v="Toll Solution"/>
    <s v="SME"/>
  </r>
  <r>
    <s v="TXN0001370"/>
    <s v="CUST00182"/>
    <b v="1"/>
    <d v="2025-12-21T00:00:00"/>
    <x v="4"/>
    <s v="Toll"/>
    <n v="2392.96"/>
    <n v="40.06"/>
    <b v="1"/>
    <s v="Completed"/>
    <n v="40.06"/>
    <x v="0"/>
    <s v="REP009"/>
    <x v="4"/>
    <s v="Toll Solution"/>
    <s v="SME"/>
  </r>
  <r>
    <s v="TXN0001371"/>
    <s v="CUST00182"/>
    <b v="1"/>
    <d v="2025-12-30T00:00:00"/>
    <x v="4"/>
    <s v="Toll"/>
    <n v="2768.82"/>
    <n v="47.78"/>
    <b v="1"/>
    <s v="Completed"/>
    <n v="47.78"/>
    <x v="0"/>
    <s v="REP009"/>
    <x v="4"/>
    <s v="Toll Solution"/>
    <s v="SME"/>
  </r>
  <r>
    <s v="TXN0001372"/>
    <s v="CUST00185"/>
    <b v="1"/>
    <d v="2025-03-16T00:00:00"/>
    <x v="10"/>
    <s v="Fuel"/>
    <n v="3091.99"/>
    <n v="77.58"/>
    <b v="1"/>
    <s v="Completed"/>
    <n v="77.58"/>
    <x v="0"/>
    <s v="REP008"/>
    <x v="0"/>
    <s v="Fuel Card"/>
    <s v="SME"/>
  </r>
  <r>
    <s v="TXN0001373"/>
    <s v="CUST00185"/>
    <b v="1"/>
    <d v="2025-03-19T00:00:00"/>
    <x v="10"/>
    <s v="Fuel"/>
    <n v="3145.12"/>
    <n v="85.68"/>
    <b v="1"/>
    <s v="Completed"/>
    <n v="85.68"/>
    <x v="0"/>
    <s v="REP008"/>
    <x v="0"/>
    <s v="Fuel Card"/>
    <s v="SME"/>
  </r>
  <r>
    <s v="TXN0001374"/>
    <s v="CUST00185"/>
    <b v="1"/>
    <d v="2025-03-29T00:00:00"/>
    <x v="10"/>
    <s v="Fuel"/>
    <n v="4279.3900000000003"/>
    <n v="101.28"/>
    <b v="1"/>
    <s v="Completed"/>
    <n v="101.28"/>
    <x v="0"/>
    <s v="REP008"/>
    <x v="0"/>
    <s v="Fuel Card"/>
    <s v="SME"/>
  </r>
  <r>
    <s v="TXN0001375"/>
    <s v="CUST00185"/>
    <b v="1"/>
    <d v="2025-04-10T00:00:00"/>
    <x v="5"/>
    <s v="Fuel"/>
    <n v="1784.79"/>
    <n v="44.37"/>
    <b v="1"/>
    <s v="Completed"/>
    <n v="44.37"/>
    <x v="0"/>
    <s v="REP008"/>
    <x v="0"/>
    <s v="Fuel Card"/>
    <s v="SME"/>
  </r>
  <r>
    <s v="TXN0001376"/>
    <s v="CUST00185"/>
    <b v="1"/>
    <d v="2025-05-29T00:00:00"/>
    <x v="6"/>
    <s v="Fuel"/>
    <n v="4323.24"/>
    <n v="111.63"/>
    <b v="1"/>
    <s v="Completed"/>
    <n v="111.63"/>
    <x v="0"/>
    <s v="REP008"/>
    <x v="0"/>
    <s v="Fuel Card"/>
    <s v="SME"/>
  </r>
  <r>
    <s v="TXN0001377"/>
    <s v="CUST00185"/>
    <b v="1"/>
    <d v="2025-05-25T00:00:00"/>
    <x v="6"/>
    <s v="Fuel"/>
    <n v="2129.5"/>
    <n v="57.89"/>
    <b v="1"/>
    <s v="Completed"/>
    <n v="57.89"/>
    <x v="0"/>
    <s v="REP008"/>
    <x v="0"/>
    <s v="Fuel Card"/>
    <s v="SME"/>
  </r>
  <r>
    <s v="TXN0001378"/>
    <s v="CUST00185"/>
    <b v="1"/>
    <d v="2025-05-18T00:00:00"/>
    <x v="6"/>
    <s v="Fuel"/>
    <n v="1725.93"/>
    <n v="48.56"/>
    <b v="1"/>
    <s v="Completed"/>
    <n v="48.56"/>
    <x v="0"/>
    <s v="REP008"/>
    <x v="0"/>
    <s v="Fuel Card"/>
    <s v="SME"/>
  </r>
  <r>
    <s v="TXN0001379"/>
    <s v="CUST00185"/>
    <b v="1"/>
    <d v="2025-06-23T00:00:00"/>
    <x v="7"/>
    <s v="Fuel"/>
    <n v="5075.09"/>
    <n v="119.09"/>
    <b v="1"/>
    <s v="Completed"/>
    <n v="119.09"/>
    <x v="0"/>
    <s v="REP008"/>
    <x v="0"/>
    <s v="Fuel Card"/>
    <s v="SME"/>
  </r>
  <r>
    <s v="TXN0001380"/>
    <s v="CUST00185"/>
    <b v="1"/>
    <d v="2025-06-10T00:00:00"/>
    <x v="7"/>
    <s v="Fuel"/>
    <n v="4598.13"/>
    <n v="130.78"/>
    <b v="1"/>
    <s v="Completed"/>
    <n v="130.78"/>
    <x v="0"/>
    <s v="REP008"/>
    <x v="0"/>
    <s v="Fuel Card"/>
    <s v="SME"/>
  </r>
  <r>
    <s v="TXN0001381"/>
    <s v="CUST00185"/>
    <b v="1"/>
    <d v="2025-07-17T00:00:00"/>
    <x v="8"/>
    <s v="Fuel"/>
    <n v="4391.75"/>
    <n v="121.37"/>
    <b v="1"/>
    <s v="Completed"/>
    <n v="121.37"/>
    <x v="0"/>
    <s v="REP008"/>
    <x v="0"/>
    <s v="Fuel Card"/>
    <s v="SME"/>
  </r>
  <r>
    <s v="TXN0001382"/>
    <s v="CUST00185"/>
    <b v="1"/>
    <d v="2025-07-14T00:00:00"/>
    <x v="8"/>
    <s v="Fuel"/>
    <n v="2127.21"/>
    <n v="45.93"/>
    <b v="1"/>
    <s v="Completed"/>
    <n v="45.93"/>
    <x v="0"/>
    <s v="REP008"/>
    <x v="0"/>
    <s v="Fuel Card"/>
    <s v="SME"/>
  </r>
  <r>
    <s v="TXN0001383"/>
    <s v="CUST00185"/>
    <b v="1"/>
    <d v="2025-08-11T00:00:00"/>
    <x v="0"/>
    <s v="Fuel"/>
    <n v="3942.17"/>
    <n v="106.46"/>
    <b v="1"/>
    <s v="Completed"/>
    <n v="106.46"/>
    <x v="0"/>
    <s v="REP008"/>
    <x v="0"/>
    <s v="Fuel Card"/>
    <s v="SME"/>
  </r>
  <r>
    <s v="TXN0001384"/>
    <s v="CUST00185"/>
    <b v="1"/>
    <d v="2025-09-13T00:00:00"/>
    <x v="1"/>
    <s v="Fuel"/>
    <n v="1498.86"/>
    <n v="0"/>
    <b v="1"/>
    <s v="Cancelled"/>
    <n v="0"/>
    <x v="0"/>
    <s v="REP008"/>
    <x v="0"/>
    <s v="Fuel Card"/>
    <s v="SME"/>
  </r>
  <r>
    <s v="TXN0001385"/>
    <s v="CUST00185"/>
    <b v="1"/>
    <d v="2025-09-22T00:00:00"/>
    <x v="1"/>
    <s v="Fuel"/>
    <n v="2424.8000000000002"/>
    <n v="68.510000000000005"/>
    <b v="1"/>
    <s v="Completed"/>
    <n v="68.510000000000005"/>
    <x v="0"/>
    <s v="REP008"/>
    <x v="0"/>
    <s v="Fuel Card"/>
    <s v="SME"/>
  </r>
  <r>
    <s v="TXN0001386"/>
    <s v="CUST00185"/>
    <b v="1"/>
    <d v="2025-10-25T00:00:00"/>
    <x v="2"/>
    <s v="Fuel"/>
    <n v="1828.03"/>
    <n v="0"/>
    <b v="1"/>
    <s v="Cancelled"/>
    <n v="0"/>
    <x v="0"/>
    <s v="REP008"/>
    <x v="0"/>
    <s v="Fuel Card"/>
    <s v="SME"/>
  </r>
  <r>
    <s v="TXN0001387"/>
    <s v="CUST00185"/>
    <b v="1"/>
    <d v="2025-11-01T00:00:00"/>
    <x v="3"/>
    <s v="Fuel"/>
    <n v="2974.44"/>
    <n v="67.81"/>
    <b v="1"/>
    <s v="Completed"/>
    <n v="67.81"/>
    <x v="0"/>
    <s v="REP008"/>
    <x v="0"/>
    <s v="Fuel Card"/>
    <s v="SME"/>
  </r>
  <r>
    <s v="TXN0001388"/>
    <s v="CUST00185"/>
    <b v="1"/>
    <d v="2025-11-01T00:00:00"/>
    <x v="3"/>
    <s v="Fuel"/>
    <n v="2736.75"/>
    <n v="76.459999999999994"/>
    <b v="1"/>
    <s v="Completed"/>
    <n v="76.459999999999994"/>
    <x v="0"/>
    <s v="REP008"/>
    <x v="0"/>
    <s v="Fuel Card"/>
    <s v="SME"/>
  </r>
  <r>
    <s v="TXN0001389"/>
    <s v="CUST00185"/>
    <b v="1"/>
    <d v="2025-11-19T00:00:00"/>
    <x v="3"/>
    <s v="Fuel"/>
    <n v="2898.04"/>
    <n v="72.75"/>
    <b v="1"/>
    <s v="Completed"/>
    <n v="72.75"/>
    <x v="0"/>
    <s v="REP008"/>
    <x v="0"/>
    <s v="Fuel Card"/>
    <s v="SME"/>
  </r>
  <r>
    <s v="TXN0001390"/>
    <s v="CUST00185"/>
    <b v="1"/>
    <d v="2025-12-19T00:00:00"/>
    <x v="4"/>
    <s v="Fuel"/>
    <n v="4990.1000000000004"/>
    <n v="123.15"/>
    <b v="1"/>
    <s v="Completed"/>
    <n v="123.15"/>
    <x v="0"/>
    <s v="REP008"/>
    <x v="0"/>
    <s v="Fuel Card"/>
    <s v="SME"/>
  </r>
  <r>
    <s v="TXN0001391"/>
    <s v="CUST00185"/>
    <b v="1"/>
    <d v="2025-12-02T00:00:00"/>
    <x v="4"/>
    <s v="Fuel"/>
    <n v="2791.24"/>
    <n v="61.76"/>
    <b v="1"/>
    <s v="Completed"/>
    <n v="61.76"/>
    <x v="0"/>
    <s v="REP008"/>
    <x v="0"/>
    <s v="Fuel Card"/>
    <s v="SME"/>
  </r>
  <r>
    <s v="TXN0001392"/>
    <s v="CUST00186"/>
    <b v="1"/>
    <d v="2025-07-28T00:00:00"/>
    <x v="8"/>
    <s v="EV Charging"/>
    <n v="16942.77"/>
    <n v="502.04"/>
    <b v="1"/>
    <s v="Completed"/>
    <n v="502.04"/>
    <x v="0"/>
    <s v="REP009"/>
    <x v="2"/>
    <s v="EV Charge Card"/>
    <s v="Mid-Market"/>
  </r>
  <r>
    <s v="TXN0001393"/>
    <s v="CUST00186"/>
    <b v="1"/>
    <d v="2025-07-15T00:00:00"/>
    <x v="8"/>
    <s v="EV Charging"/>
    <n v="13683.3"/>
    <n v="405.95"/>
    <b v="1"/>
    <s v="Completed"/>
    <n v="405.95"/>
    <x v="0"/>
    <s v="REP009"/>
    <x v="2"/>
    <s v="EV Charge Card"/>
    <s v="Mid-Market"/>
  </r>
  <r>
    <s v="TXN0001394"/>
    <s v="CUST00186"/>
    <b v="1"/>
    <d v="2025-08-11T00:00:00"/>
    <x v="0"/>
    <s v="EV Charging"/>
    <n v="16512.75"/>
    <n v="472.55"/>
    <b v="1"/>
    <s v="Completed"/>
    <n v="472.55"/>
    <x v="0"/>
    <s v="REP009"/>
    <x v="2"/>
    <s v="EV Charge Card"/>
    <s v="Mid-Market"/>
  </r>
  <r>
    <s v="TXN0001395"/>
    <s v="CUST00186"/>
    <b v="1"/>
    <d v="2025-08-30T00:00:00"/>
    <x v="0"/>
    <s v="EV Charging"/>
    <n v="6434.01"/>
    <n v="207.82"/>
    <b v="1"/>
    <s v="Completed"/>
    <n v="207.82"/>
    <x v="0"/>
    <s v="REP009"/>
    <x v="2"/>
    <s v="EV Charge Card"/>
    <s v="Mid-Market"/>
  </r>
  <r>
    <s v="TXN0001396"/>
    <s v="CUST00186"/>
    <b v="1"/>
    <d v="2025-09-27T00:00:00"/>
    <x v="1"/>
    <s v="EV Charging"/>
    <n v="8768.5400000000009"/>
    <n v="295.13"/>
    <b v="1"/>
    <s v="Completed"/>
    <n v="295.13"/>
    <x v="0"/>
    <s v="REP009"/>
    <x v="2"/>
    <s v="EV Charge Card"/>
    <s v="Mid-Market"/>
  </r>
  <r>
    <s v="TXN0001397"/>
    <s v="CUST00186"/>
    <b v="1"/>
    <d v="2025-09-12T00:00:00"/>
    <x v="1"/>
    <s v="EV Charging"/>
    <n v="9002.4500000000007"/>
    <n v="239.04"/>
    <b v="1"/>
    <s v="Completed"/>
    <n v="239.04"/>
    <x v="0"/>
    <s v="REP009"/>
    <x v="2"/>
    <s v="EV Charge Card"/>
    <s v="Mid-Market"/>
  </r>
  <r>
    <s v="TXN0001398"/>
    <s v="CUST00186"/>
    <b v="1"/>
    <d v="2025-10-08T00:00:00"/>
    <x v="2"/>
    <s v="EV Charging"/>
    <n v="5796.85"/>
    <n v="196.74"/>
    <b v="1"/>
    <s v="Completed"/>
    <n v="196.74"/>
    <x v="0"/>
    <s v="REP009"/>
    <x v="2"/>
    <s v="EV Charge Card"/>
    <s v="Mid-Market"/>
  </r>
  <r>
    <s v="TXN0001399"/>
    <s v="CUST00186"/>
    <b v="1"/>
    <d v="2025-10-25T00:00:00"/>
    <x v="2"/>
    <s v="EV Charging"/>
    <n v="12601.23"/>
    <n v="333.07"/>
    <b v="1"/>
    <s v="Completed"/>
    <n v="333.07"/>
    <x v="0"/>
    <s v="REP009"/>
    <x v="2"/>
    <s v="EV Charge Card"/>
    <s v="Mid-Market"/>
  </r>
  <r>
    <s v="TXN0001400"/>
    <s v="CUST00186"/>
    <b v="1"/>
    <d v="2025-10-01T00:00:00"/>
    <x v="2"/>
    <s v="EV Charging"/>
    <n v="5260.6"/>
    <n v="172.77"/>
    <b v="1"/>
    <s v="Completed"/>
    <n v="172.77"/>
    <x v="0"/>
    <s v="REP009"/>
    <x v="2"/>
    <s v="EV Charge Card"/>
    <s v="Mid-Market"/>
  </r>
  <r>
    <s v="TXN0001401"/>
    <s v="CUST00186"/>
    <b v="1"/>
    <d v="2025-11-16T00:00:00"/>
    <x v="3"/>
    <s v="EV Charging"/>
    <n v="14552.17"/>
    <n v="390.46"/>
    <b v="1"/>
    <s v="Completed"/>
    <n v="390.46"/>
    <x v="0"/>
    <s v="REP009"/>
    <x v="2"/>
    <s v="EV Charge Card"/>
    <s v="Mid-Market"/>
  </r>
  <r>
    <s v="TXN0001402"/>
    <s v="CUST00186"/>
    <b v="1"/>
    <d v="2025-11-20T00:00:00"/>
    <x v="3"/>
    <s v="EV Charging"/>
    <n v="11387.67"/>
    <n v="316.43"/>
    <b v="1"/>
    <s v="Completed"/>
    <n v="316.43"/>
    <x v="0"/>
    <s v="REP009"/>
    <x v="2"/>
    <s v="EV Charge Card"/>
    <s v="Mid-Market"/>
  </r>
  <r>
    <s v="TXN0001403"/>
    <s v="CUST00186"/>
    <b v="1"/>
    <d v="2025-11-09T00:00:00"/>
    <x v="3"/>
    <s v="EV Charging"/>
    <n v="16267.03"/>
    <n v="446.38"/>
    <b v="1"/>
    <s v="Completed"/>
    <n v="446.38"/>
    <x v="0"/>
    <s v="REP009"/>
    <x v="2"/>
    <s v="EV Charge Card"/>
    <s v="Mid-Market"/>
  </r>
  <r>
    <s v="TXN0001404"/>
    <s v="CUST00186"/>
    <b v="1"/>
    <d v="2025-12-22T00:00:00"/>
    <x v="4"/>
    <s v="EV Charging"/>
    <n v="5120.42"/>
    <n v="168.35"/>
    <b v="1"/>
    <s v="Completed"/>
    <n v="168.35"/>
    <x v="0"/>
    <s v="REP009"/>
    <x v="2"/>
    <s v="EV Charge Card"/>
    <s v="Mid-Market"/>
  </r>
  <r>
    <s v="TXN0001405"/>
    <s v="CUST00190"/>
    <b v="1"/>
    <d v="2025-07-13T00:00:00"/>
    <x v="8"/>
    <s v="Fuel"/>
    <n v="30246.880000000001"/>
    <n v="833.5"/>
    <b v="1"/>
    <s v="Completed"/>
    <n v="833.5"/>
    <x v="1"/>
    <s v="REP015"/>
    <x v="1"/>
    <s v="Fleet Expense Card"/>
    <s v="Enterprise"/>
  </r>
  <r>
    <s v="TXN0001406"/>
    <s v="CUST00190"/>
    <b v="1"/>
    <d v="2025-07-10T00:00:00"/>
    <x v="8"/>
    <s v="Fuel"/>
    <n v="18853.91"/>
    <n v="475.15"/>
    <b v="1"/>
    <s v="Completed"/>
    <n v="475.15"/>
    <x v="1"/>
    <s v="REP015"/>
    <x v="1"/>
    <s v="Fleet Expense Card"/>
    <s v="Enterprise"/>
  </r>
  <r>
    <s v="TXN0001407"/>
    <s v="CUST00190"/>
    <b v="1"/>
    <d v="2025-08-05T00:00:00"/>
    <x v="0"/>
    <s v="Lodging"/>
    <n v="32129.58"/>
    <n v="972.33"/>
    <b v="1"/>
    <s v="Completed"/>
    <n v="972.33"/>
    <x v="1"/>
    <s v="REP015"/>
    <x v="1"/>
    <s v="Fleet Expense Card"/>
    <s v="Enterprise"/>
  </r>
  <r>
    <s v="TXN0001408"/>
    <s v="CUST00190"/>
    <b v="1"/>
    <d v="2025-09-19T00:00:00"/>
    <x v="1"/>
    <s v="Fuel"/>
    <n v="18197.47"/>
    <n v="525.33000000000004"/>
    <b v="1"/>
    <s v="Completed"/>
    <n v="525.33000000000004"/>
    <x v="1"/>
    <s v="REP015"/>
    <x v="1"/>
    <s v="Fleet Expense Card"/>
    <s v="Enterprise"/>
  </r>
  <r>
    <s v="TXN0001409"/>
    <s v="CUST00190"/>
    <b v="1"/>
    <d v="2025-10-04T00:00:00"/>
    <x v="2"/>
    <s v="Fuel"/>
    <n v="61327.22"/>
    <n v="1776.14"/>
    <b v="1"/>
    <s v="Completed"/>
    <n v="1776.14"/>
    <x v="1"/>
    <s v="REP015"/>
    <x v="1"/>
    <s v="Fleet Expense Card"/>
    <s v="Enterprise"/>
  </r>
  <r>
    <s v="TXN0001410"/>
    <s v="CUST00190"/>
    <b v="1"/>
    <d v="2025-11-24T00:00:00"/>
    <x v="3"/>
    <s v="Lodging"/>
    <n v="45880.92"/>
    <n v="1294.1400000000001"/>
    <b v="1"/>
    <s v="Completed"/>
    <n v="1294.1400000000001"/>
    <x v="1"/>
    <s v="REP015"/>
    <x v="1"/>
    <s v="Fleet Expense Card"/>
    <s v="Enterprise"/>
  </r>
  <r>
    <s v="TXN0001411"/>
    <s v="CUST00190"/>
    <b v="1"/>
    <d v="2025-12-23T00:00:00"/>
    <x v="4"/>
    <s v="Fuel"/>
    <n v="29732.62"/>
    <n v="801.73"/>
    <b v="1"/>
    <s v="Completed"/>
    <n v="801.73"/>
    <x v="1"/>
    <s v="REP015"/>
    <x v="1"/>
    <s v="Fleet Expense Card"/>
    <s v="Enterprise"/>
  </r>
  <r>
    <s v="TXN0001412"/>
    <s v="CUST00191"/>
    <b v="1"/>
    <d v="2025-05-13T00:00:00"/>
    <x v="6"/>
    <s v="Fuel"/>
    <n v="4249.41"/>
    <n v="100.57"/>
    <b v="1"/>
    <s v="Completed"/>
    <n v="100.57"/>
    <x v="3"/>
    <s v="REP003"/>
    <x v="2"/>
    <s v="Fuel Card"/>
    <s v="SME"/>
  </r>
  <r>
    <s v="TXN0001413"/>
    <s v="CUST00191"/>
    <b v="1"/>
    <d v="2025-06-29T00:00:00"/>
    <x v="7"/>
    <s v="Fuel"/>
    <n v="1583.93"/>
    <n v="35.46"/>
    <b v="1"/>
    <s v="Completed"/>
    <n v="35.46"/>
    <x v="3"/>
    <s v="REP003"/>
    <x v="2"/>
    <s v="Fuel Card"/>
    <s v="SME"/>
  </r>
  <r>
    <s v="TXN0001414"/>
    <s v="CUST00191"/>
    <b v="1"/>
    <d v="2025-07-23T00:00:00"/>
    <x v="8"/>
    <s v="Fuel"/>
    <n v="5235.79"/>
    <n v="129.07"/>
    <b v="1"/>
    <s v="Completed"/>
    <n v="129.07"/>
    <x v="3"/>
    <s v="REP003"/>
    <x v="2"/>
    <s v="Fuel Card"/>
    <s v="SME"/>
  </r>
  <r>
    <s v="TXN0001415"/>
    <s v="CUST00191"/>
    <b v="1"/>
    <d v="2025-07-22T00:00:00"/>
    <x v="8"/>
    <s v="Fuel"/>
    <n v="2950.5"/>
    <n v="79.73"/>
    <b v="1"/>
    <s v="Completed"/>
    <n v="79.73"/>
    <x v="3"/>
    <s v="REP003"/>
    <x v="2"/>
    <s v="Fuel Card"/>
    <s v="SME"/>
  </r>
  <r>
    <s v="TXN0001416"/>
    <s v="CUST00191"/>
    <b v="1"/>
    <d v="2025-07-23T00:00:00"/>
    <x v="8"/>
    <s v="Fuel"/>
    <n v="4487.0200000000004"/>
    <n v="110.7"/>
    <b v="1"/>
    <s v="Completed"/>
    <n v="110.7"/>
    <x v="3"/>
    <s v="REP003"/>
    <x v="2"/>
    <s v="Fuel Card"/>
    <s v="SME"/>
  </r>
  <r>
    <s v="TXN0001417"/>
    <s v="CUST99999"/>
    <b v="0"/>
    <d v="2025-08-27T00:00:00"/>
    <x v="0"/>
    <s v="Fuel"/>
    <n v="1389.41"/>
    <n v="33.909999999999997"/>
    <b v="1"/>
    <s v="Completed"/>
    <n v="0"/>
    <x v="3"/>
    <s v="Unmatched"/>
    <x v="3"/>
    <s v="Unmatched"/>
    <s v="Unmatched"/>
  </r>
  <r>
    <s v="TXN0001418"/>
    <s v="CUST00191"/>
    <b v="1"/>
    <d v="2025-09-27T00:00:00"/>
    <x v="1"/>
    <s v="Fuel"/>
    <n v="1661.41"/>
    <n v="38.299999999999997"/>
    <b v="1"/>
    <s v="Completed"/>
    <n v="38.299999999999997"/>
    <x v="3"/>
    <s v="REP003"/>
    <x v="2"/>
    <s v="Fuel Card"/>
    <s v="SME"/>
  </r>
  <r>
    <s v="TXN0001419"/>
    <s v="CUST00191"/>
    <b v="1"/>
    <d v="2025-09-15T00:00:00"/>
    <x v="1"/>
    <s v="Fuel"/>
    <n v="4824.7"/>
    <n v="109.48"/>
    <b v="1"/>
    <s v="Completed"/>
    <n v="109.48"/>
    <x v="3"/>
    <s v="REP003"/>
    <x v="2"/>
    <s v="Fuel Card"/>
    <s v="SME"/>
  </r>
  <r>
    <s v="TXN0001420"/>
    <s v="CUST00191"/>
    <b v="1"/>
    <d v="2025-09-18T00:00:00"/>
    <x v="1"/>
    <s v="Fuel"/>
    <n v="2311.64"/>
    <n v="62.52"/>
    <b v="1"/>
    <s v="Completed"/>
    <n v="62.52"/>
    <x v="3"/>
    <s v="REP003"/>
    <x v="2"/>
    <s v="Fuel Card"/>
    <s v="SME"/>
  </r>
  <r>
    <s v="TXN0001421"/>
    <s v="CUST00191"/>
    <b v="1"/>
    <d v="2025-10-07T00:00:00"/>
    <x v="2"/>
    <s v="Fuel"/>
    <n v="2050.4899999999998"/>
    <n v="52.88"/>
    <b v="1"/>
    <s v="Completed"/>
    <n v="52.88"/>
    <x v="3"/>
    <s v="REP003"/>
    <x v="2"/>
    <s v="Fuel Card"/>
    <s v="SME"/>
  </r>
  <r>
    <s v="TXN0001422"/>
    <s v="CUST00191"/>
    <b v="1"/>
    <d v="2025-11-14T00:00:00"/>
    <x v="3"/>
    <s v="Fuel"/>
    <n v="1584.37"/>
    <n v="34.520000000000003"/>
    <b v="1"/>
    <s v="Completed"/>
    <n v="34.520000000000003"/>
    <x v="3"/>
    <s v="REP003"/>
    <x v="2"/>
    <s v="Fuel Card"/>
    <s v="SME"/>
  </r>
  <r>
    <s v="TXN0001423"/>
    <s v="CUST00191"/>
    <b v="1"/>
    <d v="2025-11-23T00:00:00"/>
    <x v="3"/>
    <s v="Fuel"/>
    <n v="2926.16"/>
    <n v="68.62"/>
    <b v="1"/>
    <s v="Completed"/>
    <n v="68.62"/>
    <x v="3"/>
    <s v="REP003"/>
    <x v="2"/>
    <s v="Fuel Card"/>
    <s v="SME"/>
  </r>
  <r>
    <s v="TXN0001424"/>
    <s v="CUST00191"/>
    <b v="1"/>
    <d v="2025-12-24T00:00:00"/>
    <x v="4"/>
    <s v="Fuel"/>
    <n v="2197.3000000000002"/>
    <n v="55.49"/>
    <b v="1"/>
    <s v="Completed"/>
    <n v="55.49"/>
    <x v="3"/>
    <s v="REP003"/>
    <x v="2"/>
    <s v="Fuel Card"/>
    <s v="SME"/>
  </r>
  <r>
    <s v="TXN0001425"/>
    <s v="CUST00191"/>
    <b v="1"/>
    <d v="2025-12-14T00:00:00"/>
    <x v="4"/>
    <s v="Fuel"/>
    <n v="1534.44"/>
    <n v="43.9"/>
    <b v="1"/>
    <s v="Completed"/>
    <n v="43.9"/>
    <x v="3"/>
    <s v="REP003"/>
    <x v="2"/>
    <s v="Fuel Card"/>
    <s v="SME"/>
  </r>
  <r>
    <s v="TXN0001426"/>
    <s v="CUST00191"/>
    <b v="1"/>
    <d v="2025-12-22T00:00:00"/>
    <x v="4"/>
    <s v="Fuel"/>
    <n v="3951.9"/>
    <n v="0"/>
    <b v="1"/>
    <s v="Cancelled"/>
    <n v="0"/>
    <x v="3"/>
    <s v="REP003"/>
    <x v="2"/>
    <s v="Fuel Card"/>
    <s v="SME"/>
  </r>
  <r>
    <s v="TXN0001427"/>
    <s v="CUST00192"/>
    <b v="1"/>
    <d v="2025-03-22T00:00:00"/>
    <x v="10"/>
    <s v="Toll"/>
    <n v="7354.56"/>
    <n v="146.97999999999999"/>
    <b v="1"/>
    <s v="Completed"/>
    <n v="146.97999999999999"/>
    <x v="3"/>
    <s v="REP002"/>
    <x v="2"/>
    <s v="Toll Solution"/>
    <s v="Mid-Market"/>
  </r>
  <r>
    <s v="TXN0001428"/>
    <s v="CUST00192"/>
    <b v="1"/>
    <d v="2025-04-04T00:00:00"/>
    <x v="5"/>
    <s v="Toll"/>
    <n v="12557.54"/>
    <n v="212.46"/>
    <b v="1"/>
    <s v="Completed"/>
    <n v="212.46"/>
    <x v="3"/>
    <s v="REP002"/>
    <x v="2"/>
    <s v="Toll Solution"/>
    <s v="Mid-Market"/>
  </r>
  <r>
    <s v="TXN0001429"/>
    <s v="CUST00192"/>
    <b v="1"/>
    <d v="2025-04-14T00:00:00"/>
    <x v="5"/>
    <s v="Toll"/>
    <n v="8586.0499999999993"/>
    <n v="173.47"/>
    <b v="1"/>
    <s v="Completed"/>
    <n v="173.47"/>
    <x v="3"/>
    <s v="REP002"/>
    <x v="2"/>
    <s v="Toll Solution"/>
    <s v="Mid-Market"/>
  </r>
  <r>
    <s v="TXN0001430"/>
    <s v="CUST00192"/>
    <b v="1"/>
    <d v="2025-05-15T00:00:00"/>
    <x v="6"/>
    <s v="Toll"/>
    <n v="17009.36"/>
    <n v="278.05"/>
    <b v="1"/>
    <s v="Completed"/>
    <n v="278.05"/>
    <x v="3"/>
    <s v="REP002"/>
    <x v="2"/>
    <s v="Toll Solution"/>
    <s v="Mid-Market"/>
  </r>
  <r>
    <s v="TXN0001431"/>
    <s v="CUST00192"/>
    <b v="1"/>
    <d v="2025-05-16T00:00:00"/>
    <x v="6"/>
    <s v="Toll"/>
    <n v="5665.19"/>
    <n v="87.75"/>
    <b v="1"/>
    <s v="Completed"/>
    <n v="87.75"/>
    <x v="3"/>
    <s v="REP002"/>
    <x v="2"/>
    <s v="Toll Solution"/>
    <s v="Mid-Market"/>
  </r>
  <r>
    <s v="TXN0001432"/>
    <s v="CUST00192"/>
    <b v="1"/>
    <d v="2025-05-05T00:00:00"/>
    <x v="6"/>
    <s v="Toll"/>
    <n v="17163.91"/>
    <n v="290.64"/>
    <b v="1"/>
    <s v="Completed"/>
    <n v="290.64"/>
    <x v="3"/>
    <s v="REP002"/>
    <x v="2"/>
    <s v="Toll Solution"/>
    <s v="Mid-Market"/>
  </r>
  <r>
    <s v="TXN0001433"/>
    <s v="CUST00192"/>
    <b v="1"/>
    <d v="2025-06-21T00:00:00"/>
    <x v="7"/>
    <s v="Toll"/>
    <n v="14124.22"/>
    <n v="222.5"/>
    <b v="1"/>
    <s v="Completed"/>
    <n v="222.5"/>
    <x v="3"/>
    <s v="REP002"/>
    <x v="2"/>
    <s v="Toll Solution"/>
    <s v="Mid-Market"/>
  </r>
  <r>
    <s v="TXN0001434"/>
    <s v="CUST00192"/>
    <b v="1"/>
    <d v="2025-07-20T00:00:00"/>
    <x v="8"/>
    <s v="Toll"/>
    <n v="17488.79"/>
    <n v="294.45999999999998"/>
    <b v="1"/>
    <s v="Completed"/>
    <n v="294.45999999999998"/>
    <x v="3"/>
    <s v="REP002"/>
    <x v="2"/>
    <s v="Toll Solution"/>
    <s v="Mid-Market"/>
  </r>
  <r>
    <s v="TXN0001435"/>
    <s v="CUST00192"/>
    <b v="1"/>
    <d v="2025-07-06T00:00:00"/>
    <x v="8"/>
    <s v="Toll"/>
    <n v="6191.68"/>
    <n v="0"/>
    <b v="1"/>
    <s v="Cancelled"/>
    <n v="0"/>
    <x v="3"/>
    <s v="REP002"/>
    <x v="2"/>
    <s v="Toll Solution"/>
    <s v="Mid-Market"/>
  </r>
  <r>
    <s v="TXN0001436"/>
    <s v="CUST00192"/>
    <b v="1"/>
    <d v="2025-08-16T00:00:00"/>
    <x v="0"/>
    <s v="Toll"/>
    <n v="15714.05"/>
    <n v="315.08999999999997"/>
    <b v="1"/>
    <s v="Completed"/>
    <n v="315.08999999999997"/>
    <x v="3"/>
    <s v="REP002"/>
    <x v="2"/>
    <s v="Toll Solution"/>
    <s v="Mid-Market"/>
  </r>
  <r>
    <s v="TXN0001437"/>
    <s v="CUST00192"/>
    <b v="1"/>
    <d v="2025-08-14T00:00:00"/>
    <x v="0"/>
    <s v="Toll"/>
    <n v="4455.1899999999996"/>
    <n v="83.06"/>
    <b v="1"/>
    <s v="Completed"/>
    <n v="83.06"/>
    <x v="3"/>
    <s v="REP002"/>
    <x v="2"/>
    <s v="Toll Solution"/>
    <s v="Mid-Market"/>
  </r>
  <r>
    <s v="TXN0001438"/>
    <s v="CUST00192"/>
    <b v="1"/>
    <d v="2025-08-15T00:00:00"/>
    <x v="0"/>
    <s v="Toll"/>
    <n v="10380.01"/>
    <n v="181.35"/>
    <b v="1"/>
    <s v="Completed"/>
    <n v="181.35"/>
    <x v="3"/>
    <s v="REP002"/>
    <x v="2"/>
    <s v="Toll Solution"/>
    <s v="Mid-Market"/>
  </r>
  <r>
    <s v="TXN0001439"/>
    <s v="CUST00192"/>
    <b v="1"/>
    <d v="2025-09-24T00:00:00"/>
    <x v="1"/>
    <s v="Toll"/>
    <n v="16487.72"/>
    <n v="307.35000000000002"/>
    <b v="1"/>
    <s v="Completed"/>
    <n v="307.35000000000002"/>
    <x v="3"/>
    <s v="REP002"/>
    <x v="2"/>
    <s v="Toll Solution"/>
    <s v="Mid-Market"/>
  </r>
  <r>
    <s v="TXN0001440"/>
    <s v="CUST00192"/>
    <b v="1"/>
    <d v="2025-09-17T00:00:00"/>
    <x v="1"/>
    <s v="Toll"/>
    <n v="5308.06"/>
    <n v="88.97"/>
    <b v="1"/>
    <s v="Completed"/>
    <n v="88.97"/>
    <x v="3"/>
    <s v="REP002"/>
    <x v="2"/>
    <s v="Toll Solution"/>
    <s v="Mid-Market"/>
  </r>
  <r>
    <s v="TXN0001441"/>
    <s v="CUST00192"/>
    <b v="1"/>
    <d v="2025-09-21T00:00:00"/>
    <x v="1"/>
    <s v="Toll"/>
    <n v="7296.35"/>
    <n v="141.35"/>
    <b v="1"/>
    <s v="Completed"/>
    <n v="141.35"/>
    <x v="3"/>
    <s v="REP002"/>
    <x v="2"/>
    <s v="Toll Solution"/>
    <s v="Mid-Market"/>
  </r>
  <r>
    <s v="TXN0001442"/>
    <s v="CUST00192"/>
    <b v="1"/>
    <d v="2025-10-30T00:00:00"/>
    <x v="2"/>
    <s v="Toll"/>
    <n v="17834.95"/>
    <n v="0"/>
    <b v="1"/>
    <s v="Cancelled"/>
    <n v="0"/>
    <x v="3"/>
    <s v="REP002"/>
    <x v="2"/>
    <s v="Toll Solution"/>
    <s v="Mid-Market"/>
  </r>
  <r>
    <s v="TXN0001443"/>
    <s v="CUST00192"/>
    <b v="1"/>
    <d v="2025-10-09T00:00:00"/>
    <x v="2"/>
    <s v="Toll"/>
    <n v="13536.82"/>
    <n v="277.36"/>
    <b v="1"/>
    <s v="Completed"/>
    <n v="277.36"/>
    <x v="3"/>
    <s v="REP002"/>
    <x v="2"/>
    <s v="Toll Solution"/>
    <s v="Mid-Market"/>
  </r>
  <r>
    <s v="TXN0001444"/>
    <s v="CUST00192"/>
    <b v="1"/>
    <d v="2025-11-28T00:00:00"/>
    <x v="3"/>
    <s v="Toll"/>
    <n v="12324.1"/>
    <n v="194.64"/>
    <b v="1"/>
    <s v="Completed"/>
    <n v="194.64"/>
    <x v="3"/>
    <s v="REP002"/>
    <x v="2"/>
    <s v="Toll Solution"/>
    <s v="Mid-Market"/>
  </r>
  <r>
    <s v="TXN0001445"/>
    <s v="CUST00192"/>
    <b v="1"/>
    <d v="2025-11-28T00:00:00"/>
    <x v="3"/>
    <s v="Toll"/>
    <n v="5661.98"/>
    <n v="91.21"/>
    <b v="1"/>
    <s v="Completed"/>
    <n v="91.21"/>
    <x v="3"/>
    <s v="REP002"/>
    <x v="2"/>
    <s v="Toll Solution"/>
    <s v="Mid-Market"/>
  </r>
  <r>
    <s v="TXN0001446"/>
    <s v="CUST00192"/>
    <b v="1"/>
    <d v="2025-12-08T00:00:00"/>
    <x v="4"/>
    <s v="Toll"/>
    <n v="10217.11"/>
    <n v="199.45"/>
    <b v="1"/>
    <s v="Cancelled"/>
    <n v="0"/>
    <x v="3"/>
    <s v="REP002"/>
    <x v="2"/>
    <s v="Toll Solution"/>
    <s v="Mid-Market"/>
  </r>
  <r>
    <s v="TXN0001447"/>
    <s v="CUST00194"/>
    <b v="1"/>
    <d v="2025-04-25T00:00:00"/>
    <x v="5"/>
    <s v="Parking"/>
    <n v="21341.47"/>
    <n v="569.76"/>
    <b v="1"/>
    <s v="Completed"/>
    <n v="569.76"/>
    <x v="2"/>
    <s v="REP006"/>
    <x v="1"/>
    <s v="Fleet Expense Card"/>
    <s v="Enterprise"/>
  </r>
  <r>
    <s v="TXN0001448"/>
    <s v="CUST00194"/>
    <b v="1"/>
    <d v="2025-05-05T00:00:00"/>
    <x v="6"/>
    <s v="Lodging"/>
    <n v="23830.77"/>
    <n v="696.65"/>
    <b v="1"/>
    <s v="Completed"/>
    <n v="696.65"/>
    <x v="2"/>
    <s v="REP006"/>
    <x v="1"/>
    <s v="Fleet Expense Card"/>
    <s v="Enterprise"/>
  </r>
  <r>
    <s v="TXN0001449"/>
    <s v="CUST00194"/>
    <b v="1"/>
    <d v="2025-06-24T00:00:00"/>
    <x v="7"/>
    <s v="Fuel"/>
    <n v="52930.14"/>
    <n v="1521.86"/>
    <b v="1"/>
    <s v="Completed"/>
    <n v="1521.86"/>
    <x v="2"/>
    <s v="REP006"/>
    <x v="1"/>
    <s v="Fleet Expense Card"/>
    <s v="Enterprise"/>
  </r>
  <r>
    <s v="TXN0001450"/>
    <s v="CUST00194"/>
    <b v="1"/>
    <d v="2025-06-14T00:00:00"/>
    <x v="7"/>
    <s v="Lodging"/>
    <n v="18807.97"/>
    <n v="492.94"/>
    <b v="1"/>
    <s v="Completed"/>
    <n v="492.94"/>
    <x v="2"/>
    <s v="REP006"/>
    <x v="1"/>
    <s v="Fleet Expense Card"/>
    <s v="Enterprise"/>
  </r>
  <r>
    <s v="TXN0001451"/>
    <s v="CUST00194"/>
    <b v="1"/>
    <d v="2025-06-13T00:00:00"/>
    <x v="7"/>
    <s v="Parking"/>
    <n v="49061.38"/>
    <n v="1267.8"/>
    <b v="1"/>
    <s v="Completed"/>
    <n v="1267.8"/>
    <x v="2"/>
    <s v="REP006"/>
    <x v="1"/>
    <s v="Fleet Expense Card"/>
    <s v="Enterprise"/>
  </r>
  <r>
    <s v="TXN0001452"/>
    <s v="CUST00194"/>
    <b v="1"/>
    <d v="2025-07-17T00:00:00"/>
    <x v="8"/>
    <s v="Fuel"/>
    <n v="48938.13"/>
    <n v="1252.45"/>
    <b v="1"/>
    <s v="Completed"/>
    <n v="1252.45"/>
    <x v="2"/>
    <s v="REP006"/>
    <x v="1"/>
    <s v="Fleet Expense Card"/>
    <s v="Enterprise"/>
  </r>
  <r>
    <s v="TXN0001453"/>
    <s v="CUST00194"/>
    <b v="1"/>
    <d v="2025-07-18T00:00:00"/>
    <x v="8"/>
    <s v="Lodging"/>
    <n v="44762.43"/>
    <n v="1038.33"/>
    <b v="1"/>
    <s v="Completed"/>
    <n v="1038.33"/>
    <x v="2"/>
    <s v="REP006"/>
    <x v="1"/>
    <s v="Fleet Expense Card"/>
    <s v="Enterprise"/>
  </r>
  <r>
    <s v="TXN0001454"/>
    <s v="CUST00194"/>
    <b v="1"/>
    <d v="2025-07-23T00:00:00"/>
    <x v="8"/>
    <s v="Fuel"/>
    <n v="41664.5"/>
    <n v="1051.58"/>
    <b v="1"/>
    <s v="Completed"/>
    <n v="1051.58"/>
    <x v="2"/>
    <s v="REP006"/>
    <x v="1"/>
    <s v="Fleet Expense Card"/>
    <s v="Enterprise"/>
  </r>
  <r>
    <s v="TXN0001455"/>
    <s v="CUST00194"/>
    <b v="1"/>
    <d v="2025-08-07T00:00:00"/>
    <x v="0"/>
    <s v="Parking"/>
    <n v="22314.07"/>
    <n v="627.04"/>
    <b v="1"/>
    <s v="Completed"/>
    <n v="627.04"/>
    <x v="2"/>
    <s v="REP006"/>
    <x v="1"/>
    <s v="Fleet Expense Card"/>
    <s v="Enterprise"/>
  </r>
  <r>
    <s v="TXN0001456"/>
    <s v="CUST00194"/>
    <b v="1"/>
    <d v="2025-09-15T00:00:00"/>
    <x v="1"/>
    <s v="Lodging"/>
    <n v="24058.28"/>
    <n v="699.48"/>
    <b v="1"/>
    <s v="Completed"/>
    <n v="699.48"/>
    <x v="2"/>
    <s v="REP006"/>
    <x v="1"/>
    <s v="Fleet Expense Card"/>
    <s v="Enterprise"/>
  </r>
  <r>
    <s v="TXN0001457"/>
    <s v="CUST00194"/>
    <b v="1"/>
    <d v="2025-10-20T00:00:00"/>
    <x v="2"/>
    <s v="Lodging"/>
    <n v="50893.31"/>
    <n v="1340.85"/>
    <b v="1"/>
    <s v="Completed"/>
    <n v="1340.85"/>
    <x v="2"/>
    <s v="REP006"/>
    <x v="1"/>
    <s v="Fleet Expense Card"/>
    <s v="Enterprise"/>
  </r>
  <r>
    <s v="TXN0001458"/>
    <s v="CUST00194"/>
    <b v="1"/>
    <d v="2025-10-31T00:00:00"/>
    <x v="2"/>
    <s v="Parking"/>
    <n v="38361.14"/>
    <n v="979.21"/>
    <b v="1"/>
    <s v="Completed"/>
    <n v="979.21"/>
    <x v="2"/>
    <s v="REP006"/>
    <x v="1"/>
    <s v="Fleet Expense Card"/>
    <s v="Enterprise"/>
  </r>
  <r>
    <s v="TXN0001459"/>
    <s v="CUST00194"/>
    <b v="1"/>
    <d v="2025-11-30T00:00:00"/>
    <x v="3"/>
    <s v="Parking"/>
    <n v="19190.37"/>
    <n v="455.05"/>
    <b v="1"/>
    <s v="Completed"/>
    <n v="455.05"/>
    <x v="2"/>
    <s v="REP006"/>
    <x v="1"/>
    <s v="Fleet Expense Card"/>
    <s v="Enterprise"/>
  </r>
  <r>
    <s v="TXN0001460"/>
    <s v="CUST00194"/>
    <b v="1"/>
    <d v="2025-11-01T00:00:00"/>
    <x v="3"/>
    <s v="Fuel"/>
    <n v="45614.94"/>
    <n v="1363.1"/>
    <b v="1"/>
    <s v="Completed"/>
    <n v="1363.1"/>
    <x v="2"/>
    <s v="REP006"/>
    <x v="1"/>
    <s v="Fleet Expense Card"/>
    <s v="Enterprise"/>
  </r>
  <r>
    <s v="TXN0001461"/>
    <s v="CUST00194"/>
    <b v="1"/>
    <d v="2025-11-20T00:00:00"/>
    <x v="3"/>
    <s v="Parking"/>
    <n v="48137.71"/>
    <n v="1387.44"/>
    <b v="1"/>
    <s v="Completed"/>
    <n v="1387.44"/>
    <x v="2"/>
    <s v="REP006"/>
    <x v="1"/>
    <s v="Fleet Expense Card"/>
    <s v="Enterprise"/>
  </r>
  <r>
    <s v="TXN0001462"/>
    <s v="CUST00194"/>
    <b v="1"/>
    <d v="2025-12-28T00:00:00"/>
    <x v="4"/>
    <s v="Fuel"/>
    <n v="37887.370000000003"/>
    <n v="0"/>
    <b v="1"/>
    <s v="Cancelled"/>
    <n v="0"/>
    <x v="2"/>
    <s v="REP006"/>
    <x v="1"/>
    <s v="Fleet Expense Card"/>
    <s v="Enterprise"/>
  </r>
  <r>
    <s v="TXN0001463"/>
    <s v="CUST00194"/>
    <b v="1"/>
    <d v="2025-12-13T00:00:00"/>
    <x v="4"/>
    <s v="Lodging"/>
    <n v="49678.62"/>
    <n v="1489.77"/>
    <b v="1"/>
    <s v="Completed"/>
    <n v="1489.77"/>
    <x v="2"/>
    <s v="REP006"/>
    <x v="1"/>
    <s v="Fleet Expense Card"/>
    <s v="Enterprise"/>
  </r>
  <r>
    <s v="TXN0001464"/>
    <s v="CUST00195"/>
    <b v="1"/>
    <d v="2025-12-29T00:00:00"/>
    <x v="4"/>
    <s v="Fuel"/>
    <n v="3822.73"/>
    <n v="88.91"/>
    <b v="1"/>
    <s v="Completed"/>
    <n v="88.91"/>
    <x v="2"/>
    <s v="REP005"/>
    <x v="2"/>
    <s v="Fuel Card"/>
    <s v="SME"/>
  </r>
  <r>
    <s v="TXN0001465"/>
    <s v="CUST00195"/>
    <b v="1"/>
    <d v="2025-12-27T00:00:00"/>
    <x v="4"/>
    <s v="Fuel"/>
    <n v="5024.84"/>
    <n v="0"/>
    <b v="1"/>
    <s v="Cancelled"/>
    <n v="0"/>
    <x v="2"/>
    <s v="REP005"/>
    <x v="2"/>
    <s v="Fuel Card"/>
    <s v="SME"/>
  </r>
  <r>
    <s v="TXN0001466"/>
    <s v="CUST00195"/>
    <b v="1"/>
    <d v="2025-12-13T00:00:00"/>
    <x v="4"/>
    <s v="Fuel"/>
    <n v="5176.8900000000003"/>
    <n v="132.62"/>
    <b v="1"/>
    <s v="Completed"/>
    <n v="132.62"/>
    <x v="2"/>
    <s v="REP005"/>
    <x v="2"/>
    <s v="Fuel Card"/>
    <s v="SME"/>
  </r>
  <r>
    <s v="TXN0001467"/>
    <s v="CUST00197"/>
    <b v="1"/>
    <d v="2025-11-15T00:00:00"/>
    <x v="3"/>
    <s v="Fuel"/>
    <n v="3529.86"/>
    <n v="102.91"/>
    <b v="1"/>
    <s v="Completed"/>
    <n v="102.91"/>
    <x v="2"/>
    <s v="REP006"/>
    <x v="5"/>
    <s v="Fleet Expense Card"/>
    <s v="SME"/>
  </r>
  <r>
    <s v="TXN0001468"/>
    <s v="CUST00197"/>
    <b v="1"/>
    <d v="2025-12-12T00:00:00"/>
    <x v="4"/>
    <s v="Parking"/>
    <n v="4877.7700000000004"/>
    <n v="144.18"/>
    <b v="1"/>
    <s v="Completed"/>
    <n v="144.18"/>
    <x v="2"/>
    <s v="REP006"/>
    <x v="5"/>
    <s v="Fleet Expense Card"/>
    <s v="SME"/>
  </r>
  <r>
    <s v="TXN0001469"/>
    <s v="CUST00197"/>
    <b v="1"/>
    <d v="2025-12-07T00:00:00"/>
    <x v="4"/>
    <s v="Lodging"/>
    <n v="3051.19"/>
    <n v="71.06"/>
    <b v="1"/>
    <s v="Completed"/>
    <n v="71.06"/>
    <x v="2"/>
    <s v="REP006"/>
    <x v="5"/>
    <s v="Fleet Expense Card"/>
    <s v="SME"/>
  </r>
  <r>
    <s v="TXN0001470"/>
    <s v="CUST00198"/>
    <b v="1"/>
    <d v="2025-05-30T00:00:00"/>
    <x v="6"/>
    <s v="Fuel"/>
    <n v="10751.59"/>
    <n v="273"/>
    <b v="1"/>
    <s v="Completed"/>
    <n v="273"/>
    <x v="2"/>
    <s v="REP006"/>
    <x v="4"/>
    <s v="Fuel Card"/>
    <s v="Mid-Market"/>
  </r>
  <r>
    <s v="TXN0001471"/>
    <s v="CUST00198"/>
    <b v="1"/>
    <d v="2025-06-19T00:00:00"/>
    <x v="7"/>
    <s v="Fuel"/>
    <n v="17425.669999999998"/>
    <n v="489.79"/>
    <b v="1"/>
    <s v="Completed"/>
    <n v="489.79"/>
    <x v="2"/>
    <s v="REP006"/>
    <x v="4"/>
    <s v="Fuel Card"/>
    <s v="Mid-Market"/>
  </r>
  <r>
    <s v="TXN0001472"/>
    <s v="CUST00198"/>
    <b v="1"/>
    <d v="2025-07-19T00:00:00"/>
    <x v="8"/>
    <s v="Fuel"/>
    <n v="8919.07"/>
    <n v="215.15"/>
    <b v="1"/>
    <s v="Completed"/>
    <n v="215.15"/>
    <x v="2"/>
    <s v="REP006"/>
    <x v="4"/>
    <s v="Fuel Card"/>
    <s v="Mid-Market"/>
  </r>
  <r>
    <s v="TXN0001473"/>
    <s v="CUST00198"/>
    <b v="1"/>
    <d v="2025-07-21T00:00:00"/>
    <x v="8"/>
    <s v="Fuel"/>
    <n v="15030.82"/>
    <n v="398.34"/>
    <b v="1"/>
    <s v="Completed"/>
    <n v="398.34"/>
    <x v="2"/>
    <s v="REP006"/>
    <x v="4"/>
    <s v="Fuel Card"/>
    <s v="Mid-Market"/>
  </r>
  <r>
    <s v="TXN0001474"/>
    <s v="CUST00198"/>
    <b v="1"/>
    <d v="2025-07-07T00:00:00"/>
    <x v="8"/>
    <s v="Fuel"/>
    <n v="13261.26"/>
    <n v="285.13"/>
    <b v="1"/>
    <s v="Completed"/>
    <n v="285.13"/>
    <x v="2"/>
    <s v="REP006"/>
    <x v="4"/>
    <s v="Fuel Card"/>
    <s v="Mid-Market"/>
  </r>
  <r>
    <s v="TXN0001475"/>
    <s v="CUST00198"/>
    <b v="1"/>
    <d v="2025-08-08T00:00:00"/>
    <x v="0"/>
    <s v="Fuel"/>
    <n v="6550.86"/>
    <n v="166.74"/>
    <b v="1"/>
    <s v="Completed"/>
    <n v="166.74"/>
    <x v="2"/>
    <s v="REP006"/>
    <x v="4"/>
    <s v="Fuel Card"/>
    <s v="Mid-Market"/>
  </r>
  <r>
    <s v="TXN0001476"/>
    <s v="CUST00198"/>
    <b v="1"/>
    <d v="2025-08-21T00:00:00"/>
    <x v="0"/>
    <s v="Fuel"/>
    <n v="9533.35"/>
    <n v="263.60000000000002"/>
    <b v="1"/>
    <s v="Completed"/>
    <n v="263.60000000000002"/>
    <x v="2"/>
    <s v="REP006"/>
    <x v="4"/>
    <s v="Fuel Card"/>
    <s v="Mid-Market"/>
  </r>
  <r>
    <s v="TXN0001477"/>
    <s v="CUST00198"/>
    <b v="1"/>
    <d v="2025-08-17T00:00:00"/>
    <x v="0"/>
    <s v="Fuel"/>
    <n v="15059.84"/>
    <n v="369.13"/>
    <b v="1"/>
    <s v="Completed"/>
    <n v="369.13"/>
    <x v="2"/>
    <s v="REP006"/>
    <x v="4"/>
    <s v="Fuel Card"/>
    <s v="Mid-Market"/>
  </r>
  <r>
    <s v="TXN0001478"/>
    <s v="CUST00198"/>
    <b v="1"/>
    <d v="2025-09-14T00:00:00"/>
    <x v="1"/>
    <s v="Fuel"/>
    <n v="12467.65"/>
    <n v="285.86"/>
    <b v="1"/>
    <s v="Completed"/>
    <n v="285.86"/>
    <x v="2"/>
    <s v="REP006"/>
    <x v="4"/>
    <s v="Fuel Card"/>
    <s v="Mid-Market"/>
  </r>
  <r>
    <s v="TXN0001479"/>
    <s v="CUST00198"/>
    <b v="1"/>
    <d v="2025-10-12T00:00:00"/>
    <x v="2"/>
    <s v="Fuel"/>
    <n v="15786.2"/>
    <n v="368.23"/>
    <b v="1"/>
    <s v="Completed"/>
    <n v="368.23"/>
    <x v="2"/>
    <s v="REP006"/>
    <x v="4"/>
    <s v="Fuel Card"/>
    <s v="Mid-Market"/>
  </r>
  <r>
    <s v="TXN0001480"/>
    <s v="CUST00198"/>
    <b v="1"/>
    <d v="2025-10-28T00:00:00"/>
    <x v="2"/>
    <s v="Fuel"/>
    <n v="10417.52"/>
    <n v="244.24"/>
    <b v="1"/>
    <s v="Completed"/>
    <n v="244.24"/>
    <x v="2"/>
    <s v="REP006"/>
    <x v="4"/>
    <s v="Fuel Card"/>
    <s v="Mid-Market"/>
  </r>
  <r>
    <s v="TXN0001481"/>
    <s v="CUST00198"/>
    <b v="1"/>
    <d v="2025-10-08T00:00:00"/>
    <x v="2"/>
    <s v="Fuel"/>
    <n v="17514.28"/>
    <n v="380.09"/>
    <b v="1"/>
    <s v="Completed"/>
    <n v="380.09"/>
    <x v="2"/>
    <s v="REP006"/>
    <x v="4"/>
    <s v="Fuel Card"/>
    <s v="Mid-Market"/>
  </r>
  <r>
    <s v="TXN0001482"/>
    <s v="CUST00198"/>
    <b v="1"/>
    <d v="2025-11-09T00:00:00"/>
    <x v="3"/>
    <s v="Fuel"/>
    <n v="14397.44"/>
    <n v="336.3"/>
    <b v="1"/>
    <s v="Completed"/>
    <n v="336.3"/>
    <x v="2"/>
    <s v="REP006"/>
    <x v="4"/>
    <s v="Fuel Card"/>
    <s v="Mid-Market"/>
  </r>
  <r>
    <s v="TXN0001483"/>
    <s v="CUST00198"/>
    <b v="1"/>
    <d v="2025-12-22T00:00:00"/>
    <x v="4"/>
    <s v="Fuel"/>
    <n v="8015.55"/>
    <n v="213.68"/>
    <b v="1"/>
    <s v="Completed"/>
    <n v="213.68"/>
    <x v="2"/>
    <s v="REP006"/>
    <x v="4"/>
    <s v="Fuel Card"/>
    <s v="Mid-Market"/>
  </r>
  <r>
    <s v="TXN0001484"/>
    <s v="CUST00198"/>
    <b v="1"/>
    <d v="2025-12-08T00:00:00"/>
    <x v="4"/>
    <s v="Fuel"/>
    <n v="5221.21"/>
    <n v="114.28"/>
    <b v="1"/>
    <s v="Completed"/>
    <n v="114.28"/>
    <x v="2"/>
    <s v="REP006"/>
    <x v="4"/>
    <s v="Fuel Card"/>
    <s v="Mid-Market"/>
  </r>
  <r>
    <s v="TXN0001485"/>
    <s v="CUST00198"/>
    <b v="1"/>
    <d v="2025-12-09T00:00:00"/>
    <x v="4"/>
    <s v="Fuel"/>
    <n v="5926.64"/>
    <n v="153.41999999999999"/>
    <b v="1"/>
    <s v="Completed"/>
    <n v="153.41999999999999"/>
    <x v="2"/>
    <s v="REP006"/>
    <x v="4"/>
    <s v="Fuel Card"/>
    <s v="Mid-Market"/>
  </r>
  <r>
    <s v="TXN0001486"/>
    <s v="CUST00200"/>
    <b v="1"/>
    <d v="2025-09-16T00:00:00"/>
    <x v="1"/>
    <s v="EV Charging"/>
    <n v="2668.83"/>
    <n v="91.02"/>
    <b v="1"/>
    <s v="Completed"/>
    <n v="91.02"/>
    <x v="0"/>
    <s v="REP009"/>
    <x v="2"/>
    <s v="EV Charge Card"/>
    <s v="SME"/>
  </r>
  <r>
    <s v="TXN0001487"/>
    <s v="CUST00200"/>
    <b v="1"/>
    <d v="2025-09-22T00:00:00"/>
    <x v="1"/>
    <s v="EV Charging"/>
    <n v="4222.8900000000003"/>
    <n v="119.87"/>
    <b v="1"/>
    <s v="Completed"/>
    <n v="119.87"/>
    <x v="0"/>
    <s v="REP009"/>
    <x v="2"/>
    <s v="EV Charge Card"/>
    <s v="SME"/>
  </r>
  <r>
    <s v="TXN0001488"/>
    <s v="CUST00200"/>
    <b v="1"/>
    <d v="2025-09-26T00:00:00"/>
    <x v="1"/>
    <s v="EV Charging"/>
    <n v="4599.5"/>
    <n v="163.41"/>
    <b v="1"/>
    <s v="Completed"/>
    <n v="163.41"/>
    <x v="0"/>
    <s v="REP009"/>
    <x v="2"/>
    <s v="EV Charge Card"/>
    <s v="SME"/>
  </r>
  <r>
    <s v="TXN0001489"/>
    <s v="CUST00200"/>
    <b v="1"/>
    <d v="2025-10-11T00:00:00"/>
    <x v="2"/>
    <s v="EV Charging"/>
    <n v="3267.55"/>
    <n v="89.74"/>
    <b v="1"/>
    <s v="Completed"/>
    <n v="89.74"/>
    <x v="0"/>
    <s v="REP009"/>
    <x v="2"/>
    <s v="EV Charge Card"/>
    <s v="SME"/>
  </r>
  <r>
    <s v="TXN0001490"/>
    <s v="CUST00200"/>
    <b v="1"/>
    <d v="2025-10-11T00:00:00"/>
    <x v="2"/>
    <s v="EV Charging"/>
    <n v="3696.46"/>
    <n v="125.66"/>
    <b v="1"/>
    <s v="Completed"/>
    <n v="125.66"/>
    <x v="0"/>
    <s v="REP009"/>
    <x v="2"/>
    <s v="EV Charge Card"/>
    <s v="SME"/>
  </r>
  <r>
    <s v="TXN0001491"/>
    <s v="CUST00200"/>
    <b v="1"/>
    <d v="2025-11-15T00:00:00"/>
    <x v="3"/>
    <s v="EV Charging"/>
    <n v="4405.76"/>
    <n v="122.23"/>
    <b v="1"/>
    <s v="Completed"/>
    <n v="122.23"/>
    <x v="0"/>
    <s v="REP009"/>
    <x v="2"/>
    <s v="EV Charge Card"/>
    <s v="SME"/>
  </r>
  <r>
    <s v="TXN0001492"/>
    <s v="CUST00200"/>
    <b v="1"/>
    <d v="2025-11-15T00:00:00"/>
    <x v="3"/>
    <s v="EV Charging"/>
    <n v="5035.71"/>
    <n v="173.35"/>
    <b v="1"/>
    <s v="Completed"/>
    <n v="173.35"/>
    <x v="0"/>
    <s v="REP009"/>
    <x v="2"/>
    <s v="EV Charge Card"/>
    <s v="SME"/>
  </r>
  <r>
    <s v="TXN0001493"/>
    <s v="CUST00200"/>
    <b v="1"/>
    <d v="2025-11-17T00:00:00"/>
    <x v="3"/>
    <s v="EV Charging"/>
    <n v="1641.32"/>
    <n v="48.87"/>
    <b v="1"/>
    <s v="Completed"/>
    <n v="48.87"/>
    <x v="0"/>
    <s v="REP009"/>
    <x v="2"/>
    <s v="EV Charge Card"/>
    <s v="SME"/>
  </r>
  <r>
    <s v="TXN0001494"/>
    <s v="CUST00200"/>
    <b v="1"/>
    <d v="2025-12-30T00:00:00"/>
    <x v="4"/>
    <s v="EV Charging"/>
    <n v="3404.27"/>
    <n v="104.71"/>
    <b v="1"/>
    <s v="Completed"/>
    <n v="104.71"/>
    <x v="0"/>
    <s v="REP009"/>
    <x v="2"/>
    <s v="EV Charge Card"/>
    <s v="SME"/>
  </r>
  <r>
    <s v="TXN0001495"/>
    <s v="CUST00203"/>
    <b v="1"/>
    <d v="2025-08-20T00:00:00"/>
    <x v="0"/>
    <s v="Fuel"/>
    <n v="9572.77"/>
    <n v="247.04"/>
    <b v="1"/>
    <s v="Completed"/>
    <n v="247.04"/>
    <x v="0"/>
    <s v="REP009"/>
    <x v="2"/>
    <s v="Fuel Card"/>
    <s v="Mid-Market"/>
  </r>
  <r>
    <s v="TXN0001496"/>
    <s v="CUST00203"/>
    <b v="1"/>
    <d v="2025-08-22T00:00:00"/>
    <x v="0"/>
    <s v="Fuel"/>
    <n v="4369.46"/>
    <n v="107.06"/>
    <b v="1"/>
    <s v="Completed"/>
    <n v="107.06"/>
    <x v="0"/>
    <s v="REP009"/>
    <x v="2"/>
    <s v="Fuel Card"/>
    <s v="Mid-Market"/>
  </r>
  <r>
    <s v="TXN0001497"/>
    <s v="CUST00203"/>
    <b v="1"/>
    <d v="2025-09-11T00:00:00"/>
    <x v="1"/>
    <s v="Fuel"/>
    <n v="4370.5200000000004"/>
    <n v="101.34"/>
    <b v="1"/>
    <s v="Completed"/>
    <n v="101.34"/>
    <x v="0"/>
    <s v="REP009"/>
    <x v="2"/>
    <s v="Fuel Card"/>
    <s v="Mid-Market"/>
  </r>
  <r>
    <s v="TXN0001498"/>
    <s v="CUST00203"/>
    <b v="1"/>
    <d v="2025-09-25T00:00:00"/>
    <x v="1"/>
    <s v="Fuel"/>
    <n v="17423.59"/>
    <n v="416.17"/>
    <b v="1"/>
    <s v="Completed"/>
    <n v="416.17"/>
    <x v="0"/>
    <s v="REP009"/>
    <x v="2"/>
    <s v="Fuel Card"/>
    <s v="Mid-Market"/>
  </r>
  <r>
    <s v="TXN0001499"/>
    <s v="CUST00203"/>
    <b v="1"/>
    <d v="2025-10-11T00:00:00"/>
    <x v="2"/>
    <s v="Fuel"/>
    <n v="13856.81"/>
    <n v="378.49"/>
    <b v="1"/>
    <s v="Completed"/>
    <n v="378.49"/>
    <x v="0"/>
    <s v="REP009"/>
    <x v="2"/>
    <s v="Fuel Card"/>
    <s v="Mid-Market"/>
  </r>
  <r>
    <s v="TXN0001500"/>
    <s v="CUST00203"/>
    <b v="1"/>
    <d v="2025-10-06T00:00:00"/>
    <x v="2"/>
    <s v="Fuel"/>
    <n v="15097.57"/>
    <n v="329.51"/>
    <b v="1"/>
    <s v="Completed"/>
    <n v="329.51"/>
    <x v="0"/>
    <s v="REP009"/>
    <x v="2"/>
    <s v="Fuel Card"/>
    <s v="Mid-Market"/>
  </r>
  <r>
    <s v="TXN0001501"/>
    <s v="CUST00203"/>
    <b v="1"/>
    <d v="2025-10-26T00:00:00"/>
    <x v="2"/>
    <s v="Fuel"/>
    <n v="8720"/>
    <n v="249.01"/>
    <b v="1"/>
    <s v="Completed"/>
    <n v="249.01"/>
    <x v="0"/>
    <s v="REP009"/>
    <x v="2"/>
    <s v="Fuel Card"/>
    <s v="Mid-Market"/>
  </r>
  <r>
    <s v="TXN0001502"/>
    <s v="CUST00203"/>
    <b v="1"/>
    <d v="2025-11-08T00:00:00"/>
    <x v="3"/>
    <s v="Fuel"/>
    <n v="16095.36"/>
    <n v="369.41"/>
    <b v="1"/>
    <s v="Completed"/>
    <n v="369.41"/>
    <x v="0"/>
    <s v="REP009"/>
    <x v="2"/>
    <s v="Fuel Card"/>
    <s v="Mid-Market"/>
  </r>
  <r>
    <s v="TXN0001503"/>
    <s v="CUST00203"/>
    <b v="1"/>
    <d v="2025-11-19T00:00:00"/>
    <x v="3"/>
    <s v="Fuel"/>
    <n v="14214.32"/>
    <n v="354.71"/>
    <b v="1"/>
    <s v="Completed"/>
    <n v="354.71"/>
    <x v="0"/>
    <s v="REP009"/>
    <x v="2"/>
    <s v="Fuel Card"/>
    <s v="Mid-Market"/>
  </r>
  <r>
    <s v="TXN0001504"/>
    <s v="CUST00203"/>
    <b v="1"/>
    <d v="2025-11-12T00:00:00"/>
    <x v="3"/>
    <s v="Fuel"/>
    <n v="11756.35"/>
    <n v="288.86"/>
    <b v="1"/>
    <s v="Completed"/>
    <n v="288.86"/>
    <x v="0"/>
    <s v="REP009"/>
    <x v="2"/>
    <s v="Fuel Card"/>
    <s v="Mid-Market"/>
  </r>
  <r>
    <s v="TXN0001505"/>
    <s v="CUST00203"/>
    <b v="1"/>
    <d v="2025-12-03T00:00:00"/>
    <x v="4"/>
    <s v="Fuel"/>
    <n v="5955.43"/>
    <n v="131.99"/>
    <b v="1"/>
    <s v="Completed"/>
    <n v="131.99"/>
    <x v="0"/>
    <s v="REP009"/>
    <x v="2"/>
    <s v="Fuel Card"/>
    <s v="Mid-Market"/>
  </r>
  <r>
    <s v="TXN0001506"/>
    <s v="CUST00203"/>
    <b v="1"/>
    <d v="2025-12-12T00:00:00"/>
    <x v="4"/>
    <s v="Fuel"/>
    <n v="6012.3"/>
    <n v="141.38999999999999"/>
    <b v="1"/>
    <s v="Completed"/>
    <n v="141.38999999999999"/>
    <x v="0"/>
    <s v="REP009"/>
    <x v="2"/>
    <s v="Fuel Card"/>
    <s v="Mid-Market"/>
  </r>
  <r>
    <s v="TXN0001507"/>
    <s v="CUST00203"/>
    <b v="1"/>
    <d v="2025-12-18T00:00:00"/>
    <x v="4"/>
    <s v="Fuel"/>
    <n v="6022.97"/>
    <n v="145.86000000000001"/>
    <b v="1"/>
    <s v="Completed"/>
    <n v="145.86000000000001"/>
    <x v="0"/>
    <s v="REP009"/>
    <x v="2"/>
    <s v="Fuel Card"/>
    <s v="Mid-Market"/>
  </r>
  <r>
    <s v="TXN0001508"/>
    <s v="CUST00204"/>
    <b v="1"/>
    <d v="2025-10-26T00:00:00"/>
    <x v="2"/>
    <s v="Toll"/>
    <n v="2043"/>
    <n v="33.6"/>
    <b v="1"/>
    <s v="Completed"/>
    <n v="33.6"/>
    <x v="0"/>
    <s v="REP008"/>
    <x v="4"/>
    <s v="Toll Solution"/>
    <s v="SME"/>
  </r>
  <r>
    <s v="TXN0001509"/>
    <s v="CUST00204"/>
    <b v="1"/>
    <d v="2025-10-27T00:00:00"/>
    <x v="2"/>
    <s v="Toll"/>
    <n v="2852.06"/>
    <n v="56.9"/>
    <b v="1"/>
    <s v="Completed"/>
    <n v="56.9"/>
    <x v="0"/>
    <s v="REP008"/>
    <x v="4"/>
    <s v="Toll Solution"/>
    <s v="SME"/>
  </r>
  <r>
    <s v="TXN0001510"/>
    <s v="CUST00204"/>
    <b v="1"/>
    <d v="2025-10-22T00:00:00"/>
    <x v="2"/>
    <s v="Toll"/>
    <n v="3708.82"/>
    <n v="61.11"/>
    <b v="1"/>
    <s v="Completed"/>
    <n v="61.11"/>
    <x v="0"/>
    <s v="REP008"/>
    <x v="4"/>
    <s v="Toll Solution"/>
    <s v="SME"/>
  </r>
  <r>
    <s v="TXN0001511"/>
    <s v="CUST00204"/>
    <b v="1"/>
    <d v="2025-11-14T00:00:00"/>
    <x v="3"/>
    <s v="Toll"/>
    <n v="1905.91"/>
    <n v="33.409999999999997"/>
    <b v="1"/>
    <s v="Completed"/>
    <n v="33.409999999999997"/>
    <x v="0"/>
    <s v="REP008"/>
    <x v="4"/>
    <s v="Toll Solution"/>
    <s v="SME"/>
  </r>
  <r>
    <s v="TXN0001512"/>
    <s v="CUST00204"/>
    <b v="1"/>
    <d v="2025-11-07T00:00:00"/>
    <x v="3"/>
    <s v="Toll"/>
    <n v="4005.67"/>
    <n v="68.62"/>
    <b v="1"/>
    <s v="Completed"/>
    <n v="68.62"/>
    <x v="0"/>
    <s v="REP008"/>
    <x v="4"/>
    <s v="Toll Solution"/>
    <s v="SME"/>
  </r>
  <r>
    <s v="TXN0001513"/>
    <s v="CUST00204"/>
    <b v="1"/>
    <d v="2025-12-26T00:00:00"/>
    <x v="4"/>
    <s v="Toll"/>
    <n v="3263.21"/>
    <n v="60.89"/>
    <b v="1"/>
    <s v="Completed"/>
    <n v="60.89"/>
    <x v="0"/>
    <s v="REP008"/>
    <x v="4"/>
    <s v="Toll Solution"/>
    <s v="SME"/>
  </r>
  <r>
    <s v="TXN0001514"/>
    <s v="CUST00204"/>
    <b v="1"/>
    <d v="2025-12-28T00:00:00"/>
    <x v="4"/>
    <s v="Toll"/>
    <n v="3113.93"/>
    <n v="53.69"/>
    <b v="1"/>
    <s v="Completed"/>
    <n v="53.69"/>
    <x v="0"/>
    <s v="REP008"/>
    <x v="4"/>
    <s v="Toll Solution"/>
    <s v="SME"/>
  </r>
  <r>
    <s v="TXN0001515"/>
    <s v="CUST00205"/>
    <b v="1"/>
    <d v="2025-11-30T00:00:00"/>
    <x v="3"/>
    <s v="Fuel"/>
    <n v="9179.0300000000007"/>
    <n v="249.4"/>
    <b v="1"/>
    <s v="Completed"/>
    <n v="249.4"/>
    <x v="1"/>
    <s v="REP014"/>
    <x v="0"/>
    <s v="Fuel Card"/>
    <s v="Mid-Market"/>
  </r>
  <r>
    <s v="TXN0001516"/>
    <s v="CUST00205"/>
    <b v="1"/>
    <d v="2025-11-30T00:00:00"/>
    <x v="3"/>
    <s v="Fuel"/>
    <n v="17202.05"/>
    <n v="376.26"/>
    <b v="1"/>
    <s v="Completed"/>
    <n v="376.26"/>
    <x v="1"/>
    <s v="REP014"/>
    <x v="0"/>
    <s v="Fuel Card"/>
    <s v="Mid-Market"/>
  </r>
  <r>
    <s v="TXN0001517"/>
    <s v="CUST00205"/>
    <b v="1"/>
    <d v="2025-11-30T00:00:00"/>
    <x v="3"/>
    <s v="Fuel"/>
    <n v="4358.34"/>
    <n v="99.89"/>
    <b v="1"/>
    <s v="Completed"/>
    <n v="99.89"/>
    <x v="1"/>
    <s v="REP014"/>
    <x v="0"/>
    <s v="Fuel Card"/>
    <s v="Mid-Market"/>
  </r>
  <r>
    <s v="TXN0001518"/>
    <s v="CUST00205"/>
    <b v="1"/>
    <d v="2025-12-17T00:00:00"/>
    <x v="4"/>
    <s v="Fuel"/>
    <n v="15410.26"/>
    <n v="407.99"/>
    <b v="1"/>
    <s v="Completed"/>
    <n v="407.99"/>
    <x v="1"/>
    <s v="REP014"/>
    <x v="0"/>
    <s v="Fuel Card"/>
    <s v="Mid-Market"/>
  </r>
  <r>
    <s v="TXN0001519"/>
    <s v="CUST00205"/>
    <b v="1"/>
    <d v="2025-12-04T00:00:00"/>
    <x v="4"/>
    <s v="Fuel"/>
    <n v="7447.23"/>
    <n v="181.78"/>
    <b v="1"/>
    <s v="Completed"/>
    <n v="181.78"/>
    <x v="1"/>
    <s v="REP014"/>
    <x v="0"/>
    <s v="Fuel Card"/>
    <s v="Mid-Market"/>
  </r>
  <r>
    <s v="TXN0001520"/>
    <s v="CUST00205"/>
    <b v="1"/>
    <d v="2025-12-05T00:00:00"/>
    <x v="4"/>
    <s v="Fuel"/>
    <n v="12833.63"/>
    <n v="-280.97000000000003"/>
    <b v="0"/>
    <s v="Completed"/>
    <n v="0"/>
    <x v="1"/>
    <s v="REP014"/>
    <x v="0"/>
    <s v="Fuel Card"/>
    <s v="Mid-Market"/>
  </r>
  <r>
    <s v="TXN0001521"/>
    <s v="CUST00206"/>
    <b v="1"/>
    <d v="2025-09-23T00:00:00"/>
    <x v="1"/>
    <s v="Fuel"/>
    <n v="13379.59"/>
    <n v="411.7"/>
    <b v="1"/>
    <s v="Completed"/>
    <n v="411.7"/>
    <x v="3"/>
    <s v="REP001"/>
    <x v="4"/>
    <s v="Fleet Expense Card"/>
    <s v="Mid-Market"/>
  </r>
  <r>
    <s v="TXN0001522"/>
    <s v="CUST00206"/>
    <b v="1"/>
    <d v="2025-09-25T00:00:00"/>
    <x v="1"/>
    <s v="Fuel"/>
    <n v="8881.57"/>
    <n v="223.93"/>
    <b v="1"/>
    <s v="Completed"/>
    <n v="223.93"/>
    <x v="3"/>
    <s v="REP001"/>
    <x v="4"/>
    <s v="Fleet Expense Card"/>
    <s v="Mid-Market"/>
  </r>
  <r>
    <s v="TXN0001523"/>
    <s v="CUST00206"/>
    <b v="1"/>
    <d v="2025-09-24T00:00:00"/>
    <x v="1"/>
    <s v="Parking"/>
    <n v="11908.94"/>
    <n v="367.5"/>
    <b v="1"/>
    <s v="Completed"/>
    <n v="367.5"/>
    <x v="3"/>
    <s v="REP001"/>
    <x v="4"/>
    <s v="Fleet Expense Card"/>
    <s v="Mid-Market"/>
  </r>
  <r>
    <s v="TXN0001524"/>
    <s v="CUST00206"/>
    <b v="1"/>
    <d v="2025-10-31T00:00:00"/>
    <x v="2"/>
    <s v="Fuel"/>
    <n v="9073.6200000000008"/>
    <n v="0"/>
    <b v="1"/>
    <s v="Cancelled"/>
    <n v="0"/>
    <x v="3"/>
    <s v="REP001"/>
    <x v="4"/>
    <s v="Fleet Expense Card"/>
    <s v="Mid-Market"/>
  </r>
  <r>
    <s v="TXN0001525"/>
    <s v="CUST00206"/>
    <b v="1"/>
    <d v="2025-11-23T00:00:00"/>
    <x v="3"/>
    <s v="Parking"/>
    <n v="11561.25"/>
    <n v="301.36"/>
    <b v="1"/>
    <s v="Completed"/>
    <n v="301.36"/>
    <x v="3"/>
    <s v="REP001"/>
    <x v="4"/>
    <s v="Fleet Expense Card"/>
    <s v="Mid-Market"/>
  </r>
  <r>
    <s v="TXN0001526"/>
    <s v="CUST00206"/>
    <b v="1"/>
    <d v="2025-11-20T00:00:00"/>
    <x v="3"/>
    <s v="Parking"/>
    <n v="9448.09"/>
    <n v="251.09"/>
    <b v="1"/>
    <s v="Completed"/>
    <n v="251.09"/>
    <x v="3"/>
    <s v="REP001"/>
    <x v="4"/>
    <s v="Fleet Expense Card"/>
    <s v="Mid-Market"/>
  </r>
  <r>
    <s v="TXN0001527"/>
    <s v="CUST00206"/>
    <b v="1"/>
    <d v="2025-12-31T00:00:00"/>
    <x v="4"/>
    <s v="Parking"/>
    <n v="15292.42"/>
    <n v="388.39"/>
    <b v="1"/>
    <s v="Completed"/>
    <n v="388.39"/>
    <x v="3"/>
    <s v="REP001"/>
    <x v="4"/>
    <s v="Fleet Expense Card"/>
    <s v="Mid-Market"/>
  </r>
  <r>
    <s v="TXN0001528"/>
    <s v="CUST00206"/>
    <b v="1"/>
    <d v="2025-12-25T00:00:00"/>
    <x v="4"/>
    <s v="Fuel"/>
    <n v="9301.61"/>
    <n v="244.35"/>
    <b v="1"/>
    <s v="Completed"/>
    <n v="244.35"/>
    <x v="3"/>
    <s v="REP001"/>
    <x v="4"/>
    <s v="Fleet Expense Card"/>
    <s v="Mid-Market"/>
  </r>
  <r>
    <s v="TXN0001529"/>
    <s v="CUST00206"/>
    <b v="1"/>
    <d v="2025-12-02T00:00:00"/>
    <x v="4"/>
    <s v="Lodging"/>
    <n v="5909.62"/>
    <n v="166.96"/>
    <b v="1"/>
    <s v="Completed"/>
    <n v="166.96"/>
    <x v="3"/>
    <s v="REP001"/>
    <x v="4"/>
    <s v="Fleet Expense Card"/>
    <s v="Mid-Market"/>
  </r>
  <r>
    <s v="TXN0001530"/>
    <s v="CUST00209"/>
    <b v="1"/>
    <d v="2025-02-28T00:00:00"/>
    <x v="9"/>
    <s v="Parking"/>
    <n v="1352.48"/>
    <n v="37.83"/>
    <b v="1"/>
    <s v="Completed"/>
    <n v="37.83"/>
    <x v="1"/>
    <s v="REP014"/>
    <x v="2"/>
    <s v="Fleet Expense Card"/>
    <s v="SME"/>
  </r>
  <r>
    <s v="TXN0001531"/>
    <s v="CUST00209"/>
    <b v="1"/>
    <d v="2025-03-12T00:00:00"/>
    <x v="10"/>
    <s v="Parking"/>
    <n v="4489.91"/>
    <n v="107.24"/>
    <b v="1"/>
    <s v="Completed"/>
    <n v="107.24"/>
    <x v="1"/>
    <s v="REP014"/>
    <x v="2"/>
    <s v="Fleet Expense Card"/>
    <s v="SME"/>
  </r>
  <r>
    <s v="TXN0001532"/>
    <s v="CUST00209"/>
    <b v="1"/>
    <d v="2025-03-16T00:00:00"/>
    <x v="10"/>
    <s v="Parking"/>
    <n v="3493.76"/>
    <n v="88.79"/>
    <b v="1"/>
    <s v="Completed"/>
    <n v="88.79"/>
    <x v="1"/>
    <s v="REP014"/>
    <x v="2"/>
    <s v="Fleet Expense Card"/>
    <s v="SME"/>
  </r>
  <r>
    <s v="TXN0001533"/>
    <s v="CUST00209"/>
    <b v="1"/>
    <d v="2025-04-09T00:00:00"/>
    <x v="5"/>
    <s v="Lodging"/>
    <n v="3757.05"/>
    <n v="101.36"/>
    <b v="1"/>
    <s v="Completed"/>
    <n v="101.36"/>
    <x v="1"/>
    <s v="REP014"/>
    <x v="2"/>
    <s v="Fleet Expense Card"/>
    <s v="SME"/>
  </r>
  <r>
    <s v="TXN0001534"/>
    <s v="CUST00209"/>
    <b v="1"/>
    <d v="2025-04-20T00:00:00"/>
    <x v="5"/>
    <s v="Parking"/>
    <n v="4060.06"/>
    <n v="98.48"/>
    <b v="1"/>
    <s v="Completed"/>
    <n v="98.48"/>
    <x v="1"/>
    <s v="REP014"/>
    <x v="2"/>
    <s v="Fleet Expense Card"/>
    <s v="SME"/>
  </r>
  <r>
    <s v="TXN0001535"/>
    <s v="CUST00209"/>
    <b v="1"/>
    <d v="2025-04-10T00:00:00"/>
    <x v="5"/>
    <s v="Parking"/>
    <n v="2749.22"/>
    <n v="65.58"/>
    <b v="1"/>
    <s v="Completed"/>
    <n v="65.58"/>
    <x v="1"/>
    <s v="REP014"/>
    <x v="2"/>
    <s v="Fleet Expense Card"/>
    <s v="SME"/>
  </r>
  <r>
    <s v="TXN0001536"/>
    <s v="CUST00209"/>
    <b v="1"/>
    <d v="2025-05-27T00:00:00"/>
    <x v="6"/>
    <s v="Fuel"/>
    <n v="4456.26"/>
    <n v="108.4"/>
    <b v="1"/>
    <s v="Completed"/>
    <n v="108.4"/>
    <x v="1"/>
    <s v="REP014"/>
    <x v="2"/>
    <s v="Fleet Expense Card"/>
    <s v="SME"/>
  </r>
  <r>
    <s v="TXN0001537"/>
    <s v="CUST00209"/>
    <b v="1"/>
    <d v="2025-05-09T00:00:00"/>
    <x v="6"/>
    <s v="Fuel"/>
    <n v="5085.46"/>
    <n v="147.62"/>
    <b v="1"/>
    <s v="Completed"/>
    <n v="147.62"/>
    <x v="1"/>
    <s v="REP014"/>
    <x v="2"/>
    <s v="Fleet Expense Card"/>
    <s v="SME"/>
  </r>
  <r>
    <s v="TXN0001538"/>
    <s v="CUST00209"/>
    <b v="1"/>
    <d v="2025-05-23T00:00:00"/>
    <x v="6"/>
    <s v="Lodging"/>
    <n v="4906.2700000000004"/>
    <n v="150.84"/>
    <b v="1"/>
    <s v="Completed"/>
    <n v="150.84"/>
    <x v="1"/>
    <s v="REP014"/>
    <x v="2"/>
    <s v="Fleet Expense Card"/>
    <s v="SME"/>
  </r>
  <r>
    <s v="TXN0001539"/>
    <s v="CUST00209"/>
    <b v="1"/>
    <d v="2025-06-20T00:00:00"/>
    <x v="7"/>
    <s v="Parking"/>
    <n v="4701.4399999999996"/>
    <n v="122.96"/>
    <b v="1"/>
    <s v="Completed"/>
    <n v="122.96"/>
    <x v="1"/>
    <s v="REP014"/>
    <x v="2"/>
    <s v="Fleet Expense Card"/>
    <s v="SME"/>
  </r>
  <r>
    <s v="TXN0001540"/>
    <s v="CUST00209"/>
    <b v="1"/>
    <d v="2025-06-16T00:00:00"/>
    <x v="7"/>
    <s v="Lodging"/>
    <n v="1935.12"/>
    <n v="47.24"/>
    <b v="1"/>
    <s v="Completed"/>
    <n v="47.24"/>
    <x v="1"/>
    <s v="REP014"/>
    <x v="2"/>
    <s v="Fleet Expense Card"/>
    <s v="SME"/>
  </r>
  <r>
    <s v="TXN0001541"/>
    <s v="CUST00209"/>
    <b v="1"/>
    <d v="2025-06-10T00:00:00"/>
    <x v="7"/>
    <s v="Fuel"/>
    <n v="3333.26"/>
    <n v="101.59"/>
    <b v="1"/>
    <s v="Completed"/>
    <n v="101.59"/>
    <x v="1"/>
    <s v="REP014"/>
    <x v="2"/>
    <s v="Fleet Expense Card"/>
    <s v="SME"/>
  </r>
  <r>
    <s v="TXN0001542"/>
    <s v="CUST00209"/>
    <b v="1"/>
    <d v="2025-07-09T00:00:00"/>
    <x v="8"/>
    <s v="Fuel"/>
    <n v="1712.12"/>
    <n v="46.17"/>
    <b v="1"/>
    <s v="Completed"/>
    <n v="46.17"/>
    <x v="1"/>
    <s v="REP014"/>
    <x v="2"/>
    <s v="Fleet Expense Card"/>
    <s v="SME"/>
  </r>
  <r>
    <s v="TXN0001543"/>
    <s v="CUST00209"/>
    <b v="1"/>
    <d v="2025-07-30T00:00:00"/>
    <x v="8"/>
    <s v="Fuel"/>
    <n v="4693.76"/>
    <n v="141.13"/>
    <b v="1"/>
    <s v="Completed"/>
    <n v="141.13"/>
    <x v="1"/>
    <s v="REP014"/>
    <x v="2"/>
    <s v="Fleet Expense Card"/>
    <s v="SME"/>
  </r>
  <r>
    <s v="TXN0001544"/>
    <s v="CUST00209"/>
    <b v="1"/>
    <d v="2025-08-01T00:00:00"/>
    <x v="0"/>
    <s v="Fuel"/>
    <n v="3203.54"/>
    <n v="83.62"/>
    <b v="1"/>
    <s v="Completed"/>
    <n v="83.62"/>
    <x v="1"/>
    <s v="REP014"/>
    <x v="2"/>
    <s v="Fleet Expense Card"/>
    <s v="SME"/>
  </r>
  <r>
    <s v="TXN0001545"/>
    <s v="CUST00209"/>
    <b v="1"/>
    <d v="2025-08-26T00:00:00"/>
    <x v="0"/>
    <s v="Parking"/>
    <n v="1354.84"/>
    <n v="0"/>
    <b v="1"/>
    <s v="Cancelled"/>
    <n v="0"/>
    <x v="1"/>
    <s v="REP014"/>
    <x v="2"/>
    <s v="Fleet Expense Card"/>
    <s v="SME"/>
  </r>
  <r>
    <s v="TXN0001546"/>
    <s v="CUST00209"/>
    <b v="1"/>
    <d v="2025-09-24T00:00:00"/>
    <x v="1"/>
    <s v="Parking"/>
    <n v="1343.96"/>
    <n v="34.92"/>
    <b v="1"/>
    <s v="Completed"/>
    <n v="34.92"/>
    <x v="1"/>
    <s v="REP014"/>
    <x v="2"/>
    <s v="Fleet Expense Card"/>
    <s v="SME"/>
  </r>
  <r>
    <s v="TXN0001547"/>
    <s v="CUST00209"/>
    <b v="1"/>
    <d v="2025-09-02T00:00:00"/>
    <x v="1"/>
    <s v="Lodging"/>
    <n v="2104.71"/>
    <n v="54.81"/>
    <b v="1"/>
    <s v="Completed"/>
    <n v="54.81"/>
    <x v="1"/>
    <s v="REP014"/>
    <x v="2"/>
    <s v="Fleet Expense Card"/>
    <s v="SME"/>
  </r>
  <r>
    <s v="TXN0001548"/>
    <s v="CUST00209"/>
    <b v="1"/>
    <d v="2025-10-18T00:00:00"/>
    <x v="2"/>
    <s v="Lodging"/>
    <n v="2304.14"/>
    <n v="58.58"/>
    <b v="1"/>
    <s v="Completed"/>
    <n v="58.58"/>
    <x v="1"/>
    <s v="REP014"/>
    <x v="2"/>
    <s v="Fleet Expense Card"/>
    <s v="SME"/>
  </r>
  <r>
    <s v="TXN0001549"/>
    <s v="CUST00209"/>
    <b v="1"/>
    <d v="2025-10-01T00:00:00"/>
    <x v="2"/>
    <s v="Fuel"/>
    <n v="4879.1899999999996"/>
    <n v="120.4"/>
    <b v="1"/>
    <s v="Completed"/>
    <n v="120.4"/>
    <x v="1"/>
    <s v="REP014"/>
    <x v="2"/>
    <s v="Fleet Expense Card"/>
    <s v="SME"/>
  </r>
  <r>
    <s v="TXN0001550"/>
    <s v="CUST00209"/>
    <b v="1"/>
    <d v="2025-10-28T00:00:00"/>
    <x v="2"/>
    <s v="Parking"/>
    <n v="3938.04"/>
    <n v="104.6"/>
    <b v="1"/>
    <s v="Completed"/>
    <n v="104.6"/>
    <x v="1"/>
    <s v="REP014"/>
    <x v="2"/>
    <s v="Fleet Expense Card"/>
    <s v="SME"/>
  </r>
  <r>
    <s v="TXN0001551"/>
    <s v="CUST00209"/>
    <b v="1"/>
    <d v="2025-11-17T00:00:00"/>
    <x v="3"/>
    <s v="Parking"/>
    <n v="3863.96"/>
    <n v="98.22"/>
    <b v="1"/>
    <s v="Completed"/>
    <n v="98.22"/>
    <x v="1"/>
    <s v="REP014"/>
    <x v="2"/>
    <s v="Fleet Expense Card"/>
    <s v="SME"/>
  </r>
  <r>
    <s v="TXN0001552"/>
    <s v="CUST00209"/>
    <b v="1"/>
    <d v="2025-11-28T00:00:00"/>
    <x v="3"/>
    <s v="Fuel"/>
    <n v="3855.04"/>
    <n v="98.94"/>
    <b v="1"/>
    <s v="Completed"/>
    <n v="98.94"/>
    <x v="1"/>
    <s v="REP014"/>
    <x v="2"/>
    <s v="Fleet Expense Card"/>
    <s v="SME"/>
  </r>
  <r>
    <s v="TXN0001553"/>
    <s v="CUST00209"/>
    <b v="1"/>
    <d v="2025-11-26T00:00:00"/>
    <x v="3"/>
    <s v="Fuel"/>
    <n v="3436.46"/>
    <n v="89.84"/>
    <b v="1"/>
    <s v="Completed"/>
    <n v="89.84"/>
    <x v="1"/>
    <s v="REP014"/>
    <x v="2"/>
    <s v="Fleet Expense Card"/>
    <s v="SME"/>
  </r>
  <r>
    <s v="TXN0001554"/>
    <s v="CUST00209"/>
    <b v="1"/>
    <d v="2025-12-24T00:00:00"/>
    <x v="4"/>
    <s v="Parking"/>
    <n v="4160.74"/>
    <n v="112.17"/>
    <b v="1"/>
    <s v="Completed"/>
    <n v="112.17"/>
    <x v="1"/>
    <s v="REP014"/>
    <x v="2"/>
    <s v="Fleet Expense Card"/>
    <s v="SME"/>
  </r>
  <r>
    <s v="TXN0001555"/>
    <s v="CUST00215"/>
    <b v="1"/>
    <d v="2025-05-30T00:00:00"/>
    <x v="6"/>
    <s v="Fuel"/>
    <n v="17800.150000000001"/>
    <n v="479.26"/>
    <b v="1"/>
    <s v="Completed"/>
    <n v="479.26"/>
    <x v="1"/>
    <s v="REP014"/>
    <x v="2"/>
    <s v="Fuel Card"/>
    <s v="Mid-Market"/>
  </r>
  <r>
    <s v="TXN0001556"/>
    <s v="CUST00215"/>
    <b v="1"/>
    <d v="2025-05-25T00:00:00"/>
    <x v="6"/>
    <s v="Fuel"/>
    <n v="8483.0300000000007"/>
    <n v="239.21"/>
    <b v="1"/>
    <s v="Completed"/>
    <n v="239.21"/>
    <x v="1"/>
    <s v="REP014"/>
    <x v="2"/>
    <s v="Fuel Card"/>
    <s v="Mid-Market"/>
  </r>
  <r>
    <s v="TXN0001557"/>
    <s v="CUST00215"/>
    <b v="1"/>
    <d v="2025-05-26T00:00:00"/>
    <x v="6"/>
    <s v="Fuel"/>
    <n v="12667.28"/>
    <n v="361.73"/>
    <b v="1"/>
    <s v="Completed"/>
    <n v="361.73"/>
    <x v="1"/>
    <s v="REP014"/>
    <x v="2"/>
    <s v="Fuel Card"/>
    <s v="Mid-Market"/>
  </r>
  <r>
    <s v="TXN0001558"/>
    <s v="CUST00215"/>
    <b v="1"/>
    <d v="2025-06-09T00:00:00"/>
    <x v="7"/>
    <s v="Fuel"/>
    <n v="4743.37"/>
    <n v="115.38"/>
    <b v="1"/>
    <s v="Completed"/>
    <n v="115.38"/>
    <x v="1"/>
    <s v="REP014"/>
    <x v="2"/>
    <s v="Fuel Card"/>
    <s v="Mid-Market"/>
  </r>
  <r>
    <s v="TXN0001559"/>
    <s v="CUST00215"/>
    <b v="1"/>
    <d v="2025-06-14T00:00:00"/>
    <x v="7"/>
    <s v="Fuel"/>
    <n v="4749.95"/>
    <n v="0"/>
    <b v="1"/>
    <s v="Cancelled"/>
    <n v="0"/>
    <x v="1"/>
    <s v="REP014"/>
    <x v="2"/>
    <s v="Fuel Card"/>
    <s v="Mid-Market"/>
  </r>
  <r>
    <s v="TXN0001560"/>
    <s v="CUST00215"/>
    <b v="1"/>
    <d v="2025-07-27T00:00:00"/>
    <x v="8"/>
    <s v="Fuel"/>
    <n v="7361.81"/>
    <n v="177.93"/>
    <b v="1"/>
    <s v="Completed"/>
    <n v="177.93"/>
    <x v="1"/>
    <s v="REP014"/>
    <x v="2"/>
    <s v="Fuel Card"/>
    <s v="Mid-Market"/>
  </r>
  <r>
    <s v="TXN0001561"/>
    <s v="CUST00215"/>
    <b v="1"/>
    <d v="2025-08-31T00:00:00"/>
    <x v="0"/>
    <s v="Fuel"/>
    <n v="12086.75"/>
    <n v="262.66000000000003"/>
    <b v="1"/>
    <s v="Completed"/>
    <n v="262.66000000000003"/>
    <x v="1"/>
    <s v="REP014"/>
    <x v="2"/>
    <s v="Fuel Card"/>
    <s v="Mid-Market"/>
  </r>
  <r>
    <s v="TXN0001562"/>
    <s v="CUST00215"/>
    <b v="1"/>
    <d v="2025-09-07T00:00:00"/>
    <x v="1"/>
    <s v="Fuel"/>
    <n v="10911.3"/>
    <n v="254.51"/>
    <b v="1"/>
    <s v="Completed"/>
    <n v="254.51"/>
    <x v="1"/>
    <s v="REP014"/>
    <x v="2"/>
    <s v="Fuel Card"/>
    <s v="Mid-Market"/>
  </r>
  <r>
    <s v="TXN0001563"/>
    <s v="CUST00215"/>
    <b v="1"/>
    <d v="2025-09-22T00:00:00"/>
    <x v="1"/>
    <s v="Fuel"/>
    <n v="17707.52"/>
    <n v="432.56"/>
    <b v="1"/>
    <s v="Completed"/>
    <n v="432.56"/>
    <x v="1"/>
    <s v="REP014"/>
    <x v="2"/>
    <s v="Fuel Card"/>
    <s v="Mid-Market"/>
  </r>
  <r>
    <s v="TXN0001564"/>
    <s v="CUST00215"/>
    <b v="1"/>
    <d v="2025-10-14T00:00:00"/>
    <x v="2"/>
    <s v="Fuel"/>
    <n v="10738.44"/>
    <n v="265.67"/>
    <b v="1"/>
    <s v="Completed"/>
    <n v="265.67"/>
    <x v="1"/>
    <s v="REP014"/>
    <x v="2"/>
    <s v="Fuel Card"/>
    <s v="Mid-Market"/>
  </r>
  <r>
    <s v="TXN0001565"/>
    <s v="CUST00215"/>
    <b v="1"/>
    <d v="2025-11-16T00:00:00"/>
    <x v="3"/>
    <s v="Fuel"/>
    <n v="10057.280000000001"/>
    <n v="268.83999999999997"/>
    <b v="1"/>
    <s v="Completed"/>
    <n v="268.83999999999997"/>
    <x v="1"/>
    <s v="REP014"/>
    <x v="2"/>
    <s v="Fuel Card"/>
    <s v="Mid-Market"/>
  </r>
  <r>
    <s v="TXN0001566"/>
    <s v="CUST00215"/>
    <b v="1"/>
    <d v="2025-12-17T00:00:00"/>
    <x v="4"/>
    <s v="Fuel"/>
    <n v="17861.150000000001"/>
    <n v="438.62"/>
    <b v="1"/>
    <s v="Completed"/>
    <n v="438.62"/>
    <x v="1"/>
    <s v="REP014"/>
    <x v="2"/>
    <s v="Fuel Card"/>
    <s v="Mid-Market"/>
  </r>
  <r>
    <s v="TXN0001567"/>
    <s v="CUST00216"/>
    <b v="1"/>
    <d v="2025-12-23T00:00:00"/>
    <x v="4"/>
    <s v="Fuel"/>
    <n v="3821.82"/>
    <n v="88.23"/>
    <b v="1"/>
    <s v="Completed"/>
    <n v="88.23"/>
    <x v="0"/>
    <s v="REP008"/>
    <x v="2"/>
    <s v="Fleet Expense Card"/>
    <s v="SME"/>
  </r>
  <r>
    <s v="TXN0001568"/>
    <s v="CUST00216"/>
    <b v="1"/>
    <d v="2025-12-23T00:00:00"/>
    <x v="4"/>
    <s v="Fuel"/>
    <n v="4270.1000000000004"/>
    <n v="117.32"/>
    <b v="1"/>
    <s v="Completed"/>
    <n v="117.32"/>
    <x v="0"/>
    <s v="REP008"/>
    <x v="2"/>
    <s v="Fleet Expense Card"/>
    <s v="SME"/>
  </r>
  <r>
    <s v="TXN0001569"/>
    <s v="CUST00216"/>
    <b v="1"/>
    <d v="2025-12-24T00:00:00"/>
    <x v="4"/>
    <s v="Fuel"/>
    <n v="4774.24"/>
    <n v="147.38999999999999"/>
    <b v="1"/>
    <s v="Completed"/>
    <n v="147.38999999999999"/>
    <x v="0"/>
    <s v="REP008"/>
    <x v="2"/>
    <s v="Fleet Expense Card"/>
    <s v="SME"/>
  </r>
  <r>
    <s v="TXN0001570"/>
    <s v="CUST00218"/>
    <b v="1"/>
    <d v="2025-02-05T00:00:00"/>
    <x v="9"/>
    <s v="EV Charging"/>
    <n v="2038.49"/>
    <n v="54.95"/>
    <b v="1"/>
    <s v="Completed"/>
    <n v="54.95"/>
    <x v="1"/>
    <s v="REP014"/>
    <x v="2"/>
    <s v="EV Charge Card"/>
    <s v="SME"/>
  </r>
  <r>
    <s v="TXN0001571"/>
    <s v="CUST00218"/>
    <b v="1"/>
    <d v="2025-02-13T00:00:00"/>
    <x v="9"/>
    <s v="EV Charging"/>
    <n v="4455.13"/>
    <n v="139.93"/>
    <b v="1"/>
    <s v="Completed"/>
    <n v="139.93"/>
    <x v="1"/>
    <s v="REP014"/>
    <x v="2"/>
    <s v="EV Charge Card"/>
    <s v="SME"/>
  </r>
  <r>
    <s v="TXN0001572"/>
    <s v="CUST00218"/>
    <b v="1"/>
    <d v="2025-03-08T00:00:00"/>
    <x v="10"/>
    <s v="EV Charging"/>
    <n v="3189.59"/>
    <n v="89.78"/>
    <b v="1"/>
    <s v="Completed"/>
    <n v="89.78"/>
    <x v="1"/>
    <s v="REP014"/>
    <x v="2"/>
    <s v="EV Charge Card"/>
    <s v="SME"/>
  </r>
  <r>
    <s v="TXN0001573"/>
    <s v="CUST00218"/>
    <b v="1"/>
    <d v="2025-03-20T00:00:00"/>
    <x v="10"/>
    <s v="EV Charging"/>
    <n v="1580.1"/>
    <n v="42.45"/>
    <b v="1"/>
    <s v="Completed"/>
    <n v="42.45"/>
    <x v="1"/>
    <s v="REP014"/>
    <x v="2"/>
    <s v="EV Charge Card"/>
    <s v="SME"/>
  </r>
  <r>
    <s v="TXN0001574"/>
    <s v="CUST00218"/>
    <b v="1"/>
    <d v="2025-04-15T00:00:00"/>
    <x v="5"/>
    <s v="EV Charging"/>
    <n v="2257.29"/>
    <n v="80.34"/>
    <b v="1"/>
    <s v="Completed"/>
    <n v="80.34"/>
    <x v="1"/>
    <s v="REP014"/>
    <x v="2"/>
    <s v="EV Charge Card"/>
    <s v="SME"/>
  </r>
  <r>
    <s v="TXN0001575"/>
    <s v="CUST00218"/>
    <b v="1"/>
    <d v="2025-05-29T00:00:00"/>
    <x v="6"/>
    <s v="EV Charging"/>
    <n v="3858.1"/>
    <n v="111.83"/>
    <b v="1"/>
    <s v="Completed"/>
    <n v="111.83"/>
    <x v="1"/>
    <s v="REP014"/>
    <x v="2"/>
    <s v="EV Charge Card"/>
    <s v="SME"/>
  </r>
  <r>
    <s v="TXN0001576"/>
    <s v="CUST00218"/>
    <b v="1"/>
    <d v="2025-05-05T00:00:00"/>
    <x v="6"/>
    <s v="EV Charging"/>
    <n v="3044.94"/>
    <n v="99.61"/>
    <b v="1"/>
    <s v="Completed"/>
    <n v="99.61"/>
    <x v="1"/>
    <s v="REP014"/>
    <x v="2"/>
    <s v="EV Charge Card"/>
    <s v="SME"/>
  </r>
  <r>
    <s v="TXN0001577"/>
    <s v="CUST00218"/>
    <b v="1"/>
    <d v="2025-05-18T00:00:00"/>
    <x v="6"/>
    <s v="EV Charging"/>
    <n v="3326.97"/>
    <n v="109.06"/>
    <b v="1"/>
    <s v="Completed"/>
    <n v="109.06"/>
    <x v="1"/>
    <s v="REP014"/>
    <x v="2"/>
    <s v="EV Charge Card"/>
    <s v="SME"/>
  </r>
  <r>
    <s v="TXN0001578"/>
    <s v="CUST00218"/>
    <b v="1"/>
    <d v="2025-06-20T00:00:00"/>
    <x v="7"/>
    <s v="EV Charging"/>
    <n v="3332.41"/>
    <n v="114.14"/>
    <b v="1"/>
    <s v="Completed"/>
    <n v="114.14"/>
    <x v="1"/>
    <s v="REP014"/>
    <x v="2"/>
    <s v="EV Charge Card"/>
    <s v="SME"/>
  </r>
  <r>
    <s v="TXN0001579"/>
    <s v="CUST00218"/>
    <b v="1"/>
    <d v="2025-06-23T00:00:00"/>
    <x v="7"/>
    <s v="EV Charging"/>
    <n v="4094.13"/>
    <n v="129.94999999999999"/>
    <b v="1"/>
    <s v="Completed"/>
    <n v="129.94999999999999"/>
    <x v="1"/>
    <s v="REP014"/>
    <x v="2"/>
    <s v="EV Charge Card"/>
    <s v="SME"/>
  </r>
  <r>
    <s v="TXN0001580"/>
    <s v="CUST00218"/>
    <b v="1"/>
    <d v="2025-06-28T00:00:00"/>
    <x v="7"/>
    <s v="EV Charging"/>
    <n v="1867.36"/>
    <n v="54.17"/>
    <b v="1"/>
    <s v="Completed"/>
    <n v="54.17"/>
    <x v="1"/>
    <s v="REP014"/>
    <x v="2"/>
    <s v="EV Charge Card"/>
    <s v="SME"/>
  </r>
  <r>
    <s v="TXN0001581"/>
    <s v="CUST00218"/>
    <b v="1"/>
    <d v="2025-07-20T00:00:00"/>
    <x v="8"/>
    <s v="EV Charging"/>
    <n v="2851.47"/>
    <n v="77.47"/>
    <b v="1"/>
    <s v="Completed"/>
    <n v="77.47"/>
    <x v="1"/>
    <s v="REP014"/>
    <x v="2"/>
    <s v="EV Charge Card"/>
    <s v="SME"/>
  </r>
  <r>
    <s v="TXN0001582"/>
    <s v="CUST00218"/>
    <b v="1"/>
    <d v="2025-07-27T00:00:00"/>
    <x v="8"/>
    <s v="EV Charging"/>
    <n v="3786.57"/>
    <n v="111.28"/>
    <b v="1"/>
    <s v="Completed"/>
    <n v="111.28"/>
    <x v="1"/>
    <s v="REP014"/>
    <x v="2"/>
    <s v="EV Charge Card"/>
    <s v="SME"/>
  </r>
  <r>
    <s v="TXN0001583"/>
    <s v="CUST00218"/>
    <b v="1"/>
    <d v="2025-07-29T00:00:00"/>
    <x v="8"/>
    <s v="EV Charging"/>
    <n v="2864.72"/>
    <n v="85.99"/>
    <b v="1"/>
    <s v="Completed"/>
    <n v="85.99"/>
    <x v="1"/>
    <s v="REP014"/>
    <x v="2"/>
    <s v="EV Charge Card"/>
    <s v="SME"/>
  </r>
  <r>
    <s v="TXN0001584"/>
    <s v="CUST00218"/>
    <b v="1"/>
    <d v="2025-08-02T00:00:00"/>
    <x v="0"/>
    <s v="EV Charging"/>
    <n v="4478.7299999999996"/>
    <n v="144.74"/>
    <b v="1"/>
    <s v="Completed"/>
    <n v="144.74"/>
    <x v="1"/>
    <s v="REP014"/>
    <x v="2"/>
    <s v="EV Charge Card"/>
    <s v="SME"/>
  </r>
  <r>
    <s v="TXN0001585"/>
    <s v="CUST00218"/>
    <b v="1"/>
    <d v="2025-08-16T00:00:00"/>
    <x v="0"/>
    <s v="EV Charging"/>
    <n v="2773.35"/>
    <n v="80.819999999999993"/>
    <b v="1"/>
    <s v="Completed"/>
    <n v="80.819999999999993"/>
    <x v="1"/>
    <s v="REP014"/>
    <x v="2"/>
    <s v="EV Charge Card"/>
    <s v="SME"/>
  </r>
  <r>
    <s v="TXN0001586"/>
    <s v="CUST00218"/>
    <b v="1"/>
    <d v="2025-08-18T00:00:00"/>
    <x v="0"/>
    <s v="EV Charging"/>
    <n v="1934.33"/>
    <n v="58.63"/>
    <b v="1"/>
    <s v="Completed"/>
    <n v="58.63"/>
    <x v="1"/>
    <s v="REP014"/>
    <x v="2"/>
    <s v="EV Charge Card"/>
    <s v="SME"/>
  </r>
  <r>
    <s v="TXN0001587"/>
    <s v="CUST00218"/>
    <b v="1"/>
    <d v="2025-09-17T00:00:00"/>
    <x v="1"/>
    <s v="EV Charging"/>
    <n v="4097.25"/>
    <n v="110.55"/>
    <b v="1"/>
    <s v="Completed"/>
    <n v="110.55"/>
    <x v="1"/>
    <s v="REP014"/>
    <x v="2"/>
    <s v="EV Charge Card"/>
    <s v="SME"/>
  </r>
  <r>
    <s v="TXN0001588"/>
    <s v="CUST00218"/>
    <b v="1"/>
    <d v="2025-10-13T00:00:00"/>
    <x v="2"/>
    <s v="EV Charging"/>
    <n v="2871.21"/>
    <n v="82.31"/>
    <b v="1"/>
    <s v="Completed"/>
    <n v="82.31"/>
    <x v="1"/>
    <s v="REP014"/>
    <x v="2"/>
    <s v="EV Charge Card"/>
    <s v="SME"/>
  </r>
  <r>
    <s v="TXN0001589"/>
    <s v="CUST00218"/>
    <b v="1"/>
    <d v="2025-10-28T00:00:00"/>
    <x v="2"/>
    <s v="EV Charging"/>
    <n v="1795.05"/>
    <n v="48.76"/>
    <b v="1"/>
    <s v="Completed"/>
    <n v="48.76"/>
    <x v="1"/>
    <s v="REP014"/>
    <x v="2"/>
    <s v="EV Charge Card"/>
    <s v="SME"/>
  </r>
  <r>
    <s v="TXN0001590"/>
    <s v="CUST00218"/>
    <b v="1"/>
    <d v="2025-11-18T00:00:00"/>
    <x v="3"/>
    <s v="EV Charging"/>
    <n v="3832.01"/>
    <n v="105.81"/>
    <b v="1"/>
    <s v="Completed"/>
    <n v="105.81"/>
    <x v="1"/>
    <s v="REP014"/>
    <x v="2"/>
    <s v="EV Charge Card"/>
    <s v="SME"/>
  </r>
  <r>
    <s v="TXN0001591"/>
    <s v="CUST00218"/>
    <b v="1"/>
    <d v="2025-11-19T00:00:00"/>
    <x v="3"/>
    <s v="EV Charging"/>
    <n v="2985.7"/>
    <n v="89.29"/>
    <b v="1"/>
    <s v="Completed"/>
    <n v="89.29"/>
    <x v="1"/>
    <s v="REP014"/>
    <x v="2"/>
    <s v="EV Charge Card"/>
    <s v="SME"/>
  </r>
  <r>
    <s v="TXN0001592"/>
    <s v="CUST00218"/>
    <b v="1"/>
    <d v="2025-11-19T00:00:00"/>
    <x v="3"/>
    <s v="EV Charging"/>
    <n v="2099.25"/>
    <n v="0"/>
    <b v="1"/>
    <s v="Cancelled"/>
    <n v="0"/>
    <x v="1"/>
    <s v="REP014"/>
    <x v="2"/>
    <s v="EV Charge Card"/>
    <s v="SME"/>
  </r>
  <r>
    <s v="TXN0001593"/>
    <s v="CUST00218"/>
    <b v="1"/>
    <d v="2025-12-11T00:00:00"/>
    <x v="4"/>
    <s v="EV Charging"/>
    <n v="3674.61"/>
    <n v="125.45"/>
    <b v="1"/>
    <s v="Completed"/>
    <n v="125.45"/>
    <x v="1"/>
    <s v="REP014"/>
    <x v="2"/>
    <s v="EV Charge Card"/>
    <s v="SME"/>
  </r>
  <r>
    <s v="TXN0001594"/>
    <s v="CUST00218"/>
    <b v="1"/>
    <d v="2025-12-15T00:00:00"/>
    <x v="4"/>
    <s v="EV Charging"/>
    <n v="3002.33"/>
    <n v="83.47"/>
    <b v="1"/>
    <s v="Completed"/>
    <n v="83.47"/>
    <x v="1"/>
    <s v="REP014"/>
    <x v="2"/>
    <s v="EV Charge Card"/>
    <s v="SME"/>
  </r>
  <r>
    <s v="TXN0001595"/>
    <s v="CUST00218"/>
    <b v="1"/>
    <d v="2025-12-06T00:00:00"/>
    <x v="4"/>
    <s v="EV Charging"/>
    <n v="3090.04"/>
    <n v="109.25"/>
    <b v="1"/>
    <s v="Completed"/>
    <n v="109.25"/>
    <x v="1"/>
    <s v="REP014"/>
    <x v="2"/>
    <s v="EV Charge Card"/>
    <s v="SME"/>
  </r>
  <r>
    <s v="TXN0001596"/>
    <s v="CUST00220"/>
    <b v="1"/>
    <d v="2025-07-31T00:00:00"/>
    <x v="8"/>
    <s v="Toll"/>
    <n v="2324.94"/>
    <n v="35.880000000000003"/>
    <b v="1"/>
    <s v="Completed"/>
    <n v="35.880000000000003"/>
    <x v="1"/>
    <s v="REP013"/>
    <x v="0"/>
    <s v="Toll Solution"/>
    <s v="SME"/>
  </r>
  <r>
    <s v="TXN0001597"/>
    <s v="CUST00220"/>
    <b v="1"/>
    <d v="2025-07-25T00:00:00"/>
    <x v="8"/>
    <s v="Toll"/>
    <n v="3117.58"/>
    <n v="52.54"/>
    <b v="1"/>
    <s v="Completed"/>
    <n v="52.54"/>
    <x v="1"/>
    <s v="REP013"/>
    <x v="0"/>
    <s v="Toll Solution"/>
    <s v="SME"/>
  </r>
  <r>
    <s v="TXN0001598"/>
    <s v="CUST00220"/>
    <b v="1"/>
    <d v="2025-08-07T00:00:00"/>
    <x v="0"/>
    <s v="Toll"/>
    <m/>
    <n v="66.040000000000006"/>
    <b v="1"/>
    <s v="Completed"/>
    <n v="66.040000000000006"/>
    <x v="1"/>
    <s v="REP013"/>
    <x v="0"/>
    <s v="Toll Solution"/>
    <s v="SME"/>
  </r>
  <r>
    <s v="TXN0001599"/>
    <s v="CUST00220"/>
    <b v="1"/>
    <d v="2025-08-16T00:00:00"/>
    <x v="0"/>
    <s v="Toll"/>
    <n v="2455.2600000000002"/>
    <n v="49.26"/>
    <b v="1"/>
    <s v="Completed"/>
    <n v="49.26"/>
    <x v="1"/>
    <s v="REP013"/>
    <x v="0"/>
    <s v="Toll Solution"/>
    <s v="SME"/>
  </r>
  <r>
    <s v="TXN0001600"/>
    <s v="CUST00220"/>
    <b v="1"/>
    <d v="2025-08-02T00:00:00"/>
    <x v="0"/>
    <s v="Toll"/>
    <n v="3806.25"/>
    <n v="63.41"/>
    <b v="1"/>
    <s v="Completed"/>
    <n v="63.41"/>
    <x v="1"/>
    <s v="REP013"/>
    <x v="0"/>
    <s v="Toll Solution"/>
    <s v="SME"/>
  </r>
  <r>
    <s v="TXN0001601"/>
    <s v="CUST00220"/>
    <b v="1"/>
    <d v="2025-09-08T00:00:00"/>
    <x v="1"/>
    <s v="Toll"/>
    <n v="2272.65"/>
    <n v="39.799999999999997"/>
    <b v="1"/>
    <s v="Completed"/>
    <n v="39.799999999999997"/>
    <x v="1"/>
    <s v="REP013"/>
    <x v="0"/>
    <s v="Toll Solution"/>
    <s v="SME"/>
  </r>
  <r>
    <s v="TXN0001602"/>
    <s v="CUST00220"/>
    <b v="1"/>
    <d v="2025-09-05T00:00:00"/>
    <x v="1"/>
    <s v="Toll"/>
    <n v="1756.56"/>
    <n v="27.13"/>
    <b v="1"/>
    <s v="Completed"/>
    <n v="27.13"/>
    <x v="1"/>
    <s v="REP013"/>
    <x v="0"/>
    <s v="Toll Solution"/>
    <s v="SME"/>
  </r>
  <r>
    <s v="TXN0001603"/>
    <s v="CUST00220"/>
    <b v="1"/>
    <d v="2025-09-04T00:00:00"/>
    <x v="1"/>
    <s v="Toll"/>
    <n v="2344.98"/>
    <n v="42.89"/>
    <b v="1"/>
    <s v="Completed"/>
    <n v="42.89"/>
    <x v="1"/>
    <s v="REP013"/>
    <x v="0"/>
    <s v="Toll Solution"/>
    <s v="SME"/>
  </r>
  <r>
    <s v="TXN0001604"/>
    <s v="CUST00220"/>
    <b v="1"/>
    <d v="2025-10-25T00:00:00"/>
    <x v="2"/>
    <s v="Toll"/>
    <n v="2605.85"/>
    <n v="41.95"/>
    <b v="1"/>
    <s v="Completed"/>
    <n v="41.95"/>
    <x v="1"/>
    <s v="REP013"/>
    <x v="0"/>
    <s v="Toll Solution"/>
    <s v="SME"/>
  </r>
  <r>
    <s v="TXN0001605"/>
    <s v="CUST00220"/>
    <b v="1"/>
    <d v="2025-10-01T00:00:00"/>
    <x v="2"/>
    <s v="Toll"/>
    <n v="2940.94"/>
    <n v="48.32"/>
    <b v="1"/>
    <s v="Completed"/>
    <n v="48.32"/>
    <x v="1"/>
    <s v="REP013"/>
    <x v="0"/>
    <s v="Toll Solution"/>
    <s v="SME"/>
  </r>
  <r>
    <s v="TXN0001606"/>
    <s v="CUST00220"/>
    <b v="1"/>
    <d v="2025-11-05T00:00:00"/>
    <x v="3"/>
    <s v="Toll"/>
    <n v="3465.44"/>
    <n v="56.9"/>
    <b v="1"/>
    <s v="Completed"/>
    <n v="56.9"/>
    <x v="1"/>
    <s v="REP013"/>
    <x v="0"/>
    <s v="Toll Solution"/>
    <s v="SME"/>
  </r>
  <r>
    <s v="TXN0001607"/>
    <s v="CUST00220"/>
    <b v="1"/>
    <d v="2025-11-16T00:00:00"/>
    <x v="3"/>
    <s v="Toll"/>
    <n v="4485.51"/>
    <n v="68.930000000000007"/>
    <b v="1"/>
    <s v="Completed"/>
    <n v="68.930000000000007"/>
    <x v="1"/>
    <s v="REP013"/>
    <x v="0"/>
    <s v="Toll Solution"/>
    <s v="SME"/>
  </r>
  <r>
    <s v="TXN0001608"/>
    <s v="CUST00220"/>
    <b v="1"/>
    <d v="2025-11-15T00:00:00"/>
    <x v="3"/>
    <s v="Toll"/>
    <n v="1406.07"/>
    <n v="-23.05"/>
    <b v="0"/>
    <s v="Completed"/>
    <n v="0"/>
    <x v="1"/>
    <s v="REP013"/>
    <x v="0"/>
    <s v="Toll Solution"/>
    <s v="SME"/>
  </r>
  <r>
    <s v="TXN0001609"/>
    <s v="CUST00220"/>
    <b v="1"/>
    <d v="2025-12-05T00:00:00"/>
    <x v="4"/>
    <s v="Toll"/>
    <n v="4148.46"/>
    <n v="85.59"/>
    <b v="1"/>
    <s v="Completed"/>
    <n v="85.59"/>
    <x v="1"/>
    <s v="REP013"/>
    <x v="0"/>
    <s v="Toll Solution"/>
    <s v="SM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9B139FD-65AA-4B17-AFD2-91F0AA996ADF}" name="PT_LeadKPI"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V3:Y4" firstHeaderRow="0" firstDataRow="1" firstDataCol="0"/>
  <pivotFields count="17">
    <pivotField dataField="1" compact="0" outline="0" showAll="0"/>
    <pivotField compact="0" numFmtId="166" outline="0" showAll="0"/>
    <pivotField compact="0" numFmtId="166" outline="0" showAll="0">
      <items count="13">
        <item x="9"/>
        <item x="8"/>
        <item x="7"/>
        <item x="3"/>
        <item x="6"/>
        <item x="5"/>
        <item x="4"/>
        <item x="2"/>
        <item x="11"/>
        <item x="0"/>
        <item x="10"/>
        <item x="1"/>
        <item t="default"/>
      </items>
    </pivotField>
    <pivotField compact="0" outline="0" showAll="0">
      <items count="6">
        <item x="1"/>
        <item x="4"/>
        <item x="3"/>
        <item x="2"/>
        <item x="0"/>
        <item t="default"/>
      </items>
    </pivotField>
    <pivotField compact="0" outline="0" showAll="0">
      <items count="7">
        <item x="3"/>
        <item x="2"/>
        <item x="1"/>
        <item x="4"/>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 compact="0" outline="0" showAll="0"/>
    <pivotField compact="0" numFmtId="4" outline="0" showAll="0"/>
  </pivotFields>
  <rowItems count="1">
    <i/>
  </rowItems>
  <colFields count="1">
    <field x="-2"/>
  </colFields>
  <colItems count="4">
    <i>
      <x/>
    </i>
    <i i="1">
      <x v="1"/>
    </i>
    <i i="2">
      <x v="2"/>
    </i>
    <i i="3">
      <x v="3"/>
    </i>
  </colItems>
  <dataFields count="4">
    <dataField name="Leads" fld="0" subtotal="count" baseField="0" baseItem="0" numFmtId="3"/>
    <dataField name="Qualified" fld="11" subtotal="count" baseField="0" baseItem="0" numFmtId="3"/>
    <dataField name="Opportunities" fld="12" subtotal="count" baseField="0" baseItem="0" numFmtId="3"/>
    <dataField name="Wins" fld="13" subtotal="count" baseField="0" baseItem="0" numFmtId="3"/>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C9E24B-F4C4-4C98-8104-5C0F683DA5C7}" name="PT_LeadsByMarket"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R3:T8" firstHeaderRow="0" firstDataRow="1" firstDataCol="1"/>
  <pivotFields count="17">
    <pivotField dataField="1" compact="0" outline="0" showAll="0"/>
    <pivotField compact="0" numFmtId="166" outline="0" showAll="0"/>
    <pivotField compact="0" numFmtId="166" outline="0" showAll="0">
      <items count="13">
        <item x="9"/>
        <item x="8"/>
        <item x="7"/>
        <item x="3"/>
        <item x="6"/>
        <item x="5"/>
        <item x="4"/>
        <item x="2"/>
        <item x="11"/>
        <item x="0"/>
        <item x="10"/>
        <item x="1"/>
        <item t="default"/>
      </items>
    </pivotField>
    <pivotField axis="axisRow" compact="0" outline="0" showAll="0" defaultSubtotal="0">
      <items count="5">
        <item x="1"/>
        <item x="4"/>
        <item x="3"/>
        <item x="2"/>
        <item x="0"/>
      </items>
    </pivotField>
    <pivotField compact="0" outline="0" showAll="0">
      <items count="7">
        <item x="3"/>
        <item x="2"/>
        <item x="1"/>
        <item x="4"/>
        <item x="0"/>
        <item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4" outline="0" showAll="0"/>
  </pivotFields>
  <rowFields count="1">
    <field x="3"/>
  </rowFields>
  <rowItems count="5">
    <i>
      <x/>
    </i>
    <i>
      <x v="1"/>
    </i>
    <i>
      <x v="2"/>
    </i>
    <i>
      <x v="3"/>
    </i>
    <i>
      <x v="4"/>
    </i>
  </rowItems>
  <colFields count="1">
    <field x="-2"/>
  </colFields>
  <colItems count="2">
    <i>
      <x/>
    </i>
    <i i="1">
      <x v="1"/>
    </i>
  </colItems>
  <dataFields count="2">
    <dataField name="Leads" fld="0" subtotal="count" baseField="0" baseItem="0" numFmtId="3"/>
    <dataField name="Pipeline EUR" fld="16" baseField="0" baseItem="0" numFmtId="169"/>
  </dataFields>
  <formats count="5">
    <format dxfId="7">
      <pivotArea type="all" dataOnly="0" outline="0" fieldPosition="0"/>
    </format>
    <format dxfId="6">
      <pivotArea outline="0" collapsedLevelsAreSubtotals="1" fieldPosition="0"/>
    </format>
    <format dxfId="5">
      <pivotArea field="3" type="button" dataOnly="0" labelOnly="1" outline="0" axis="axisRow" fieldPosition="0"/>
    </format>
    <format dxfId="4">
      <pivotArea dataOnly="0" labelOnly="1" outline="0" fieldPosition="0">
        <references count="1">
          <reference field="3" count="0"/>
        </references>
      </pivotArea>
    </format>
    <format dxfId="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B86E07-0A89-4C96-A626-6F917E24016D}" name="PT_RevenueByChannel" cacheId="2"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F56:G62" firstHeaderRow="1" firstDataRow="1" firstDataCol="1"/>
  <pivotFields count="16">
    <pivotField compact="0" outline="0" showAll="0"/>
    <pivotField compact="0" outline="0" showAll="0"/>
    <pivotField compact="0" outline="0" showAll="0"/>
    <pivotField compact="0" numFmtId="166" outline="0" showAll="0"/>
    <pivotField compact="0" numFmtId="166" outline="0" showAll="0">
      <items count="12">
        <item x="9"/>
        <item x="10"/>
        <item x="5"/>
        <item x="6"/>
        <item x="7"/>
        <item x="8"/>
        <item x="0"/>
        <item x="1"/>
        <item x="2"/>
        <item x="3"/>
        <item x="4"/>
        <item t="default"/>
      </items>
    </pivotField>
    <pivotField compact="0" outline="0" showAll="0"/>
    <pivotField compact="0" outline="0" showAll="0"/>
    <pivotField compact="0" numFmtId="4" outline="0" showAll="0"/>
    <pivotField compact="0" outline="0" showAll="0"/>
    <pivotField compact="0" outline="0" showAll="0"/>
    <pivotField dataField="1" compact="0" numFmtId="4" outline="0" showAll="0"/>
    <pivotField compact="0" outline="0" showAll="0">
      <items count="6">
        <item x="4"/>
        <item x="1"/>
        <item x="3"/>
        <item x="0"/>
        <item x="2"/>
        <item t="default"/>
      </items>
    </pivotField>
    <pivotField compact="0" outline="0" showAll="0"/>
    <pivotField axis="axisRow" compact="0" outline="0" showAll="0" defaultSubtotal="0">
      <items count="6">
        <item x="5"/>
        <item x="2"/>
        <item x="1"/>
        <item x="0"/>
        <item x="4"/>
        <item x="3"/>
      </items>
    </pivotField>
    <pivotField compact="0" outline="0" showAll="0"/>
    <pivotField compact="0" outline="0" showAll="0"/>
  </pivotFields>
  <rowFields count="1">
    <field x="13"/>
  </rowFields>
  <rowItems count="6">
    <i>
      <x/>
    </i>
    <i>
      <x v="1"/>
    </i>
    <i>
      <x v="2"/>
    </i>
    <i>
      <x v="3"/>
    </i>
    <i>
      <x v="4"/>
    </i>
    <i>
      <x v="5"/>
    </i>
  </rowItems>
  <colItems count="1">
    <i/>
  </colItems>
  <dataFields count="1">
    <dataField name="Revenue" fld="10" baseField="0" baseItem="0" numFmtId="169"/>
  </dataFields>
  <formats count="5">
    <format dxfId="12">
      <pivotArea type="all" dataOnly="0" outline="0" fieldPosition="0"/>
    </format>
    <format dxfId="11">
      <pivotArea outline="0" collapsedLevelsAreSubtotals="1" fieldPosition="0"/>
    </format>
    <format dxfId="10">
      <pivotArea field="13" type="button" dataOnly="0" labelOnly="1" outline="0" axis="axisRow" fieldPosition="0"/>
    </format>
    <format dxfId="9">
      <pivotArea dataOnly="0" labelOnly="1" outline="0" fieldPosition="0">
        <references count="1">
          <reference field="13" count="0"/>
        </references>
      </pivotArea>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D6B463A-0237-451B-B775-3DB067137222}" name="PT_CustomerKPI"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V30:Y31" firstHeaderRow="0" firstDataRow="1" firstDataCol="0"/>
  <pivotFields count="17">
    <pivotField dataField="1" compact="0" outline="0" showAll="0"/>
    <pivotField compact="0" outline="0" showAll="0"/>
    <pivotField compact="0" outline="0" showAll="0"/>
    <pivotField compact="0" numFmtId="166" outline="0" showAll="0"/>
    <pivotField dataField="1" compact="0" outline="0" showAll="0"/>
    <pivotField compact="0" outline="0" showAll="0"/>
    <pivotField compact="0" outline="0" showAll="0"/>
    <pivotField compact="0" outline="0" showAll="0">
      <items count="6">
        <item x="4"/>
        <item x="2"/>
        <item x="3"/>
        <item x="1"/>
        <item x="0"/>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4" outline="0" showAll="0"/>
    <pivotField dataField="1" compact="0" outline="0" showAll="0"/>
  </pivotFields>
  <rowItems count="1">
    <i/>
  </rowItems>
  <colFields count="1">
    <field x="-2"/>
  </colFields>
  <colItems count="4">
    <i>
      <x/>
    </i>
    <i i="1">
      <x v="1"/>
    </i>
    <i i="2">
      <x v="2"/>
    </i>
    <i i="3">
      <x v="3"/>
    </i>
  </colItems>
  <dataFields count="4">
    <dataField name="Customers" fld="0" subtotal="count" baseField="0" baseItem="0" numFmtId="3"/>
    <dataField name="Activated" fld="4" subtotal="count" baseField="0" baseItem="0" numFmtId="3"/>
    <dataField name="Churned" fld="14" subtotal="count" baseField="0" baseItem="0" numFmtId="3"/>
    <dataField name="AvgDays" fld="16" subtotal="average" baseField="0" baseItem="0" numFmtId="170"/>
  </dataFields>
  <formats count="3">
    <format dxfId="15">
      <pivotArea type="all" dataOnly="0" outline="0" fieldPosition="0"/>
    </format>
    <format dxfId="14">
      <pivotArea outline="0" collapsedLevelsAreSubtotals="1" fieldPosition="0"/>
    </format>
    <format dxfId="1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BA3575-FAA8-4A16-8D0C-1E9DA4F19AD4}" name="PT_LeadsByMonth"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D3:I16" firstHeaderRow="1" firstDataRow="2" firstDataCol="1"/>
  <pivotFields count="17">
    <pivotField dataField="1" compact="0" outline="0" showAll="0"/>
    <pivotField compact="0" numFmtId="166" outline="0" showAll="0"/>
    <pivotField axis="axisRow" compact="0" numFmtId="17" outline="0" showAll="0" defaultSubtotal="0">
      <items count="12">
        <item x="9"/>
        <item x="8"/>
        <item x="7"/>
        <item x="3"/>
        <item x="6"/>
        <item x="5"/>
        <item x="4"/>
        <item x="2"/>
        <item x="11"/>
        <item x="0"/>
        <item x="10"/>
        <item x="1"/>
      </items>
    </pivotField>
    <pivotField compact="0" outline="0" showAll="0">
      <items count="6">
        <item x="1"/>
        <item x="4"/>
        <item x="3"/>
        <item x="2"/>
        <item x="0"/>
        <item t="default"/>
      </items>
    </pivotField>
    <pivotField compact="0" outline="0" showAll="0">
      <items count="7">
        <item x="3"/>
        <item x="2"/>
        <item x="1"/>
        <item x="4"/>
        <item x="0"/>
        <item x="5"/>
        <item t="default"/>
      </items>
    </pivotField>
    <pivotField compact="0" outline="0" showAll="0"/>
    <pivotField compact="0" outline="0" showAll="0"/>
    <pivotField compact="0" outline="0" showAll="0"/>
    <pivotField compact="0" outline="0" showAll="0"/>
    <pivotField axis="axisCol" compact="0" outline="0" showAll="0" defaultSubtotal="0">
      <items count="5">
        <item x="0"/>
        <item x="4"/>
        <item x="1"/>
        <item x="3"/>
        <item x="2"/>
      </items>
    </pivotField>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s>
  <rowFields count="1">
    <field x="2"/>
  </rowFields>
  <rowItems count="12">
    <i>
      <x/>
    </i>
    <i>
      <x v="1"/>
    </i>
    <i>
      <x v="2"/>
    </i>
    <i>
      <x v="3"/>
    </i>
    <i>
      <x v="4"/>
    </i>
    <i>
      <x v="5"/>
    </i>
    <i>
      <x v="6"/>
    </i>
    <i>
      <x v="7"/>
    </i>
    <i>
      <x v="8"/>
    </i>
    <i>
      <x v="9"/>
    </i>
    <i>
      <x v="10"/>
    </i>
    <i>
      <x v="11"/>
    </i>
  </rowItems>
  <colFields count="1">
    <field x="9"/>
  </colFields>
  <colItems count="5">
    <i>
      <x/>
    </i>
    <i>
      <x v="1"/>
    </i>
    <i>
      <x v="2"/>
    </i>
    <i>
      <x v="3"/>
    </i>
    <i>
      <x v="4"/>
    </i>
  </colItems>
  <dataFields count="1">
    <dataField name="Leads" fld="0" subtotal="count" baseField="0" baseItem="0" numFmtId="3"/>
  </dataFields>
  <formats count="8">
    <format dxfId="23">
      <pivotArea type="all" dataOnly="0" outline="0" fieldPosition="0"/>
    </format>
    <format dxfId="22">
      <pivotArea outline="0" collapsedLevelsAreSubtotals="1" fieldPosition="0"/>
    </format>
    <format dxfId="21">
      <pivotArea type="origin" dataOnly="0" labelOnly="1" outline="0" fieldPosition="0"/>
    </format>
    <format dxfId="20">
      <pivotArea field="9" type="button" dataOnly="0" labelOnly="1" outline="0" axis="axisCol" fieldPosition="0"/>
    </format>
    <format dxfId="19">
      <pivotArea type="topRight" dataOnly="0" labelOnly="1" outline="0" fieldPosition="0"/>
    </format>
    <format dxfId="18">
      <pivotArea field="2" type="button" dataOnly="0" labelOnly="1" outline="0" axis="axisRow" fieldPosition="0"/>
    </format>
    <format dxfId="17">
      <pivotArea dataOnly="0" labelOnly="1" outline="0" fieldPosition="0">
        <references count="1">
          <reference field="2" count="0"/>
        </references>
      </pivotArea>
    </format>
    <format dxfId="16">
      <pivotArea dataOnly="0" labelOnly="1" outline="0"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7E68BB-CEBD-4CE4-A3A6-A14266009ACC}" name="PT_LeadsByChannel"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J3:O10" firstHeaderRow="1" firstDataRow="2" firstDataCol="1"/>
  <pivotFields count="17">
    <pivotField dataField="1" compact="0" outline="0" showAll="0"/>
    <pivotField compact="0" numFmtId="166" outline="0" showAll="0"/>
    <pivotField compact="0" numFmtId="166" outline="0" showAll="0">
      <items count="13">
        <item x="9"/>
        <item x="8"/>
        <item x="7"/>
        <item x="3"/>
        <item x="6"/>
        <item x="5"/>
        <item x="4"/>
        <item x="2"/>
        <item x="11"/>
        <item x="0"/>
        <item x="10"/>
        <item x="1"/>
        <item t="default"/>
      </items>
    </pivotField>
    <pivotField compact="0" outline="0" showAll="0">
      <items count="6">
        <item x="1"/>
        <item x="4"/>
        <item x="3"/>
        <item x="2"/>
        <item x="0"/>
        <item t="default"/>
      </items>
    </pivotField>
    <pivotField axis="axisRow" compact="0" outline="0" showAll="0" defaultSubtotal="0">
      <items count="6">
        <item x="3"/>
        <item x="2"/>
        <item x="1"/>
        <item x="4"/>
        <item x="0"/>
        <item x="5"/>
      </items>
    </pivotField>
    <pivotField compact="0" outline="0" showAll="0"/>
    <pivotField compact="0" outline="0" showAll="0"/>
    <pivotField compact="0" outline="0" showAll="0"/>
    <pivotField compact="0" outline="0" showAll="0"/>
    <pivotField axis="axisCol" compact="0" outline="0" showAll="0" defaultSubtotal="0">
      <items count="5">
        <item x="0"/>
        <item x="4"/>
        <item x="1"/>
        <item x="3"/>
        <item x="2"/>
      </items>
    </pivotField>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s>
  <rowFields count="1">
    <field x="4"/>
  </rowFields>
  <rowItems count="6">
    <i>
      <x/>
    </i>
    <i>
      <x v="1"/>
    </i>
    <i>
      <x v="2"/>
    </i>
    <i>
      <x v="3"/>
    </i>
    <i>
      <x v="4"/>
    </i>
    <i>
      <x v="5"/>
    </i>
  </rowItems>
  <colFields count="1">
    <field x="9"/>
  </colFields>
  <colItems count="5">
    <i>
      <x/>
    </i>
    <i>
      <x v="1"/>
    </i>
    <i>
      <x v="2"/>
    </i>
    <i>
      <x v="3"/>
    </i>
    <i>
      <x v="4"/>
    </i>
  </colItems>
  <dataFields count="1">
    <dataField name="Leads" fld="0" subtotal="count" baseField="0" baseItem="0" numFmtId="3"/>
  </dataFields>
  <formats count="8">
    <format dxfId="31">
      <pivotArea type="all" dataOnly="0" outline="0" fieldPosition="0"/>
    </format>
    <format dxfId="30">
      <pivotArea outline="0" collapsedLevelsAreSubtotals="1" fieldPosition="0"/>
    </format>
    <format dxfId="29">
      <pivotArea type="origin" dataOnly="0" labelOnly="1" outline="0" fieldPosition="0"/>
    </format>
    <format dxfId="28">
      <pivotArea field="9" type="button" dataOnly="0" labelOnly="1" outline="0" axis="axisCol" fieldPosition="0"/>
    </format>
    <format dxfId="27">
      <pivotArea type="topRight" dataOnly="0" labelOnly="1" outline="0" fieldPosition="0"/>
    </format>
    <format dxfId="26">
      <pivotArea field="4" type="button" dataOnly="0" labelOnly="1" outline="0" axis="axisRow" fieldPosition="0"/>
    </format>
    <format dxfId="25">
      <pivotArea dataOnly="0" labelOnly="1" outline="0" fieldPosition="0">
        <references count="1">
          <reference field="4" count="0"/>
        </references>
      </pivotArea>
    </format>
    <format dxfId="24">
      <pivotArea dataOnly="0" labelOnly="1" outline="0"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C08B4B-5713-4D8D-984F-9D0ADF97BEAB}" name="PT_RepProductivity"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30:F47" firstHeaderRow="1" firstDataRow="2" firstDataCol="1"/>
  <pivotFields count="17">
    <pivotField dataField="1" compact="0" outline="0" showAll="0"/>
    <pivotField compact="0" numFmtId="166" outline="0" showAll="0"/>
    <pivotField compact="0" numFmtId="166" outline="0" showAll="0">
      <items count="13">
        <item x="9"/>
        <item x="8"/>
        <item x="7"/>
        <item x="3"/>
        <item x="6"/>
        <item x="5"/>
        <item x="4"/>
        <item x="2"/>
        <item x="11"/>
        <item x="0"/>
        <item x="10"/>
        <item x="1"/>
        <item t="default"/>
      </items>
    </pivotField>
    <pivotField compact="0" outline="0" showAll="0">
      <items count="6">
        <item x="1"/>
        <item x="4"/>
        <item x="3"/>
        <item x="2"/>
        <item x="0"/>
        <item t="default"/>
      </items>
    </pivotField>
    <pivotField compact="0" outline="0" showAll="0">
      <items count="7">
        <item x="3"/>
        <item x="2"/>
        <item x="1"/>
        <item x="4"/>
        <item x="0"/>
        <item x="5"/>
        <item t="default"/>
      </items>
    </pivotField>
    <pivotField compact="0" outline="0" showAll="0"/>
    <pivotField compact="0" outline="0" showAll="0"/>
    <pivotField axis="axisRow" compact="0" outline="0" showAll="0" defaultSubtotal="0">
      <items count="16">
        <item x="4"/>
        <item x="9"/>
        <item x="10"/>
        <item x="0"/>
        <item x="5"/>
        <item x="3"/>
        <item x="8"/>
        <item x="2"/>
        <item x="6"/>
        <item x="14"/>
        <item x="11"/>
        <item x="1"/>
        <item x="12"/>
        <item x="13"/>
        <item x="7"/>
        <item x="15"/>
      </items>
    </pivotField>
    <pivotField compact="0" outline="0" showAll="0"/>
    <pivotField axis="axisCol" compact="0" outline="0" showAll="0" defaultSubtotal="0">
      <items count="5">
        <item x="0"/>
        <item x="4"/>
        <item x="1"/>
        <item x="3"/>
        <item x="2"/>
      </items>
    </pivotField>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s>
  <rowFields count="1">
    <field x="7"/>
  </rowFields>
  <rowItems count="16">
    <i>
      <x/>
    </i>
    <i>
      <x v="1"/>
    </i>
    <i>
      <x v="2"/>
    </i>
    <i>
      <x v="3"/>
    </i>
    <i>
      <x v="4"/>
    </i>
    <i>
      <x v="5"/>
    </i>
    <i>
      <x v="6"/>
    </i>
    <i>
      <x v="7"/>
    </i>
    <i>
      <x v="8"/>
    </i>
    <i>
      <x v="9"/>
    </i>
    <i>
      <x v="10"/>
    </i>
    <i>
      <x v="11"/>
    </i>
    <i>
      <x v="12"/>
    </i>
    <i>
      <x v="13"/>
    </i>
    <i>
      <x v="14"/>
    </i>
    <i>
      <x v="15"/>
    </i>
  </rowItems>
  <colFields count="1">
    <field x="9"/>
  </colFields>
  <colItems count="5">
    <i>
      <x/>
    </i>
    <i>
      <x v="1"/>
    </i>
    <i>
      <x v="2"/>
    </i>
    <i>
      <x v="3"/>
    </i>
    <i>
      <x v="4"/>
    </i>
  </colItems>
  <dataFields count="1">
    <dataField name="Leads" fld="0" subtotal="count" baseField="0" baseItem="0" numFmtId="3"/>
  </dataFields>
  <formats count="8">
    <format dxfId="39">
      <pivotArea type="all" dataOnly="0" outline="0" fieldPosition="0"/>
    </format>
    <format dxfId="38">
      <pivotArea outline="0" collapsedLevelsAreSubtotals="1" fieldPosition="0"/>
    </format>
    <format dxfId="37">
      <pivotArea type="origin" dataOnly="0" labelOnly="1" outline="0" fieldPosition="0"/>
    </format>
    <format dxfId="36">
      <pivotArea field="9" type="button" dataOnly="0" labelOnly="1" outline="0" axis="axisCol" fieldPosition="0"/>
    </format>
    <format dxfId="35">
      <pivotArea type="topRight" dataOnly="0" labelOnly="1" outline="0" fieldPosition="0"/>
    </format>
    <format dxfId="34">
      <pivotArea field="7" type="button" dataOnly="0" labelOnly="1" outline="0" axis="axisRow" fieldPosition="0"/>
    </format>
    <format dxfId="33">
      <pivotArea dataOnly="0" labelOnly="1" outline="0" fieldPosition="0">
        <references count="1">
          <reference field="7" count="0"/>
        </references>
      </pivotArea>
    </format>
    <format dxfId="32">
      <pivotArea dataOnly="0" labelOnly="1" outline="0" fieldPosition="0">
        <references count="1">
          <reference field="9"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5E2031D-0C40-43E0-AF45-0E7A22B98AED}" name="PT_FunnelStages" cacheId="0"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3:B8" firstHeaderRow="1" firstDataRow="1" firstDataCol="1"/>
  <pivotFields count="17">
    <pivotField dataField="1" compact="0" outline="0" showAll="0"/>
    <pivotField compact="0" numFmtId="166" outline="0" showAll="0"/>
    <pivotField compact="0" numFmtId="166" outline="0" showAll="0">
      <items count="13">
        <item x="9"/>
        <item x="8"/>
        <item x="7"/>
        <item x="3"/>
        <item x="6"/>
        <item x="5"/>
        <item x="4"/>
        <item x="2"/>
        <item x="11"/>
        <item x="0"/>
        <item x="10"/>
        <item x="1"/>
        <item t="default"/>
      </items>
    </pivotField>
    <pivotField compact="0" outline="0" showAll="0">
      <items count="6">
        <item x="1"/>
        <item x="4"/>
        <item x="3"/>
        <item x="2"/>
        <item x="0"/>
        <item t="default"/>
      </items>
    </pivotField>
    <pivotField compact="0" outline="0" showAll="0">
      <items count="7">
        <item x="3"/>
        <item x="2"/>
        <item x="1"/>
        <item x="4"/>
        <item x="0"/>
        <item x="5"/>
        <item t="default"/>
      </items>
    </pivotField>
    <pivotField compact="0" outline="0" showAll="0"/>
    <pivotField compact="0" outline="0" showAll="0"/>
    <pivotField compact="0" outline="0" showAll="0"/>
    <pivotField compact="0" outline="0" showAll="0"/>
    <pivotField axis="axisRow" compact="0" outline="0" showAll="0" defaultSubtotal="0">
      <items count="5">
        <item x="0"/>
        <item x="4"/>
        <item x="1"/>
        <item x="3"/>
        <item x="2"/>
      </items>
    </pivotField>
    <pivotField compact="0" outline="0" showAll="0"/>
    <pivotField compact="0" outline="0" showAll="0"/>
    <pivotField compact="0" outline="0" showAll="0"/>
    <pivotField compact="0" outline="0" showAll="0"/>
    <pivotField compact="0" outline="0" showAll="0"/>
    <pivotField compact="0" outline="0" showAll="0"/>
    <pivotField compact="0" numFmtId="4" outline="0" showAll="0"/>
  </pivotFields>
  <rowFields count="1">
    <field x="9"/>
  </rowFields>
  <rowItems count="5">
    <i>
      <x/>
    </i>
    <i>
      <x v="1"/>
    </i>
    <i>
      <x v="2"/>
    </i>
    <i>
      <x v="3"/>
    </i>
    <i>
      <x v="4"/>
    </i>
  </rowItems>
  <colItems count="1">
    <i/>
  </colItems>
  <dataFields count="1">
    <dataField name="Leads" fld="0" subtotal="count" baseField="0" baseItem="0" numFmtId="3"/>
  </dataFields>
  <formats count="5">
    <format dxfId="44">
      <pivotArea type="all" dataOnly="0" outline="0" fieldPosition="0"/>
    </format>
    <format dxfId="43">
      <pivotArea outline="0" collapsedLevelsAreSubtotals="1" fieldPosition="0"/>
    </format>
    <format dxfId="42">
      <pivotArea field="9" type="button" dataOnly="0" labelOnly="1" outline="0" axis="axisRow" fieldPosition="0"/>
    </format>
    <format dxfId="41">
      <pivotArea dataOnly="0" labelOnly="1" outline="0" fieldPosition="0">
        <references count="1">
          <reference field="9" count="0"/>
        </references>
      </pivotArea>
    </format>
    <format dxfId="4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24E59B8-DFB3-4759-AE54-47A378A64C35}" name="PT_ActivationBySegment"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J30:M34" firstHeaderRow="0" firstDataRow="1" firstDataCol="1"/>
  <pivotFields count="17">
    <pivotField dataField="1" compact="0" outline="0" showAll="0"/>
    <pivotField compact="0" outline="0" showAll="0"/>
    <pivotField compact="0" outline="0" showAll="0"/>
    <pivotField compact="0" numFmtId="166" outline="0" showAll="0"/>
    <pivotField dataField="1" compact="0" outline="0" showAll="0"/>
    <pivotField compact="0" outline="0" showAll="0"/>
    <pivotField compact="0" outline="0" showAll="0"/>
    <pivotField compact="0" outline="0" showAll="0">
      <items count="6">
        <item x="4"/>
        <item x="2"/>
        <item x="3"/>
        <item x="1"/>
        <item x="0"/>
        <item t="default"/>
      </items>
    </pivotField>
    <pivotField compact="0" outline="0" showAll="0"/>
    <pivotField compact="0" outline="0" showAll="0"/>
    <pivotField compact="0" outline="0" showAll="0"/>
    <pivotField axis="axisRow" compact="0" outline="0" showAll="0" defaultSubtotal="0">
      <items count="4">
        <item x="0"/>
        <item x="2"/>
        <item x="1"/>
        <item x="3"/>
      </items>
    </pivotField>
    <pivotField compact="0" outline="0" showAll="0"/>
    <pivotField compact="0" outline="0" showAll="0"/>
    <pivotField compact="0" outline="0" showAll="0"/>
    <pivotField compact="0" numFmtId="4" outline="0" showAll="0"/>
    <pivotField dataField="1" compact="0" outline="0" showAll="0"/>
  </pivotFields>
  <rowFields count="1">
    <field x="11"/>
  </rowFields>
  <rowItems count="4">
    <i>
      <x/>
    </i>
    <i>
      <x v="1"/>
    </i>
    <i>
      <x v="2"/>
    </i>
    <i>
      <x v="3"/>
    </i>
  </rowItems>
  <colFields count="1">
    <field x="-2"/>
  </colFields>
  <colItems count="3">
    <i>
      <x/>
    </i>
    <i i="1">
      <x v="1"/>
    </i>
    <i i="2">
      <x v="2"/>
    </i>
  </colItems>
  <dataFields count="3">
    <dataField name="Customers" fld="0" subtotal="count" baseField="0" baseItem="0" numFmtId="3"/>
    <dataField name="Activated" fld="4" subtotal="count" baseField="0" baseItem="0" numFmtId="3"/>
    <dataField name="AvgDays" fld="16" subtotal="average" baseField="0" baseItem="0" numFmtId="170"/>
  </dataFields>
  <formats count="5">
    <format dxfId="49">
      <pivotArea type="all" dataOnly="0" outline="0" fieldPosition="0"/>
    </format>
    <format dxfId="48">
      <pivotArea outline="0" collapsedLevelsAreSubtotals="1" fieldPosition="0"/>
    </format>
    <format dxfId="47">
      <pivotArea field="11" type="button" dataOnly="0" labelOnly="1" outline="0" axis="axisRow" fieldPosition="0"/>
    </format>
    <format dxfId="46">
      <pivotArea dataOnly="0" labelOnly="1" outline="0" fieldPosition="0">
        <references count="1">
          <reference field="11" count="0"/>
        </references>
      </pivotArea>
    </format>
    <format dxfId="45">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C062384-32E5-411D-9FEA-CC9F6F969F86}" name="PT_ChurnByMarket" cacheId="1"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P30:T36" firstHeaderRow="1" firstDataRow="2" firstDataCol="1"/>
  <pivotFields count="17">
    <pivotField dataField="1" compact="0" outline="0" showAll="0"/>
    <pivotField compact="0" outline="0" showAll="0"/>
    <pivotField compact="0" outline="0" showAll="0"/>
    <pivotField compact="0" numFmtId="166" outline="0" showAll="0"/>
    <pivotField compact="0" outline="0" showAll="0"/>
    <pivotField compact="0" outline="0" showAll="0"/>
    <pivotField compact="0" outline="0" showAll="0"/>
    <pivotField axis="axisRow" compact="0" outline="0" showAll="0" defaultSubtotal="0">
      <items count="5">
        <item x="4"/>
        <item x="2"/>
        <item x="3"/>
        <item x="1"/>
        <item x="0"/>
      </items>
    </pivotField>
    <pivotField compact="0" outline="0" showAll="0"/>
    <pivotField compact="0" outline="0" showAll="0"/>
    <pivotField compact="0" outline="0" showAll="0"/>
    <pivotField compact="0" outline="0" showAll="0"/>
    <pivotField compact="0" outline="0" showAll="0"/>
    <pivotField axis="axisCol" compact="0" outline="0" showAll="0" defaultSubtotal="0">
      <items count="4">
        <item x="0"/>
        <item x="1"/>
        <item x="2"/>
        <item x="3"/>
      </items>
    </pivotField>
    <pivotField compact="0" outline="0" showAll="0"/>
    <pivotField compact="0" numFmtId="4" outline="0" showAll="0"/>
    <pivotField compact="0" outline="0" showAll="0"/>
  </pivotFields>
  <rowFields count="1">
    <field x="7"/>
  </rowFields>
  <rowItems count="5">
    <i>
      <x/>
    </i>
    <i>
      <x v="1"/>
    </i>
    <i>
      <x v="2"/>
    </i>
    <i>
      <x v="3"/>
    </i>
    <i>
      <x v="4"/>
    </i>
  </rowItems>
  <colFields count="1">
    <field x="13"/>
  </colFields>
  <colItems count="4">
    <i>
      <x/>
    </i>
    <i>
      <x v="1"/>
    </i>
    <i>
      <x v="2"/>
    </i>
    <i>
      <x v="3"/>
    </i>
  </colItems>
  <dataFields count="1">
    <dataField name="Customers" fld="0" subtotal="count" baseField="0" baseItem="0" numFmtId="3"/>
  </dataFields>
  <formats count="8">
    <format dxfId="57">
      <pivotArea type="all" dataOnly="0" outline="0" fieldPosition="0"/>
    </format>
    <format dxfId="56">
      <pivotArea outline="0" collapsedLevelsAreSubtotals="1" fieldPosition="0"/>
    </format>
    <format dxfId="55">
      <pivotArea type="origin" dataOnly="0" labelOnly="1" outline="0" fieldPosition="0"/>
    </format>
    <format dxfId="54">
      <pivotArea field="13" type="button" dataOnly="0" labelOnly="1" outline="0" axis="axisCol" fieldPosition="0"/>
    </format>
    <format dxfId="53">
      <pivotArea type="topRight" dataOnly="0" labelOnly="1" outline="0" fieldPosition="0"/>
    </format>
    <format dxfId="52">
      <pivotArea field="7" type="button" dataOnly="0" labelOnly="1" outline="0" axis="axisRow" fieldPosition="0"/>
    </format>
    <format dxfId="51">
      <pivotArea dataOnly="0" labelOnly="1" outline="0" fieldPosition="0">
        <references count="1">
          <reference field="7" count="0"/>
        </references>
      </pivotArea>
    </format>
    <format dxfId="50">
      <pivotArea dataOnly="0" labelOnly="1" outline="0"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69AF63E-F5D0-442F-9BFE-0CD7E3FB48EE}" name="PT_RevenueByMonth" cacheId="2"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A56:C67" firstHeaderRow="0" firstDataRow="1" firstDataCol="1"/>
  <pivotFields count="16">
    <pivotField dataField="1" compact="0" outline="0" showAll="0"/>
    <pivotField compact="0" outline="0" showAll="0"/>
    <pivotField compact="0" outline="0" showAll="0"/>
    <pivotField compact="0" numFmtId="166" outline="0" showAll="0"/>
    <pivotField axis="axisRow" compact="0" numFmtId="17" outline="0" showAll="0" defaultSubtotal="0">
      <items count="11">
        <item x="9"/>
        <item x="10"/>
        <item x="5"/>
        <item x="6"/>
        <item x="7"/>
        <item x="8"/>
        <item x="0"/>
        <item x="1"/>
        <item x="2"/>
        <item x="3"/>
        <item x="4"/>
      </items>
    </pivotField>
    <pivotField compact="0" outline="0" showAll="0"/>
    <pivotField compact="0" outline="0" showAll="0"/>
    <pivotField compact="0" numFmtId="4" outline="0" showAll="0"/>
    <pivotField compact="0" outline="0" showAll="0"/>
    <pivotField compact="0" outline="0" showAll="0"/>
    <pivotField dataField="1" compact="0" numFmtId="4" outline="0" showAll="0"/>
    <pivotField compact="0" outline="0" showAll="0">
      <items count="6">
        <item x="4"/>
        <item x="1"/>
        <item x="3"/>
        <item x="0"/>
        <item x="2"/>
        <item t="default"/>
      </items>
    </pivotField>
    <pivotField compact="0" outline="0" showAll="0"/>
    <pivotField compact="0" outline="0" showAll="0">
      <items count="7">
        <item x="5"/>
        <item x="2"/>
        <item x="1"/>
        <item x="0"/>
        <item x="4"/>
        <item x="3"/>
        <item t="default"/>
      </items>
    </pivotField>
    <pivotField compact="0" outline="0" showAll="0"/>
    <pivotField compact="0" outline="0" showAll="0"/>
  </pivotFields>
  <rowFields count="1">
    <field x="4"/>
  </rowFields>
  <rowItems count="11">
    <i>
      <x/>
    </i>
    <i>
      <x v="1"/>
    </i>
    <i>
      <x v="2"/>
    </i>
    <i>
      <x v="3"/>
    </i>
    <i>
      <x v="4"/>
    </i>
    <i>
      <x v="5"/>
    </i>
    <i>
      <x v="6"/>
    </i>
    <i>
      <x v="7"/>
    </i>
    <i>
      <x v="8"/>
    </i>
    <i>
      <x v="9"/>
    </i>
    <i>
      <x v="10"/>
    </i>
  </rowItems>
  <colFields count="1">
    <field x="-2"/>
  </colFields>
  <colItems count="2">
    <i>
      <x/>
    </i>
    <i i="1">
      <x v="1"/>
    </i>
  </colItems>
  <dataFields count="2">
    <dataField name="Revenue" fld="10" baseField="0" baseItem="0" numFmtId="169"/>
    <dataField name="Txns" fld="0" subtotal="count" baseField="0" baseItem="0" numFmtId="3"/>
  </dataFields>
  <formats count="5">
    <format dxfId="62">
      <pivotArea type="all" dataOnly="0" outline="0" fieldPosition="0"/>
    </format>
    <format dxfId="61">
      <pivotArea outline="0" collapsedLevelsAreSubtotals="1" fieldPosition="0"/>
    </format>
    <format dxfId="60">
      <pivotArea field="4" type="button" dataOnly="0" labelOnly="1" outline="0" axis="axisRow" fieldPosition="0"/>
    </format>
    <format dxfId="59">
      <pivotArea dataOnly="0" labelOnly="1" outline="0" fieldPosition="0">
        <references count="1">
          <reference field="4" count="0"/>
        </references>
      </pivotArea>
    </format>
    <format dxfId="58">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7DF5DEC-B0B4-4DBB-878D-E481E46B8D09}" name="PT_RevenueKPI" cacheId="2" applyNumberFormats="0" applyBorderFormats="0" applyFontFormats="0" applyPatternFormats="0" applyAlignmentFormats="0" applyWidthHeightFormats="1" dataCaption="Values" updatedVersion="8" minRefreshableVersion="3" rowGrandTotals="0" colGrandTotals="0" itemPrintTitles="1" createdVersion="8" indent="0" compact="0" compactData="0" multipleFieldFilters="0">
  <location ref="K56:L57" firstHeaderRow="0" firstDataRow="1" firstDataCol="0"/>
  <pivotFields count="16">
    <pivotField dataField="1" compact="0" outline="0" showAll="0"/>
    <pivotField compact="0" outline="0" showAll="0"/>
    <pivotField compact="0" outline="0" showAll="0"/>
    <pivotField compact="0" numFmtId="166" outline="0" showAll="0"/>
    <pivotField compact="0" numFmtId="166" outline="0" showAll="0">
      <items count="12">
        <item x="9"/>
        <item x="10"/>
        <item x="5"/>
        <item x="6"/>
        <item x="7"/>
        <item x="8"/>
        <item x="0"/>
        <item x="1"/>
        <item x="2"/>
        <item x="3"/>
        <item x="4"/>
        <item t="default"/>
      </items>
    </pivotField>
    <pivotField compact="0" outline="0" showAll="0"/>
    <pivotField compact="0" outline="0" showAll="0"/>
    <pivotField compact="0" numFmtId="4" outline="0" showAll="0"/>
    <pivotField compact="0" outline="0" showAll="0"/>
    <pivotField compact="0" outline="0" showAll="0"/>
    <pivotField dataField="1" compact="0" numFmtId="4" outline="0" showAll="0"/>
    <pivotField compact="0" outline="0" showAll="0">
      <items count="6">
        <item x="4"/>
        <item x="1"/>
        <item x="3"/>
        <item x="0"/>
        <item x="2"/>
        <item t="default"/>
      </items>
    </pivotField>
    <pivotField compact="0" outline="0" showAll="0"/>
    <pivotField compact="0" outline="0" showAll="0">
      <items count="7">
        <item x="5"/>
        <item x="2"/>
        <item x="1"/>
        <item x="0"/>
        <item x="4"/>
        <item x="3"/>
        <item t="default"/>
      </items>
    </pivotField>
    <pivotField compact="0" outline="0" showAll="0"/>
    <pivotField compact="0" outline="0" showAll="0"/>
  </pivotFields>
  <rowItems count="1">
    <i/>
  </rowItems>
  <colFields count="1">
    <field x="-2"/>
  </colFields>
  <colItems count="2">
    <i>
      <x/>
    </i>
    <i i="1">
      <x v="1"/>
    </i>
  </colItems>
  <dataFields count="2">
    <dataField name="Revenue" fld="10" baseField="0" baseItem="0" numFmtId="169"/>
    <dataField name="Txns" fld="0" subtotal="count" baseField="0" baseItem="0" numFmtId="3"/>
  </dataFields>
  <formats count="3">
    <format dxfId="65">
      <pivotArea type="all" dataOnly="0" outline="0" fieldPosition="0"/>
    </format>
    <format dxfId="64">
      <pivotArea outline="0" collapsedLevelsAreSubtotals="1" fieldPosition="0"/>
    </format>
    <format dxfId="6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ated_Month" xr10:uid="{1BF440DF-1B83-4BC6-B33C-6204D8033B14}" sourceName="Created_Month">
  <pivotTables>
    <pivotTable tabId="20" name="PT_LeadKPI"/>
    <pivotTable tabId="20" name="PT_FunnelStages"/>
    <pivotTable tabId="20" name="PT_LeadsByChannel"/>
    <pivotTable tabId="20" name="PT_LeadsByMarket"/>
    <pivotTable tabId="20" name="PT_LeadsByMonth"/>
    <pivotTable tabId="20" name="PT_RepProductivity"/>
  </pivotTables>
  <data>
    <tabular pivotCacheId="170435765">
      <items count="12">
        <i x="9" s="1"/>
        <i x="8" s="1"/>
        <i x="7" s="1"/>
        <i x="3" s="1"/>
        <i x="6" s="1"/>
        <i x="5" s="1"/>
        <i x="4" s="1"/>
        <i x="2" s="1"/>
        <i x="11" s="1"/>
        <i x="0" s="1"/>
        <i x="1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Month" xr10:uid="{B551E93B-FB17-4742-8CE6-5AB67676A849}" sourceName="Transaction_Month">
  <pivotTables>
    <pivotTable tabId="20" name="PT_RevenueKPI"/>
    <pivotTable tabId="20" name="PT_RevenueByChannel"/>
    <pivotTable tabId="20" name="PT_RevenueByMonth"/>
  </pivotTables>
  <data>
    <tabular pivotCacheId="1652690532">
      <items count="11">
        <i x="9" s="1"/>
        <i x="10" s="1"/>
        <i x="5" s="1"/>
        <i x="6" s="1"/>
        <i x="7" s="1"/>
        <i x="8"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 xr10:uid="{9137D020-72F1-47DC-9572-5B6AB03BFC78}" sourceName="Market">
  <pivotTables>
    <pivotTable tabId="20" name="PT_LeadKPI"/>
    <pivotTable tabId="20" name="PT_FunnelStages"/>
    <pivotTable tabId="20" name="PT_LeadsByChannel"/>
    <pivotTable tabId="20" name="PT_LeadsByMarket"/>
    <pivotTable tabId="20" name="PT_LeadsByMonth"/>
    <pivotTable tabId="20" name="PT_RepProductivity"/>
  </pivotTables>
  <data>
    <tabular pivotCacheId="170435765">
      <items count="5">
        <i x="1" s="1"/>
        <i x="4" s="1"/>
        <i x="3"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1" xr10:uid="{EFDEE5D3-4812-497C-882B-B816E2D683DB}" sourceName="Market">
  <pivotTables>
    <pivotTable tabId="20" name="PT_CustomerKPI"/>
    <pivotTable tabId="20" name="PT_ActivationBySegment"/>
    <pivotTable tabId="20" name="PT_ChurnByMarket"/>
  </pivotTables>
  <data>
    <tabular pivotCacheId="647017763">
      <items count="5">
        <i x="4" s="1"/>
        <i x="2" s="1"/>
        <i x="3"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ket2" xr10:uid="{29D20CA5-DB61-4BED-93F3-20B24B6C1C01}" sourceName="Market">
  <pivotTables>
    <pivotTable tabId="20" name="PT_RevenueKPI"/>
    <pivotTable tabId="20" name="PT_RevenueByChannel"/>
    <pivotTable tabId="20" name="PT_RevenueByMonth"/>
  </pivotTables>
  <data>
    <tabular pivotCacheId="1652690532">
      <items count="5">
        <i x="4" s="1"/>
        <i x="1" s="1"/>
        <i x="3"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87C64DC7-C113-4EF5-BBCD-3263AE4C882D}" sourceName="Channel">
  <pivotTables>
    <pivotTable tabId="20" name="PT_LeadKPI"/>
    <pivotTable tabId="20" name="PT_FunnelStages"/>
    <pivotTable tabId="20" name="PT_LeadsByChannel"/>
    <pivotTable tabId="20" name="PT_LeadsByMarket"/>
    <pivotTable tabId="20" name="PT_LeadsByMonth"/>
    <pivotTable tabId="20" name="PT_RepProductivity"/>
  </pivotTables>
  <data>
    <tabular pivotCacheId="170435765">
      <items count="6">
        <i x="3" s="1"/>
        <i x="2" s="1"/>
        <i x="1" s="1"/>
        <i x="4" s="1"/>
        <i x="0" s="1"/>
        <i x="5"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_via_Customer" xr10:uid="{D9801482-8910-455E-858E-08E4547DEACB}" sourceName="Channel_via_Customer">
  <pivotTables>
    <pivotTable tabId="20" name="PT_RevenueKPI"/>
    <pivotTable tabId="20" name="PT_RevenueByChannel"/>
    <pivotTable tabId="20" name="PT_RevenueByMonth"/>
  </pivotTables>
  <data>
    <tabular pivotCacheId="1652690532">
      <items count="6">
        <i x="5" s="1"/>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ated_Month" xr10:uid="{B864B795-713D-4D53-BB8F-DDE53CD80156}" cache="Slicer_Created_Month" caption="Month · Funnel" startItem="11" style="SlicerStyleDark1" rowHeight="225425"/>
  <slicer name="Transaction_Month" xr10:uid="{5F6C281B-6AE1-4AB2-9FAA-27CC58E9FF1A}" cache="Slicer_Transaction_Month" caption="Month · Revenue" style="SlicerStyleDark1" rowHeight="225425"/>
  <slicer name="Market" xr10:uid="{506B41FC-88AC-433B-AA45-C79E0AB6A4D4}" cache="Slicer_Market" caption="Market · Funnel" style="SlicerStyleDark1" rowHeight="225425"/>
  <slicer name="Market 1" xr10:uid="{CBCE037C-561D-4D60-8268-6EEB7882C6DF}" cache="Slicer_Market1" caption="Market · Customers" style="SlicerStyleDark1" rowHeight="225425"/>
  <slicer name="Market 2" xr10:uid="{0962388A-F3C1-4245-8DA2-6821CD42F636}" cache="Slicer_Market2" caption="Market · Revenue" style="SlicerStyleDark1" rowHeight="225425"/>
  <slicer name="Channel" xr10:uid="{74ABBAFA-3CF1-4395-831B-5703BC53633D}" cache="Slicer_Channel" caption="Channel · Funnel" style="SlicerStyleDark1" rowHeight="225425"/>
  <slicer name="Channel_via_Customer" xr10:uid="{B3BAA5B4-5F65-4139-9896-DCA475C2D82A}" cache="Slicer_Channel_via_Customer" caption="Channel · Revenue" style="SlicerStyleDark1"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_CleanLeads" displayName="T_CleanLeads" ref="A1:Q1001" totalsRowShown="0">
  <autoFilter ref="A1:Q1001" xr:uid="{00000000-0009-0000-0100-000006000000}"/>
  <tableColumns count="17">
    <tableColumn id="1" xr3:uid="{00000000-0010-0000-0100-000001000000}" name="Lead_ID"/>
    <tableColumn id="2" xr3:uid="{00000000-0010-0000-0100-000002000000}" name="Created_Date"/>
    <tableColumn id="3" xr3:uid="{00000000-0010-0000-0100-000003000000}" name="Created_Month"/>
    <tableColumn id="4" xr3:uid="{00000000-0010-0000-0100-000004000000}" name="Market"/>
    <tableColumn id="5" xr3:uid="{00000000-0010-0000-0100-000005000000}" name="Channel"/>
    <tableColumn id="6" xr3:uid="{00000000-0010-0000-0100-000006000000}" name="Product"/>
    <tableColumn id="7" xr3:uid="{00000000-0010-0000-0100-000007000000}" name="Company_Size"/>
    <tableColumn id="8" xr3:uid="{00000000-0010-0000-0100-000008000000}" name="Sales_Rep_ID"/>
    <tableColumn id="9" xr3:uid="{00000000-0010-0000-0100-000009000000}" name="Rep_Valid"/>
    <tableColumn id="10" xr3:uid="{00000000-0010-0000-0100-00000A000000}" name="Lead_Status"/>
    <tableColumn id="11" xr3:uid="{00000000-0010-0000-0100-00000B000000}" name="Qualified_Flag"/>
    <tableColumn id="12" xr3:uid="{00000000-0010-0000-0100-00000C000000}" name="Qualified_Date"/>
    <tableColumn id="13" xr3:uid="{00000000-0010-0000-0100-00000D000000}" name="Opportunity_Date"/>
    <tableColumn id="14" xr3:uid="{00000000-0010-0000-0100-00000E000000}" name="Won_Date"/>
    <tableColumn id="15" xr3:uid="{00000000-0010-0000-0100-00000F000000}" name="Lost_Date"/>
    <tableColumn id="16" xr3:uid="{00000000-0010-0000-0100-000010000000}" name="Won_Duration_Valid"/>
    <tableColumn id="17" xr3:uid="{00000000-0010-0000-0100-000011000000}" name="Expected_Monthly_Revenue_EUR"/>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_CleanCustomers" displayName="T_CleanCustomers" ref="A1:Q221" totalsRowShown="0">
  <autoFilter ref="A1:Q221" xr:uid="{00000000-0009-0000-0100-000005000000}"/>
  <tableColumns count="17">
    <tableColumn id="1" xr3:uid="{00000000-0010-0000-0200-000001000000}" name="Customer_ID"/>
    <tableColumn id="2" xr3:uid="{00000000-0010-0000-0200-000002000000}" name="Lead_ID"/>
    <tableColumn id="3" xr3:uid="{00000000-0010-0000-0200-000003000000}" name="Lead_Match_Valid"/>
    <tableColumn id="4" xr3:uid="{00000000-0010-0000-0200-000004000000}" name="Won_Date"/>
    <tableColumn id="5" xr3:uid="{00000000-0010-0000-0200-000005000000}" name="Activation_Date"/>
    <tableColumn id="6" xr3:uid="{00000000-0010-0000-0200-000006000000}" name="Activation_Duration_Valid"/>
    <tableColumn id="7" xr3:uid="{00000000-0010-0000-0200-000007000000}" name="Activated_Flag"/>
    <tableColumn id="8" xr3:uid="{00000000-0010-0000-0200-000008000000}" name="Market"/>
    <tableColumn id="9" xr3:uid="{00000000-0010-0000-0200-000009000000}" name="Product"/>
    <tableColumn id="10" xr3:uid="{00000000-0010-0000-0200-00000A000000}" name="Channel"/>
    <tableColumn id="11" xr3:uid="{00000000-0010-0000-0200-00000B000000}" name="Sales_Rep_ID"/>
    <tableColumn id="12" xr3:uid="{00000000-0010-0000-0200-00000C000000}" name="Customer_Segment"/>
    <tableColumn id="13" xr3:uid="{00000000-0010-0000-0200-00000D000000}" name="Customer_Status"/>
    <tableColumn id="14" xr3:uid="{00000000-0010-0000-0200-00000E000000}" name="Customer_Status_Clean"/>
    <tableColumn id="15" xr3:uid="{00000000-0010-0000-0200-00000F000000}" name="Churn_Date"/>
    <tableColumn id="16" xr3:uid="{00000000-0010-0000-0200-000010000000}" name="Expected_Monthly_Revenue_EUR"/>
    <tableColumn id="17" xr3:uid="{00000000-0010-0000-0200-000011000000}" name="Days_To_Activatio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T_CleanTxns" displayName="T_CleanTxns" ref="A1:P1610" totalsRowShown="0">
  <autoFilter ref="A1:P1610" xr:uid="{00000000-0009-0000-0100-000007000000}"/>
  <tableColumns count="16">
    <tableColumn id="1" xr3:uid="{00000000-0010-0000-0300-000001000000}" name="Transaction_ID"/>
    <tableColumn id="2" xr3:uid="{00000000-0010-0000-0300-000002000000}" name="Customer_ID"/>
    <tableColumn id="3" xr3:uid="{00000000-0010-0000-0300-000003000000}" name="Customer_Match_Valid"/>
    <tableColumn id="4" xr3:uid="{00000000-0010-0000-0300-000004000000}" name="Transaction_Date"/>
    <tableColumn id="5" xr3:uid="{00000000-0010-0000-0300-000005000000}" name="Transaction_Month"/>
    <tableColumn id="6" xr3:uid="{00000000-0010-0000-0300-000006000000}" name="Transaction_Type"/>
    <tableColumn id="7" xr3:uid="{00000000-0010-0000-0300-000007000000}" name="Gross_Value_EUR"/>
    <tableColumn id="8" xr3:uid="{00000000-0010-0000-0300-000008000000}" name="Revenue_EUR"/>
    <tableColumn id="9" xr3:uid="{00000000-0010-0000-0300-000009000000}" name="Revenue_Valid"/>
    <tableColumn id="10" xr3:uid="{00000000-0010-0000-0300-00000A000000}" name="Transaction_Status"/>
    <tableColumn id="11" xr3:uid="{00000000-0010-0000-0300-00000B000000}" name="Revenue_Usable"/>
    <tableColumn id="12" xr3:uid="{00000000-0010-0000-0300-00000C000000}" name="Market"/>
    <tableColumn id="13" xr3:uid="{00000000-0010-0000-0300-00000D000000}" name="Rep_ID_via_Customer"/>
    <tableColumn id="14" xr3:uid="{00000000-0010-0000-0300-00000E000000}" name="Channel_via_Customer"/>
    <tableColumn id="15" xr3:uid="{00000000-0010-0000-0300-00000F000000}" name="Product_via_Customer"/>
    <tableColumn id="16" xr3:uid="{00000000-0010-0000-0300-000010000000}" name="Segment_via_Customer"/>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RawLeadsTable" displayName="RawLeadsTable" ref="A3:N1011" totalsRowShown="0">
  <tableColumns count="14">
    <tableColumn id="1" xr3:uid="{00000000-0010-0000-0400-000001000000}" name="Lead_ID"/>
    <tableColumn id="2" xr3:uid="{00000000-0010-0000-0400-000002000000}" name="Created_Date"/>
    <tableColumn id="3" xr3:uid="{00000000-0010-0000-0400-000003000000}" name="Market"/>
    <tableColumn id="4" xr3:uid="{00000000-0010-0000-0400-000004000000}" name="Channel"/>
    <tableColumn id="5" xr3:uid="{00000000-0010-0000-0400-000005000000}" name="Product"/>
    <tableColumn id="6" xr3:uid="{00000000-0010-0000-0400-000006000000}" name="Company_Size"/>
    <tableColumn id="7" xr3:uid="{00000000-0010-0000-0400-000007000000}" name="Sales_Rep_ID"/>
    <tableColumn id="8" xr3:uid="{00000000-0010-0000-0400-000008000000}" name="Lead_Status"/>
    <tableColumn id="9" xr3:uid="{00000000-0010-0000-0400-000009000000}" name="Qualified_Flag"/>
    <tableColumn id="10" xr3:uid="{00000000-0010-0000-0400-00000A000000}" name="Qualified_Date"/>
    <tableColumn id="11" xr3:uid="{00000000-0010-0000-0400-00000B000000}" name="Opportunity_Date"/>
    <tableColumn id="12" xr3:uid="{00000000-0010-0000-0400-00000C000000}" name="Won_Date"/>
    <tableColumn id="13" xr3:uid="{00000000-0010-0000-0400-00000D000000}" name="Lost_Date"/>
    <tableColumn id="14" xr3:uid="{00000000-0010-0000-0400-00000E000000}" name="Expected_Monthly_Revenue_EUR"/>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5000000}" name="RawCustomersTable" displayName="RawCustomersTable" ref="A3:L228" totalsRowShown="0">
  <tableColumns count="12">
    <tableColumn id="1" xr3:uid="{00000000-0010-0000-0500-000001000000}" name="Customer_ID"/>
    <tableColumn id="2" xr3:uid="{00000000-0010-0000-0500-000002000000}" name="Lead_ID"/>
    <tableColumn id="3" xr3:uid="{00000000-0010-0000-0500-000003000000}" name="Won_Date"/>
    <tableColumn id="4" xr3:uid="{00000000-0010-0000-0500-000004000000}" name="Activation_Date"/>
    <tableColumn id="5" xr3:uid="{00000000-0010-0000-0500-000005000000}" name="Market"/>
    <tableColumn id="6" xr3:uid="{00000000-0010-0000-0500-000006000000}" name="Product"/>
    <tableColumn id="7" xr3:uid="{00000000-0010-0000-0500-000007000000}" name="Channel"/>
    <tableColumn id="8" xr3:uid="{00000000-0010-0000-0500-000008000000}" name="Sales_Rep_ID"/>
    <tableColumn id="9" xr3:uid="{00000000-0010-0000-0500-000009000000}" name="Customer_Segment"/>
    <tableColumn id="10" xr3:uid="{00000000-0010-0000-0500-00000A000000}" name="Customer_Status"/>
    <tableColumn id="11" xr3:uid="{00000000-0010-0000-0500-00000B000000}" name="Churn_Date"/>
    <tableColumn id="12" xr3:uid="{00000000-0010-0000-0500-00000C000000}" name="Expected_Monthly_Revenue_EUR"/>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6000000}" name="RawTransactionsTable" displayName="RawTransactionsTable" ref="A3:H1622" totalsRowShown="0">
  <tableColumns count="8">
    <tableColumn id="1" xr3:uid="{00000000-0010-0000-0600-000001000000}" name="Transaction_ID"/>
    <tableColumn id="2" xr3:uid="{00000000-0010-0000-0600-000002000000}" name="Customer_ID"/>
    <tableColumn id="3" xr3:uid="{00000000-0010-0000-0600-000003000000}" name="Transaction_Date"/>
    <tableColumn id="4" xr3:uid="{00000000-0010-0000-0600-000004000000}" name="Transaction_Type"/>
    <tableColumn id="5" xr3:uid="{00000000-0010-0000-0600-000005000000}" name="Gross_Value_EUR"/>
    <tableColumn id="6" xr3:uid="{00000000-0010-0000-0600-000006000000}" name="Revenue_EUR"/>
    <tableColumn id="7" xr3:uid="{00000000-0010-0000-0600-000007000000}" name="Transaction_Status"/>
    <tableColumn id="8" xr3:uid="{00000000-0010-0000-0600-000008000000}" name="Market"/>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7000000}" name="SalesRepsTable" displayName="SalesRepsTable" ref="A3:F18" totalsRowShown="0">
  <tableColumns count="6">
    <tableColumn id="1" xr3:uid="{00000000-0010-0000-0700-000001000000}" name="Rep_ID"/>
    <tableColumn id="2" xr3:uid="{00000000-0010-0000-0700-000002000000}" name="Rep_Name"/>
    <tableColumn id="3" xr3:uid="{00000000-0010-0000-0700-000003000000}" name="Market"/>
    <tableColumn id="4" xr3:uid="{00000000-0010-0000-0700-000004000000}" name="Region"/>
    <tableColumn id="5" xr3:uid="{00000000-0010-0000-0700-000005000000}" name="Team"/>
    <tableColumn id="6" xr3:uid="{00000000-0010-0000-0700-000006000000}" name="Monthly_Target_EUR"/>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rgetsTable" displayName="TargetsTable" ref="A2:G62" totalsRowShown="0">
  <tableColumns count="7">
    <tableColumn id="1" xr3:uid="{00000000-0010-0000-0800-000001000000}" name="Month"/>
    <tableColumn id="2" xr3:uid="{00000000-0010-0000-0800-000002000000}" name="Market"/>
    <tableColumn id="3" xr3:uid="{00000000-0010-0000-0800-000003000000}" name="Lead_Target"/>
    <tableColumn id="4" xr3:uid="{00000000-0010-0000-0800-000004000000}" name="Win_Rate_Target"/>
    <tableColumn id="5" xr3:uid="{00000000-0010-0000-0800-000005000000}" name="Activation_Rate_Target"/>
    <tableColumn id="6" xr3:uid="{00000000-0010-0000-0800-000006000000}" name="Revenue_Target_EUR"/>
    <tableColumn id="7" xr3:uid="{00000000-0010-0000-0800-000007000000}" name="Churn_Rate_Target"/>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83"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F80424B-534E-41AE-871F-22C7CCB9FD4A}">
  <we:reference id="wa200010725" version="1.0.0.1" store="en-US" storeType="OMEX"/>
  <we:alternateReferences>
    <we:reference id="WA200010725" version="1.0.0.1" store="" storeType="OMEX"/>
  </we:alternateReferences>
  <we:properties>
    <we:property name="claude.fileId" value="&quot;831b3c60-5e0c-4f7a-b3e3-f8dfc51c0187&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Q1001"/>
  <sheetViews>
    <sheetView zoomScaleNormal="100" workbookViewId="0">
      <pane ySplit="1" topLeftCell="A2" activePane="bottomLeft" state="frozen"/>
      <selection pane="bottomLeft" activeCell="D9" sqref="D9"/>
    </sheetView>
  </sheetViews>
  <sheetFormatPr defaultColWidth="8.7109375" defaultRowHeight="15" x14ac:dyDescent="0.25"/>
  <cols>
    <col min="1" max="1" width="11" style="2" customWidth="1"/>
    <col min="2" max="2" width="14" style="2" customWidth="1"/>
    <col min="3" max="3" width="15" style="2" customWidth="1"/>
    <col min="4" max="4" width="16" style="2" customWidth="1"/>
    <col min="5" max="5" width="14" style="2" customWidth="1"/>
    <col min="6" max="6" width="20" style="2" customWidth="1"/>
    <col min="7" max="8" width="14" style="2" customWidth="1"/>
    <col min="9" max="9" width="11" style="2" customWidth="1"/>
    <col min="10" max="10" width="13" style="2" customWidth="1"/>
    <col min="11" max="12" width="16" style="2" customWidth="1"/>
    <col min="13" max="13" width="18" style="2" customWidth="1"/>
    <col min="14" max="15" width="12" style="2" customWidth="1"/>
    <col min="16" max="16" width="20" style="2" customWidth="1"/>
    <col min="17" max="17" width="30" style="2" customWidth="1"/>
  </cols>
  <sheetData>
    <row r="1" spans="1:17" ht="23.25" customHeight="1" x14ac:dyDescent="0.2">
      <c r="A1" s="8" t="s">
        <v>29</v>
      </c>
      <c r="B1" s="8" t="s">
        <v>30</v>
      </c>
      <c r="C1" s="8" t="s">
        <v>139</v>
      </c>
      <c r="D1" s="8" t="s">
        <v>17</v>
      </c>
      <c r="E1" s="8" t="s">
        <v>23</v>
      </c>
      <c r="F1" s="8" t="s">
        <v>140</v>
      </c>
      <c r="G1" s="8" t="s">
        <v>141</v>
      </c>
      <c r="H1" s="8" t="s">
        <v>39</v>
      </c>
      <c r="I1" s="8" t="s">
        <v>142</v>
      </c>
      <c r="J1" s="8" t="s">
        <v>31</v>
      </c>
      <c r="K1" s="8" t="s">
        <v>143</v>
      </c>
      <c r="L1" s="8" t="s">
        <v>144</v>
      </c>
      <c r="M1" s="8" t="s">
        <v>145</v>
      </c>
      <c r="N1" s="8" t="s">
        <v>40</v>
      </c>
      <c r="O1" s="8" t="s">
        <v>146</v>
      </c>
      <c r="P1" s="8" t="s">
        <v>147</v>
      </c>
      <c r="Q1" s="8" t="s">
        <v>32</v>
      </c>
    </row>
    <row r="2" spans="1:17" ht="15" customHeight="1" x14ac:dyDescent="0.2">
      <c r="A2" s="9" t="s">
        <v>148</v>
      </c>
      <c r="B2" s="10">
        <v>45936</v>
      </c>
      <c r="C2" s="10">
        <v>45931</v>
      </c>
      <c r="D2" s="9" t="s">
        <v>22</v>
      </c>
      <c r="E2" s="9" t="s">
        <v>28</v>
      </c>
      <c r="F2" s="9" t="s">
        <v>149</v>
      </c>
      <c r="G2" s="9" t="s">
        <v>150</v>
      </c>
      <c r="H2" s="9" t="s">
        <v>151</v>
      </c>
      <c r="I2" s="9" t="b">
        <f>TRUE()</f>
        <v>1</v>
      </c>
      <c r="J2" s="9" t="s">
        <v>152</v>
      </c>
      <c r="K2" s="9" t="s">
        <v>153</v>
      </c>
      <c r="L2" s="10">
        <v>45941</v>
      </c>
      <c r="M2" s="10">
        <v>45944</v>
      </c>
      <c r="N2" s="10"/>
      <c r="O2" s="10">
        <v>45967</v>
      </c>
      <c r="P2" s="9" t="b">
        <f>TRUE()</f>
        <v>1</v>
      </c>
      <c r="Q2" s="11">
        <v>10091.73</v>
      </c>
    </row>
    <row r="3" spans="1:17" ht="15" customHeight="1" x14ac:dyDescent="0.2">
      <c r="A3" s="9" t="s">
        <v>154</v>
      </c>
      <c r="B3" s="10">
        <v>45999</v>
      </c>
      <c r="C3" s="10">
        <v>45992</v>
      </c>
      <c r="D3" s="9" t="s">
        <v>18</v>
      </c>
      <c r="E3" s="9" t="s">
        <v>26</v>
      </c>
      <c r="F3" s="9" t="s">
        <v>155</v>
      </c>
      <c r="G3" s="9" t="s">
        <v>156</v>
      </c>
      <c r="H3" s="9" t="s">
        <v>157</v>
      </c>
      <c r="I3" s="9" t="b">
        <f>TRUE()</f>
        <v>1</v>
      </c>
      <c r="J3" s="9" t="s">
        <v>158</v>
      </c>
      <c r="K3" s="9" t="s">
        <v>153</v>
      </c>
      <c r="L3" s="10">
        <v>46005</v>
      </c>
      <c r="M3" s="10">
        <v>46020</v>
      </c>
      <c r="N3" s="10"/>
      <c r="O3" s="10"/>
      <c r="P3" s="9" t="b">
        <f>TRUE()</f>
        <v>1</v>
      </c>
      <c r="Q3" s="11">
        <v>702.99</v>
      </c>
    </row>
    <row r="4" spans="1:17" ht="15" customHeight="1" x14ac:dyDescent="0.2">
      <c r="A4" s="9" t="s">
        <v>159</v>
      </c>
      <c r="B4" s="10">
        <v>45960</v>
      </c>
      <c r="C4" s="10">
        <v>45931</v>
      </c>
      <c r="D4" s="9" t="s">
        <v>21</v>
      </c>
      <c r="E4" s="9" t="s">
        <v>28</v>
      </c>
      <c r="F4" s="9" t="s">
        <v>160</v>
      </c>
      <c r="G4" s="9" t="s">
        <v>161</v>
      </c>
      <c r="H4" s="9" t="s">
        <v>162</v>
      </c>
      <c r="I4" s="9" t="b">
        <f>TRUE()</f>
        <v>1</v>
      </c>
      <c r="J4" s="9" t="s">
        <v>152</v>
      </c>
      <c r="K4" s="9" t="s">
        <v>163</v>
      </c>
      <c r="L4" s="10"/>
      <c r="M4" s="10"/>
      <c r="N4" s="10"/>
      <c r="O4" s="10">
        <v>45963</v>
      </c>
      <c r="P4" s="9" t="b">
        <f>TRUE()</f>
        <v>1</v>
      </c>
      <c r="Q4" s="11">
        <v>2285.31</v>
      </c>
    </row>
    <row r="5" spans="1:17" ht="15" customHeight="1" x14ac:dyDescent="0.2">
      <c r="A5" s="9" t="s">
        <v>164</v>
      </c>
      <c r="B5" s="10">
        <v>45892</v>
      </c>
      <c r="C5" s="10">
        <v>45870</v>
      </c>
      <c r="D5" s="9" t="s">
        <v>22</v>
      </c>
      <c r="E5" s="9" t="s">
        <v>26</v>
      </c>
      <c r="F5" s="9" t="s">
        <v>155</v>
      </c>
      <c r="G5" s="9" t="s">
        <v>150</v>
      </c>
      <c r="H5" s="9" t="s">
        <v>165</v>
      </c>
      <c r="I5" s="9" t="b">
        <f>TRUE()</f>
        <v>1</v>
      </c>
      <c r="J5" s="9" t="s">
        <v>152</v>
      </c>
      <c r="K5" s="9" t="s">
        <v>153</v>
      </c>
      <c r="L5" s="10">
        <v>45902</v>
      </c>
      <c r="M5" s="10">
        <v>45915</v>
      </c>
      <c r="N5" s="10"/>
      <c r="O5" s="10">
        <v>45920</v>
      </c>
      <c r="P5" s="9" t="b">
        <f>TRUE()</f>
        <v>1</v>
      </c>
      <c r="Q5" s="11">
        <v>5065.21</v>
      </c>
    </row>
    <row r="6" spans="1:17" ht="15" customHeight="1" x14ac:dyDescent="0.2">
      <c r="A6" s="9" t="s">
        <v>166</v>
      </c>
      <c r="B6" s="10">
        <v>45946</v>
      </c>
      <c r="C6" s="10">
        <v>45931</v>
      </c>
      <c r="D6" s="9" t="s">
        <v>20</v>
      </c>
      <c r="E6" s="9" t="s">
        <v>25</v>
      </c>
      <c r="F6" s="9" t="s">
        <v>160</v>
      </c>
      <c r="G6" s="9" t="s">
        <v>156</v>
      </c>
      <c r="H6" s="9" t="s">
        <v>167</v>
      </c>
      <c r="I6" s="9" t="b">
        <f>TRUE()</f>
        <v>1</v>
      </c>
      <c r="J6" s="9" t="s">
        <v>152</v>
      </c>
      <c r="K6" s="9" t="s">
        <v>163</v>
      </c>
      <c r="L6" s="10"/>
      <c r="M6" s="10"/>
      <c r="N6" s="10"/>
      <c r="O6" s="10">
        <v>45963</v>
      </c>
      <c r="P6" s="9" t="b">
        <f>TRUE()</f>
        <v>1</v>
      </c>
      <c r="Q6" s="11">
        <v>669.1</v>
      </c>
    </row>
    <row r="7" spans="1:17" ht="15" customHeight="1" x14ac:dyDescent="0.2">
      <c r="A7" s="9" t="s">
        <v>168</v>
      </c>
      <c r="B7" s="10">
        <v>45748</v>
      </c>
      <c r="C7" s="10">
        <v>45748</v>
      </c>
      <c r="D7" s="9" t="s">
        <v>22</v>
      </c>
      <c r="E7" s="9" t="s">
        <v>25</v>
      </c>
      <c r="F7" s="9" t="s">
        <v>149</v>
      </c>
      <c r="G7" s="9" t="s">
        <v>156</v>
      </c>
      <c r="H7" s="9" t="s">
        <v>151</v>
      </c>
      <c r="I7" s="9" t="b">
        <f>TRUE()</f>
        <v>1</v>
      </c>
      <c r="J7" s="9" t="s">
        <v>152</v>
      </c>
      <c r="K7" s="9" t="s">
        <v>153</v>
      </c>
      <c r="L7" s="10">
        <v>45752</v>
      </c>
      <c r="M7" s="10">
        <v>45753</v>
      </c>
      <c r="N7" s="10"/>
      <c r="O7" s="10">
        <v>45765</v>
      </c>
      <c r="P7" s="9" t="b">
        <f>TRUE()</f>
        <v>1</v>
      </c>
      <c r="Q7" s="11">
        <v>784.3</v>
      </c>
    </row>
    <row r="8" spans="1:17" ht="15" customHeight="1" x14ac:dyDescent="0.2">
      <c r="A8" s="9" t="s">
        <v>169</v>
      </c>
      <c r="B8" s="10">
        <v>45849</v>
      </c>
      <c r="C8" s="10">
        <v>45839</v>
      </c>
      <c r="D8" s="9" t="s">
        <v>22</v>
      </c>
      <c r="E8" s="9" t="s">
        <v>24</v>
      </c>
      <c r="F8" s="9" t="s">
        <v>155</v>
      </c>
      <c r="G8" s="9" t="s">
        <v>150</v>
      </c>
      <c r="H8" s="9" t="s">
        <v>170</v>
      </c>
      <c r="I8" s="9" t="b">
        <f>TRUE()</f>
        <v>1</v>
      </c>
      <c r="J8" s="9" t="s">
        <v>152</v>
      </c>
      <c r="K8" s="9" t="s">
        <v>153</v>
      </c>
      <c r="L8" s="10">
        <v>45850</v>
      </c>
      <c r="M8" s="10">
        <v>45858</v>
      </c>
      <c r="N8" s="10"/>
      <c r="O8" s="10">
        <v>45872</v>
      </c>
      <c r="P8" s="9" t="b">
        <f>TRUE()</f>
        <v>1</v>
      </c>
      <c r="Q8" s="11">
        <v>5511.46</v>
      </c>
    </row>
    <row r="9" spans="1:17" ht="15" customHeight="1" x14ac:dyDescent="0.2">
      <c r="A9" s="9" t="s">
        <v>171</v>
      </c>
      <c r="B9" s="10">
        <v>45826</v>
      </c>
      <c r="C9" s="10">
        <v>45809</v>
      </c>
      <c r="D9" s="9" t="s">
        <v>20</v>
      </c>
      <c r="E9" s="9" t="s">
        <v>28</v>
      </c>
      <c r="F9" s="9" t="s">
        <v>149</v>
      </c>
      <c r="G9" s="9" t="s">
        <v>161</v>
      </c>
      <c r="H9" s="9" t="s">
        <v>167</v>
      </c>
      <c r="I9" s="9" t="b">
        <f>TRUE()</f>
        <v>1</v>
      </c>
      <c r="J9" s="9" t="s">
        <v>152</v>
      </c>
      <c r="K9" s="9" t="s">
        <v>153</v>
      </c>
      <c r="L9" s="10">
        <v>45829</v>
      </c>
      <c r="M9" s="10">
        <v>45837</v>
      </c>
      <c r="N9" s="10"/>
      <c r="O9" s="10">
        <v>45856</v>
      </c>
      <c r="P9" s="9" t="b">
        <f>TRUE()</f>
        <v>1</v>
      </c>
      <c r="Q9" s="11">
        <v>2834.62</v>
      </c>
    </row>
    <row r="10" spans="1:17" ht="15" customHeight="1" x14ac:dyDescent="0.2">
      <c r="A10" s="9" t="s">
        <v>172</v>
      </c>
      <c r="B10" s="10">
        <v>45783</v>
      </c>
      <c r="C10" s="10">
        <v>45778</v>
      </c>
      <c r="D10" s="9" t="s">
        <v>22</v>
      </c>
      <c r="E10" s="9" t="s">
        <v>28</v>
      </c>
      <c r="F10" s="9" t="s">
        <v>155</v>
      </c>
      <c r="G10" s="9" t="s">
        <v>156</v>
      </c>
      <c r="H10" s="9" t="s">
        <v>151</v>
      </c>
      <c r="I10" s="9" t="b">
        <f>TRUE()</f>
        <v>1</v>
      </c>
      <c r="J10" s="9" t="s">
        <v>152</v>
      </c>
      <c r="K10" s="9" t="s">
        <v>163</v>
      </c>
      <c r="L10" s="10"/>
      <c r="M10" s="10"/>
      <c r="N10" s="10"/>
      <c r="O10" s="10">
        <v>45794</v>
      </c>
      <c r="P10" s="9" t="b">
        <f>TRUE()</f>
        <v>1</v>
      </c>
      <c r="Q10" s="11">
        <v>488.24</v>
      </c>
    </row>
    <row r="11" spans="1:17" ht="15" customHeight="1" x14ac:dyDescent="0.2">
      <c r="A11" s="9" t="s">
        <v>173</v>
      </c>
      <c r="B11" s="10">
        <v>46000</v>
      </c>
      <c r="C11" s="10">
        <v>45992</v>
      </c>
      <c r="D11" s="9" t="s">
        <v>22</v>
      </c>
      <c r="E11" s="9" t="s">
        <v>27</v>
      </c>
      <c r="F11" s="9" t="s">
        <v>155</v>
      </c>
      <c r="G11" s="9" t="s">
        <v>150</v>
      </c>
      <c r="H11" s="9" t="s">
        <v>165</v>
      </c>
      <c r="I11" s="9" t="b">
        <f>TRUE()</f>
        <v>1</v>
      </c>
      <c r="J11" s="9" t="s">
        <v>2</v>
      </c>
      <c r="K11" s="9" t="s">
        <v>153</v>
      </c>
      <c r="L11" s="10">
        <v>46004</v>
      </c>
      <c r="M11" s="10">
        <v>46007</v>
      </c>
      <c r="N11" s="10">
        <v>46023</v>
      </c>
      <c r="O11" s="10"/>
      <c r="P11" s="9" t="b">
        <f>TRUE()</f>
        <v>1</v>
      </c>
      <c r="Q11" s="11">
        <v>6898.05</v>
      </c>
    </row>
    <row r="12" spans="1:17" ht="15" customHeight="1" x14ac:dyDescent="0.2">
      <c r="A12" s="9" t="s">
        <v>174</v>
      </c>
      <c r="B12" s="10">
        <v>45858</v>
      </c>
      <c r="C12" s="10">
        <v>45839</v>
      </c>
      <c r="D12" s="9" t="s">
        <v>22</v>
      </c>
      <c r="E12" s="9" t="s">
        <v>24</v>
      </c>
      <c r="F12" s="9" t="s">
        <v>155</v>
      </c>
      <c r="G12" s="9" t="s">
        <v>156</v>
      </c>
      <c r="H12" s="9" t="s">
        <v>165</v>
      </c>
      <c r="I12" s="9" t="b">
        <f>TRUE()</f>
        <v>1</v>
      </c>
      <c r="J12" s="9" t="s">
        <v>152</v>
      </c>
      <c r="K12" s="9" t="s">
        <v>153</v>
      </c>
      <c r="L12" s="10">
        <v>45868</v>
      </c>
      <c r="M12" s="10"/>
      <c r="N12" s="10"/>
      <c r="O12" s="10">
        <v>45893</v>
      </c>
      <c r="P12" s="9" t="b">
        <f>TRUE()</f>
        <v>1</v>
      </c>
      <c r="Q12" s="11">
        <v>696.21</v>
      </c>
    </row>
    <row r="13" spans="1:17" ht="15" customHeight="1" x14ac:dyDescent="0.2">
      <c r="A13" s="9" t="s">
        <v>175</v>
      </c>
      <c r="B13" s="10">
        <v>45807</v>
      </c>
      <c r="C13" s="10">
        <v>45778</v>
      </c>
      <c r="D13" s="9" t="s">
        <v>21</v>
      </c>
      <c r="E13" s="9" t="s">
        <v>27</v>
      </c>
      <c r="F13" s="9" t="s">
        <v>149</v>
      </c>
      <c r="G13" s="9" t="s">
        <v>156</v>
      </c>
      <c r="H13" s="9" t="s">
        <v>176</v>
      </c>
      <c r="I13" s="9" t="b">
        <f>TRUE()</f>
        <v>1</v>
      </c>
      <c r="J13" s="9" t="s">
        <v>2</v>
      </c>
      <c r="K13" s="9" t="s">
        <v>153</v>
      </c>
      <c r="L13" s="10">
        <v>45817</v>
      </c>
      <c r="M13" s="10">
        <v>45831</v>
      </c>
      <c r="N13" s="10">
        <v>45842</v>
      </c>
      <c r="O13" s="10"/>
      <c r="P13" s="9" t="b">
        <f>TRUE()</f>
        <v>1</v>
      </c>
      <c r="Q13" s="11">
        <v>732.38</v>
      </c>
    </row>
    <row r="14" spans="1:17" ht="15" customHeight="1" x14ac:dyDescent="0.2">
      <c r="A14" s="9" t="s">
        <v>177</v>
      </c>
      <c r="B14" s="10">
        <v>46013</v>
      </c>
      <c r="C14" s="10">
        <v>45992</v>
      </c>
      <c r="D14" s="9" t="s">
        <v>21</v>
      </c>
      <c r="E14" s="9" t="s">
        <v>25</v>
      </c>
      <c r="F14" s="9" t="s">
        <v>149</v>
      </c>
      <c r="G14" s="9" t="s">
        <v>161</v>
      </c>
      <c r="H14" s="9" t="s">
        <v>162</v>
      </c>
      <c r="I14" s="9" t="b">
        <f>TRUE()</f>
        <v>1</v>
      </c>
      <c r="J14" s="9" t="s">
        <v>158</v>
      </c>
      <c r="K14" s="9" t="s">
        <v>153</v>
      </c>
      <c r="L14" s="10">
        <v>46016</v>
      </c>
      <c r="M14" s="10">
        <v>46028</v>
      </c>
      <c r="N14" s="10"/>
      <c r="O14" s="10"/>
      <c r="P14" s="9" t="b">
        <f>TRUE()</f>
        <v>1</v>
      </c>
      <c r="Q14" s="11">
        <v>3026.95</v>
      </c>
    </row>
    <row r="15" spans="1:17" ht="15" customHeight="1" x14ac:dyDescent="0.2">
      <c r="A15" s="9" t="s">
        <v>178</v>
      </c>
      <c r="B15" s="10">
        <v>46008</v>
      </c>
      <c r="C15" s="10">
        <v>45992</v>
      </c>
      <c r="D15" s="9" t="s">
        <v>19</v>
      </c>
      <c r="E15" s="9" t="s">
        <v>28</v>
      </c>
      <c r="F15" s="9" t="s">
        <v>155</v>
      </c>
      <c r="G15" s="9" t="s">
        <v>150</v>
      </c>
      <c r="H15" s="9" t="s">
        <v>179</v>
      </c>
      <c r="I15" s="9" t="b">
        <f>TRUE()</f>
        <v>1</v>
      </c>
      <c r="J15" s="9" t="s">
        <v>15</v>
      </c>
      <c r="K15" s="9" t="s">
        <v>153</v>
      </c>
      <c r="L15" s="10">
        <v>46016</v>
      </c>
      <c r="M15" s="10"/>
      <c r="N15" s="10"/>
      <c r="O15" s="10"/>
      <c r="P15" s="9" t="b">
        <f>TRUE()</f>
        <v>1</v>
      </c>
      <c r="Q15" s="11">
        <v>4150.6899999999996</v>
      </c>
    </row>
    <row r="16" spans="1:17" ht="15" customHeight="1" x14ac:dyDescent="0.2">
      <c r="A16" s="9" t="s">
        <v>180</v>
      </c>
      <c r="B16" s="10">
        <v>45719</v>
      </c>
      <c r="C16" s="10">
        <v>45717</v>
      </c>
      <c r="D16" s="9" t="s">
        <v>19</v>
      </c>
      <c r="E16" s="9" t="s">
        <v>26</v>
      </c>
      <c r="F16" s="9" t="s">
        <v>155</v>
      </c>
      <c r="G16" s="9" t="s">
        <v>161</v>
      </c>
      <c r="H16" s="9" t="s">
        <v>179</v>
      </c>
      <c r="I16" s="9" t="b">
        <f>TRUE()</f>
        <v>1</v>
      </c>
      <c r="J16" s="9" t="s">
        <v>2</v>
      </c>
      <c r="K16" s="9" t="s">
        <v>153</v>
      </c>
      <c r="L16" s="10">
        <v>45722</v>
      </c>
      <c r="M16" s="10">
        <v>45731</v>
      </c>
      <c r="N16" s="10">
        <v>45759</v>
      </c>
      <c r="O16" s="10"/>
      <c r="P16" s="9" t="b">
        <f>TRUE()</f>
        <v>1</v>
      </c>
      <c r="Q16" s="11">
        <v>1713.23</v>
      </c>
    </row>
    <row r="17" spans="1:17" ht="15" customHeight="1" x14ac:dyDescent="0.2">
      <c r="A17" s="9" t="s">
        <v>181</v>
      </c>
      <c r="B17" s="10">
        <v>45779</v>
      </c>
      <c r="C17" s="10">
        <v>45778</v>
      </c>
      <c r="D17" s="9" t="s">
        <v>22</v>
      </c>
      <c r="E17" s="9" t="s">
        <v>25</v>
      </c>
      <c r="F17" s="9" t="s">
        <v>149</v>
      </c>
      <c r="G17" s="9" t="s">
        <v>161</v>
      </c>
      <c r="H17" s="9" t="s">
        <v>151</v>
      </c>
      <c r="I17" s="9" t="b">
        <f>TRUE()</f>
        <v>1</v>
      </c>
      <c r="J17" s="9" t="s">
        <v>2</v>
      </c>
      <c r="K17" s="9" t="s">
        <v>153</v>
      </c>
      <c r="L17" s="10">
        <v>45783</v>
      </c>
      <c r="M17" s="10">
        <v>45791</v>
      </c>
      <c r="N17" s="10">
        <v>45821</v>
      </c>
      <c r="O17" s="10"/>
      <c r="P17" s="9" t="b">
        <f>TRUE()</f>
        <v>1</v>
      </c>
      <c r="Q17" s="11">
        <v>2249.42</v>
      </c>
    </row>
    <row r="18" spans="1:17" ht="15" customHeight="1" x14ac:dyDescent="0.2">
      <c r="A18" s="9" t="s">
        <v>182</v>
      </c>
      <c r="B18" s="10">
        <v>45938</v>
      </c>
      <c r="C18" s="10">
        <v>45931</v>
      </c>
      <c r="D18" s="9" t="s">
        <v>21</v>
      </c>
      <c r="E18" s="9" t="s">
        <v>24</v>
      </c>
      <c r="F18" s="9" t="s">
        <v>149</v>
      </c>
      <c r="G18" s="9" t="s">
        <v>156</v>
      </c>
      <c r="H18" s="9" t="s">
        <v>183</v>
      </c>
      <c r="I18" s="9" t="b">
        <f>TRUE()</f>
        <v>1</v>
      </c>
      <c r="J18" s="9" t="s">
        <v>152</v>
      </c>
      <c r="K18" s="9" t="s">
        <v>163</v>
      </c>
      <c r="L18" s="10"/>
      <c r="M18" s="10"/>
      <c r="N18" s="10"/>
      <c r="O18" s="10">
        <v>45940</v>
      </c>
      <c r="P18" s="9" t="b">
        <f>TRUE()</f>
        <v>1</v>
      </c>
      <c r="Q18" s="11">
        <v>758</v>
      </c>
    </row>
    <row r="19" spans="1:17" ht="15" customHeight="1" x14ac:dyDescent="0.2">
      <c r="A19" s="9" t="s">
        <v>184</v>
      </c>
      <c r="B19" s="10">
        <v>45864</v>
      </c>
      <c r="C19" s="10">
        <v>45839</v>
      </c>
      <c r="D19" s="9" t="s">
        <v>22</v>
      </c>
      <c r="E19" s="9" t="s">
        <v>28</v>
      </c>
      <c r="F19" s="9" t="s">
        <v>160</v>
      </c>
      <c r="G19" s="9" t="s">
        <v>156</v>
      </c>
      <c r="H19" s="9" t="s">
        <v>170</v>
      </c>
      <c r="I19" s="9" t="b">
        <f>TRUE()</f>
        <v>1</v>
      </c>
      <c r="J19" s="9" t="s">
        <v>152</v>
      </c>
      <c r="K19" s="9" t="s">
        <v>163</v>
      </c>
      <c r="L19" s="10"/>
      <c r="M19" s="10"/>
      <c r="N19" s="10"/>
      <c r="O19" s="10">
        <v>45874</v>
      </c>
      <c r="P19" s="9" t="b">
        <f>TRUE()</f>
        <v>1</v>
      </c>
      <c r="Q19" s="11">
        <v>606.03</v>
      </c>
    </row>
    <row r="20" spans="1:17" ht="15" customHeight="1" x14ac:dyDescent="0.2">
      <c r="A20" s="9" t="s">
        <v>185</v>
      </c>
      <c r="B20" s="10">
        <v>45843</v>
      </c>
      <c r="C20" s="10">
        <v>45839</v>
      </c>
      <c r="D20" s="9" t="s">
        <v>22</v>
      </c>
      <c r="E20" s="9" t="s">
        <v>25</v>
      </c>
      <c r="F20" s="9" t="s">
        <v>186</v>
      </c>
      <c r="G20" s="9" t="s">
        <v>156</v>
      </c>
      <c r="H20" s="9" t="s">
        <v>165</v>
      </c>
      <c r="I20" s="9" t="b">
        <f>TRUE()</f>
        <v>1</v>
      </c>
      <c r="J20" s="9" t="s">
        <v>152</v>
      </c>
      <c r="K20" s="9" t="s">
        <v>153</v>
      </c>
      <c r="L20" s="10">
        <v>45851</v>
      </c>
      <c r="M20" s="10">
        <v>45863</v>
      </c>
      <c r="N20" s="10"/>
      <c r="O20" s="10">
        <v>45868</v>
      </c>
      <c r="P20" s="9" t="b">
        <f>TRUE()</f>
        <v>1</v>
      </c>
      <c r="Q20" s="11">
        <v>697.01</v>
      </c>
    </row>
    <row r="21" spans="1:17" ht="15" customHeight="1" x14ac:dyDescent="0.2">
      <c r="A21" s="9" t="s">
        <v>187</v>
      </c>
      <c r="B21" s="10">
        <v>45843</v>
      </c>
      <c r="C21" s="10">
        <v>45839</v>
      </c>
      <c r="D21" s="9" t="s">
        <v>22</v>
      </c>
      <c r="E21" s="9" t="s">
        <v>26</v>
      </c>
      <c r="F21" s="9" t="s">
        <v>149</v>
      </c>
      <c r="G21" s="9" t="s">
        <v>156</v>
      </c>
      <c r="H21" s="9" t="s">
        <v>170</v>
      </c>
      <c r="I21" s="9" t="b">
        <f>TRUE()</f>
        <v>1</v>
      </c>
      <c r="J21" s="9" t="s">
        <v>152</v>
      </c>
      <c r="K21" s="9" t="s">
        <v>153</v>
      </c>
      <c r="L21" s="10">
        <v>45849</v>
      </c>
      <c r="M21" s="10">
        <v>45861</v>
      </c>
      <c r="N21" s="10"/>
      <c r="O21" s="10">
        <v>45876</v>
      </c>
      <c r="P21" s="9" t="b">
        <f>TRUE()</f>
        <v>1</v>
      </c>
      <c r="Q21" s="11">
        <v>1032.97</v>
      </c>
    </row>
    <row r="22" spans="1:17" ht="15" customHeight="1" x14ac:dyDescent="0.2">
      <c r="A22" s="9" t="s">
        <v>188</v>
      </c>
      <c r="B22" s="10">
        <v>46011</v>
      </c>
      <c r="C22" s="10">
        <v>45992</v>
      </c>
      <c r="D22" s="9" t="s">
        <v>20</v>
      </c>
      <c r="E22" s="9" t="s">
        <v>26</v>
      </c>
      <c r="F22" s="9" t="s">
        <v>149</v>
      </c>
      <c r="G22" s="9" t="s">
        <v>150</v>
      </c>
      <c r="H22" s="9" t="s">
        <v>189</v>
      </c>
      <c r="I22" s="9" t="b">
        <f>TRUE()</f>
        <v>1</v>
      </c>
      <c r="J22" s="9" t="s">
        <v>190</v>
      </c>
      <c r="K22" s="9" t="s">
        <v>163</v>
      </c>
      <c r="L22" s="10"/>
      <c r="M22" s="10"/>
      <c r="N22" s="10"/>
      <c r="O22" s="10"/>
      <c r="P22" s="9" t="b">
        <f>TRUE()</f>
        <v>1</v>
      </c>
      <c r="Q22" s="11">
        <v>8553.35</v>
      </c>
    </row>
    <row r="23" spans="1:17" ht="15" customHeight="1" x14ac:dyDescent="0.2">
      <c r="A23" s="9" t="s">
        <v>191</v>
      </c>
      <c r="B23" s="10">
        <v>45747</v>
      </c>
      <c r="C23" s="10">
        <v>45717</v>
      </c>
      <c r="D23" s="9" t="s">
        <v>20</v>
      </c>
      <c r="E23" s="9" t="s">
        <v>26</v>
      </c>
      <c r="F23" s="9" t="s">
        <v>149</v>
      </c>
      <c r="G23" s="9" t="s">
        <v>161</v>
      </c>
      <c r="H23" s="9" t="s">
        <v>192</v>
      </c>
      <c r="I23" s="9" t="b">
        <f>TRUE()</f>
        <v>1</v>
      </c>
      <c r="J23" s="9" t="s">
        <v>152</v>
      </c>
      <c r="K23" s="9" t="s">
        <v>163</v>
      </c>
      <c r="L23" s="10"/>
      <c r="M23" s="10"/>
      <c r="N23" s="10"/>
      <c r="O23" s="10">
        <v>45767</v>
      </c>
      <c r="P23" s="9" t="b">
        <f>TRUE()</f>
        <v>1</v>
      </c>
      <c r="Q23" s="11">
        <v>2924.3</v>
      </c>
    </row>
    <row r="24" spans="1:17" ht="15" customHeight="1" x14ac:dyDescent="0.2">
      <c r="A24" s="9" t="s">
        <v>193</v>
      </c>
      <c r="B24" s="10">
        <v>45691</v>
      </c>
      <c r="C24" s="10">
        <v>45689</v>
      </c>
      <c r="D24" s="9" t="s">
        <v>22</v>
      </c>
      <c r="E24" s="9" t="s">
        <v>25</v>
      </c>
      <c r="F24" s="9" t="s">
        <v>186</v>
      </c>
      <c r="G24" s="9" t="s">
        <v>161</v>
      </c>
      <c r="H24" s="9" t="s">
        <v>151</v>
      </c>
      <c r="I24" s="9" t="b">
        <f>TRUE()</f>
        <v>1</v>
      </c>
      <c r="J24" s="9" t="s">
        <v>152</v>
      </c>
      <c r="K24" s="9" t="s">
        <v>153</v>
      </c>
      <c r="L24" s="10">
        <v>45701</v>
      </c>
      <c r="M24" s="10">
        <v>45713</v>
      </c>
      <c r="N24" s="10"/>
      <c r="O24" s="10">
        <v>45724</v>
      </c>
      <c r="P24" s="9" t="b">
        <f>TRUE()</f>
        <v>1</v>
      </c>
      <c r="Q24" s="11">
        <v>1869.87</v>
      </c>
    </row>
    <row r="25" spans="1:17" ht="15" customHeight="1" x14ac:dyDescent="0.2">
      <c r="A25" s="9" t="s">
        <v>194</v>
      </c>
      <c r="B25" s="10">
        <v>45694</v>
      </c>
      <c r="C25" s="10">
        <v>45689</v>
      </c>
      <c r="D25" s="9" t="s">
        <v>21</v>
      </c>
      <c r="E25" s="9" t="s">
        <v>24</v>
      </c>
      <c r="F25" s="9" t="s">
        <v>149</v>
      </c>
      <c r="G25" s="9" t="s">
        <v>156</v>
      </c>
      <c r="H25" s="9" t="s">
        <v>176</v>
      </c>
      <c r="I25" s="9" t="b">
        <f>TRUE()</f>
        <v>1</v>
      </c>
      <c r="J25" s="9" t="s">
        <v>152</v>
      </c>
      <c r="K25" s="9" t="s">
        <v>153</v>
      </c>
      <c r="L25" s="10">
        <v>45699</v>
      </c>
      <c r="M25" s="10">
        <v>45703</v>
      </c>
      <c r="N25" s="10"/>
      <c r="O25" s="10">
        <v>45736</v>
      </c>
      <c r="P25" s="9" t="b">
        <f>TRUE()</f>
        <v>1</v>
      </c>
      <c r="Q25" s="11">
        <v>902.15</v>
      </c>
    </row>
    <row r="26" spans="1:17" ht="15" customHeight="1" x14ac:dyDescent="0.2">
      <c r="A26" s="9" t="s">
        <v>195</v>
      </c>
      <c r="B26" s="10">
        <v>46022</v>
      </c>
      <c r="C26" s="10">
        <v>45992</v>
      </c>
      <c r="D26" s="9" t="s">
        <v>22</v>
      </c>
      <c r="E26" s="9" t="s">
        <v>25</v>
      </c>
      <c r="F26" s="9" t="s">
        <v>186</v>
      </c>
      <c r="G26" s="9" t="s">
        <v>156</v>
      </c>
      <c r="H26" s="9" t="s">
        <v>165</v>
      </c>
      <c r="I26" s="9" t="b">
        <f>TRUE()</f>
        <v>1</v>
      </c>
      <c r="J26" s="9" t="s">
        <v>2</v>
      </c>
      <c r="K26" s="9" t="s">
        <v>153</v>
      </c>
      <c r="L26" s="10">
        <v>46025</v>
      </c>
      <c r="M26" s="10">
        <v>46027</v>
      </c>
      <c r="N26" s="10">
        <v>46043</v>
      </c>
      <c r="O26" s="10"/>
      <c r="P26" s="9" t="b">
        <f>TRUE()</f>
        <v>1</v>
      </c>
      <c r="Q26" s="11">
        <v>670.98</v>
      </c>
    </row>
    <row r="27" spans="1:17" ht="15" customHeight="1" x14ac:dyDescent="0.2">
      <c r="A27" s="9" t="s">
        <v>196</v>
      </c>
      <c r="B27" s="10">
        <v>45876</v>
      </c>
      <c r="C27" s="10">
        <v>45870</v>
      </c>
      <c r="D27" s="9" t="s">
        <v>19</v>
      </c>
      <c r="E27" s="9" t="s">
        <v>24</v>
      </c>
      <c r="F27" s="9" t="s">
        <v>155</v>
      </c>
      <c r="G27" s="9" t="s">
        <v>156</v>
      </c>
      <c r="H27" s="9" t="s">
        <v>179</v>
      </c>
      <c r="I27" s="9" t="b">
        <f>TRUE()</f>
        <v>1</v>
      </c>
      <c r="J27" s="9" t="s">
        <v>152</v>
      </c>
      <c r="K27" s="9" t="s">
        <v>163</v>
      </c>
      <c r="L27" s="10"/>
      <c r="M27" s="10"/>
      <c r="N27" s="10"/>
      <c r="O27" s="10">
        <v>45889</v>
      </c>
      <c r="P27" s="9" t="b">
        <f>TRUE()</f>
        <v>1</v>
      </c>
      <c r="Q27" s="11">
        <v>668.86</v>
      </c>
    </row>
    <row r="28" spans="1:17" ht="15" customHeight="1" x14ac:dyDescent="0.2">
      <c r="A28" s="9" t="s">
        <v>197</v>
      </c>
      <c r="B28" s="10">
        <v>45667</v>
      </c>
      <c r="C28" s="10">
        <v>45658</v>
      </c>
      <c r="D28" s="9" t="s">
        <v>22</v>
      </c>
      <c r="E28" s="9" t="s">
        <v>24</v>
      </c>
      <c r="F28" s="9" t="s">
        <v>186</v>
      </c>
      <c r="G28" s="9" t="s">
        <v>161</v>
      </c>
      <c r="H28" s="9" t="s">
        <v>151</v>
      </c>
      <c r="I28" s="9" t="b">
        <f>TRUE()</f>
        <v>1</v>
      </c>
      <c r="J28" s="9" t="s">
        <v>152</v>
      </c>
      <c r="K28" s="9" t="s">
        <v>153</v>
      </c>
      <c r="L28" s="10">
        <v>45670</v>
      </c>
      <c r="M28" s="10">
        <v>45671</v>
      </c>
      <c r="N28" s="10"/>
      <c r="O28" s="10">
        <v>45677</v>
      </c>
      <c r="P28" s="9" t="b">
        <f>TRUE()</f>
        <v>1</v>
      </c>
      <c r="Q28" s="11">
        <v>1973.56</v>
      </c>
    </row>
    <row r="29" spans="1:17" ht="15" customHeight="1" x14ac:dyDescent="0.2">
      <c r="A29" s="9" t="s">
        <v>198</v>
      </c>
      <c r="B29" s="10">
        <v>46008</v>
      </c>
      <c r="C29" s="10">
        <v>45992</v>
      </c>
      <c r="D29" s="9" t="s">
        <v>21</v>
      </c>
      <c r="E29" s="9" t="s">
        <v>25</v>
      </c>
      <c r="F29" s="9" t="s">
        <v>149</v>
      </c>
      <c r="G29" s="9" t="s">
        <v>161</v>
      </c>
      <c r="H29" s="9" t="s">
        <v>162</v>
      </c>
      <c r="I29" s="9" t="b">
        <f>TRUE()</f>
        <v>1</v>
      </c>
      <c r="J29" s="9" t="s">
        <v>15</v>
      </c>
      <c r="K29" s="9" t="s">
        <v>153</v>
      </c>
      <c r="L29" s="10">
        <v>46010</v>
      </c>
      <c r="M29" s="10"/>
      <c r="N29" s="10"/>
      <c r="O29" s="10"/>
      <c r="P29" s="9" t="b">
        <f>TRUE()</f>
        <v>1</v>
      </c>
      <c r="Q29" s="11">
        <v>3492.52</v>
      </c>
    </row>
    <row r="30" spans="1:17" ht="15" customHeight="1" x14ac:dyDescent="0.2">
      <c r="A30" s="9" t="s">
        <v>199</v>
      </c>
      <c r="B30" s="10">
        <v>45963</v>
      </c>
      <c r="C30" s="10">
        <v>45962</v>
      </c>
      <c r="D30" s="9" t="s">
        <v>22</v>
      </c>
      <c r="E30" s="9" t="s">
        <v>26</v>
      </c>
      <c r="F30" s="9" t="s">
        <v>155</v>
      </c>
      <c r="G30" s="9" t="s">
        <v>156</v>
      </c>
      <c r="H30" s="9" t="s">
        <v>151</v>
      </c>
      <c r="I30" s="9" t="b">
        <f>TRUE()</f>
        <v>1</v>
      </c>
      <c r="J30" s="9" t="s">
        <v>152</v>
      </c>
      <c r="K30" s="9" t="s">
        <v>153</v>
      </c>
      <c r="L30" s="10">
        <v>45968</v>
      </c>
      <c r="M30" s="10">
        <v>45973</v>
      </c>
      <c r="N30" s="10"/>
      <c r="O30" s="10">
        <v>45998</v>
      </c>
      <c r="P30" s="9" t="b">
        <f>TRUE()</f>
        <v>1</v>
      </c>
      <c r="Q30" s="11">
        <v>642.32000000000005</v>
      </c>
    </row>
    <row r="31" spans="1:17" ht="15" customHeight="1" x14ac:dyDescent="0.2">
      <c r="A31" s="9" t="s">
        <v>200</v>
      </c>
      <c r="B31" s="10">
        <v>45993</v>
      </c>
      <c r="C31" s="10">
        <v>45992</v>
      </c>
      <c r="D31" s="9" t="s">
        <v>18</v>
      </c>
      <c r="E31" s="9" t="s">
        <v>24</v>
      </c>
      <c r="F31" s="9" t="s">
        <v>149</v>
      </c>
      <c r="G31" s="9" t="s">
        <v>156</v>
      </c>
      <c r="H31" s="9" t="s">
        <v>201</v>
      </c>
      <c r="I31" s="9" t="b">
        <f>TRUE()</f>
        <v>1</v>
      </c>
      <c r="J31" s="9" t="s">
        <v>15</v>
      </c>
      <c r="K31" s="9" t="s">
        <v>153</v>
      </c>
      <c r="L31" s="10">
        <v>46000</v>
      </c>
      <c r="M31" s="10"/>
      <c r="N31" s="10"/>
      <c r="O31" s="10"/>
      <c r="P31" s="9" t="b">
        <f>TRUE()</f>
        <v>1</v>
      </c>
      <c r="Q31" s="11">
        <v>1099.29</v>
      </c>
    </row>
    <row r="32" spans="1:17" ht="15" customHeight="1" x14ac:dyDescent="0.2">
      <c r="A32" s="9" t="s">
        <v>202</v>
      </c>
      <c r="B32" s="10">
        <v>45929</v>
      </c>
      <c r="C32" s="10">
        <v>45901</v>
      </c>
      <c r="D32" s="9" t="s">
        <v>20</v>
      </c>
      <c r="E32" s="9" t="s">
        <v>26</v>
      </c>
      <c r="F32" s="9" t="s">
        <v>149</v>
      </c>
      <c r="G32" s="9" t="s">
        <v>156</v>
      </c>
      <c r="H32" s="9" t="s">
        <v>167</v>
      </c>
      <c r="I32" s="9" t="b">
        <f>TRUE()</f>
        <v>1</v>
      </c>
      <c r="J32" s="9" t="s">
        <v>152</v>
      </c>
      <c r="K32" s="9" t="s">
        <v>163</v>
      </c>
      <c r="L32" s="10"/>
      <c r="M32" s="10"/>
      <c r="N32" s="10"/>
      <c r="O32" s="10">
        <v>45948</v>
      </c>
      <c r="P32" s="9" t="b">
        <f>TRUE()</f>
        <v>1</v>
      </c>
      <c r="Q32" s="11">
        <v>911.88</v>
      </c>
    </row>
    <row r="33" spans="1:17" ht="15" customHeight="1" x14ac:dyDescent="0.2">
      <c r="A33" s="9" t="s">
        <v>203</v>
      </c>
      <c r="B33" s="10">
        <v>45999</v>
      </c>
      <c r="C33" s="10">
        <v>45992</v>
      </c>
      <c r="D33" s="9" t="s">
        <v>20</v>
      </c>
      <c r="E33" s="9" t="s">
        <v>24</v>
      </c>
      <c r="F33" s="9" t="s">
        <v>155</v>
      </c>
      <c r="G33" s="9" t="s">
        <v>161</v>
      </c>
      <c r="H33" s="9" t="s">
        <v>189</v>
      </c>
      <c r="I33" s="9" t="b">
        <f>TRUE()</f>
        <v>1</v>
      </c>
      <c r="J33" s="9" t="s">
        <v>158</v>
      </c>
      <c r="K33" s="9" t="s">
        <v>153</v>
      </c>
      <c r="L33" s="10">
        <v>46009</v>
      </c>
      <c r="M33" s="10">
        <v>46023</v>
      </c>
      <c r="N33" s="10"/>
      <c r="O33" s="10"/>
      <c r="P33" s="9" t="b">
        <f>TRUE()</f>
        <v>1</v>
      </c>
      <c r="Q33" s="11">
        <v>1958.18</v>
      </c>
    </row>
    <row r="34" spans="1:17" ht="15" customHeight="1" x14ac:dyDescent="0.2">
      <c r="A34" s="9" t="s">
        <v>204</v>
      </c>
      <c r="B34" s="10">
        <v>45985</v>
      </c>
      <c r="C34" s="10">
        <v>45962</v>
      </c>
      <c r="D34" s="9" t="s">
        <v>22</v>
      </c>
      <c r="E34" s="9" t="s">
        <v>25</v>
      </c>
      <c r="F34" s="9" t="s">
        <v>149</v>
      </c>
      <c r="G34" s="9" t="s">
        <v>156</v>
      </c>
      <c r="H34" s="9" t="s">
        <v>165</v>
      </c>
      <c r="I34" s="9" t="b">
        <f>TRUE()</f>
        <v>1</v>
      </c>
      <c r="J34" s="9" t="s">
        <v>2</v>
      </c>
      <c r="K34" s="9" t="s">
        <v>153</v>
      </c>
      <c r="L34" s="10">
        <v>45995</v>
      </c>
      <c r="M34" s="10">
        <v>45996</v>
      </c>
      <c r="N34" s="10">
        <v>46004</v>
      </c>
      <c r="O34" s="10"/>
      <c r="P34" s="9" t="b">
        <f>TRUE()</f>
        <v>1</v>
      </c>
      <c r="Q34" s="11">
        <v>725.29</v>
      </c>
    </row>
    <row r="35" spans="1:17" ht="15" customHeight="1" x14ac:dyDescent="0.2">
      <c r="A35" s="9" t="s">
        <v>205</v>
      </c>
      <c r="B35" s="10">
        <v>45882</v>
      </c>
      <c r="C35" s="10">
        <v>45870</v>
      </c>
      <c r="D35" s="9" t="s">
        <v>18</v>
      </c>
      <c r="E35" s="9" t="s">
        <v>25</v>
      </c>
      <c r="F35" s="9" t="s">
        <v>149</v>
      </c>
      <c r="G35" s="9" t="s">
        <v>161</v>
      </c>
      <c r="H35" s="9" t="s">
        <v>201</v>
      </c>
      <c r="I35" s="9" t="b">
        <f>TRUE()</f>
        <v>1</v>
      </c>
      <c r="J35" s="9" t="s">
        <v>152</v>
      </c>
      <c r="K35" s="9" t="s">
        <v>153</v>
      </c>
      <c r="L35" s="10">
        <v>45884</v>
      </c>
      <c r="M35" s="10">
        <v>45898</v>
      </c>
      <c r="N35" s="10"/>
      <c r="O35" s="10">
        <v>45933</v>
      </c>
      <c r="P35" s="9" t="b">
        <f>TRUE()</f>
        <v>1</v>
      </c>
      <c r="Q35" s="11">
        <v>2842.9</v>
      </c>
    </row>
    <row r="36" spans="1:17" ht="15" customHeight="1" x14ac:dyDescent="0.2">
      <c r="A36" s="9" t="s">
        <v>206</v>
      </c>
      <c r="B36" s="10">
        <v>45669</v>
      </c>
      <c r="C36" s="10">
        <v>45658</v>
      </c>
      <c r="D36" s="9" t="s">
        <v>19</v>
      </c>
      <c r="E36" s="9" t="s">
        <v>26</v>
      </c>
      <c r="F36" s="9" t="s">
        <v>149</v>
      </c>
      <c r="G36" s="9" t="s">
        <v>156</v>
      </c>
      <c r="H36" s="9" t="s">
        <v>207</v>
      </c>
      <c r="I36" s="9" t="b">
        <f>TRUE()</f>
        <v>1</v>
      </c>
      <c r="J36" s="9" t="s">
        <v>2</v>
      </c>
      <c r="K36" s="9" t="s">
        <v>153</v>
      </c>
      <c r="L36" s="10">
        <v>45674</v>
      </c>
      <c r="M36" s="10">
        <v>45681</v>
      </c>
      <c r="N36" s="10">
        <v>45700</v>
      </c>
      <c r="O36" s="10"/>
      <c r="P36" s="9" t="b">
        <f>TRUE()</f>
        <v>1</v>
      </c>
      <c r="Q36" s="11">
        <v>1113.1099999999999</v>
      </c>
    </row>
    <row r="37" spans="1:17" ht="15" customHeight="1" x14ac:dyDescent="0.2">
      <c r="A37" s="9" t="s">
        <v>208</v>
      </c>
      <c r="B37" s="10">
        <v>45715</v>
      </c>
      <c r="C37" s="10">
        <v>45689</v>
      </c>
      <c r="D37" s="9" t="s">
        <v>19</v>
      </c>
      <c r="E37" s="9" t="s">
        <v>26</v>
      </c>
      <c r="F37" s="9" t="s">
        <v>160</v>
      </c>
      <c r="G37" s="9" t="s">
        <v>156</v>
      </c>
      <c r="H37" s="9" t="s">
        <v>207</v>
      </c>
      <c r="I37" s="9" t="b">
        <f>TRUE()</f>
        <v>1</v>
      </c>
      <c r="J37" s="9" t="s">
        <v>152</v>
      </c>
      <c r="K37" s="9" t="s">
        <v>153</v>
      </c>
      <c r="L37" s="10">
        <v>45720</v>
      </c>
      <c r="M37" s="10">
        <v>45734</v>
      </c>
      <c r="N37" s="10"/>
      <c r="O37" s="10">
        <v>45741</v>
      </c>
      <c r="P37" s="9" t="b">
        <f>TRUE()</f>
        <v>1</v>
      </c>
      <c r="Q37" s="11">
        <v>613.5</v>
      </c>
    </row>
    <row r="38" spans="1:17" ht="15" customHeight="1" x14ac:dyDescent="0.2">
      <c r="A38" s="9" t="s">
        <v>209</v>
      </c>
      <c r="B38" s="10">
        <v>45992</v>
      </c>
      <c r="C38" s="10">
        <v>45992</v>
      </c>
      <c r="D38" s="9" t="s">
        <v>19</v>
      </c>
      <c r="E38" s="9" t="s">
        <v>25</v>
      </c>
      <c r="F38" s="9" t="s">
        <v>155</v>
      </c>
      <c r="G38" s="9" t="s">
        <v>161</v>
      </c>
      <c r="H38" s="9" t="s">
        <v>210</v>
      </c>
      <c r="I38" s="9" t="b">
        <f>TRUE()</f>
        <v>1</v>
      </c>
      <c r="J38" s="9" t="s">
        <v>158</v>
      </c>
      <c r="K38" s="9" t="s">
        <v>153</v>
      </c>
      <c r="L38" s="10">
        <v>45993</v>
      </c>
      <c r="M38" s="10">
        <v>46001</v>
      </c>
      <c r="N38" s="10"/>
      <c r="O38" s="10"/>
      <c r="P38" s="9" t="b">
        <f>TRUE()</f>
        <v>1</v>
      </c>
      <c r="Q38" s="11">
        <v>1617.27</v>
      </c>
    </row>
    <row r="39" spans="1:17" ht="15" customHeight="1" x14ac:dyDescent="0.2">
      <c r="A39" s="9" t="s">
        <v>211</v>
      </c>
      <c r="B39" s="10">
        <v>45702</v>
      </c>
      <c r="C39" s="10">
        <v>45689</v>
      </c>
      <c r="D39" s="9" t="s">
        <v>21</v>
      </c>
      <c r="E39" s="9" t="s">
        <v>27</v>
      </c>
      <c r="F39" s="9" t="s">
        <v>149</v>
      </c>
      <c r="G39" s="9" t="s">
        <v>161</v>
      </c>
      <c r="H39" s="9" t="s">
        <v>176</v>
      </c>
      <c r="I39" s="9" t="b">
        <f>TRUE()</f>
        <v>1</v>
      </c>
      <c r="J39" s="9" t="s">
        <v>2</v>
      </c>
      <c r="K39" s="9" t="s">
        <v>153</v>
      </c>
      <c r="L39" s="10">
        <v>45710</v>
      </c>
      <c r="M39" s="10">
        <v>45714</v>
      </c>
      <c r="N39" s="10">
        <v>45717</v>
      </c>
      <c r="O39" s="10"/>
      <c r="P39" s="9" t="b">
        <f>TRUE()</f>
        <v>1</v>
      </c>
      <c r="Q39" s="11">
        <v>3476.46</v>
      </c>
    </row>
    <row r="40" spans="1:17" ht="15" customHeight="1" x14ac:dyDescent="0.2">
      <c r="A40" s="9" t="s">
        <v>212</v>
      </c>
      <c r="B40" s="10">
        <v>45888</v>
      </c>
      <c r="C40" s="10">
        <v>45870</v>
      </c>
      <c r="D40" s="9" t="s">
        <v>21</v>
      </c>
      <c r="E40" s="9" t="s">
        <v>26</v>
      </c>
      <c r="F40" s="9" t="s">
        <v>149</v>
      </c>
      <c r="G40" s="9" t="s">
        <v>156</v>
      </c>
      <c r="H40" s="9" t="s">
        <v>176</v>
      </c>
      <c r="I40" s="9" t="b">
        <f>TRUE()</f>
        <v>1</v>
      </c>
      <c r="J40" s="9" t="s">
        <v>152</v>
      </c>
      <c r="K40" s="9" t="s">
        <v>163</v>
      </c>
      <c r="L40" s="10"/>
      <c r="M40" s="10"/>
      <c r="N40" s="10"/>
      <c r="O40" s="10">
        <v>45891</v>
      </c>
      <c r="P40" s="9" t="b">
        <f>TRUE()</f>
        <v>1</v>
      </c>
      <c r="Q40" s="11">
        <v>618.24</v>
      </c>
    </row>
    <row r="41" spans="1:17" ht="15" customHeight="1" x14ac:dyDescent="0.2">
      <c r="A41" s="9" t="s">
        <v>213</v>
      </c>
      <c r="B41" s="10">
        <v>45705</v>
      </c>
      <c r="C41" s="10">
        <v>45689</v>
      </c>
      <c r="D41" s="9" t="s">
        <v>20</v>
      </c>
      <c r="E41" s="9" t="s">
        <v>26</v>
      </c>
      <c r="F41" s="9" t="s">
        <v>155</v>
      </c>
      <c r="G41" s="9" t="s">
        <v>161</v>
      </c>
      <c r="H41" s="9" t="s">
        <v>189</v>
      </c>
      <c r="I41" s="9" t="b">
        <f>TRUE()</f>
        <v>1</v>
      </c>
      <c r="J41" s="9" t="s">
        <v>152</v>
      </c>
      <c r="K41" s="9" t="s">
        <v>153</v>
      </c>
      <c r="L41" s="10">
        <v>45706</v>
      </c>
      <c r="M41" s="10">
        <v>45720</v>
      </c>
      <c r="N41" s="10"/>
      <c r="O41" s="10">
        <v>45729</v>
      </c>
      <c r="P41" s="9" t="b">
        <f>TRUE()</f>
        <v>1</v>
      </c>
      <c r="Q41" s="11">
        <v>1760.69</v>
      </c>
    </row>
    <row r="42" spans="1:17" ht="15" customHeight="1" x14ac:dyDescent="0.2">
      <c r="A42" s="9" t="s">
        <v>214</v>
      </c>
      <c r="B42" s="10">
        <v>45714</v>
      </c>
      <c r="C42" s="10">
        <v>45689</v>
      </c>
      <c r="D42" s="9" t="s">
        <v>22</v>
      </c>
      <c r="E42" s="9" t="s">
        <v>27</v>
      </c>
      <c r="F42" s="9" t="s">
        <v>186</v>
      </c>
      <c r="G42" s="9" t="s">
        <v>150</v>
      </c>
      <c r="H42" s="9" t="s">
        <v>165</v>
      </c>
      <c r="I42" s="9" t="b">
        <f>TRUE()</f>
        <v>1</v>
      </c>
      <c r="J42" s="9" t="s">
        <v>2</v>
      </c>
      <c r="K42" s="9" t="s">
        <v>153</v>
      </c>
      <c r="L42" s="10">
        <v>45720</v>
      </c>
      <c r="M42" s="10">
        <v>45732</v>
      </c>
      <c r="N42" s="10">
        <v>45741</v>
      </c>
      <c r="O42" s="10"/>
      <c r="P42" s="9" t="b">
        <f>TRUE()</f>
        <v>1</v>
      </c>
      <c r="Q42" s="11">
        <v>5529.48</v>
      </c>
    </row>
    <row r="43" spans="1:17" ht="15" customHeight="1" x14ac:dyDescent="0.2">
      <c r="A43" s="9" t="s">
        <v>215</v>
      </c>
      <c r="B43" s="10">
        <v>45964</v>
      </c>
      <c r="C43" s="10">
        <v>45962</v>
      </c>
      <c r="D43" s="9" t="s">
        <v>18</v>
      </c>
      <c r="E43" s="9" t="s">
        <v>26</v>
      </c>
      <c r="F43" s="9" t="s">
        <v>160</v>
      </c>
      <c r="G43" s="9" t="s">
        <v>156</v>
      </c>
      <c r="H43" s="9" t="s">
        <v>157</v>
      </c>
      <c r="I43" s="9" t="b">
        <f>TRUE()</f>
        <v>1</v>
      </c>
      <c r="J43" s="9" t="s">
        <v>152</v>
      </c>
      <c r="K43" s="9" t="s">
        <v>153</v>
      </c>
      <c r="L43" s="10">
        <v>45970</v>
      </c>
      <c r="M43" s="10">
        <v>45971</v>
      </c>
      <c r="N43" s="10"/>
      <c r="O43" s="10">
        <v>45990</v>
      </c>
      <c r="P43" s="9" t="b">
        <f>TRUE()</f>
        <v>1</v>
      </c>
      <c r="Q43" s="11">
        <v>900.45</v>
      </c>
    </row>
    <row r="44" spans="1:17" ht="15" customHeight="1" x14ac:dyDescent="0.2">
      <c r="A44" s="9" t="s">
        <v>216</v>
      </c>
      <c r="B44" s="10">
        <v>45705</v>
      </c>
      <c r="C44" s="10">
        <v>45689</v>
      </c>
      <c r="D44" s="9" t="s">
        <v>20</v>
      </c>
      <c r="E44" s="9" t="s">
        <v>24</v>
      </c>
      <c r="F44" s="9" t="s">
        <v>155</v>
      </c>
      <c r="G44" s="9" t="s">
        <v>156</v>
      </c>
      <c r="H44" s="9" t="s">
        <v>167</v>
      </c>
      <c r="I44" s="9" t="b">
        <f>TRUE()</f>
        <v>1</v>
      </c>
      <c r="J44" s="9" t="s">
        <v>152</v>
      </c>
      <c r="K44" s="9" t="s">
        <v>163</v>
      </c>
      <c r="L44" s="10"/>
      <c r="M44" s="10"/>
      <c r="N44" s="10"/>
      <c r="O44" s="10">
        <v>45709</v>
      </c>
      <c r="P44" s="9" t="b">
        <f>TRUE()</f>
        <v>1</v>
      </c>
      <c r="Q44" s="11">
        <v>507.65</v>
      </c>
    </row>
    <row r="45" spans="1:17" ht="15" customHeight="1" x14ac:dyDescent="0.2">
      <c r="A45" s="9" t="s">
        <v>217</v>
      </c>
      <c r="B45" s="10">
        <v>45886</v>
      </c>
      <c r="C45" s="10">
        <v>45870</v>
      </c>
      <c r="D45" s="9" t="s">
        <v>20</v>
      </c>
      <c r="E45" s="9" t="s">
        <v>26</v>
      </c>
      <c r="F45" s="9" t="s">
        <v>149</v>
      </c>
      <c r="G45" s="9" t="s">
        <v>156</v>
      </c>
      <c r="H45" s="9" t="s">
        <v>189</v>
      </c>
      <c r="I45" s="9" t="b">
        <f>TRUE()</f>
        <v>1</v>
      </c>
      <c r="J45" s="9" t="s">
        <v>152</v>
      </c>
      <c r="K45" s="9" t="s">
        <v>153</v>
      </c>
      <c r="L45" s="10">
        <v>45896</v>
      </c>
      <c r="M45" s="10">
        <v>45905</v>
      </c>
      <c r="N45" s="10"/>
      <c r="O45" s="10">
        <v>45935</v>
      </c>
      <c r="P45" s="9" t="b">
        <f>TRUE()</f>
        <v>1</v>
      </c>
      <c r="Q45" s="11">
        <v>784.45</v>
      </c>
    </row>
    <row r="46" spans="1:17" ht="15" customHeight="1" x14ac:dyDescent="0.2">
      <c r="A46" s="9" t="s">
        <v>218</v>
      </c>
      <c r="B46" s="10">
        <v>45665</v>
      </c>
      <c r="C46" s="10">
        <v>45658</v>
      </c>
      <c r="D46" s="9" t="s">
        <v>22</v>
      </c>
      <c r="E46" s="9" t="s">
        <v>28</v>
      </c>
      <c r="F46" s="9" t="s">
        <v>155</v>
      </c>
      <c r="G46" s="9" t="s">
        <v>156</v>
      </c>
      <c r="H46" s="9" t="s">
        <v>151</v>
      </c>
      <c r="I46" s="9" t="b">
        <f>TRUE()</f>
        <v>1</v>
      </c>
      <c r="J46" s="9" t="s">
        <v>152</v>
      </c>
      <c r="K46" s="9" t="s">
        <v>153</v>
      </c>
      <c r="L46" s="10">
        <v>45671</v>
      </c>
      <c r="M46" s="10"/>
      <c r="N46" s="10"/>
      <c r="O46" s="10">
        <v>45678</v>
      </c>
      <c r="P46" s="9" t="b">
        <f>TRUE()</f>
        <v>1</v>
      </c>
      <c r="Q46" s="11">
        <v>423.81</v>
      </c>
    </row>
    <row r="47" spans="1:17" ht="15" customHeight="1" x14ac:dyDescent="0.2">
      <c r="A47" s="9" t="s">
        <v>219</v>
      </c>
      <c r="B47" s="10">
        <v>45914</v>
      </c>
      <c r="C47" s="10">
        <v>45901</v>
      </c>
      <c r="D47" s="9" t="s">
        <v>22</v>
      </c>
      <c r="E47" s="9" t="s">
        <v>25</v>
      </c>
      <c r="F47" s="9" t="s">
        <v>149</v>
      </c>
      <c r="G47" s="9" t="s">
        <v>156</v>
      </c>
      <c r="H47" s="9" t="s">
        <v>151</v>
      </c>
      <c r="I47" s="9" t="b">
        <f>TRUE()</f>
        <v>1</v>
      </c>
      <c r="J47" s="9" t="s">
        <v>2</v>
      </c>
      <c r="K47" s="9" t="s">
        <v>153</v>
      </c>
      <c r="L47" s="10">
        <v>45917</v>
      </c>
      <c r="M47" s="10">
        <v>45932</v>
      </c>
      <c r="N47" s="10">
        <v>45952</v>
      </c>
      <c r="O47" s="10"/>
      <c r="P47" s="9" t="b">
        <f>TRUE()</f>
        <v>1</v>
      </c>
      <c r="Q47" s="11">
        <v>823.17</v>
      </c>
    </row>
    <row r="48" spans="1:17" ht="15" customHeight="1" x14ac:dyDescent="0.2">
      <c r="A48" s="9" t="s">
        <v>220</v>
      </c>
      <c r="B48" s="10">
        <v>45814</v>
      </c>
      <c r="C48" s="10">
        <v>45809</v>
      </c>
      <c r="D48" s="9" t="s">
        <v>20</v>
      </c>
      <c r="E48" s="9" t="s">
        <v>24</v>
      </c>
      <c r="F48" s="9" t="s">
        <v>149</v>
      </c>
      <c r="G48" s="9" t="s">
        <v>156</v>
      </c>
      <c r="H48" s="9" t="s">
        <v>192</v>
      </c>
      <c r="I48" s="9" t="b">
        <f>TRUE()</f>
        <v>1</v>
      </c>
      <c r="J48" s="9" t="s">
        <v>152</v>
      </c>
      <c r="K48" s="9" t="s">
        <v>153</v>
      </c>
      <c r="L48" s="10">
        <v>45817</v>
      </c>
      <c r="M48" s="10"/>
      <c r="N48" s="10"/>
      <c r="O48" s="10">
        <v>45837</v>
      </c>
      <c r="P48" s="9" t="b">
        <f>TRUE()</f>
        <v>1</v>
      </c>
      <c r="Q48" s="11">
        <v>881.41</v>
      </c>
    </row>
    <row r="49" spans="1:17" ht="15" customHeight="1" x14ac:dyDescent="0.2">
      <c r="A49" s="9" t="s">
        <v>221</v>
      </c>
      <c r="B49" s="10">
        <v>45885</v>
      </c>
      <c r="C49" s="10">
        <v>45870</v>
      </c>
      <c r="D49" s="9" t="s">
        <v>20</v>
      </c>
      <c r="E49" s="9" t="s">
        <v>25</v>
      </c>
      <c r="F49" s="9" t="s">
        <v>149</v>
      </c>
      <c r="G49" s="9" t="s">
        <v>156</v>
      </c>
      <c r="H49" s="9" t="s">
        <v>192</v>
      </c>
      <c r="I49" s="9" t="b">
        <f>TRUE()</f>
        <v>1</v>
      </c>
      <c r="J49" s="9" t="s">
        <v>152</v>
      </c>
      <c r="K49" s="9" t="s">
        <v>153</v>
      </c>
      <c r="L49" s="10">
        <v>45891</v>
      </c>
      <c r="M49" s="10">
        <v>45902</v>
      </c>
      <c r="N49" s="10"/>
      <c r="O49" s="10">
        <v>45913</v>
      </c>
      <c r="P49" s="9" t="b">
        <f>TRUE()</f>
        <v>1</v>
      </c>
      <c r="Q49" s="11">
        <v>589.09</v>
      </c>
    </row>
    <row r="50" spans="1:17" ht="15" customHeight="1" x14ac:dyDescent="0.2">
      <c r="A50" s="9" t="s">
        <v>49</v>
      </c>
      <c r="B50" s="10">
        <v>45886</v>
      </c>
      <c r="C50" s="10">
        <v>45870</v>
      </c>
      <c r="D50" s="9" t="s">
        <v>20</v>
      </c>
      <c r="E50" s="9" t="s">
        <v>27</v>
      </c>
      <c r="F50" s="9" t="s">
        <v>155</v>
      </c>
      <c r="G50" s="9" t="s">
        <v>156</v>
      </c>
      <c r="H50" s="9" t="s">
        <v>189</v>
      </c>
      <c r="I50" s="9" t="b">
        <f>TRUE()</f>
        <v>1</v>
      </c>
      <c r="J50" s="9" t="s">
        <v>2</v>
      </c>
      <c r="K50" s="9" t="s">
        <v>153</v>
      </c>
      <c r="L50" s="10">
        <v>45896</v>
      </c>
      <c r="M50" s="10">
        <v>45899</v>
      </c>
      <c r="N50" s="10">
        <v>45923</v>
      </c>
      <c r="O50" s="10"/>
      <c r="P50" s="9" t="b">
        <f>TRUE()</f>
        <v>1</v>
      </c>
      <c r="Q50" s="11">
        <v>682.3</v>
      </c>
    </row>
    <row r="51" spans="1:17" ht="15" customHeight="1" x14ac:dyDescent="0.2">
      <c r="A51" s="9" t="s">
        <v>222</v>
      </c>
      <c r="B51" s="10">
        <v>45668</v>
      </c>
      <c r="C51" s="10">
        <v>45658</v>
      </c>
      <c r="D51" s="9" t="s">
        <v>19</v>
      </c>
      <c r="E51" s="9" t="s">
        <v>24</v>
      </c>
      <c r="F51" s="9" t="s">
        <v>186</v>
      </c>
      <c r="G51" s="9" t="s">
        <v>156</v>
      </c>
      <c r="H51" s="9" t="s">
        <v>179</v>
      </c>
      <c r="I51" s="9" t="b">
        <f>TRUE()</f>
        <v>1</v>
      </c>
      <c r="J51" s="9" t="s">
        <v>152</v>
      </c>
      <c r="K51" s="9" t="s">
        <v>153</v>
      </c>
      <c r="L51" s="10">
        <v>45669</v>
      </c>
      <c r="M51" s="10">
        <v>45672</v>
      </c>
      <c r="N51" s="10"/>
      <c r="O51" s="10">
        <v>45706</v>
      </c>
      <c r="P51" s="9" t="b">
        <f>TRUE()</f>
        <v>1</v>
      </c>
      <c r="Q51" s="11">
        <v>631.30999999999995</v>
      </c>
    </row>
    <row r="52" spans="1:17" ht="15" customHeight="1" x14ac:dyDescent="0.2">
      <c r="A52" s="9" t="s">
        <v>223</v>
      </c>
      <c r="B52" s="10">
        <v>45732</v>
      </c>
      <c r="C52" s="10">
        <v>45717</v>
      </c>
      <c r="D52" s="9" t="s">
        <v>20</v>
      </c>
      <c r="E52" s="9" t="s">
        <v>24</v>
      </c>
      <c r="F52" s="9" t="s">
        <v>186</v>
      </c>
      <c r="G52" s="9" t="s">
        <v>156</v>
      </c>
      <c r="H52" s="9" t="s">
        <v>167</v>
      </c>
      <c r="I52" s="9" t="b">
        <f>TRUE()</f>
        <v>1</v>
      </c>
      <c r="J52" s="9" t="s">
        <v>152</v>
      </c>
      <c r="K52" s="9" t="s">
        <v>163</v>
      </c>
      <c r="L52" s="10"/>
      <c r="M52" s="10"/>
      <c r="N52" s="10"/>
      <c r="O52" s="10">
        <v>45739</v>
      </c>
      <c r="P52" s="9" t="b">
        <f>TRUE()</f>
        <v>1</v>
      </c>
      <c r="Q52" s="11">
        <v>827.95</v>
      </c>
    </row>
    <row r="53" spans="1:17" ht="15" customHeight="1" x14ac:dyDescent="0.2">
      <c r="A53" s="9" t="s">
        <v>224</v>
      </c>
      <c r="B53" s="10">
        <v>46000</v>
      </c>
      <c r="C53" s="10">
        <v>45992</v>
      </c>
      <c r="D53" s="9" t="s">
        <v>22</v>
      </c>
      <c r="E53" s="9" t="s">
        <v>24</v>
      </c>
      <c r="F53" s="9" t="s">
        <v>149</v>
      </c>
      <c r="G53" s="9" t="s">
        <v>156</v>
      </c>
      <c r="H53" s="9" t="s">
        <v>165</v>
      </c>
      <c r="I53" s="9" t="b">
        <f>TRUE()</f>
        <v>1</v>
      </c>
      <c r="J53" s="9" t="s">
        <v>190</v>
      </c>
      <c r="K53" s="9" t="s">
        <v>163</v>
      </c>
      <c r="L53" s="10"/>
      <c r="M53" s="10"/>
      <c r="N53" s="10"/>
      <c r="O53" s="10"/>
      <c r="P53" s="9" t="b">
        <f>TRUE()</f>
        <v>1</v>
      </c>
      <c r="Q53" s="11">
        <v>599.71</v>
      </c>
    </row>
    <row r="54" spans="1:17" ht="15" customHeight="1" x14ac:dyDescent="0.2">
      <c r="A54" s="9" t="s">
        <v>225</v>
      </c>
      <c r="B54" s="10">
        <v>45955</v>
      </c>
      <c r="C54" s="10">
        <v>45931</v>
      </c>
      <c r="D54" s="9" t="s">
        <v>20</v>
      </c>
      <c r="E54" s="9" t="s">
        <v>24</v>
      </c>
      <c r="F54" s="9" t="s">
        <v>186</v>
      </c>
      <c r="G54" s="9" t="s">
        <v>156</v>
      </c>
      <c r="H54" s="9" t="s">
        <v>189</v>
      </c>
      <c r="I54" s="9" t="b">
        <f>TRUE()</f>
        <v>1</v>
      </c>
      <c r="J54" s="9" t="s">
        <v>152</v>
      </c>
      <c r="K54" s="9" t="s">
        <v>153</v>
      </c>
      <c r="L54" s="10">
        <v>45960</v>
      </c>
      <c r="M54" s="10">
        <v>45973</v>
      </c>
      <c r="N54" s="10"/>
      <c r="O54" s="10">
        <v>46008</v>
      </c>
      <c r="P54" s="9" t="b">
        <f>TRUE()</f>
        <v>1</v>
      </c>
      <c r="Q54" s="11">
        <v>748.39</v>
      </c>
    </row>
    <row r="55" spans="1:17" ht="15" customHeight="1" x14ac:dyDescent="0.2">
      <c r="A55" s="9" t="s">
        <v>226</v>
      </c>
      <c r="B55" s="10">
        <v>45781</v>
      </c>
      <c r="C55" s="10">
        <v>45778</v>
      </c>
      <c r="D55" s="9" t="s">
        <v>22</v>
      </c>
      <c r="E55" s="9" t="s">
        <v>24</v>
      </c>
      <c r="F55" s="9" t="s">
        <v>149</v>
      </c>
      <c r="G55" s="9" t="s">
        <v>156</v>
      </c>
      <c r="H55" s="9" t="s">
        <v>165</v>
      </c>
      <c r="I55" s="9" t="b">
        <f>TRUE()</f>
        <v>1</v>
      </c>
      <c r="J55" s="9" t="s">
        <v>152</v>
      </c>
      <c r="K55" s="9" t="s">
        <v>153</v>
      </c>
      <c r="L55" s="10">
        <v>45789</v>
      </c>
      <c r="M55" s="10">
        <v>45799</v>
      </c>
      <c r="N55" s="10"/>
      <c r="O55" s="10">
        <v>45816</v>
      </c>
      <c r="P55" s="9" t="b">
        <f>TRUE()</f>
        <v>1</v>
      </c>
      <c r="Q55" s="11">
        <v>1063.06</v>
      </c>
    </row>
    <row r="56" spans="1:17" ht="15" customHeight="1" x14ac:dyDescent="0.2">
      <c r="A56" s="9" t="s">
        <v>227</v>
      </c>
      <c r="B56" s="10">
        <v>45887</v>
      </c>
      <c r="C56" s="10">
        <v>45870</v>
      </c>
      <c r="D56" s="9" t="s">
        <v>20</v>
      </c>
      <c r="E56" s="9" t="s">
        <v>28</v>
      </c>
      <c r="F56" s="9" t="s">
        <v>149</v>
      </c>
      <c r="G56" s="9" t="s">
        <v>161</v>
      </c>
      <c r="H56" s="9" t="s">
        <v>189</v>
      </c>
      <c r="I56" s="9" t="b">
        <f>TRUE()</f>
        <v>1</v>
      </c>
      <c r="J56" s="9" t="s">
        <v>152</v>
      </c>
      <c r="K56" s="9" t="s">
        <v>153</v>
      </c>
      <c r="L56" s="10">
        <v>45888</v>
      </c>
      <c r="M56" s="10">
        <v>45898</v>
      </c>
      <c r="N56" s="10"/>
      <c r="O56" s="10">
        <v>45910</v>
      </c>
      <c r="P56" s="9" t="b">
        <f>TRUE()</f>
        <v>1</v>
      </c>
      <c r="Q56" s="11">
        <v>2246.29</v>
      </c>
    </row>
    <row r="57" spans="1:17" ht="15" customHeight="1" x14ac:dyDescent="0.2">
      <c r="A57" s="9" t="s">
        <v>46</v>
      </c>
      <c r="B57" s="10">
        <v>45731</v>
      </c>
      <c r="C57" s="10">
        <v>45717</v>
      </c>
      <c r="D57" s="9" t="s">
        <v>22</v>
      </c>
      <c r="E57" s="9" t="s">
        <v>25</v>
      </c>
      <c r="F57" s="9" t="s">
        <v>160</v>
      </c>
      <c r="G57" s="9" t="s">
        <v>161</v>
      </c>
      <c r="H57" s="9" t="s">
        <v>165</v>
      </c>
      <c r="I57" s="9" t="b">
        <f>TRUE()</f>
        <v>1</v>
      </c>
      <c r="J57" s="9" t="s">
        <v>152</v>
      </c>
      <c r="K57" s="9" t="s">
        <v>163</v>
      </c>
      <c r="L57" s="10"/>
      <c r="M57" s="10"/>
      <c r="N57" s="10"/>
      <c r="O57" s="10">
        <v>45745</v>
      </c>
      <c r="P57" s="9" t="b">
        <f>TRUE()</f>
        <v>1</v>
      </c>
      <c r="Q57" s="11">
        <v>2089.17</v>
      </c>
    </row>
    <row r="58" spans="1:17" ht="15" customHeight="1" x14ac:dyDescent="0.2">
      <c r="A58" s="9" t="s">
        <v>228</v>
      </c>
      <c r="B58" s="10">
        <v>45843</v>
      </c>
      <c r="C58" s="10">
        <v>45839</v>
      </c>
      <c r="D58" s="9" t="s">
        <v>19</v>
      </c>
      <c r="E58" s="9" t="s">
        <v>27</v>
      </c>
      <c r="F58" s="9" t="s">
        <v>149</v>
      </c>
      <c r="G58" s="9" t="s">
        <v>161</v>
      </c>
      <c r="H58" s="9" t="s">
        <v>179</v>
      </c>
      <c r="I58" s="9" t="b">
        <f>TRUE()</f>
        <v>1</v>
      </c>
      <c r="J58" s="9" t="s">
        <v>152</v>
      </c>
      <c r="K58" s="9" t="s">
        <v>153</v>
      </c>
      <c r="L58" s="10">
        <v>45848</v>
      </c>
      <c r="M58" s="10">
        <v>45856</v>
      </c>
      <c r="N58" s="10"/>
      <c r="O58" s="10">
        <v>45875</v>
      </c>
      <c r="P58" s="9" t="b">
        <f>TRUE()</f>
        <v>1</v>
      </c>
      <c r="Q58" s="11">
        <v>2375.59</v>
      </c>
    </row>
    <row r="59" spans="1:17" ht="15" customHeight="1" x14ac:dyDescent="0.2">
      <c r="A59" s="9" t="s">
        <v>229</v>
      </c>
      <c r="B59" s="10">
        <v>45715</v>
      </c>
      <c r="C59" s="10">
        <v>45689</v>
      </c>
      <c r="D59" s="9" t="s">
        <v>22</v>
      </c>
      <c r="E59" s="9" t="s">
        <v>26</v>
      </c>
      <c r="F59" s="9" t="s">
        <v>186</v>
      </c>
      <c r="G59" s="9" t="s">
        <v>156</v>
      </c>
      <c r="H59" s="9" t="s">
        <v>165</v>
      </c>
      <c r="I59" s="9" t="b">
        <f>TRUE()</f>
        <v>1</v>
      </c>
      <c r="J59" s="9" t="s">
        <v>2</v>
      </c>
      <c r="K59" s="9" t="s">
        <v>153</v>
      </c>
      <c r="L59" s="10">
        <v>45723</v>
      </c>
      <c r="M59" s="10">
        <v>45730</v>
      </c>
      <c r="N59" s="10">
        <v>45757</v>
      </c>
      <c r="O59" s="10"/>
      <c r="P59" s="9" t="b">
        <f>TRUE()</f>
        <v>1</v>
      </c>
      <c r="Q59" s="11">
        <v>710.84</v>
      </c>
    </row>
    <row r="60" spans="1:17" ht="15" customHeight="1" x14ac:dyDescent="0.2">
      <c r="A60" s="9" t="s">
        <v>230</v>
      </c>
      <c r="B60" s="10">
        <v>45754</v>
      </c>
      <c r="C60" s="10">
        <v>45748</v>
      </c>
      <c r="D60" s="9" t="s">
        <v>20</v>
      </c>
      <c r="E60" s="9" t="s">
        <v>24</v>
      </c>
      <c r="F60" s="9" t="s">
        <v>149</v>
      </c>
      <c r="G60" s="9" t="s">
        <v>156</v>
      </c>
      <c r="H60" s="9" t="s">
        <v>192</v>
      </c>
      <c r="I60" s="9" t="b">
        <f>TRUE()</f>
        <v>1</v>
      </c>
      <c r="J60" s="9" t="s">
        <v>152</v>
      </c>
      <c r="K60" s="9" t="s">
        <v>163</v>
      </c>
      <c r="L60" s="10"/>
      <c r="M60" s="10"/>
      <c r="N60" s="10"/>
      <c r="O60" s="10">
        <v>45762</v>
      </c>
      <c r="P60" s="9" t="b">
        <f>TRUE()</f>
        <v>1</v>
      </c>
      <c r="Q60" s="11">
        <v>637.48</v>
      </c>
    </row>
    <row r="61" spans="1:17" ht="15" customHeight="1" x14ac:dyDescent="0.2">
      <c r="A61" s="9" t="s">
        <v>231</v>
      </c>
      <c r="B61" s="10">
        <v>45709</v>
      </c>
      <c r="C61" s="10">
        <v>45689</v>
      </c>
      <c r="D61" s="9" t="s">
        <v>20</v>
      </c>
      <c r="E61" s="9" t="s">
        <v>24</v>
      </c>
      <c r="F61" s="9" t="s">
        <v>155</v>
      </c>
      <c r="G61" s="9" t="s">
        <v>161</v>
      </c>
      <c r="H61" s="9" t="s">
        <v>189</v>
      </c>
      <c r="I61" s="9" t="b">
        <f>TRUE()</f>
        <v>1</v>
      </c>
      <c r="J61" s="9" t="s">
        <v>152</v>
      </c>
      <c r="K61" s="9" t="s">
        <v>163</v>
      </c>
      <c r="L61" s="10"/>
      <c r="M61" s="10"/>
      <c r="N61" s="10"/>
      <c r="O61" s="10">
        <v>45716</v>
      </c>
      <c r="P61" s="9" t="b">
        <f>TRUE()</f>
        <v>1</v>
      </c>
      <c r="Q61" s="11">
        <v>1597.04</v>
      </c>
    </row>
    <row r="62" spans="1:17" ht="15" customHeight="1" x14ac:dyDescent="0.2">
      <c r="A62" s="9" t="s">
        <v>232</v>
      </c>
      <c r="B62" s="10">
        <v>45687</v>
      </c>
      <c r="C62" s="10">
        <v>45658</v>
      </c>
      <c r="D62" s="9" t="s">
        <v>22</v>
      </c>
      <c r="E62" s="9" t="s">
        <v>26</v>
      </c>
      <c r="F62" s="9" t="s">
        <v>149</v>
      </c>
      <c r="G62" s="9" t="s">
        <v>156</v>
      </c>
      <c r="H62" s="9" t="s">
        <v>151</v>
      </c>
      <c r="I62" s="9" t="b">
        <f>TRUE()</f>
        <v>1</v>
      </c>
      <c r="J62" s="9" t="s">
        <v>152</v>
      </c>
      <c r="K62" s="9" t="s">
        <v>153</v>
      </c>
      <c r="L62" s="10">
        <v>45694</v>
      </c>
      <c r="M62" s="10">
        <v>45699</v>
      </c>
      <c r="N62" s="10"/>
      <c r="O62" s="10">
        <v>45729</v>
      </c>
      <c r="P62" s="9" t="b">
        <f>TRUE()</f>
        <v>1</v>
      </c>
      <c r="Q62" s="11">
        <v>756.66</v>
      </c>
    </row>
    <row r="63" spans="1:17" ht="15" customHeight="1" x14ac:dyDescent="0.2">
      <c r="A63" s="9" t="s">
        <v>233</v>
      </c>
      <c r="B63" s="10">
        <v>45953</v>
      </c>
      <c r="C63" s="10">
        <v>45931</v>
      </c>
      <c r="D63" s="9" t="s">
        <v>22</v>
      </c>
      <c r="E63" s="9" t="s">
        <v>26</v>
      </c>
      <c r="F63" s="9" t="s">
        <v>186</v>
      </c>
      <c r="G63" s="9" t="s">
        <v>156</v>
      </c>
      <c r="H63" s="9" t="s">
        <v>165</v>
      </c>
      <c r="I63" s="9" t="b">
        <f>TRUE()</f>
        <v>1</v>
      </c>
      <c r="J63" s="9" t="s">
        <v>152</v>
      </c>
      <c r="K63" s="9" t="s">
        <v>153</v>
      </c>
      <c r="L63" s="10">
        <v>45954</v>
      </c>
      <c r="M63" s="10">
        <v>45964</v>
      </c>
      <c r="N63" s="10"/>
      <c r="O63" s="10">
        <v>45975</v>
      </c>
      <c r="P63" s="9" t="b">
        <f>TRUE()</f>
        <v>1</v>
      </c>
      <c r="Q63" s="11">
        <v>533.04999999999995</v>
      </c>
    </row>
    <row r="64" spans="1:17" ht="15" customHeight="1" x14ac:dyDescent="0.2">
      <c r="A64" s="9" t="s">
        <v>234</v>
      </c>
      <c r="B64" s="10">
        <v>45974</v>
      </c>
      <c r="C64" s="10">
        <v>45962</v>
      </c>
      <c r="D64" s="9" t="s">
        <v>20</v>
      </c>
      <c r="E64" s="9" t="s">
        <v>24</v>
      </c>
      <c r="F64" s="9" t="s">
        <v>155</v>
      </c>
      <c r="G64" s="9" t="s">
        <v>161</v>
      </c>
      <c r="H64" s="9" t="s">
        <v>192</v>
      </c>
      <c r="I64" s="9" t="b">
        <f>TRUE()</f>
        <v>1</v>
      </c>
      <c r="J64" s="9" t="s">
        <v>152</v>
      </c>
      <c r="K64" s="9" t="s">
        <v>153</v>
      </c>
      <c r="L64" s="10">
        <v>45980</v>
      </c>
      <c r="M64" s="10">
        <v>45983</v>
      </c>
      <c r="N64" s="10"/>
      <c r="O64" s="10">
        <v>46012</v>
      </c>
      <c r="P64" s="9" t="b">
        <f>TRUE()</f>
        <v>1</v>
      </c>
      <c r="Q64" s="11">
        <v>2073.1</v>
      </c>
    </row>
    <row r="65" spans="1:17" ht="15" customHeight="1" x14ac:dyDescent="0.2">
      <c r="A65" s="9" t="s">
        <v>235</v>
      </c>
      <c r="B65" s="10">
        <v>45992</v>
      </c>
      <c r="C65" s="10">
        <v>45992</v>
      </c>
      <c r="D65" s="9" t="s">
        <v>22</v>
      </c>
      <c r="E65" s="9" t="s">
        <v>28</v>
      </c>
      <c r="F65" s="9" t="s">
        <v>186</v>
      </c>
      <c r="G65" s="9" t="s">
        <v>156</v>
      </c>
      <c r="H65" s="9" t="s">
        <v>165</v>
      </c>
      <c r="I65" s="9" t="b">
        <f>TRUE()</f>
        <v>1</v>
      </c>
      <c r="J65" s="9" t="s">
        <v>2</v>
      </c>
      <c r="K65" s="9" t="s">
        <v>153</v>
      </c>
      <c r="L65" s="10">
        <v>45997</v>
      </c>
      <c r="M65" s="10">
        <v>46010</v>
      </c>
      <c r="N65" s="10">
        <v>46021</v>
      </c>
      <c r="O65" s="10"/>
      <c r="P65" s="9" t="b">
        <f>TRUE()</f>
        <v>1</v>
      </c>
      <c r="Q65" s="11">
        <v>565.82000000000005</v>
      </c>
    </row>
    <row r="66" spans="1:17" ht="15" customHeight="1" x14ac:dyDescent="0.2">
      <c r="A66" s="9" t="s">
        <v>236</v>
      </c>
      <c r="B66" s="10">
        <v>45724</v>
      </c>
      <c r="C66" s="10">
        <v>45717</v>
      </c>
      <c r="D66" s="9" t="s">
        <v>20</v>
      </c>
      <c r="E66" s="9" t="s">
        <v>28</v>
      </c>
      <c r="F66" s="9" t="s">
        <v>149</v>
      </c>
      <c r="G66" s="9" t="s">
        <v>156</v>
      </c>
      <c r="H66" s="9" t="s">
        <v>189</v>
      </c>
      <c r="I66" s="9" t="b">
        <f>TRUE()</f>
        <v>1</v>
      </c>
      <c r="J66" s="9" t="s">
        <v>152</v>
      </c>
      <c r="K66" s="9" t="s">
        <v>163</v>
      </c>
      <c r="L66" s="10"/>
      <c r="M66" s="10"/>
      <c r="N66" s="10"/>
      <c r="O66" s="10">
        <v>45735</v>
      </c>
      <c r="P66" s="9" t="b">
        <f>TRUE()</f>
        <v>1</v>
      </c>
      <c r="Q66" s="11">
        <v>1009.09</v>
      </c>
    </row>
    <row r="67" spans="1:17" ht="15" customHeight="1" x14ac:dyDescent="0.2">
      <c r="A67" s="9" t="s">
        <v>237</v>
      </c>
      <c r="B67" s="10">
        <v>45799</v>
      </c>
      <c r="C67" s="10">
        <v>45778</v>
      </c>
      <c r="D67" s="9" t="s">
        <v>19</v>
      </c>
      <c r="E67" s="9" t="s">
        <v>25</v>
      </c>
      <c r="F67" s="9" t="s">
        <v>149</v>
      </c>
      <c r="G67" s="9" t="s">
        <v>156</v>
      </c>
      <c r="H67" s="9" t="s">
        <v>207</v>
      </c>
      <c r="I67" s="9" t="b">
        <f>TRUE()</f>
        <v>1</v>
      </c>
      <c r="J67" s="9" t="s">
        <v>152</v>
      </c>
      <c r="K67" s="9" t="s">
        <v>153</v>
      </c>
      <c r="L67" s="10">
        <v>45803</v>
      </c>
      <c r="M67" s="10"/>
      <c r="N67" s="10"/>
      <c r="O67" s="10">
        <v>45808</v>
      </c>
      <c r="P67" s="9" t="b">
        <f>TRUE()</f>
        <v>1</v>
      </c>
      <c r="Q67" s="11">
        <v>605.79999999999995</v>
      </c>
    </row>
    <row r="68" spans="1:17" ht="15" customHeight="1" x14ac:dyDescent="0.2">
      <c r="A68" s="9" t="s">
        <v>238</v>
      </c>
      <c r="B68" s="10">
        <v>45879</v>
      </c>
      <c r="C68" s="10">
        <v>45870</v>
      </c>
      <c r="D68" s="9" t="s">
        <v>19</v>
      </c>
      <c r="E68" s="9" t="s">
        <v>25</v>
      </c>
      <c r="F68" s="9" t="s">
        <v>149</v>
      </c>
      <c r="G68" s="9" t="s">
        <v>156</v>
      </c>
      <c r="H68" s="9" t="s">
        <v>210</v>
      </c>
      <c r="I68" s="9" t="b">
        <f>TRUE()</f>
        <v>1</v>
      </c>
      <c r="J68" s="9" t="s">
        <v>152</v>
      </c>
      <c r="K68" s="9" t="s">
        <v>153</v>
      </c>
      <c r="L68" s="10">
        <v>45882</v>
      </c>
      <c r="M68" s="10">
        <v>45889</v>
      </c>
      <c r="N68" s="10"/>
      <c r="O68" s="10">
        <v>45911</v>
      </c>
      <c r="P68" s="9" t="b">
        <f>TRUE()</f>
        <v>1</v>
      </c>
      <c r="Q68" s="11">
        <v>712.15</v>
      </c>
    </row>
    <row r="69" spans="1:17" ht="15" customHeight="1" x14ac:dyDescent="0.2">
      <c r="A69" s="9" t="s">
        <v>239</v>
      </c>
      <c r="B69" s="10">
        <v>45901</v>
      </c>
      <c r="C69" s="10">
        <v>45901</v>
      </c>
      <c r="D69" s="9" t="s">
        <v>21</v>
      </c>
      <c r="E69" s="9" t="s">
        <v>28</v>
      </c>
      <c r="F69" s="9" t="s">
        <v>149</v>
      </c>
      <c r="G69" s="9" t="s">
        <v>150</v>
      </c>
      <c r="H69" s="9" t="s">
        <v>162</v>
      </c>
      <c r="I69" s="9" t="b">
        <f>TRUE()</f>
        <v>1</v>
      </c>
      <c r="J69" s="9" t="s">
        <v>152</v>
      </c>
      <c r="K69" s="9" t="s">
        <v>163</v>
      </c>
      <c r="L69" s="10"/>
      <c r="M69" s="10"/>
      <c r="N69" s="10"/>
      <c r="O69" s="10">
        <v>45907</v>
      </c>
      <c r="P69" s="9" t="b">
        <f>TRUE()</f>
        <v>1</v>
      </c>
      <c r="Q69" s="11">
        <v>6370.11</v>
      </c>
    </row>
    <row r="70" spans="1:17" ht="15" customHeight="1" x14ac:dyDescent="0.2">
      <c r="A70" s="9" t="s">
        <v>240</v>
      </c>
      <c r="B70" s="10">
        <v>45801</v>
      </c>
      <c r="C70" s="10">
        <v>45778</v>
      </c>
      <c r="D70" s="9" t="s">
        <v>20</v>
      </c>
      <c r="E70" s="9" t="s">
        <v>25</v>
      </c>
      <c r="F70" s="9" t="s">
        <v>149</v>
      </c>
      <c r="G70" s="9" t="s">
        <v>156</v>
      </c>
      <c r="H70" s="9" t="s">
        <v>189</v>
      </c>
      <c r="I70" s="9" t="b">
        <f>TRUE()</f>
        <v>1</v>
      </c>
      <c r="J70" s="9" t="s">
        <v>2</v>
      </c>
      <c r="K70" s="9" t="s">
        <v>153</v>
      </c>
      <c r="L70" s="10">
        <v>45809</v>
      </c>
      <c r="M70" s="10">
        <v>45811</v>
      </c>
      <c r="N70" s="10">
        <v>45828</v>
      </c>
      <c r="O70" s="10"/>
      <c r="P70" s="9" t="b">
        <f>TRUE()</f>
        <v>1</v>
      </c>
      <c r="Q70" s="11">
        <v>601.64</v>
      </c>
    </row>
    <row r="71" spans="1:17" ht="15" customHeight="1" x14ac:dyDescent="0.2">
      <c r="A71" s="9" t="s">
        <v>241</v>
      </c>
      <c r="B71" s="10">
        <v>45802</v>
      </c>
      <c r="C71" s="10">
        <v>45778</v>
      </c>
      <c r="D71" s="9" t="s">
        <v>19</v>
      </c>
      <c r="E71" s="9" t="s">
        <v>25</v>
      </c>
      <c r="F71" s="9" t="s">
        <v>155</v>
      </c>
      <c r="G71" s="9" t="s">
        <v>156</v>
      </c>
      <c r="H71" s="9" t="s">
        <v>210</v>
      </c>
      <c r="I71" s="9" t="b">
        <f>TRUE()</f>
        <v>1</v>
      </c>
      <c r="J71" s="9" t="s">
        <v>152</v>
      </c>
      <c r="K71" s="9" t="s">
        <v>163</v>
      </c>
      <c r="L71" s="10"/>
      <c r="M71" s="10"/>
      <c r="N71" s="10"/>
      <c r="O71" s="10">
        <v>45809</v>
      </c>
      <c r="P71" s="9" t="b">
        <f>TRUE()</f>
        <v>1</v>
      </c>
      <c r="Q71" s="11">
        <v>539.51</v>
      </c>
    </row>
    <row r="72" spans="1:17" ht="15" customHeight="1" x14ac:dyDescent="0.2">
      <c r="A72" s="9" t="s">
        <v>242</v>
      </c>
      <c r="B72" s="10">
        <v>46019</v>
      </c>
      <c r="C72" s="10">
        <v>45992</v>
      </c>
      <c r="D72" s="9" t="s">
        <v>20</v>
      </c>
      <c r="E72" s="9" t="s">
        <v>27</v>
      </c>
      <c r="F72" s="9" t="s">
        <v>160</v>
      </c>
      <c r="G72" s="9" t="s">
        <v>150</v>
      </c>
      <c r="H72" s="9" t="s">
        <v>167</v>
      </c>
      <c r="I72" s="9" t="b">
        <f>TRUE()</f>
        <v>1</v>
      </c>
      <c r="J72" s="9" t="s">
        <v>15</v>
      </c>
      <c r="K72" s="9" t="s">
        <v>153</v>
      </c>
      <c r="L72" s="10">
        <v>46020</v>
      </c>
      <c r="M72" s="10"/>
      <c r="N72" s="10"/>
      <c r="O72" s="10"/>
      <c r="P72" s="9" t="b">
        <f>TRUE()</f>
        <v>1</v>
      </c>
      <c r="Q72" s="11">
        <v>6508.29</v>
      </c>
    </row>
    <row r="73" spans="1:17" ht="15" customHeight="1" x14ac:dyDescent="0.2">
      <c r="A73" s="9" t="s">
        <v>243</v>
      </c>
      <c r="B73" s="10">
        <v>45727</v>
      </c>
      <c r="C73" s="10">
        <v>45717</v>
      </c>
      <c r="D73" s="9" t="s">
        <v>22</v>
      </c>
      <c r="E73" s="9" t="s">
        <v>25</v>
      </c>
      <c r="F73" s="9" t="s">
        <v>160</v>
      </c>
      <c r="G73" s="9" t="s">
        <v>156</v>
      </c>
      <c r="H73" s="9" t="s">
        <v>165</v>
      </c>
      <c r="I73" s="9" t="b">
        <f>TRUE()</f>
        <v>1</v>
      </c>
      <c r="J73" s="9" t="s">
        <v>2</v>
      </c>
      <c r="K73" s="9" t="s">
        <v>153</v>
      </c>
      <c r="L73" s="10">
        <v>45734</v>
      </c>
      <c r="M73" s="10">
        <v>45742</v>
      </c>
      <c r="N73" s="10">
        <v>45769</v>
      </c>
      <c r="O73" s="10"/>
      <c r="P73" s="9" t="b">
        <f>TRUE()</f>
        <v>1</v>
      </c>
      <c r="Q73" s="11">
        <v>594.28</v>
      </c>
    </row>
    <row r="74" spans="1:17" ht="15" customHeight="1" x14ac:dyDescent="0.2">
      <c r="A74" s="9" t="s">
        <v>244</v>
      </c>
      <c r="B74" s="10">
        <v>45977</v>
      </c>
      <c r="C74" s="10">
        <v>45962</v>
      </c>
      <c r="D74" s="9" t="s">
        <v>22</v>
      </c>
      <c r="E74" s="9" t="s">
        <v>25</v>
      </c>
      <c r="F74" s="9" t="s">
        <v>149</v>
      </c>
      <c r="G74" s="9" t="s">
        <v>156</v>
      </c>
      <c r="H74" s="9" t="s">
        <v>151</v>
      </c>
      <c r="I74" s="9" t="b">
        <f>TRUE()</f>
        <v>1</v>
      </c>
      <c r="J74" s="9" t="s">
        <v>152</v>
      </c>
      <c r="K74" s="9" t="s">
        <v>153</v>
      </c>
      <c r="L74" s="10">
        <v>45987</v>
      </c>
      <c r="M74" s="10">
        <v>45995</v>
      </c>
      <c r="N74" s="10"/>
      <c r="O74" s="10">
        <v>46007</v>
      </c>
      <c r="P74" s="9" t="b">
        <f>TRUE()</f>
        <v>1</v>
      </c>
      <c r="Q74" s="11">
        <v>731.84</v>
      </c>
    </row>
    <row r="75" spans="1:17" ht="15" customHeight="1" x14ac:dyDescent="0.2">
      <c r="A75" s="9" t="s">
        <v>245</v>
      </c>
      <c r="B75" s="10">
        <v>45953</v>
      </c>
      <c r="C75" s="10">
        <v>45931</v>
      </c>
      <c r="D75" s="9" t="s">
        <v>20</v>
      </c>
      <c r="E75" s="9" t="s">
        <v>24</v>
      </c>
      <c r="F75" s="9" t="s">
        <v>186</v>
      </c>
      <c r="G75" s="9" t="s">
        <v>156</v>
      </c>
      <c r="H75" s="9" t="s">
        <v>167</v>
      </c>
      <c r="I75" s="9" t="b">
        <f>TRUE()</f>
        <v>1</v>
      </c>
      <c r="J75" s="9" t="s">
        <v>2</v>
      </c>
      <c r="K75" s="9" t="s">
        <v>153</v>
      </c>
      <c r="L75" s="10">
        <v>45961</v>
      </c>
      <c r="M75" s="10">
        <v>45963</v>
      </c>
      <c r="N75" s="10">
        <v>45989</v>
      </c>
      <c r="O75" s="10"/>
      <c r="P75" s="9" t="b">
        <f>TRUE()</f>
        <v>1</v>
      </c>
      <c r="Q75" s="11">
        <v>755.27</v>
      </c>
    </row>
    <row r="76" spans="1:17" ht="15" customHeight="1" x14ac:dyDescent="0.2">
      <c r="A76" s="9" t="s">
        <v>246</v>
      </c>
      <c r="B76" s="10">
        <v>45776</v>
      </c>
      <c r="C76" s="10">
        <v>45748</v>
      </c>
      <c r="D76" s="9" t="s">
        <v>19</v>
      </c>
      <c r="E76" s="9" t="s">
        <v>26</v>
      </c>
      <c r="F76" s="9" t="s">
        <v>149</v>
      </c>
      <c r="G76" s="9" t="s">
        <v>161</v>
      </c>
      <c r="H76" s="9" t="s">
        <v>179</v>
      </c>
      <c r="I76" s="9" t="b">
        <f>TRUE()</f>
        <v>1</v>
      </c>
      <c r="J76" s="9" t="s">
        <v>2</v>
      </c>
      <c r="K76" s="9" t="s">
        <v>153</v>
      </c>
      <c r="L76" s="10">
        <v>45784</v>
      </c>
      <c r="M76" s="10">
        <v>45795</v>
      </c>
      <c r="N76" s="10">
        <v>45824</v>
      </c>
      <c r="O76" s="10"/>
      <c r="P76" s="9" t="b">
        <f>TRUE()</f>
        <v>1</v>
      </c>
      <c r="Q76" s="11">
        <v>2303.13</v>
      </c>
    </row>
    <row r="77" spans="1:17" ht="15" customHeight="1" x14ac:dyDescent="0.2">
      <c r="A77" s="9" t="s">
        <v>247</v>
      </c>
      <c r="B77" s="10">
        <v>45694</v>
      </c>
      <c r="C77" s="10">
        <v>45689</v>
      </c>
      <c r="D77" s="9" t="s">
        <v>21</v>
      </c>
      <c r="E77" s="9" t="s">
        <v>26</v>
      </c>
      <c r="F77" s="9" t="s">
        <v>160</v>
      </c>
      <c r="G77" s="9" t="s">
        <v>161</v>
      </c>
      <c r="H77" s="9" t="s">
        <v>176</v>
      </c>
      <c r="I77" s="9" t="b">
        <f>TRUE()</f>
        <v>1</v>
      </c>
      <c r="J77" s="9" t="s">
        <v>152</v>
      </c>
      <c r="K77" s="9" t="s">
        <v>153</v>
      </c>
      <c r="L77" s="10">
        <v>45697</v>
      </c>
      <c r="M77" s="10"/>
      <c r="N77" s="10"/>
      <c r="O77" s="10">
        <v>45710</v>
      </c>
      <c r="P77" s="9" t="b">
        <f>TRUE()</f>
        <v>1</v>
      </c>
      <c r="Q77" s="11">
        <v>3178.98</v>
      </c>
    </row>
    <row r="78" spans="1:17" ht="15" customHeight="1" x14ac:dyDescent="0.2">
      <c r="A78" s="9" t="s">
        <v>248</v>
      </c>
      <c r="B78" s="10">
        <v>45728</v>
      </c>
      <c r="C78" s="10">
        <v>45717</v>
      </c>
      <c r="D78" s="9" t="s">
        <v>20</v>
      </c>
      <c r="E78" s="9" t="s">
        <v>27</v>
      </c>
      <c r="F78" s="9" t="s">
        <v>186</v>
      </c>
      <c r="G78" s="9" t="s">
        <v>156</v>
      </c>
      <c r="H78" s="9" t="s">
        <v>189</v>
      </c>
      <c r="I78" s="9" t="b">
        <f>TRUE()</f>
        <v>1</v>
      </c>
      <c r="J78" s="9" t="s">
        <v>152</v>
      </c>
      <c r="K78" s="9" t="s">
        <v>153</v>
      </c>
      <c r="L78" s="10">
        <v>45734</v>
      </c>
      <c r="M78" s="10">
        <v>45749</v>
      </c>
      <c r="N78" s="10"/>
      <c r="O78" s="10">
        <v>45769</v>
      </c>
      <c r="P78" s="9" t="b">
        <f>TRUE()</f>
        <v>1</v>
      </c>
      <c r="Q78" s="11">
        <v>806.31</v>
      </c>
    </row>
    <row r="79" spans="1:17" ht="15" customHeight="1" x14ac:dyDescent="0.2">
      <c r="A79" s="9" t="s">
        <v>249</v>
      </c>
      <c r="B79" s="10">
        <v>46013</v>
      </c>
      <c r="C79" s="10">
        <v>45992</v>
      </c>
      <c r="D79" s="9" t="s">
        <v>20</v>
      </c>
      <c r="E79" s="9" t="s">
        <v>26</v>
      </c>
      <c r="F79" s="9" t="s">
        <v>149</v>
      </c>
      <c r="G79" s="9" t="s">
        <v>156</v>
      </c>
      <c r="H79" s="9" t="s">
        <v>189</v>
      </c>
      <c r="I79" s="9" t="b">
        <f>TRUE()</f>
        <v>1</v>
      </c>
      <c r="J79" s="9" t="s">
        <v>190</v>
      </c>
      <c r="K79" s="9" t="s">
        <v>163</v>
      </c>
      <c r="L79" s="10"/>
      <c r="M79" s="10"/>
      <c r="N79" s="10"/>
      <c r="O79" s="10"/>
      <c r="P79" s="9" t="b">
        <f>TRUE()</f>
        <v>1</v>
      </c>
      <c r="Q79" s="11">
        <v>655.97</v>
      </c>
    </row>
    <row r="80" spans="1:17" ht="15" customHeight="1" x14ac:dyDescent="0.2">
      <c r="A80" s="9" t="s">
        <v>250</v>
      </c>
      <c r="B80" s="10">
        <v>45799</v>
      </c>
      <c r="C80" s="10">
        <v>45778</v>
      </c>
      <c r="D80" s="9" t="s">
        <v>18</v>
      </c>
      <c r="E80" s="9" t="s">
        <v>27</v>
      </c>
      <c r="F80" s="9" t="s">
        <v>155</v>
      </c>
      <c r="G80" s="9" t="s">
        <v>161</v>
      </c>
      <c r="H80" s="9" t="s">
        <v>251</v>
      </c>
      <c r="I80" s="9" t="b">
        <f>TRUE()</f>
        <v>1</v>
      </c>
      <c r="J80" s="9" t="s">
        <v>152</v>
      </c>
      <c r="K80" s="9" t="s">
        <v>163</v>
      </c>
      <c r="L80" s="10"/>
      <c r="M80" s="10"/>
      <c r="N80" s="10"/>
      <c r="O80" s="10">
        <v>45810</v>
      </c>
      <c r="P80" s="9" t="b">
        <f>TRUE()</f>
        <v>1</v>
      </c>
      <c r="Q80" s="11">
        <v>2172.06</v>
      </c>
    </row>
    <row r="81" spans="1:17" ht="15" customHeight="1" x14ac:dyDescent="0.2">
      <c r="A81" s="9" t="s">
        <v>252</v>
      </c>
      <c r="B81" s="10">
        <v>45977</v>
      </c>
      <c r="C81" s="10">
        <v>45962</v>
      </c>
      <c r="D81" s="9" t="s">
        <v>19</v>
      </c>
      <c r="E81" s="9" t="s">
        <v>24</v>
      </c>
      <c r="F81" s="9" t="s">
        <v>160</v>
      </c>
      <c r="G81" s="9" t="s">
        <v>156</v>
      </c>
      <c r="H81" s="9" t="s">
        <v>179</v>
      </c>
      <c r="I81" s="9" t="b">
        <f>TRUE()</f>
        <v>1</v>
      </c>
      <c r="J81" s="9" t="s">
        <v>152</v>
      </c>
      <c r="K81" s="9" t="s">
        <v>163</v>
      </c>
      <c r="L81" s="10"/>
      <c r="M81" s="10"/>
      <c r="N81" s="10"/>
      <c r="O81" s="10">
        <v>45992</v>
      </c>
      <c r="P81" s="9" t="b">
        <f>TRUE()</f>
        <v>1</v>
      </c>
      <c r="Q81" s="11">
        <v>836.33</v>
      </c>
    </row>
    <row r="82" spans="1:17" ht="15" customHeight="1" x14ac:dyDescent="0.2">
      <c r="A82" s="9" t="s">
        <v>253</v>
      </c>
      <c r="B82" s="10">
        <v>45836</v>
      </c>
      <c r="C82" s="10">
        <v>45809</v>
      </c>
      <c r="D82" s="9" t="s">
        <v>21</v>
      </c>
      <c r="E82" s="9" t="s">
        <v>26</v>
      </c>
      <c r="F82" s="9" t="s">
        <v>186</v>
      </c>
      <c r="G82" s="9" t="s">
        <v>161</v>
      </c>
      <c r="H82" s="9" t="s">
        <v>176</v>
      </c>
      <c r="I82" s="9" t="b">
        <f>TRUE()</f>
        <v>1</v>
      </c>
      <c r="J82" s="9" t="s">
        <v>2</v>
      </c>
      <c r="K82" s="9" t="s">
        <v>153</v>
      </c>
      <c r="L82" s="10">
        <v>45843</v>
      </c>
      <c r="M82" s="10">
        <v>45855</v>
      </c>
      <c r="N82" s="10">
        <v>45879</v>
      </c>
      <c r="O82" s="10"/>
      <c r="P82" s="9" t="b">
        <f>TRUE()</f>
        <v>1</v>
      </c>
      <c r="Q82" s="11">
        <v>2363.89</v>
      </c>
    </row>
    <row r="83" spans="1:17" ht="15" customHeight="1" x14ac:dyDescent="0.2">
      <c r="A83" s="9" t="s">
        <v>254</v>
      </c>
      <c r="B83" s="10">
        <v>45929</v>
      </c>
      <c r="C83" s="10">
        <v>45901</v>
      </c>
      <c r="D83" s="9" t="s">
        <v>19</v>
      </c>
      <c r="E83" s="9" t="s">
        <v>25</v>
      </c>
      <c r="F83" s="9" t="s">
        <v>149</v>
      </c>
      <c r="G83" s="9" t="s">
        <v>156</v>
      </c>
      <c r="H83" s="9" t="s">
        <v>179</v>
      </c>
      <c r="I83" s="9" t="b">
        <f>TRUE()</f>
        <v>1</v>
      </c>
      <c r="J83" s="9" t="s">
        <v>2</v>
      </c>
      <c r="K83" s="9" t="s">
        <v>153</v>
      </c>
      <c r="L83" s="10">
        <v>45930</v>
      </c>
      <c r="M83" s="10">
        <v>45940</v>
      </c>
      <c r="N83" s="10">
        <v>45963</v>
      </c>
      <c r="O83" s="10"/>
      <c r="P83" s="9" t="b">
        <f>TRUE()</f>
        <v>1</v>
      </c>
      <c r="Q83" s="11">
        <v>1129.44</v>
      </c>
    </row>
    <row r="84" spans="1:17" ht="15" customHeight="1" x14ac:dyDescent="0.2">
      <c r="A84" s="9" t="s">
        <v>255</v>
      </c>
      <c r="B84" s="10">
        <v>45970</v>
      </c>
      <c r="C84" s="10">
        <v>45962</v>
      </c>
      <c r="D84" s="9" t="s">
        <v>20</v>
      </c>
      <c r="E84" s="9" t="s">
        <v>24</v>
      </c>
      <c r="F84" s="9" t="s">
        <v>149</v>
      </c>
      <c r="G84" s="9" t="s">
        <v>161</v>
      </c>
      <c r="H84" s="9" t="s">
        <v>192</v>
      </c>
      <c r="I84" s="9" t="b">
        <f>TRUE()</f>
        <v>1</v>
      </c>
      <c r="J84" s="9" t="s">
        <v>152</v>
      </c>
      <c r="K84" s="9" t="s">
        <v>163</v>
      </c>
      <c r="L84" s="10"/>
      <c r="M84" s="10"/>
      <c r="N84" s="10"/>
      <c r="O84" s="10">
        <v>45974</v>
      </c>
      <c r="P84" s="9" t="b">
        <f>TRUE()</f>
        <v>1</v>
      </c>
      <c r="Q84" s="11">
        <v>2138.4</v>
      </c>
    </row>
    <row r="85" spans="1:17" ht="15" customHeight="1" x14ac:dyDescent="0.2">
      <c r="A85" s="9" t="s">
        <v>256</v>
      </c>
      <c r="B85" s="10">
        <v>45910</v>
      </c>
      <c r="C85" s="10">
        <v>45901</v>
      </c>
      <c r="D85" s="9" t="s">
        <v>20</v>
      </c>
      <c r="E85" s="9" t="s">
        <v>24</v>
      </c>
      <c r="F85" s="9" t="s">
        <v>160</v>
      </c>
      <c r="G85" s="9" t="s">
        <v>161</v>
      </c>
      <c r="H85" s="9" t="s">
        <v>167</v>
      </c>
      <c r="I85" s="9" t="b">
        <f>TRUE()</f>
        <v>1</v>
      </c>
      <c r="J85" s="9" t="s">
        <v>152</v>
      </c>
      <c r="K85" s="9" t="s">
        <v>153</v>
      </c>
      <c r="L85" s="10">
        <v>45918</v>
      </c>
      <c r="M85" s="10">
        <v>45922</v>
      </c>
      <c r="N85" s="10"/>
      <c r="O85" s="10">
        <v>45938</v>
      </c>
      <c r="P85" s="9" t="b">
        <f>TRUE()</f>
        <v>1</v>
      </c>
      <c r="Q85" s="11">
        <v>2170.7600000000002</v>
      </c>
    </row>
    <row r="86" spans="1:17" ht="15" customHeight="1" x14ac:dyDescent="0.2">
      <c r="A86" s="9" t="s">
        <v>257</v>
      </c>
      <c r="B86" s="10">
        <v>45884</v>
      </c>
      <c r="C86" s="10">
        <v>45870</v>
      </c>
      <c r="D86" s="9" t="s">
        <v>22</v>
      </c>
      <c r="E86" s="9" t="s">
        <v>24</v>
      </c>
      <c r="F86" s="9" t="s">
        <v>155</v>
      </c>
      <c r="G86" s="9" t="s">
        <v>161</v>
      </c>
      <c r="H86" s="9" t="s">
        <v>170</v>
      </c>
      <c r="I86" s="9" t="b">
        <f>TRUE()</f>
        <v>1</v>
      </c>
      <c r="J86" s="9" t="s">
        <v>152</v>
      </c>
      <c r="K86" s="9" t="s">
        <v>163</v>
      </c>
      <c r="L86" s="10"/>
      <c r="M86" s="10"/>
      <c r="N86" s="10"/>
      <c r="O86" s="10">
        <v>45895</v>
      </c>
      <c r="P86" s="9" t="b">
        <f>TRUE()</f>
        <v>1</v>
      </c>
      <c r="Q86" s="11">
        <v>1183.56</v>
      </c>
    </row>
    <row r="87" spans="1:17" ht="15" customHeight="1" x14ac:dyDescent="0.2">
      <c r="A87" s="9" t="s">
        <v>258</v>
      </c>
      <c r="B87" s="10">
        <v>45705</v>
      </c>
      <c r="C87" s="10">
        <v>45689</v>
      </c>
      <c r="D87" s="9" t="s">
        <v>20</v>
      </c>
      <c r="E87" s="9" t="s">
        <v>26</v>
      </c>
      <c r="F87" s="9" t="s">
        <v>149</v>
      </c>
      <c r="G87" s="9" t="s">
        <v>150</v>
      </c>
      <c r="H87" s="9" t="s">
        <v>192</v>
      </c>
      <c r="I87" s="9" t="b">
        <f>TRUE()</f>
        <v>1</v>
      </c>
      <c r="J87" s="9" t="s">
        <v>2</v>
      </c>
      <c r="K87" s="9" t="s">
        <v>153</v>
      </c>
      <c r="L87" s="10">
        <v>45709</v>
      </c>
      <c r="M87" s="10">
        <v>45720</v>
      </c>
      <c r="N87" s="10">
        <v>45746</v>
      </c>
      <c r="O87" s="10"/>
      <c r="P87" s="9" t="b">
        <f>TRUE()</f>
        <v>1</v>
      </c>
      <c r="Q87" s="11">
        <v>6878.5</v>
      </c>
    </row>
    <row r="88" spans="1:17" ht="15" customHeight="1" x14ac:dyDescent="0.2">
      <c r="A88" s="9" t="s">
        <v>259</v>
      </c>
      <c r="B88" s="10">
        <v>45685</v>
      </c>
      <c r="C88" s="10">
        <v>45658</v>
      </c>
      <c r="D88" s="9" t="s">
        <v>21</v>
      </c>
      <c r="E88" s="9" t="s">
        <v>24</v>
      </c>
      <c r="F88" s="9" t="s">
        <v>160</v>
      </c>
      <c r="G88" s="9" t="s">
        <v>156</v>
      </c>
      <c r="H88" s="9" t="s">
        <v>162</v>
      </c>
      <c r="I88" s="9" t="b">
        <f>TRUE()</f>
        <v>1</v>
      </c>
      <c r="J88" s="9" t="s">
        <v>152</v>
      </c>
      <c r="K88" s="9" t="s">
        <v>163</v>
      </c>
      <c r="L88" s="10"/>
      <c r="M88" s="10"/>
      <c r="N88" s="10"/>
      <c r="O88" s="10">
        <v>45705</v>
      </c>
      <c r="P88" s="9" t="b">
        <f>TRUE()</f>
        <v>1</v>
      </c>
      <c r="Q88" s="11">
        <v>719.91</v>
      </c>
    </row>
    <row r="89" spans="1:17" ht="15" customHeight="1" x14ac:dyDescent="0.2">
      <c r="A89" s="9" t="s">
        <v>260</v>
      </c>
      <c r="B89" s="10">
        <v>45719</v>
      </c>
      <c r="C89" s="10">
        <v>45717</v>
      </c>
      <c r="D89" s="9" t="s">
        <v>20</v>
      </c>
      <c r="E89" s="9" t="s">
        <v>26</v>
      </c>
      <c r="F89" s="9" t="s">
        <v>149</v>
      </c>
      <c r="G89" s="9" t="s">
        <v>161</v>
      </c>
      <c r="H89" s="9" t="s">
        <v>192</v>
      </c>
      <c r="I89" s="9" t="b">
        <f>TRUE()</f>
        <v>1</v>
      </c>
      <c r="J89" s="9" t="s">
        <v>2</v>
      </c>
      <c r="K89" s="9" t="s">
        <v>153</v>
      </c>
      <c r="L89" s="10">
        <v>45727</v>
      </c>
      <c r="M89" s="10">
        <v>45731</v>
      </c>
      <c r="N89" s="10">
        <v>45740</v>
      </c>
      <c r="O89" s="10"/>
      <c r="P89" s="9" t="b">
        <f>TRUE()</f>
        <v>1</v>
      </c>
      <c r="Q89" s="11">
        <v>2560.4699999999998</v>
      </c>
    </row>
    <row r="90" spans="1:17" ht="15" customHeight="1" x14ac:dyDescent="0.2">
      <c r="A90" s="9" t="s">
        <v>261</v>
      </c>
      <c r="B90" s="10">
        <v>45785</v>
      </c>
      <c r="C90" s="10">
        <v>45778</v>
      </c>
      <c r="D90" s="9" t="s">
        <v>21</v>
      </c>
      <c r="E90" s="9" t="s">
        <v>26</v>
      </c>
      <c r="F90" s="9" t="s">
        <v>149</v>
      </c>
      <c r="G90" s="9" t="s">
        <v>150</v>
      </c>
      <c r="H90" s="9" t="s">
        <v>162</v>
      </c>
      <c r="I90" s="9" t="b">
        <f>TRUE()</f>
        <v>1</v>
      </c>
      <c r="J90" s="9" t="s">
        <v>2</v>
      </c>
      <c r="K90" s="9" t="s">
        <v>153</v>
      </c>
      <c r="L90" s="10">
        <v>45791</v>
      </c>
      <c r="M90" s="10">
        <v>45795</v>
      </c>
      <c r="N90" s="10">
        <v>45821</v>
      </c>
      <c r="O90" s="10"/>
      <c r="P90" s="9" t="b">
        <f>TRUE()</f>
        <v>1</v>
      </c>
      <c r="Q90" s="11">
        <v>8785.69</v>
      </c>
    </row>
    <row r="91" spans="1:17" ht="15" customHeight="1" x14ac:dyDescent="0.2">
      <c r="A91" s="9" t="s">
        <v>262</v>
      </c>
      <c r="B91" s="10">
        <v>45969</v>
      </c>
      <c r="C91" s="10">
        <v>45962</v>
      </c>
      <c r="D91" s="9" t="s">
        <v>19</v>
      </c>
      <c r="E91" s="9" t="s">
        <v>25</v>
      </c>
      <c r="F91" s="9" t="s">
        <v>149</v>
      </c>
      <c r="G91" s="9" t="s">
        <v>161</v>
      </c>
      <c r="H91" s="9" t="s">
        <v>207</v>
      </c>
      <c r="I91" s="9" t="b">
        <f>TRUE()</f>
        <v>1</v>
      </c>
      <c r="J91" s="9" t="s">
        <v>2</v>
      </c>
      <c r="K91" s="9" t="s">
        <v>153</v>
      </c>
      <c r="L91" s="10">
        <v>45971</v>
      </c>
      <c r="M91" s="10">
        <v>45981</v>
      </c>
      <c r="N91" s="10">
        <v>46000</v>
      </c>
      <c r="O91" s="10"/>
      <c r="P91" s="9" t="b">
        <f>TRUE()</f>
        <v>1</v>
      </c>
      <c r="Q91" s="11">
        <v>2533.19</v>
      </c>
    </row>
    <row r="92" spans="1:17" ht="15" customHeight="1" x14ac:dyDescent="0.2">
      <c r="A92" s="9" t="s">
        <v>263</v>
      </c>
      <c r="B92" s="10">
        <v>45774</v>
      </c>
      <c r="C92" s="10">
        <v>45748</v>
      </c>
      <c r="D92" s="9" t="s">
        <v>22</v>
      </c>
      <c r="E92" s="9" t="s">
        <v>25</v>
      </c>
      <c r="F92" s="9" t="s">
        <v>155</v>
      </c>
      <c r="G92" s="9" t="s">
        <v>161</v>
      </c>
      <c r="H92" s="9" t="s">
        <v>165</v>
      </c>
      <c r="I92" s="9" t="b">
        <f>TRUE()</f>
        <v>1</v>
      </c>
      <c r="J92" s="9" t="s">
        <v>152</v>
      </c>
      <c r="K92" s="9" t="s">
        <v>153</v>
      </c>
      <c r="L92" s="10">
        <v>45776</v>
      </c>
      <c r="M92" s="10">
        <v>45782</v>
      </c>
      <c r="N92" s="10"/>
      <c r="O92" s="10">
        <v>45811</v>
      </c>
      <c r="P92" s="9" t="b">
        <f>TRUE()</f>
        <v>1</v>
      </c>
      <c r="Q92" s="11">
        <v>1526.09</v>
      </c>
    </row>
    <row r="93" spans="1:17" ht="15" customHeight="1" x14ac:dyDescent="0.2">
      <c r="A93" s="9" t="s">
        <v>264</v>
      </c>
      <c r="B93" s="10">
        <v>45709</v>
      </c>
      <c r="C93" s="10">
        <v>45689</v>
      </c>
      <c r="D93" s="9" t="s">
        <v>21</v>
      </c>
      <c r="E93" s="9" t="s">
        <v>25</v>
      </c>
      <c r="F93" s="9" t="s">
        <v>160</v>
      </c>
      <c r="G93" s="9" t="s">
        <v>156</v>
      </c>
      <c r="H93" s="9" t="s">
        <v>162</v>
      </c>
      <c r="I93" s="9" t="b">
        <f>TRUE()</f>
        <v>1</v>
      </c>
      <c r="J93" s="9" t="s">
        <v>2</v>
      </c>
      <c r="K93" s="9" t="s">
        <v>153</v>
      </c>
      <c r="L93" s="10">
        <v>45716</v>
      </c>
      <c r="M93" s="10">
        <v>45720</v>
      </c>
      <c r="N93" s="10">
        <v>45750</v>
      </c>
      <c r="O93" s="10"/>
      <c r="P93" s="9" t="b">
        <f>TRUE()</f>
        <v>1</v>
      </c>
      <c r="Q93" s="11">
        <v>585.85</v>
      </c>
    </row>
    <row r="94" spans="1:17" ht="15" customHeight="1" x14ac:dyDescent="0.2">
      <c r="A94" s="9" t="s">
        <v>62</v>
      </c>
      <c r="B94" s="10">
        <v>45840</v>
      </c>
      <c r="C94" s="10">
        <v>45839</v>
      </c>
      <c r="D94" s="9" t="s">
        <v>19</v>
      </c>
      <c r="E94" s="9" t="s">
        <v>28</v>
      </c>
      <c r="F94" s="9" t="s">
        <v>186</v>
      </c>
      <c r="G94" s="9" t="s">
        <v>156</v>
      </c>
      <c r="H94" s="9" t="s">
        <v>265</v>
      </c>
      <c r="I94" s="9" t="b">
        <f>FALSE()</f>
        <v>0</v>
      </c>
      <c r="J94" s="9" t="s">
        <v>152</v>
      </c>
      <c r="K94" s="9" t="s">
        <v>153</v>
      </c>
      <c r="L94" s="10">
        <v>45843</v>
      </c>
      <c r="M94" s="10">
        <v>45844</v>
      </c>
      <c r="N94" s="10"/>
      <c r="O94" s="10">
        <v>45875</v>
      </c>
      <c r="P94" s="9" t="b">
        <f>TRUE()</f>
        <v>1</v>
      </c>
      <c r="Q94" s="11">
        <v>758.49</v>
      </c>
    </row>
    <row r="95" spans="1:17" ht="15" customHeight="1" x14ac:dyDescent="0.2">
      <c r="A95" s="9" t="s">
        <v>266</v>
      </c>
      <c r="B95" s="10">
        <v>45708</v>
      </c>
      <c r="C95" s="10">
        <v>45689</v>
      </c>
      <c r="D95" s="9" t="s">
        <v>20</v>
      </c>
      <c r="E95" s="9" t="s">
        <v>28</v>
      </c>
      <c r="F95" s="9" t="s">
        <v>155</v>
      </c>
      <c r="G95" s="9" t="s">
        <v>161</v>
      </c>
      <c r="H95" s="9" t="s">
        <v>167</v>
      </c>
      <c r="I95" s="9" t="b">
        <f>TRUE()</f>
        <v>1</v>
      </c>
      <c r="J95" s="9" t="s">
        <v>152</v>
      </c>
      <c r="K95" s="9" t="s">
        <v>163</v>
      </c>
      <c r="L95" s="10"/>
      <c r="M95" s="10"/>
      <c r="N95" s="10"/>
      <c r="O95" s="10">
        <v>45724</v>
      </c>
      <c r="P95" s="9" t="b">
        <f>TRUE()</f>
        <v>1</v>
      </c>
      <c r="Q95" s="11">
        <v>2180.35</v>
      </c>
    </row>
    <row r="96" spans="1:17" ht="15" customHeight="1" x14ac:dyDescent="0.2">
      <c r="A96" s="9" t="s">
        <v>267</v>
      </c>
      <c r="B96" s="10">
        <v>45929</v>
      </c>
      <c r="C96" s="10">
        <v>45901</v>
      </c>
      <c r="D96" s="9" t="s">
        <v>22</v>
      </c>
      <c r="E96" s="9" t="s">
        <v>27</v>
      </c>
      <c r="F96" s="9" t="s">
        <v>149</v>
      </c>
      <c r="G96" s="9" t="s">
        <v>150</v>
      </c>
      <c r="H96" s="9" t="s">
        <v>151</v>
      </c>
      <c r="I96" s="9" t="b">
        <f>TRUE()</f>
        <v>1</v>
      </c>
      <c r="J96" s="9" t="s">
        <v>152</v>
      </c>
      <c r="K96" s="9" t="s">
        <v>153</v>
      </c>
      <c r="L96" s="10">
        <v>45930</v>
      </c>
      <c r="M96" s="10">
        <v>45936</v>
      </c>
      <c r="N96" s="10"/>
      <c r="O96" s="10">
        <v>45958</v>
      </c>
      <c r="P96" s="9" t="b">
        <f>TRUE()</f>
        <v>1</v>
      </c>
      <c r="Q96" s="11">
        <v>10544.29</v>
      </c>
    </row>
    <row r="97" spans="1:17" ht="15" customHeight="1" x14ac:dyDescent="0.2">
      <c r="A97" s="9" t="s">
        <v>268</v>
      </c>
      <c r="B97" s="10">
        <v>45922</v>
      </c>
      <c r="C97" s="10">
        <v>45901</v>
      </c>
      <c r="D97" s="9" t="s">
        <v>19</v>
      </c>
      <c r="E97" s="9" t="s">
        <v>26</v>
      </c>
      <c r="F97" s="9" t="s">
        <v>160</v>
      </c>
      <c r="G97" s="9" t="s">
        <v>161</v>
      </c>
      <c r="H97" s="9" t="s">
        <v>207</v>
      </c>
      <c r="I97" s="9" t="b">
        <f>TRUE()</f>
        <v>1</v>
      </c>
      <c r="J97" s="9" t="s">
        <v>152</v>
      </c>
      <c r="K97" s="9" t="s">
        <v>153</v>
      </c>
      <c r="L97" s="10">
        <v>45924</v>
      </c>
      <c r="M97" s="10">
        <v>45928</v>
      </c>
      <c r="N97" s="10"/>
      <c r="O97" s="10">
        <v>45947</v>
      </c>
      <c r="P97" s="9" t="b">
        <f>TRUE()</f>
        <v>1</v>
      </c>
      <c r="Q97" s="11">
        <v>2747.99</v>
      </c>
    </row>
    <row r="98" spans="1:17" ht="15" customHeight="1" x14ac:dyDescent="0.2">
      <c r="A98" s="9" t="s">
        <v>269</v>
      </c>
      <c r="B98" s="10">
        <v>45724</v>
      </c>
      <c r="C98" s="10">
        <v>45717</v>
      </c>
      <c r="D98" s="9" t="s">
        <v>19</v>
      </c>
      <c r="E98" s="9" t="s">
        <v>26</v>
      </c>
      <c r="F98" s="9" t="s">
        <v>149</v>
      </c>
      <c r="G98" s="9" t="s">
        <v>161</v>
      </c>
      <c r="H98" s="9" t="s">
        <v>179</v>
      </c>
      <c r="I98" s="9" t="b">
        <f>TRUE()</f>
        <v>1</v>
      </c>
      <c r="J98" s="9" t="s">
        <v>152</v>
      </c>
      <c r="K98" s="9" t="s">
        <v>163</v>
      </c>
      <c r="L98" s="10"/>
      <c r="M98" s="10"/>
      <c r="N98" s="10"/>
      <c r="O98" s="10">
        <v>45741</v>
      </c>
      <c r="P98" s="9" t="b">
        <f>TRUE()</f>
        <v>1</v>
      </c>
      <c r="Q98" s="11">
        <v>3072.84</v>
      </c>
    </row>
    <row r="99" spans="1:17" ht="15" customHeight="1" x14ac:dyDescent="0.2">
      <c r="A99" s="9" t="s">
        <v>270</v>
      </c>
      <c r="B99" s="10">
        <v>45755</v>
      </c>
      <c r="C99" s="10">
        <v>45748</v>
      </c>
      <c r="D99" s="9" t="s">
        <v>20</v>
      </c>
      <c r="E99" s="9" t="s">
        <v>26</v>
      </c>
      <c r="F99" s="9" t="s">
        <v>155</v>
      </c>
      <c r="G99" s="9" t="s">
        <v>150</v>
      </c>
      <c r="H99" s="9" t="s">
        <v>192</v>
      </c>
      <c r="I99" s="9" t="b">
        <f>TRUE()</f>
        <v>1</v>
      </c>
      <c r="J99" s="9" t="s">
        <v>152</v>
      </c>
      <c r="K99" s="9" t="s">
        <v>163</v>
      </c>
      <c r="L99" s="10"/>
      <c r="M99" s="10"/>
      <c r="N99" s="10"/>
      <c r="O99" s="10">
        <v>45759</v>
      </c>
      <c r="P99" s="9" t="b">
        <f>TRUE()</f>
        <v>1</v>
      </c>
      <c r="Q99" s="11">
        <v>6251.43</v>
      </c>
    </row>
    <row r="100" spans="1:17" ht="15" customHeight="1" x14ac:dyDescent="0.2">
      <c r="A100" s="9" t="s">
        <v>271</v>
      </c>
      <c r="B100" s="10">
        <v>45823</v>
      </c>
      <c r="C100" s="10">
        <v>45809</v>
      </c>
      <c r="D100" s="9" t="s">
        <v>19</v>
      </c>
      <c r="E100" s="9" t="s">
        <v>24</v>
      </c>
      <c r="F100" s="9" t="s">
        <v>160</v>
      </c>
      <c r="G100" s="9" t="s">
        <v>161</v>
      </c>
      <c r="H100" s="9" t="s">
        <v>207</v>
      </c>
      <c r="I100" s="9" t="b">
        <f>TRUE()</f>
        <v>1</v>
      </c>
      <c r="J100" s="9" t="s">
        <v>152</v>
      </c>
      <c r="K100" s="9" t="s">
        <v>163</v>
      </c>
      <c r="L100" s="10"/>
      <c r="M100" s="10"/>
      <c r="N100" s="10"/>
      <c r="O100" s="10">
        <v>45830</v>
      </c>
      <c r="P100" s="9" t="b">
        <f>TRUE()</f>
        <v>1</v>
      </c>
      <c r="Q100" s="11">
        <v>2390.8000000000002</v>
      </c>
    </row>
    <row r="101" spans="1:17" ht="15" customHeight="1" x14ac:dyDescent="0.2">
      <c r="A101" s="9" t="s">
        <v>272</v>
      </c>
      <c r="B101" s="10">
        <v>45983</v>
      </c>
      <c r="C101" s="10">
        <v>45962</v>
      </c>
      <c r="D101" s="9" t="s">
        <v>18</v>
      </c>
      <c r="E101" s="9" t="s">
        <v>26</v>
      </c>
      <c r="F101" s="9" t="s">
        <v>160</v>
      </c>
      <c r="G101" s="9" t="s">
        <v>150</v>
      </c>
      <c r="H101" s="9" t="s">
        <v>201</v>
      </c>
      <c r="I101" s="9" t="b">
        <f>TRUE()</f>
        <v>1</v>
      </c>
      <c r="J101" s="9" t="s">
        <v>152</v>
      </c>
      <c r="K101" s="9" t="s">
        <v>163</v>
      </c>
      <c r="L101" s="10"/>
      <c r="M101" s="10"/>
      <c r="N101" s="10"/>
      <c r="O101" s="10">
        <v>45999</v>
      </c>
      <c r="P101" s="9" t="b">
        <f>TRUE()</f>
        <v>1</v>
      </c>
      <c r="Q101" s="11">
        <v>7292.17</v>
      </c>
    </row>
    <row r="102" spans="1:17" ht="15" customHeight="1" x14ac:dyDescent="0.2">
      <c r="A102" s="9" t="s">
        <v>273</v>
      </c>
      <c r="B102" s="10">
        <v>45689</v>
      </c>
      <c r="C102" s="10">
        <v>45689</v>
      </c>
      <c r="D102" s="9" t="s">
        <v>22</v>
      </c>
      <c r="E102" s="9" t="s">
        <v>26</v>
      </c>
      <c r="F102" s="9" t="s">
        <v>160</v>
      </c>
      <c r="G102" s="9" t="s">
        <v>156</v>
      </c>
      <c r="H102" s="9" t="s">
        <v>170</v>
      </c>
      <c r="I102" s="9" t="b">
        <f>TRUE()</f>
        <v>1</v>
      </c>
      <c r="J102" s="9" t="s">
        <v>152</v>
      </c>
      <c r="K102" s="9" t="s">
        <v>153</v>
      </c>
      <c r="L102" s="10">
        <v>45699</v>
      </c>
      <c r="M102" s="10">
        <v>45709</v>
      </c>
      <c r="N102" s="10"/>
      <c r="O102" s="10">
        <v>45716</v>
      </c>
      <c r="P102" s="9" t="b">
        <f>TRUE()</f>
        <v>1</v>
      </c>
      <c r="Q102" s="11">
        <v>955.52</v>
      </c>
    </row>
    <row r="103" spans="1:17" ht="15" customHeight="1" x14ac:dyDescent="0.2">
      <c r="A103" s="9" t="s">
        <v>274</v>
      </c>
      <c r="B103" s="10">
        <v>45717</v>
      </c>
      <c r="C103" s="10">
        <v>45717</v>
      </c>
      <c r="D103" s="9" t="s">
        <v>20</v>
      </c>
      <c r="E103" s="9" t="s">
        <v>24</v>
      </c>
      <c r="F103" s="9" t="s">
        <v>160</v>
      </c>
      <c r="G103" s="9" t="s">
        <v>161</v>
      </c>
      <c r="H103" s="9" t="s">
        <v>167</v>
      </c>
      <c r="I103" s="9" t="b">
        <f>TRUE()</f>
        <v>1</v>
      </c>
      <c r="J103" s="9" t="s">
        <v>152</v>
      </c>
      <c r="K103" s="9" t="s">
        <v>153</v>
      </c>
      <c r="L103" s="10">
        <v>45720</v>
      </c>
      <c r="M103" s="10">
        <v>45727</v>
      </c>
      <c r="N103" s="10"/>
      <c r="O103" s="10">
        <v>45762</v>
      </c>
      <c r="P103" s="9" t="b">
        <f>TRUE()</f>
        <v>1</v>
      </c>
      <c r="Q103" s="11">
        <v>2156.96</v>
      </c>
    </row>
    <row r="104" spans="1:17" ht="15" customHeight="1" x14ac:dyDescent="0.2">
      <c r="A104" s="9" t="s">
        <v>275</v>
      </c>
      <c r="B104" s="10">
        <v>45991</v>
      </c>
      <c r="C104" s="10">
        <v>45962</v>
      </c>
      <c r="D104" s="9" t="s">
        <v>21</v>
      </c>
      <c r="E104" s="9" t="s">
        <v>26</v>
      </c>
      <c r="F104" s="9" t="s">
        <v>155</v>
      </c>
      <c r="G104" s="9" t="s">
        <v>150</v>
      </c>
      <c r="H104" s="9" t="s">
        <v>176</v>
      </c>
      <c r="I104" s="9" t="b">
        <f>TRUE()</f>
        <v>1</v>
      </c>
      <c r="J104" s="9" t="s">
        <v>152</v>
      </c>
      <c r="K104" s="9" t="s">
        <v>163</v>
      </c>
      <c r="L104" s="10"/>
      <c r="M104" s="10"/>
      <c r="N104" s="10"/>
      <c r="O104" s="10">
        <v>45993</v>
      </c>
      <c r="P104" s="9" t="b">
        <f>TRUE()</f>
        <v>1</v>
      </c>
      <c r="Q104" s="11">
        <v>7041.44</v>
      </c>
    </row>
    <row r="105" spans="1:17" ht="15" customHeight="1" x14ac:dyDescent="0.2">
      <c r="A105" s="9" t="s">
        <v>276</v>
      </c>
      <c r="B105" s="10">
        <v>45720</v>
      </c>
      <c r="C105" s="10">
        <v>45717</v>
      </c>
      <c r="D105" s="9" t="s">
        <v>19</v>
      </c>
      <c r="E105" s="9" t="s">
        <v>26</v>
      </c>
      <c r="F105" s="9" t="s">
        <v>155</v>
      </c>
      <c r="G105" s="9" t="s">
        <v>161</v>
      </c>
      <c r="H105" s="9" t="s">
        <v>179</v>
      </c>
      <c r="I105" s="9" t="b">
        <f>TRUE()</f>
        <v>1</v>
      </c>
      <c r="J105" s="9" t="s">
        <v>2</v>
      </c>
      <c r="K105" s="9" t="s">
        <v>153</v>
      </c>
      <c r="L105" s="10">
        <v>45723</v>
      </c>
      <c r="M105" s="10">
        <v>45736</v>
      </c>
      <c r="N105" s="10">
        <v>45761</v>
      </c>
      <c r="O105" s="10"/>
      <c r="P105" s="9" t="b">
        <f>TRUE()</f>
        <v>1</v>
      </c>
      <c r="Q105" s="11">
        <v>2145.83</v>
      </c>
    </row>
    <row r="106" spans="1:17" ht="15" customHeight="1" x14ac:dyDescent="0.2">
      <c r="A106" s="9" t="s">
        <v>277</v>
      </c>
      <c r="B106" s="10">
        <v>45879</v>
      </c>
      <c r="C106" s="10">
        <v>45870</v>
      </c>
      <c r="D106" s="9" t="s">
        <v>21</v>
      </c>
      <c r="E106" s="9" t="s">
        <v>25</v>
      </c>
      <c r="F106" s="9" t="s">
        <v>186</v>
      </c>
      <c r="G106" s="9" t="s">
        <v>150</v>
      </c>
      <c r="H106" s="9" t="s">
        <v>183</v>
      </c>
      <c r="I106" s="9" t="b">
        <f>TRUE()</f>
        <v>1</v>
      </c>
      <c r="J106" s="9" t="s">
        <v>152</v>
      </c>
      <c r="K106" s="9" t="s">
        <v>153</v>
      </c>
      <c r="L106" s="10">
        <v>45885</v>
      </c>
      <c r="M106" s="10">
        <v>45891</v>
      </c>
      <c r="N106" s="10"/>
      <c r="O106" s="10">
        <v>45922</v>
      </c>
      <c r="P106" s="9" t="b">
        <f>TRUE()</f>
        <v>1</v>
      </c>
      <c r="Q106" s="11">
        <v>7671.04</v>
      </c>
    </row>
    <row r="107" spans="1:17" ht="15" customHeight="1" x14ac:dyDescent="0.2">
      <c r="A107" s="9" t="s">
        <v>278</v>
      </c>
      <c r="B107" s="10">
        <v>45834</v>
      </c>
      <c r="C107" s="10">
        <v>45809</v>
      </c>
      <c r="D107" s="9" t="s">
        <v>21</v>
      </c>
      <c r="E107" s="9" t="s">
        <v>26</v>
      </c>
      <c r="F107" s="9" t="s">
        <v>160</v>
      </c>
      <c r="G107" s="9" t="s">
        <v>156</v>
      </c>
      <c r="H107" s="9" t="s">
        <v>162</v>
      </c>
      <c r="I107" s="9" t="b">
        <f>TRUE()</f>
        <v>1</v>
      </c>
      <c r="J107" s="9" t="s">
        <v>2</v>
      </c>
      <c r="K107" s="9" t="s">
        <v>153</v>
      </c>
      <c r="L107" s="10">
        <v>45838</v>
      </c>
      <c r="M107" s="10">
        <v>45840</v>
      </c>
      <c r="N107" s="10">
        <v>45869</v>
      </c>
      <c r="O107" s="10"/>
      <c r="P107" s="9" t="b">
        <f>TRUE()</f>
        <v>1</v>
      </c>
      <c r="Q107" s="11">
        <v>921.4</v>
      </c>
    </row>
    <row r="108" spans="1:17" ht="15" customHeight="1" x14ac:dyDescent="0.2">
      <c r="A108" s="9" t="s">
        <v>279</v>
      </c>
      <c r="B108" s="10">
        <v>45823</v>
      </c>
      <c r="C108" s="10">
        <v>45809</v>
      </c>
      <c r="D108" s="9" t="s">
        <v>19</v>
      </c>
      <c r="E108" s="9" t="s">
        <v>27</v>
      </c>
      <c r="F108" s="9" t="s">
        <v>186</v>
      </c>
      <c r="G108" s="9" t="s">
        <v>161</v>
      </c>
      <c r="H108" s="9" t="s">
        <v>207</v>
      </c>
      <c r="I108" s="9" t="b">
        <f>TRUE()</f>
        <v>1</v>
      </c>
      <c r="J108" s="9" t="s">
        <v>152</v>
      </c>
      <c r="K108" s="9" t="s">
        <v>153</v>
      </c>
      <c r="L108" s="10">
        <v>45824</v>
      </c>
      <c r="M108" s="10">
        <v>45831</v>
      </c>
      <c r="N108" s="10"/>
      <c r="O108" s="10">
        <v>45845</v>
      </c>
      <c r="P108" s="9" t="b">
        <f>TRUE()</f>
        <v>1</v>
      </c>
      <c r="Q108" s="11">
        <v>1843.1</v>
      </c>
    </row>
    <row r="109" spans="1:17" ht="15" customHeight="1" x14ac:dyDescent="0.2">
      <c r="A109" s="9" t="s">
        <v>280</v>
      </c>
      <c r="B109" s="10">
        <v>45957</v>
      </c>
      <c r="C109" s="10">
        <v>45931</v>
      </c>
      <c r="D109" s="9" t="s">
        <v>18</v>
      </c>
      <c r="E109" s="9" t="s">
        <v>25</v>
      </c>
      <c r="F109" s="9" t="s">
        <v>160</v>
      </c>
      <c r="G109" s="9" t="s">
        <v>161</v>
      </c>
      <c r="H109" s="9" t="s">
        <v>157</v>
      </c>
      <c r="I109" s="9" t="b">
        <f>TRUE()</f>
        <v>1</v>
      </c>
      <c r="J109" s="9" t="s">
        <v>2</v>
      </c>
      <c r="K109" s="9" t="s">
        <v>153</v>
      </c>
      <c r="L109" s="10">
        <v>45964</v>
      </c>
      <c r="M109" s="10">
        <v>45979</v>
      </c>
      <c r="N109" s="10">
        <v>45985</v>
      </c>
      <c r="O109" s="10"/>
      <c r="P109" s="9" t="b">
        <f>TRUE()</f>
        <v>1</v>
      </c>
      <c r="Q109" s="11">
        <v>2768.87</v>
      </c>
    </row>
    <row r="110" spans="1:17" ht="15" customHeight="1" x14ac:dyDescent="0.2">
      <c r="A110" s="9" t="s">
        <v>281</v>
      </c>
      <c r="B110" s="10">
        <v>45808</v>
      </c>
      <c r="C110" s="10">
        <v>45778</v>
      </c>
      <c r="D110" s="9" t="s">
        <v>18</v>
      </c>
      <c r="E110" s="9" t="s">
        <v>28</v>
      </c>
      <c r="F110" s="9" t="s">
        <v>149</v>
      </c>
      <c r="G110" s="9" t="s">
        <v>156</v>
      </c>
      <c r="H110" s="9" t="s">
        <v>201</v>
      </c>
      <c r="I110" s="9" t="b">
        <f>TRUE()</f>
        <v>1</v>
      </c>
      <c r="J110" s="9" t="s">
        <v>152</v>
      </c>
      <c r="K110" s="9" t="s">
        <v>153</v>
      </c>
      <c r="L110" s="10">
        <v>45814</v>
      </c>
      <c r="M110" s="10">
        <v>45821</v>
      </c>
      <c r="N110" s="10"/>
      <c r="O110" s="10">
        <v>45829</v>
      </c>
      <c r="P110" s="9" t="b">
        <f>TRUE()</f>
        <v>1</v>
      </c>
      <c r="Q110" s="11">
        <v>760.15</v>
      </c>
    </row>
    <row r="111" spans="1:17" ht="15" customHeight="1" x14ac:dyDescent="0.2">
      <c r="A111" s="9" t="s">
        <v>282</v>
      </c>
      <c r="B111" s="10">
        <v>45764</v>
      </c>
      <c r="C111" s="10">
        <v>45748</v>
      </c>
      <c r="D111" s="9" t="s">
        <v>20</v>
      </c>
      <c r="E111" s="9" t="s">
        <v>27</v>
      </c>
      <c r="F111" s="9" t="s">
        <v>160</v>
      </c>
      <c r="G111" s="9" t="s">
        <v>150</v>
      </c>
      <c r="H111" s="9" t="s">
        <v>167</v>
      </c>
      <c r="I111" s="9" t="b">
        <f>TRUE()</f>
        <v>1</v>
      </c>
      <c r="J111" s="9" t="s">
        <v>152</v>
      </c>
      <c r="K111" s="9" t="s">
        <v>163</v>
      </c>
      <c r="L111" s="10"/>
      <c r="M111" s="10"/>
      <c r="N111" s="10"/>
      <c r="O111" s="10">
        <v>45775</v>
      </c>
      <c r="P111" s="9" t="b">
        <f>TRUE()</f>
        <v>1</v>
      </c>
      <c r="Q111" s="11">
        <v>6400.35</v>
      </c>
    </row>
    <row r="112" spans="1:17" ht="15" customHeight="1" x14ac:dyDescent="0.2">
      <c r="A112" s="9" t="s">
        <v>283</v>
      </c>
      <c r="B112" s="10">
        <v>45857</v>
      </c>
      <c r="C112" s="10">
        <v>45839</v>
      </c>
      <c r="D112" s="9" t="s">
        <v>19</v>
      </c>
      <c r="E112" s="9" t="s">
        <v>25</v>
      </c>
      <c r="F112" s="9" t="s">
        <v>149</v>
      </c>
      <c r="G112" s="9" t="s">
        <v>161</v>
      </c>
      <c r="H112" s="9" t="s">
        <v>179</v>
      </c>
      <c r="I112" s="9" t="b">
        <f>TRUE()</f>
        <v>1</v>
      </c>
      <c r="J112" s="9" t="s">
        <v>2</v>
      </c>
      <c r="K112" s="9" t="s">
        <v>153</v>
      </c>
      <c r="L112" s="10">
        <v>45861</v>
      </c>
      <c r="M112" s="10">
        <v>45869</v>
      </c>
      <c r="N112" s="10">
        <v>45891</v>
      </c>
      <c r="O112" s="10"/>
      <c r="P112" s="9" t="b">
        <f>TRUE()</f>
        <v>1</v>
      </c>
      <c r="Q112" s="11">
        <v>2084.0500000000002</v>
      </c>
    </row>
    <row r="113" spans="1:17" ht="15" customHeight="1" x14ac:dyDescent="0.2">
      <c r="A113" s="9" t="s">
        <v>284</v>
      </c>
      <c r="B113" s="10">
        <v>45848</v>
      </c>
      <c r="C113" s="10">
        <v>45839</v>
      </c>
      <c r="D113" s="9" t="s">
        <v>19</v>
      </c>
      <c r="E113" s="9" t="s">
        <v>25</v>
      </c>
      <c r="F113" s="9" t="s">
        <v>149</v>
      </c>
      <c r="G113" s="9" t="s">
        <v>161</v>
      </c>
      <c r="H113" s="9" t="s">
        <v>179</v>
      </c>
      <c r="I113" s="9" t="b">
        <f>TRUE()</f>
        <v>1</v>
      </c>
      <c r="J113" s="9" t="s">
        <v>2</v>
      </c>
      <c r="K113" s="9" t="s">
        <v>153</v>
      </c>
      <c r="L113" s="10">
        <v>45857</v>
      </c>
      <c r="M113" s="10">
        <v>45860</v>
      </c>
      <c r="N113" s="10">
        <v>45879</v>
      </c>
      <c r="O113" s="10"/>
      <c r="P113" s="9" t="b">
        <f>TRUE()</f>
        <v>1</v>
      </c>
      <c r="Q113" s="11">
        <v>2684.85</v>
      </c>
    </row>
    <row r="114" spans="1:17" ht="15" customHeight="1" x14ac:dyDescent="0.2">
      <c r="A114" s="9" t="s">
        <v>285</v>
      </c>
      <c r="B114" s="10">
        <v>45783</v>
      </c>
      <c r="C114" s="10">
        <v>45778</v>
      </c>
      <c r="D114" s="9" t="s">
        <v>21</v>
      </c>
      <c r="E114" s="9" t="s">
        <v>27</v>
      </c>
      <c r="F114" s="9" t="s">
        <v>149</v>
      </c>
      <c r="G114" s="9" t="s">
        <v>150</v>
      </c>
      <c r="H114" s="9" t="s">
        <v>162</v>
      </c>
      <c r="I114" s="9" t="b">
        <f>TRUE()</f>
        <v>1</v>
      </c>
      <c r="J114" s="9" t="s">
        <v>2</v>
      </c>
      <c r="K114" s="9" t="s">
        <v>153</v>
      </c>
      <c r="L114" s="10">
        <v>45793</v>
      </c>
      <c r="M114" s="10">
        <v>45794</v>
      </c>
      <c r="N114" s="10">
        <v>45801</v>
      </c>
      <c r="O114" s="10"/>
      <c r="P114" s="9" t="b">
        <f>TRUE()</f>
        <v>1</v>
      </c>
      <c r="Q114" s="11">
        <v>10631.28</v>
      </c>
    </row>
    <row r="115" spans="1:17" ht="15" customHeight="1" x14ac:dyDescent="0.2">
      <c r="A115" s="9" t="s">
        <v>286</v>
      </c>
      <c r="B115" s="10">
        <v>45738</v>
      </c>
      <c r="C115" s="10">
        <v>45717</v>
      </c>
      <c r="D115" s="9" t="s">
        <v>20</v>
      </c>
      <c r="E115" s="9" t="s">
        <v>25</v>
      </c>
      <c r="F115" s="9" t="s">
        <v>186</v>
      </c>
      <c r="G115" s="9" t="s">
        <v>150</v>
      </c>
      <c r="H115" s="9" t="s">
        <v>189</v>
      </c>
      <c r="I115" s="9" t="b">
        <f>TRUE()</f>
        <v>1</v>
      </c>
      <c r="J115" s="9" t="s">
        <v>152</v>
      </c>
      <c r="K115" s="9" t="s">
        <v>163</v>
      </c>
      <c r="L115" s="10"/>
      <c r="M115" s="10"/>
      <c r="N115" s="10"/>
      <c r="O115" s="10">
        <v>45752</v>
      </c>
      <c r="P115" s="9" t="b">
        <f>TRUE()</f>
        <v>1</v>
      </c>
      <c r="Q115" s="11">
        <v>5921.54</v>
      </c>
    </row>
    <row r="116" spans="1:17" ht="15" customHeight="1" x14ac:dyDescent="0.2">
      <c r="A116" s="9" t="s">
        <v>287</v>
      </c>
      <c r="B116" s="10">
        <v>45891</v>
      </c>
      <c r="C116" s="10">
        <v>45870</v>
      </c>
      <c r="D116" s="9" t="s">
        <v>22</v>
      </c>
      <c r="E116" s="9" t="s">
        <v>27</v>
      </c>
      <c r="F116" s="9" t="s">
        <v>186</v>
      </c>
      <c r="G116" s="9" t="s">
        <v>156</v>
      </c>
      <c r="H116" s="9" t="s">
        <v>151</v>
      </c>
      <c r="I116" s="9" t="b">
        <f>TRUE()</f>
        <v>1</v>
      </c>
      <c r="J116" s="9" t="s">
        <v>2</v>
      </c>
      <c r="K116" s="9" t="s">
        <v>153</v>
      </c>
      <c r="L116" s="10">
        <v>45898</v>
      </c>
      <c r="M116" s="10">
        <v>45908</v>
      </c>
      <c r="N116" s="10">
        <v>45936</v>
      </c>
      <c r="O116" s="10"/>
      <c r="P116" s="9" t="b">
        <f>TRUE()</f>
        <v>1</v>
      </c>
      <c r="Q116" s="11">
        <v>843.9</v>
      </c>
    </row>
    <row r="117" spans="1:17" ht="15" customHeight="1" x14ac:dyDescent="0.2">
      <c r="A117" s="9" t="s">
        <v>288</v>
      </c>
      <c r="B117" s="10">
        <v>45809</v>
      </c>
      <c r="C117" s="10">
        <v>45809</v>
      </c>
      <c r="D117" s="9" t="s">
        <v>20</v>
      </c>
      <c r="E117" s="9" t="s">
        <v>27</v>
      </c>
      <c r="F117" s="9" t="s">
        <v>149</v>
      </c>
      <c r="G117" s="9" t="s">
        <v>156</v>
      </c>
      <c r="H117" s="9" t="s">
        <v>192</v>
      </c>
      <c r="I117" s="9" t="b">
        <f>TRUE()</f>
        <v>1</v>
      </c>
      <c r="J117" s="9" t="s">
        <v>152</v>
      </c>
      <c r="K117" s="9" t="s">
        <v>153</v>
      </c>
      <c r="L117" s="10">
        <v>45814</v>
      </c>
      <c r="M117" s="10"/>
      <c r="N117" s="10"/>
      <c r="O117" s="10">
        <v>45825</v>
      </c>
      <c r="P117" s="9" t="b">
        <f>TRUE()</f>
        <v>1</v>
      </c>
      <c r="Q117" s="11">
        <v>608.58000000000004</v>
      </c>
    </row>
    <row r="118" spans="1:17" ht="15" customHeight="1" x14ac:dyDescent="0.2">
      <c r="A118" s="9" t="s">
        <v>289</v>
      </c>
      <c r="B118" s="10">
        <v>45792</v>
      </c>
      <c r="C118" s="10">
        <v>45778</v>
      </c>
      <c r="D118" s="9" t="s">
        <v>22</v>
      </c>
      <c r="E118" s="9" t="s">
        <v>28</v>
      </c>
      <c r="F118" s="9" t="s">
        <v>186</v>
      </c>
      <c r="G118" s="9" t="s">
        <v>161</v>
      </c>
      <c r="H118" s="9" t="s">
        <v>170</v>
      </c>
      <c r="I118" s="9" t="b">
        <f>TRUE()</f>
        <v>1</v>
      </c>
      <c r="J118" s="9" t="s">
        <v>152</v>
      </c>
      <c r="K118" s="9" t="s">
        <v>153</v>
      </c>
      <c r="L118" s="10">
        <v>45799</v>
      </c>
      <c r="M118" s="10"/>
      <c r="N118" s="10"/>
      <c r="O118" s="10">
        <v>45810</v>
      </c>
      <c r="P118" s="9" t="b">
        <f>TRUE()</f>
        <v>1</v>
      </c>
      <c r="Q118" s="11">
        <v>2219.6799999999998</v>
      </c>
    </row>
    <row r="119" spans="1:17" ht="15" customHeight="1" x14ac:dyDescent="0.2">
      <c r="A119" s="9" t="s">
        <v>290</v>
      </c>
      <c r="B119" s="10">
        <v>45916</v>
      </c>
      <c r="C119" s="10">
        <v>45901</v>
      </c>
      <c r="D119" s="9" t="s">
        <v>19</v>
      </c>
      <c r="E119" s="9" t="s">
        <v>24</v>
      </c>
      <c r="F119" s="9" t="s">
        <v>155</v>
      </c>
      <c r="G119" s="9" t="s">
        <v>156</v>
      </c>
      <c r="H119" s="9" t="s">
        <v>210</v>
      </c>
      <c r="I119" s="9" t="b">
        <f>TRUE()</f>
        <v>1</v>
      </c>
      <c r="J119" s="9" t="s">
        <v>152</v>
      </c>
      <c r="K119" s="9" t="s">
        <v>163</v>
      </c>
      <c r="L119" s="10"/>
      <c r="M119" s="10"/>
      <c r="N119" s="10"/>
      <c r="O119" s="10">
        <v>45936</v>
      </c>
      <c r="P119" s="9" t="b">
        <f>TRUE()</f>
        <v>1</v>
      </c>
      <c r="Q119" s="11">
        <v>556.91999999999996</v>
      </c>
    </row>
    <row r="120" spans="1:17" ht="15" customHeight="1" x14ac:dyDescent="0.2">
      <c r="A120" s="9" t="s">
        <v>291</v>
      </c>
      <c r="B120" s="10">
        <v>45882</v>
      </c>
      <c r="C120" s="10">
        <v>45870</v>
      </c>
      <c r="D120" s="9" t="s">
        <v>19</v>
      </c>
      <c r="E120" s="9" t="s">
        <v>24</v>
      </c>
      <c r="F120" s="9" t="s">
        <v>149</v>
      </c>
      <c r="G120" s="9" t="s">
        <v>156</v>
      </c>
      <c r="H120" s="9" t="s">
        <v>210</v>
      </c>
      <c r="I120" s="9" t="b">
        <f>TRUE()</f>
        <v>1</v>
      </c>
      <c r="J120" s="9" t="s">
        <v>152</v>
      </c>
      <c r="K120" s="9" t="s">
        <v>163</v>
      </c>
      <c r="L120" s="10"/>
      <c r="M120" s="10"/>
      <c r="N120" s="10"/>
      <c r="O120" s="10">
        <v>45898</v>
      </c>
      <c r="P120" s="9" t="b">
        <f>TRUE()</f>
        <v>1</v>
      </c>
      <c r="Q120" s="11">
        <v>1037.78</v>
      </c>
    </row>
    <row r="121" spans="1:17" ht="15" customHeight="1" x14ac:dyDescent="0.2">
      <c r="A121" s="9" t="s">
        <v>292</v>
      </c>
      <c r="B121" s="10">
        <v>45957</v>
      </c>
      <c r="C121" s="10">
        <v>45931</v>
      </c>
      <c r="D121" s="9" t="s">
        <v>22</v>
      </c>
      <c r="E121" s="9" t="s">
        <v>24</v>
      </c>
      <c r="F121" s="9" t="s">
        <v>155</v>
      </c>
      <c r="G121" s="9" t="s">
        <v>161</v>
      </c>
      <c r="H121" s="9" t="s">
        <v>170</v>
      </c>
      <c r="I121" s="9" t="b">
        <f>TRUE()</f>
        <v>1</v>
      </c>
      <c r="J121" s="9" t="s">
        <v>152</v>
      </c>
      <c r="K121" s="9" t="s">
        <v>163</v>
      </c>
      <c r="L121" s="10"/>
      <c r="M121" s="10"/>
      <c r="N121" s="10"/>
      <c r="O121" s="10">
        <v>45959</v>
      </c>
      <c r="P121" s="9" t="b">
        <f>TRUE()</f>
        <v>1</v>
      </c>
      <c r="Q121" s="11">
        <v>2142.3200000000002</v>
      </c>
    </row>
    <row r="122" spans="1:17" ht="15" customHeight="1" x14ac:dyDescent="0.2">
      <c r="A122" s="9" t="s">
        <v>293</v>
      </c>
      <c r="B122" s="10">
        <v>45876</v>
      </c>
      <c r="C122" s="10">
        <v>45870</v>
      </c>
      <c r="D122" s="9" t="s">
        <v>21</v>
      </c>
      <c r="E122" s="9" t="s">
        <v>28</v>
      </c>
      <c r="F122" s="9" t="s">
        <v>149</v>
      </c>
      <c r="G122" s="9" t="s">
        <v>156</v>
      </c>
      <c r="H122" s="9" t="s">
        <v>176</v>
      </c>
      <c r="I122" s="9" t="b">
        <f>TRUE()</f>
        <v>1</v>
      </c>
      <c r="J122" s="9" t="s">
        <v>152</v>
      </c>
      <c r="K122" s="9" t="s">
        <v>163</v>
      </c>
      <c r="L122" s="10"/>
      <c r="M122" s="10"/>
      <c r="N122" s="10"/>
      <c r="O122" s="10">
        <v>45882</v>
      </c>
      <c r="P122" s="9" t="b">
        <f>TRUE()</f>
        <v>1</v>
      </c>
      <c r="Q122" s="11">
        <v>1044.74</v>
      </c>
    </row>
    <row r="123" spans="1:17" ht="15" customHeight="1" x14ac:dyDescent="0.2">
      <c r="A123" s="9" t="s">
        <v>294</v>
      </c>
      <c r="B123" s="10">
        <v>45739</v>
      </c>
      <c r="C123" s="10">
        <v>45717</v>
      </c>
      <c r="D123" s="9" t="s">
        <v>19</v>
      </c>
      <c r="E123" s="9" t="s">
        <v>28</v>
      </c>
      <c r="F123" s="9" t="s">
        <v>149</v>
      </c>
      <c r="G123" s="9" t="s">
        <v>156</v>
      </c>
      <c r="H123" s="9" t="s">
        <v>179</v>
      </c>
      <c r="I123" s="9" t="b">
        <f>TRUE()</f>
        <v>1</v>
      </c>
      <c r="J123" s="9" t="s">
        <v>152</v>
      </c>
      <c r="K123" s="9" t="s">
        <v>163</v>
      </c>
      <c r="L123" s="10"/>
      <c r="M123" s="10"/>
      <c r="N123" s="10"/>
      <c r="O123" s="10">
        <v>45758</v>
      </c>
      <c r="P123" s="9" t="b">
        <f>TRUE()</f>
        <v>1</v>
      </c>
      <c r="Q123" s="11">
        <v>811.05</v>
      </c>
    </row>
    <row r="124" spans="1:17" ht="15" customHeight="1" x14ac:dyDescent="0.2">
      <c r="A124" s="9" t="s">
        <v>295</v>
      </c>
      <c r="B124" s="10">
        <v>45919</v>
      </c>
      <c r="C124" s="10">
        <v>45901</v>
      </c>
      <c r="D124" s="9" t="s">
        <v>18</v>
      </c>
      <c r="E124" s="9" t="s">
        <v>26</v>
      </c>
      <c r="F124" s="9" t="s">
        <v>149</v>
      </c>
      <c r="G124" s="9" t="s">
        <v>150</v>
      </c>
      <c r="H124" s="9" t="s">
        <v>157</v>
      </c>
      <c r="I124" s="9" t="b">
        <f>TRUE()</f>
        <v>1</v>
      </c>
      <c r="J124" s="9" t="s">
        <v>152</v>
      </c>
      <c r="K124" s="9" t="s">
        <v>153</v>
      </c>
      <c r="L124" s="10">
        <v>45926</v>
      </c>
      <c r="M124" s="10">
        <v>45939</v>
      </c>
      <c r="N124" s="10"/>
      <c r="O124" s="10">
        <v>45948</v>
      </c>
      <c r="P124" s="9" t="b">
        <f>TRUE()</f>
        <v>1</v>
      </c>
      <c r="Q124" s="11">
        <v>10026.540000000001</v>
      </c>
    </row>
    <row r="125" spans="1:17" ht="15" customHeight="1" x14ac:dyDescent="0.2">
      <c r="A125" s="9" t="s">
        <v>296</v>
      </c>
      <c r="B125" s="10">
        <v>45776</v>
      </c>
      <c r="C125" s="10">
        <v>45748</v>
      </c>
      <c r="D125" s="9" t="s">
        <v>21</v>
      </c>
      <c r="E125" s="9" t="s">
        <v>26</v>
      </c>
      <c r="F125" s="9" t="s">
        <v>155</v>
      </c>
      <c r="G125" s="9" t="s">
        <v>156</v>
      </c>
      <c r="H125" s="9" t="s">
        <v>162</v>
      </c>
      <c r="I125" s="9" t="b">
        <f>TRUE()</f>
        <v>1</v>
      </c>
      <c r="J125" s="9" t="s">
        <v>152</v>
      </c>
      <c r="K125" s="9" t="s">
        <v>163</v>
      </c>
      <c r="L125" s="10"/>
      <c r="M125" s="10"/>
      <c r="N125" s="10"/>
      <c r="O125" s="10">
        <v>45793</v>
      </c>
      <c r="P125" s="9" t="b">
        <f>TRUE()</f>
        <v>1</v>
      </c>
      <c r="Q125" s="11">
        <v>416.26</v>
      </c>
    </row>
    <row r="126" spans="1:17" ht="15" customHeight="1" x14ac:dyDescent="0.2">
      <c r="A126" s="9" t="s">
        <v>297</v>
      </c>
      <c r="B126" s="10">
        <v>45727</v>
      </c>
      <c r="C126" s="10">
        <v>45717</v>
      </c>
      <c r="D126" s="9" t="s">
        <v>20</v>
      </c>
      <c r="E126" s="9" t="s">
        <v>28</v>
      </c>
      <c r="F126" s="9" t="s">
        <v>149</v>
      </c>
      <c r="G126" s="9" t="s">
        <v>156</v>
      </c>
      <c r="H126" s="9" t="s">
        <v>167</v>
      </c>
      <c r="I126" s="9" t="b">
        <f>TRUE()</f>
        <v>1</v>
      </c>
      <c r="J126" s="9" t="s">
        <v>2</v>
      </c>
      <c r="K126" s="9" t="s">
        <v>153</v>
      </c>
      <c r="L126" s="10">
        <v>45728</v>
      </c>
      <c r="M126" s="10">
        <v>45736</v>
      </c>
      <c r="N126" s="10">
        <v>45763</v>
      </c>
      <c r="O126" s="10"/>
      <c r="P126" s="9" t="b">
        <f>TRUE()</f>
        <v>1</v>
      </c>
      <c r="Q126" s="11">
        <v>1012.09</v>
      </c>
    </row>
    <row r="127" spans="1:17" ht="15" customHeight="1" x14ac:dyDescent="0.2">
      <c r="A127" s="9" t="s">
        <v>298</v>
      </c>
      <c r="B127" s="10">
        <v>45920</v>
      </c>
      <c r="C127" s="10">
        <v>45901</v>
      </c>
      <c r="D127" s="9" t="s">
        <v>20</v>
      </c>
      <c r="E127" s="9" t="s">
        <v>26</v>
      </c>
      <c r="F127" s="9" t="s">
        <v>149</v>
      </c>
      <c r="G127" s="9" t="s">
        <v>150</v>
      </c>
      <c r="H127" s="9" t="s">
        <v>192</v>
      </c>
      <c r="I127" s="9" t="b">
        <f>TRUE()</f>
        <v>1</v>
      </c>
      <c r="J127" s="9" t="s">
        <v>2</v>
      </c>
      <c r="K127" s="9" t="s">
        <v>153</v>
      </c>
      <c r="L127" s="10">
        <v>45925</v>
      </c>
      <c r="M127" s="10">
        <v>45932</v>
      </c>
      <c r="N127" s="10">
        <v>45941</v>
      </c>
      <c r="O127" s="10"/>
      <c r="P127" s="9" t="b">
        <f>TRUE()</f>
        <v>1</v>
      </c>
      <c r="Q127" s="11">
        <v>10550.44</v>
      </c>
    </row>
    <row r="128" spans="1:17" ht="15" customHeight="1" x14ac:dyDescent="0.2">
      <c r="A128" s="9" t="s">
        <v>299</v>
      </c>
      <c r="B128" s="10">
        <v>45861</v>
      </c>
      <c r="C128" s="10">
        <v>45839</v>
      </c>
      <c r="D128" s="9" t="s">
        <v>19</v>
      </c>
      <c r="E128" s="9" t="s">
        <v>27</v>
      </c>
      <c r="F128" s="9" t="s">
        <v>160</v>
      </c>
      <c r="G128" s="9" t="s">
        <v>161</v>
      </c>
      <c r="H128" s="9" t="s">
        <v>210</v>
      </c>
      <c r="I128" s="9" t="b">
        <f>TRUE()</f>
        <v>1</v>
      </c>
      <c r="J128" s="9" t="s">
        <v>152</v>
      </c>
      <c r="K128" s="9" t="s">
        <v>163</v>
      </c>
      <c r="L128" s="10"/>
      <c r="M128" s="10"/>
      <c r="N128" s="10"/>
      <c r="O128" s="10">
        <v>45866</v>
      </c>
      <c r="P128" s="9" t="b">
        <f>TRUE()</f>
        <v>1</v>
      </c>
      <c r="Q128" s="11">
        <v>2609.96</v>
      </c>
    </row>
    <row r="129" spans="1:17" ht="15" customHeight="1" x14ac:dyDescent="0.2">
      <c r="A129" s="9" t="s">
        <v>300</v>
      </c>
      <c r="B129" s="10">
        <v>45948</v>
      </c>
      <c r="C129" s="10">
        <v>45931</v>
      </c>
      <c r="D129" s="9" t="s">
        <v>19</v>
      </c>
      <c r="E129" s="9" t="s">
        <v>28</v>
      </c>
      <c r="F129" s="9" t="s">
        <v>149</v>
      </c>
      <c r="G129" s="9" t="s">
        <v>156</v>
      </c>
      <c r="H129" s="9" t="s">
        <v>179</v>
      </c>
      <c r="I129" s="9" t="b">
        <f>TRUE()</f>
        <v>1</v>
      </c>
      <c r="J129" s="9" t="s">
        <v>152</v>
      </c>
      <c r="K129" s="9" t="s">
        <v>163</v>
      </c>
      <c r="L129" s="10"/>
      <c r="M129" s="10"/>
      <c r="N129" s="10"/>
      <c r="O129" s="10">
        <v>45950</v>
      </c>
      <c r="P129" s="9" t="b">
        <f>TRUE()</f>
        <v>1</v>
      </c>
      <c r="Q129" s="11">
        <v>1101.23</v>
      </c>
    </row>
    <row r="130" spans="1:17" ht="15" customHeight="1" x14ac:dyDescent="0.2">
      <c r="A130" s="9" t="s">
        <v>68</v>
      </c>
      <c r="B130" s="10">
        <v>45883</v>
      </c>
      <c r="C130" s="10">
        <v>45870</v>
      </c>
      <c r="D130" s="9" t="s">
        <v>18</v>
      </c>
      <c r="E130" s="9" t="s">
        <v>25</v>
      </c>
      <c r="F130" s="9" t="s">
        <v>149</v>
      </c>
      <c r="G130" s="9" t="s">
        <v>156</v>
      </c>
      <c r="H130" s="9" t="s">
        <v>251</v>
      </c>
      <c r="I130" s="9" t="b">
        <f>TRUE()</f>
        <v>1</v>
      </c>
      <c r="J130" s="9" t="s">
        <v>2</v>
      </c>
      <c r="K130" s="9" t="s">
        <v>153</v>
      </c>
      <c r="L130" s="10">
        <v>45890</v>
      </c>
      <c r="M130" s="10">
        <v>45901</v>
      </c>
      <c r="N130" s="10">
        <v>45878</v>
      </c>
      <c r="O130" s="10"/>
      <c r="P130" s="9" t="b">
        <f>FALSE()</f>
        <v>0</v>
      </c>
      <c r="Q130" s="11">
        <v>994.66</v>
      </c>
    </row>
    <row r="131" spans="1:17" ht="15" customHeight="1" x14ac:dyDescent="0.2">
      <c r="A131" s="9" t="s">
        <v>301</v>
      </c>
      <c r="B131" s="10">
        <v>45995</v>
      </c>
      <c r="C131" s="10">
        <v>45992</v>
      </c>
      <c r="D131" s="9" t="s">
        <v>22</v>
      </c>
      <c r="E131" s="9" t="s">
        <v>27</v>
      </c>
      <c r="F131" s="9" t="s">
        <v>149</v>
      </c>
      <c r="G131" s="9" t="s">
        <v>156</v>
      </c>
      <c r="H131" s="9" t="s">
        <v>170</v>
      </c>
      <c r="I131" s="9" t="b">
        <f>TRUE()</f>
        <v>1</v>
      </c>
      <c r="J131" s="9" t="s">
        <v>152</v>
      </c>
      <c r="K131" s="9" t="s">
        <v>163</v>
      </c>
      <c r="L131" s="10"/>
      <c r="M131" s="10"/>
      <c r="N131" s="10"/>
      <c r="O131" s="10">
        <v>46011</v>
      </c>
      <c r="P131" s="9" t="b">
        <f>TRUE()</f>
        <v>1</v>
      </c>
      <c r="Q131" s="11">
        <v>737.06</v>
      </c>
    </row>
    <row r="132" spans="1:17" ht="15" customHeight="1" x14ac:dyDescent="0.2">
      <c r="A132" s="9" t="s">
        <v>302</v>
      </c>
      <c r="B132" s="10">
        <v>45972</v>
      </c>
      <c r="C132" s="10">
        <v>45962</v>
      </c>
      <c r="D132" s="9" t="s">
        <v>21</v>
      </c>
      <c r="E132" s="9" t="s">
        <v>28</v>
      </c>
      <c r="F132" s="9" t="s">
        <v>149</v>
      </c>
      <c r="G132" s="9" t="s">
        <v>156</v>
      </c>
      <c r="H132" s="9" t="s">
        <v>162</v>
      </c>
      <c r="I132" s="9" t="b">
        <f>TRUE()</f>
        <v>1</v>
      </c>
      <c r="J132" s="9" t="s">
        <v>152</v>
      </c>
      <c r="K132" s="9" t="s">
        <v>163</v>
      </c>
      <c r="L132" s="10"/>
      <c r="M132" s="10"/>
      <c r="N132" s="10"/>
      <c r="O132" s="10">
        <v>45992</v>
      </c>
      <c r="P132" s="9" t="b">
        <f>TRUE()</f>
        <v>1</v>
      </c>
      <c r="Q132" s="11">
        <v>802.07</v>
      </c>
    </row>
    <row r="133" spans="1:17" ht="15" customHeight="1" x14ac:dyDescent="0.2">
      <c r="A133" s="9" t="s">
        <v>303</v>
      </c>
      <c r="B133" s="10">
        <v>45709</v>
      </c>
      <c r="C133" s="10">
        <v>45689</v>
      </c>
      <c r="D133" s="9" t="s">
        <v>19</v>
      </c>
      <c r="E133" s="9" t="s">
        <v>25</v>
      </c>
      <c r="F133" s="9" t="s">
        <v>155</v>
      </c>
      <c r="G133" s="9" t="s">
        <v>161</v>
      </c>
      <c r="H133" s="9" t="s">
        <v>210</v>
      </c>
      <c r="I133" s="9" t="b">
        <f>TRUE()</f>
        <v>1</v>
      </c>
      <c r="J133" s="9" t="s">
        <v>2</v>
      </c>
      <c r="K133" s="9" t="s">
        <v>153</v>
      </c>
      <c r="L133" s="10">
        <v>45711</v>
      </c>
      <c r="M133" s="10">
        <v>45716</v>
      </c>
      <c r="N133" s="10">
        <v>45741</v>
      </c>
      <c r="O133" s="10"/>
      <c r="P133" s="9" t="b">
        <f>TRUE()</f>
        <v>1</v>
      </c>
      <c r="Q133" s="11">
        <v>1434.56</v>
      </c>
    </row>
    <row r="134" spans="1:17" ht="15" customHeight="1" x14ac:dyDescent="0.2">
      <c r="A134" s="9" t="s">
        <v>304</v>
      </c>
      <c r="B134" s="10">
        <v>45807</v>
      </c>
      <c r="C134" s="10">
        <v>45778</v>
      </c>
      <c r="D134" s="9" t="s">
        <v>20</v>
      </c>
      <c r="E134" s="9" t="s">
        <v>25</v>
      </c>
      <c r="F134" s="9" t="s">
        <v>160</v>
      </c>
      <c r="G134" s="9" t="s">
        <v>150</v>
      </c>
      <c r="H134" s="9" t="s">
        <v>192</v>
      </c>
      <c r="I134" s="9" t="b">
        <f>TRUE()</f>
        <v>1</v>
      </c>
      <c r="J134" s="9" t="s">
        <v>152</v>
      </c>
      <c r="K134" s="9" t="s">
        <v>153</v>
      </c>
      <c r="L134" s="10">
        <v>45809</v>
      </c>
      <c r="M134" s="10"/>
      <c r="N134" s="10"/>
      <c r="O134" s="10">
        <v>45819</v>
      </c>
      <c r="P134" s="9" t="b">
        <f>TRUE()</f>
        <v>1</v>
      </c>
      <c r="Q134" s="11">
        <v>9290.86</v>
      </c>
    </row>
    <row r="135" spans="1:17" ht="15" customHeight="1" x14ac:dyDescent="0.2">
      <c r="A135" s="9" t="s">
        <v>305</v>
      </c>
      <c r="B135" s="10">
        <v>45893</v>
      </c>
      <c r="C135" s="10">
        <v>45870</v>
      </c>
      <c r="D135" s="9" t="s">
        <v>19</v>
      </c>
      <c r="E135" s="9" t="s">
        <v>25</v>
      </c>
      <c r="F135" s="9" t="s">
        <v>149</v>
      </c>
      <c r="G135" s="9" t="s">
        <v>156</v>
      </c>
      <c r="H135" s="9" t="s">
        <v>207</v>
      </c>
      <c r="I135" s="9" t="b">
        <f>TRUE()</f>
        <v>1</v>
      </c>
      <c r="J135" s="9" t="s">
        <v>152</v>
      </c>
      <c r="K135" s="9" t="s">
        <v>153</v>
      </c>
      <c r="L135" s="10">
        <v>45895</v>
      </c>
      <c r="M135" s="10"/>
      <c r="N135" s="10"/>
      <c r="O135" s="10">
        <v>45911</v>
      </c>
      <c r="P135" s="9" t="b">
        <f>TRUE()</f>
        <v>1</v>
      </c>
      <c r="Q135" s="11">
        <v>935.22</v>
      </c>
    </row>
    <row r="136" spans="1:17" ht="15" customHeight="1" x14ac:dyDescent="0.2">
      <c r="A136" s="9" t="s">
        <v>306</v>
      </c>
      <c r="B136" s="10">
        <v>45746</v>
      </c>
      <c r="C136" s="10">
        <v>45717</v>
      </c>
      <c r="D136" s="9" t="s">
        <v>18</v>
      </c>
      <c r="E136" s="9" t="s">
        <v>27</v>
      </c>
      <c r="F136" s="9" t="s">
        <v>149</v>
      </c>
      <c r="G136" s="9" t="s">
        <v>150</v>
      </c>
      <c r="H136" s="9" t="s">
        <v>201</v>
      </c>
      <c r="I136" s="9" t="b">
        <f>TRUE()</f>
        <v>1</v>
      </c>
      <c r="J136" s="9" t="s">
        <v>2</v>
      </c>
      <c r="K136" s="9" t="s">
        <v>153</v>
      </c>
      <c r="L136" s="10">
        <v>45754</v>
      </c>
      <c r="M136" s="10">
        <v>45765</v>
      </c>
      <c r="N136" s="10">
        <v>45777</v>
      </c>
      <c r="O136" s="10"/>
      <c r="P136" s="9" t="b">
        <f>TRUE()</f>
        <v>1</v>
      </c>
      <c r="Q136" s="11">
        <v>6669.82</v>
      </c>
    </row>
    <row r="137" spans="1:17" ht="15" customHeight="1" x14ac:dyDescent="0.2">
      <c r="A137" s="9" t="s">
        <v>307</v>
      </c>
      <c r="B137" s="10">
        <v>45954</v>
      </c>
      <c r="C137" s="10">
        <v>45931</v>
      </c>
      <c r="D137" s="9" t="s">
        <v>19</v>
      </c>
      <c r="E137" s="9" t="s">
        <v>25</v>
      </c>
      <c r="F137" s="9" t="s">
        <v>149</v>
      </c>
      <c r="G137" s="9" t="s">
        <v>161</v>
      </c>
      <c r="H137" s="9" t="s">
        <v>210</v>
      </c>
      <c r="I137" s="9" t="b">
        <f>TRUE()</f>
        <v>1</v>
      </c>
      <c r="J137" s="9" t="s">
        <v>2</v>
      </c>
      <c r="K137" s="9" t="s">
        <v>153</v>
      </c>
      <c r="L137" s="10">
        <v>45962</v>
      </c>
      <c r="M137" s="10">
        <v>45971</v>
      </c>
      <c r="N137" s="10">
        <v>45977</v>
      </c>
      <c r="O137" s="10"/>
      <c r="P137" s="9" t="b">
        <f>TRUE()</f>
        <v>1</v>
      </c>
      <c r="Q137" s="11">
        <v>3313.31</v>
      </c>
    </row>
    <row r="138" spans="1:17" ht="15" customHeight="1" x14ac:dyDescent="0.2">
      <c r="A138" s="9" t="s">
        <v>308</v>
      </c>
      <c r="B138" s="10">
        <v>45907</v>
      </c>
      <c r="C138" s="10">
        <v>45901</v>
      </c>
      <c r="D138" s="9" t="s">
        <v>19</v>
      </c>
      <c r="E138" s="9" t="s">
        <v>26</v>
      </c>
      <c r="F138" s="9" t="s">
        <v>149</v>
      </c>
      <c r="G138" s="9" t="s">
        <v>156</v>
      </c>
      <c r="H138" s="9" t="s">
        <v>210</v>
      </c>
      <c r="I138" s="9" t="b">
        <f>TRUE()</f>
        <v>1</v>
      </c>
      <c r="J138" s="9" t="s">
        <v>152</v>
      </c>
      <c r="K138" s="9" t="s">
        <v>153</v>
      </c>
      <c r="L138" s="10">
        <v>45917</v>
      </c>
      <c r="M138" s="10">
        <v>45921</v>
      </c>
      <c r="N138" s="10"/>
      <c r="O138" s="10">
        <v>45947</v>
      </c>
      <c r="P138" s="9" t="b">
        <f>TRUE()</f>
        <v>1</v>
      </c>
      <c r="Q138" s="11">
        <v>943.67</v>
      </c>
    </row>
    <row r="139" spans="1:17" ht="15" customHeight="1" x14ac:dyDescent="0.2">
      <c r="A139" s="9" t="s">
        <v>309</v>
      </c>
      <c r="B139" s="10">
        <v>46018</v>
      </c>
      <c r="C139" s="10">
        <v>45992</v>
      </c>
      <c r="D139" s="9" t="s">
        <v>18</v>
      </c>
      <c r="E139" s="9" t="s">
        <v>27</v>
      </c>
      <c r="F139" s="9" t="s">
        <v>149</v>
      </c>
      <c r="G139" s="9" t="s">
        <v>161</v>
      </c>
      <c r="H139" s="9" t="s">
        <v>201</v>
      </c>
      <c r="I139" s="9" t="b">
        <f>TRUE()</f>
        <v>1</v>
      </c>
      <c r="J139" s="9" t="s">
        <v>158</v>
      </c>
      <c r="K139" s="9" t="s">
        <v>153</v>
      </c>
      <c r="L139" s="10">
        <v>46021</v>
      </c>
      <c r="M139" s="10">
        <v>46025</v>
      </c>
      <c r="N139" s="10"/>
      <c r="O139" s="10"/>
      <c r="P139" s="9" t="b">
        <f>TRUE()</f>
        <v>1</v>
      </c>
      <c r="Q139" s="11">
        <v>3095.56</v>
      </c>
    </row>
    <row r="140" spans="1:17" ht="15" customHeight="1" x14ac:dyDescent="0.2">
      <c r="A140" s="9" t="s">
        <v>310</v>
      </c>
      <c r="B140" s="10">
        <v>45943</v>
      </c>
      <c r="C140" s="10">
        <v>45931</v>
      </c>
      <c r="D140" s="9" t="s">
        <v>22</v>
      </c>
      <c r="E140" s="9" t="s">
        <v>27</v>
      </c>
      <c r="F140" s="9" t="s">
        <v>186</v>
      </c>
      <c r="G140" s="9" t="s">
        <v>156</v>
      </c>
      <c r="H140" s="9" t="s">
        <v>170</v>
      </c>
      <c r="I140" s="9" t="b">
        <f>TRUE()</f>
        <v>1</v>
      </c>
      <c r="J140" s="9" t="s">
        <v>152</v>
      </c>
      <c r="K140" s="9" t="s">
        <v>153</v>
      </c>
      <c r="L140" s="10">
        <v>45950</v>
      </c>
      <c r="M140" s="10"/>
      <c r="N140" s="10"/>
      <c r="O140" s="10">
        <v>45960</v>
      </c>
      <c r="P140" s="9" t="b">
        <f>TRUE()</f>
        <v>1</v>
      </c>
      <c r="Q140" s="11">
        <v>832.58</v>
      </c>
    </row>
    <row r="141" spans="1:17" ht="15" customHeight="1" x14ac:dyDescent="0.2">
      <c r="A141" s="9" t="s">
        <v>311</v>
      </c>
      <c r="B141" s="10">
        <v>45868</v>
      </c>
      <c r="C141" s="10">
        <v>45839</v>
      </c>
      <c r="D141" s="9" t="s">
        <v>19</v>
      </c>
      <c r="E141" s="9" t="s">
        <v>26</v>
      </c>
      <c r="F141" s="9" t="s">
        <v>186</v>
      </c>
      <c r="G141" s="9" t="s">
        <v>156</v>
      </c>
      <c r="H141" s="9" t="s">
        <v>207</v>
      </c>
      <c r="I141" s="9" t="b">
        <f>TRUE()</f>
        <v>1</v>
      </c>
      <c r="J141" s="9" t="s">
        <v>152</v>
      </c>
      <c r="K141" s="9" t="s">
        <v>163</v>
      </c>
      <c r="L141" s="10"/>
      <c r="M141" s="10"/>
      <c r="N141" s="10"/>
      <c r="O141" s="10">
        <v>45877</v>
      </c>
      <c r="P141" s="9" t="b">
        <f>TRUE()</f>
        <v>1</v>
      </c>
      <c r="Q141" s="11">
        <v>695.5</v>
      </c>
    </row>
    <row r="142" spans="1:17" ht="15" customHeight="1" x14ac:dyDescent="0.2">
      <c r="A142" s="9" t="s">
        <v>312</v>
      </c>
      <c r="B142" s="10">
        <v>45804</v>
      </c>
      <c r="C142" s="10">
        <v>45778</v>
      </c>
      <c r="D142" s="9" t="s">
        <v>22</v>
      </c>
      <c r="E142" s="9" t="s">
        <v>25</v>
      </c>
      <c r="F142" s="9" t="s">
        <v>186</v>
      </c>
      <c r="G142" s="9" t="s">
        <v>156</v>
      </c>
      <c r="H142" s="9" t="s">
        <v>165</v>
      </c>
      <c r="I142" s="9" t="b">
        <f>TRUE()</f>
        <v>1</v>
      </c>
      <c r="J142" s="9" t="s">
        <v>2</v>
      </c>
      <c r="K142" s="9" t="s">
        <v>153</v>
      </c>
      <c r="L142" s="10">
        <v>45808</v>
      </c>
      <c r="M142" s="10">
        <v>45822</v>
      </c>
      <c r="N142" s="10">
        <v>45828</v>
      </c>
      <c r="O142" s="10"/>
      <c r="P142" s="9" t="b">
        <f>TRUE()</f>
        <v>1</v>
      </c>
      <c r="Q142" s="11">
        <v>879.21</v>
      </c>
    </row>
    <row r="143" spans="1:17" ht="15" customHeight="1" x14ac:dyDescent="0.2">
      <c r="A143" s="9" t="s">
        <v>313</v>
      </c>
      <c r="B143" s="10">
        <v>45737</v>
      </c>
      <c r="C143" s="10">
        <v>45717</v>
      </c>
      <c r="D143" s="9" t="s">
        <v>21</v>
      </c>
      <c r="E143" s="9" t="s">
        <v>25</v>
      </c>
      <c r="F143" s="9" t="s">
        <v>149</v>
      </c>
      <c r="G143" s="9" t="s">
        <v>156</v>
      </c>
      <c r="H143" s="9" t="s">
        <v>183</v>
      </c>
      <c r="I143" s="9" t="b">
        <f>TRUE()</f>
        <v>1</v>
      </c>
      <c r="J143" s="9" t="s">
        <v>2</v>
      </c>
      <c r="K143" s="9" t="s">
        <v>153</v>
      </c>
      <c r="L143" s="10">
        <v>45745</v>
      </c>
      <c r="M143" s="10">
        <v>45746</v>
      </c>
      <c r="N143" s="10">
        <v>45751</v>
      </c>
      <c r="O143" s="10"/>
      <c r="P143" s="9" t="b">
        <f>TRUE()</f>
        <v>1</v>
      </c>
      <c r="Q143" s="11">
        <v>1001.56</v>
      </c>
    </row>
    <row r="144" spans="1:17" ht="15" customHeight="1" x14ac:dyDescent="0.2">
      <c r="A144" s="9" t="s">
        <v>314</v>
      </c>
      <c r="B144" s="10">
        <v>45694</v>
      </c>
      <c r="C144" s="10">
        <v>45689</v>
      </c>
      <c r="D144" s="9" t="s">
        <v>21</v>
      </c>
      <c r="E144" s="9" t="s">
        <v>24</v>
      </c>
      <c r="F144" s="9" t="s">
        <v>149</v>
      </c>
      <c r="G144" s="9" t="s">
        <v>150</v>
      </c>
      <c r="H144" s="9" t="s">
        <v>162</v>
      </c>
      <c r="I144" s="9" t="b">
        <f>TRUE()</f>
        <v>1</v>
      </c>
      <c r="J144" s="9" t="s">
        <v>152</v>
      </c>
      <c r="K144" s="9" t="s">
        <v>153</v>
      </c>
      <c r="L144" s="10">
        <v>45700</v>
      </c>
      <c r="M144" s="10"/>
      <c r="N144" s="10"/>
      <c r="O144" s="10">
        <v>45711</v>
      </c>
      <c r="P144" s="9" t="b">
        <f>TRUE()</f>
        <v>1</v>
      </c>
      <c r="Q144" s="11">
        <v>9193.5300000000007</v>
      </c>
    </row>
    <row r="145" spans="1:17" ht="15" customHeight="1" x14ac:dyDescent="0.2">
      <c r="A145" s="9" t="s">
        <v>315</v>
      </c>
      <c r="B145" s="10">
        <v>45772</v>
      </c>
      <c r="C145" s="10">
        <v>45748</v>
      </c>
      <c r="D145" s="9" t="s">
        <v>22</v>
      </c>
      <c r="E145" s="9" t="s">
        <v>26</v>
      </c>
      <c r="F145" s="9" t="s">
        <v>149</v>
      </c>
      <c r="G145" s="9" t="s">
        <v>161</v>
      </c>
      <c r="H145" s="9" t="s">
        <v>170</v>
      </c>
      <c r="I145" s="9" t="b">
        <f>TRUE()</f>
        <v>1</v>
      </c>
      <c r="J145" s="9" t="s">
        <v>152</v>
      </c>
      <c r="K145" s="9" t="s">
        <v>163</v>
      </c>
      <c r="L145" s="10"/>
      <c r="M145" s="10"/>
      <c r="N145" s="10"/>
      <c r="O145" s="10">
        <v>45781</v>
      </c>
      <c r="P145" s="9" t="b">
        <f>TRUE()</f>
        <v>1</v>
      </c>
      <c r="Q145" s="11">
        <v>1865.11</v>
      </c>
    </row>
    <row r="146" spans="1:17" ht="15" customHeight="1" x14ac:dyDescent="0.2">
      <c r="A146" s="9" t="s">
        <v>316</v>
      </c>
      <c r="B146" s="10">
        <v>45853</v>
      </c>
      <c r="C146" s="10">
        <v>45839</v>
      </c>
      <c r="D146" s="9" t="s">
        <v>18</v>
      </c>
      <c r="E146" s="9" t="s">
        <v>28</v>
      </c>
      <c r="F146" s="9" t="s">
        <v>149</v>
      </c>
      <c r="G146" s="9" t="s">
        <v>156</v>
      </c>
      <c r="H146" s="9" t="s">
        <v>157</v>
      </c>
      <c r="I146" s="9" t="b">
        <f>TRUE()</f>
        <v>1</v>
      </c>
      <c r="J146" s="9" t="s">
        <v>152</v>
      </c>
      <c r="K146" s="9" t="s">
        <v>153</v>
      </c>
      <c r="L146" s="10">
        <v>45861</v>
      </c>
      <c r="M146" s="10">
        <v>45865</v>
      </c>
      <c r="N146" s="10"/>
      <c r="O146" s="10">
        <v>45899</v>
      </c>
      <c r="P146" s="9" t="b">
        <f>TRUE()</f>
        <v>1</v>
      </c>
      <c r="Q146" s="11">
        <v>772.67</v>
      </c>
    </row>
    <row r="147" spans="1:17" ht="15" customHeight="1" x14ac:dyDescent="0.2">
      <c r="A147" s="9" t="s">
        <v>317</v>
      </c>
      <c r="B147" s="10">
        <v>45843</v>
      </c>
      <c r="C147" s="10">
        <v>45839</v>
      </c>
      <c r="D147" s="9" t="s">
        <v>22</v>
      </c>
      <c r="E147" s="9" t="s">
        <v>27</v>
      </c>
      <c r="F147" s="9" t="s">
        <v>149</v>
      </c>
      <c r="G147" s="9" t="s">
        <v>156</v>
      </c>
      <c r="H147" s="9" t="s">
        <v>151</v>
      </c>
      <c r="I147" s="9" t="b">
        <f>TRUE()</f>
        <v>1</v>
      </c>
      <c r="J147" s="9" t="s">
        <v>152</v>
      </c>
      <c r="K147" s="9" t="s">
        <v>153</v>
      </c>
      <c r="L147" s="10">
        <v>45852</v>
      </c>
      <c r="M147" s="10"/>
      <c r="N147" s="10"/>
      <c r="O147" s="10">
        <v>45876</v>
      </c>
      <c r="P147" s="9" t="b">
        <f>TRUE()</f>
        <v>1</v>
      </c>
      <c r="Q147" s="11">
        <v>963.76</v>
      </c>
    </row>
    <row r="148" spans="1:17" ht="15" customHeight="1" x14ac:dyDescent="0.2">
      <c r="A148" s="9" t="s">
        <v>318</v>
      </c>
      <c r="B148" s="10">
        <v>45803</v>
      </c>
      <c r="C148" s="10">
        <v>45778</v>
      </c>
      <c r="D148" s="9" t="s">
        <v>20</v>
      </c>
      <c r="E148" s="9" t="s">
        <v>24</v>
      </c>
      <c r="F148" s="9" t="s">
        <v>155</v>
      </c>
      <c r="G148" s="9" t="s">
        <v>156</v>
      </c>
      <c r="H148" s="9" t="s">
        <v>189</v>
      </c>
      <c r="I148" s="9" t="b">
        <f>TRUE()</f>
        <v>1</v>
      </c>
      <c r="J148" s="9" t="s">
        <v>2</v>
      </c>
      <c r="K148" s="9" t="s">
        <v>153</v>
      </c>
      <c r="L148" s="10">
        <v>45811</v>
      </c>
      <c r="M148" s="10">
        <v>45821</v>
      </c>
      <c r="N148" s="10">
        <v>45847</v>
      </c>
      <c r="O148" s="10"/>
      <c r="P148" s="9" t="b">
        <f>TRUE()</f>
        <v>1</v>
      </c>
      <c r="Q148" s="11">
        <v>435.5</v>
      </c>
    </row>
    <row r="149" spans="1:17" ht="15" customHeight="1" x14ac:dyDescent="0.2">
      <c r="A149" s="9" t="s">
        <v>319</v>
      </c>
      <c r="B149" s="10">
        <v>45679</v>
      </c>
      <c r="C149" s="10">
        <v>45658</v>
      </c>
      <c r="D149" s="9" t="s">
        <v>22</v>
      </c>
      <c r="E149" s="9" t="s">
        <v>26</v>
      </c>
      <c r="F149" s="9" t="s">
        <v>149</v>
      </c>
      <c r="G149" s="9" t="s">
        <v>161</v>
      </c>
      <c r="H149" s="9" t="s">
        <v>170</v>
      </c>
      <c r="I149" s="9" t="b">
        <f>TRUE()</f>
        <v>1</v>
      </c>
      <c r="J149" s="9" t="s">
        <v>2</v>
      </c>
      <c r="K149" s="9" t="s">
        <v>153</v>
      </c>
      <c r="L149" s="10">
        <v>45685</v>
      </c>
      <c r="M149" s="10">
        <v>45694</v>
      </c>
      <c r="N149" s="10">
        <v>45702</v>
      </c>
      <c r="O149" s="10"/>
      <c r="P149" s="9" t="b">
        <f>TRUE()</f>
        <v>1</v>
      </c>
      <c r="Q149" s="11">
        <v>2195.9899999999998</v>
      </c>
    </row>
    <row r="150" spans="1:17" ht="15" customHeight="1" x14ac:dyDescent="0.2">
      <c r="A150" s="9" t="s">
        <v>320</v>
      </c>
      <c r="B150" s="10">
        <v>45977</v>
      </c>
      <c r="C150" s="10">
        <v>45962</v>
      </c>
      <c r="D150" s="9" t="s">
        <v>18</v>
      </c>
      <c r="E150" s="9" t="s">
        <v>24</v>
      </c>
      <c r="F150" s="9" t="s">
        <v>155</v>
      </c>
      <c r="G150" s="9" t="s">
        <v>161</v>
      </c>
      <c r="H150" s="9" t="s">
        <v>201</v>
      </c>
      <c r="I150" s="9" t="b">
        <f>TRUE()</f>
        <v>1</v>
      </c>
      <c r="J150" s="9" t="s">
        <v>152</v>
      </c>
      <c r="K150" s="9" t="s">
        <v>153</v>
      </c>
      <c r="L150" s="10">
        <v>45984</v>
      </c>
      <c r="M150" s="10">
        <v>45989</v>
      </c>
      <c r="N150" s="10"/>
      <c r="O150" s="10">
        <v>46003</v>
      </c>
      <c r="P150" s="9" t="b">
        <f>TRUE()</f>
        <v>1</v>
      </c>
      <c r="Q150" s="11">
        <v>1822.51</v>
      </c>
    </row>
    <row r="151" spans="1:17" ht="15" customHeight="1" x14ac:dyDescent="0.2">
      <c r="A151" s="9" t="s">
        <v>321</v>
      </c>
      <c r="B151" s="10">
        <v>45838</v>
      </c>
      <c r="C151" s="10">
        <v>45809</v>
      </c>
      <c r="D151" s="9" t="s">
        <v>20</v>
      </c>
      <c r="E151" s="9" t="s">
        <v>24</v>
      </c>
      <c r="F151" s="9" t="s">
        <v>149</v>
      </c>
      <c r="G151" s="9" t="s">
        <v>161</v>
      </c>
      <c r="H151" s="9" t="s">
        <v>189</v>
      </c>
      <c r="I151" s="9" t="b">
        <f>TRUE()</f>
        <v>1</v>
      </c>
      <c r="J151" s="9" t="s">
        <v>152</v>
      </c>
      <c r="K151" s="9" t="s">
        <v>153</v>
      </c>
      <c r="L151" s="10">
        <v>45842</v>
      </c>
      <c r="M151" s="10"/>
      <c r="N151" s="10"/>
      <c r="O151" s="10">
        <v>45850</v>
      </c>
      <c r="P151" s="9" t="b">
        <f>TRUE()</f>
        <v>1</v>
      </c>
      <c r="Q151" s="11">
        <v>2912.38</v>
      </c>
    </row>
    <row r="152" spans="1:17" ht="15" customHeight="1" x14ac:dyDescent="0.2">
      <c r="A152" s="9" t="s">
        <v>322</v>
      </c>
      <c r="B152" s="10">
        <v>45695</v>
      </c>
      <c r="C152" s="10">
        <v>45689</v>
      </c>
      <c r="D152" s="9" t="s">
        <v>19</v>
      </c>
      <c r="E152" s="9" t="s">
        <v>28</v>
      </c>
      <c r="F152" s="9" t="s">
        <v>155</v>
      </c>
      <c r="G152" s="9" t="s">
        <v>161</v>
      </c>
      <c r="H152" s="9" t="s">
        <v>210</v>
      </c>
      <c r="I152" s="9" t="b">
        <f>TRUE()</f>
        <v>1</v>
      </c>
      <c r="J152" s="9" t="s">
        <v>152</v>
      </c>
      <c r="K152" s="9" t="s">
        <v>163</v>
      </c>
      <c r="L152" s="10"/>
      <c r="M152" s="10"/>
      <c r="N152" s="10"/>
      <c r="O152" s="10">
        <v>45713</v>
      </c>
      <c r="P152" s="9" t="b">
        <f>TRUE()</f>
        <v>1</v>
      </c>
      <c r="Q152" s="11">
        <v>1516.18</v>
      </c>
    </row>
    <row r="153" spans="1:17" ht="15" customHeight="1" x14ac:dyDescent="0.2">
      <c r="A153" s="9" t="s">
        <v>323</v>
      </c>
      <c r="B153" s="10">
        <v>45861</v>
      </c>
      <c r="C153" s="10">
        <v>45839</v>
      </c>
      <c r="D153" s="9" t="s">
        <v>20</v>
      </c>
      <c r="E153" s="9" t="s">
        <v>25</v>
      </c>
      <c r="F153" s="9" t="s">
        <v>160</v>
      </c>
      <c r="G153" s="9" t="s">
        <v>161</v>
      </c>
      <c r="H153" s="9" t="s">
        <v>192</v>
      </c>
      <c r="I153" s="9" t="b">
        <f>TRUE()</f>
        <v>1</v>
      </c>
      <c r="J153" s="9" t="s">
        <v>2</v>
      </c>
      <c r="K153" s="9" t="s">
        <v>153</v>
      </c>
      <c r="L153" s="10">
        <v>45867</v>
      </c>
      <c r="M153" s="10">
        <v>45870</v>
      </c>
      <c r="N153" s="10">
        <v>45898</v>
      </c>
      <c r="O153" s="10"/>
      <c r="P153" s="9" t="b">
        <f>TRUE()</f>
        <v>1</v>
      </c>
      <c r="Q153" s="11">
        <v>1822.37</v>
      </c>
    </row>
    <row r="154" spans="1:17" ht="15" customHeight="1" x14ac:dyDescent="0.2">
      <c r="A154" s="9" t="s">
        <v>324</v>
      </c>
      <c r="B154" s="10">
        <v>46010</v>
      </c>
      <c r="C154" s="10">
        <v>45992</v>
      </c>
      <c r="D154" s="9" t="s">
        <v>20</v>
      </c>
      <c r="E154" s="9" t="s">
        <v>24</v>
      </c>
      <c r="F154" s="9" t="s">
        <v>155</v>
      </c>
      <c r="G154" s="9" t="s">
        <v>156</v>
      </c>
      <c r="H154" s="9" t="s">
        <v>192</v>
      </c>
      <c r="I154" s="9" t="b">
        <f>TRUE()</f>
        <v>1</v>
      </c>
      <c r="J154" s="9" t="s">
        <v>190</v>
      </c>
      <c r="K154" s="9" t="s">
        <v>163</v>
      </c>
      <c r="L154" s="10"/>
      <c r="M154" s="10"/>
      <c r="N154" s="10"/>
      <c r="O154" s="10"/>
      <c r="P154" s="9" t="b">
        <f>TRUE()</f>
        <v>1</v>
      </c>
      <c r="Q154" s="11">
        <v>381.48</v>
      </c>
    </row>
    <row r="155" spans="1:17" ht="15" customHeight="1" x14ac:dyDescent="0.2">
      <c r="A155" s="9" t="s">
        <v>325</v>
      </c>
      <c r="B155" s="10">
        <v>45729</v>
      </c>
      <c r="C155" s="10">
        <v>45717</v>
      </c>
      <c r="D155" s="9" t="s">
        <v>21</v>
      </c>
      <c r="E155" s="9" t="s">
        <v>24</v>
      </c>
      <c r="F155" s="9" t="s">
        <v>149</v>
      </c>
      <c r="G155" s="9" t="s">
        <v>150</v>
      </c>
      <c r="H155" s="9" t="s">
        <v>176</v>
      </c>
      <c r="I155" s="9" t="b">
        <f>TRUE()</f>
        <v>1</v>
      </c>
      <c r="J155" s="9" t="s">
        <v>152</v>
      </c>
      <c r="K155" s="9" t="s">
        <v>163</v>
      </c>
      <c r="L155" s="10"/>
      <c r="M155" s="10"/>
      <c r="N155" s="10"/>
      <c r="O155" s="10">
        <v>45747</v>
      </c>
      <c r="P155" s="9" t="b">
        <f>TRUE()</f>
        <v>1</v>
      </c>
      <c r="Q155" s="11">
        <v>7289.11</v>
      </c>
    </row>
    <row r="156" spans="1:17" ht="15" customHeight="1" x14ac:dyDescent="0.2">
      <c r="A156" s="9" t="s">
        <v>326</v>
      </c>
      <c r="B156" s="10">
        <v>45942</v>
      </c>
      <c r="C156" s="10">
        <v>45931</v>
      </c>
      <c r="D156" s="9" t="s">
        <v>22</v>
      </c>
      <c r="E156" s="9" t="s">
        <v>27</v>
      </c>
      <c r="F156" s="9" t="s">
        <v>149</v>
      </c>
      <c r="G156" s="9" t="s">
        <v>161</v>
      </c>
      <c r="H156" s="9" t="s">
        <v>151</v>
      </c>
      <c r="I156" s="9" t="b">
        <f>TRUE()</f>
        <v>1</v>
      </c>
      <c r="J156" s="9" t="s">
        <v>152</v>
      </c>
      <c r="K156" s="9" t="s">
        <v>153</v>
      </c>
      <c r="L156" s="10">
        <v>45948</v>
      </c>
      <c r="M156" s="10">
        <v>45953</v>
      </c>
      <c r="N156" s="10"/>
      <c r="O156" s="10">
        <v>45988</v>
      </c>
      <c r="P156" s="9" t="b">
        <f>TRUE()</f>
        <v>1</v>
      </c>
      <c r="Q156" s="11">
        <v>2836.49</v>
      </c>
    </row>
    <row r="157" spans="1:17" ht="15" customHeight="1" x14ac:dyDescent="0.2">
      <c r="A157" s="9" t="s">
        <v>327</v>
      </c>
      <c r="B157" s="10">
        <v>45789</v>
      </c>
      <c r="C157" s="10">
        <v>45778</v>
      </c>
      <c r="D157" s="9" t="s">
        <v>21</v>
      </c>
      <c r="E157" s="9" t="s">
        <v>27</v>
      </c>
      <c r="F157" s="9" t="s">
        <v>155</v>
      </c>
      <c r="G157" s="9" t="s">
        <v>161</v>
      </c>
      <c r="H157" s="9" t="s">
        <v>162</v>
      </c>
      <c r="I157" s="9" t="b">
        <f>TRUE()</f>
        <v>1</v>
      </c>
      <c r="J157" s="9" t="s">
        <v>2</v>
      </c>
      <c r="K157" s="9" t="s">
        <v>153</v>
      </c>
      <c r="L157" s="10">
        <v>45792</v>
      </c>
      <c r="M157" s="10">
        <v>45801</v>
      </c>
      <c r="N157" s="10">
        <v>45807</v>
      </c>
      <c r="O157" s="10"/>
      <c r="P157" s="9" t="b">
        <f>TRUE()</f>
        <v>1</v>
      </c>
      <c r="Q157" s="11">
        <v>1392.53</v>
      </c>
    </row>
    <row r="158" spans="1:17" ht="15" customHeight="1" x14ac:dyDescent="0.2">
      <c r="A158" s="9" t="s">
        <v>328</v>
      </c>
      <c r="B158" s="10">
        <v>45786</v>
      </c>
      <c r="C158" s="10">
        <v>45778</v>
      </c>
      <c r="D158" s="9" t="s">
        <v>21</v>
      </c>
      <c r="E158" s="9" t="s">
        <v>27</v>
      </c>
      <c r="F158" s="9" t="s">
        <v>149</v>
      </c>
      <c r="G158" s="9" t="s">
        <v>156</v>
      </c>
      <c r="H158" s="9" t="s">
        <v>183</v>
      </c>
      <c r="I158" s="9" t="b">
        <f>TRUE()</f>
        <v>1</v>
      </c>
      <c r="J158" s="9" t="s">
        <v>152</v>
      </c>
      <c r="K158" s="9" t="s">
        <v>153</v>
      </c>
      <c r="L158" s="10">
        <v>45794</v>
      </c>
      <c r="M158" s="10"/>
      <c r="N158" s="10"/>
      <c r="O158" s="10">
        <v>45803</v>
      </c>
      <c r="P158" s="9" t="b">
        <f>TRUE()</f>
        <v>1</v>
      </c>
      <c r="Q158" s="11">
        <v>1085.17</v>
      </c>
    </row>
    <row r="159" spans="1:17" ht="15" customHeight="1" x14ac:dyDescent="0.2">
      <c r="A159" s="9" t="s">
        <v>329</v>
      </c>
      <c r="B159" s="10">
        <v>45902</v>
      </c>
      <c r="C159" s="10">
        <v>45901</v>
      </c>
      <c r="D159" s="9" t="s">
        <v>22</v>
      </c>
      <c r="E159" s="9" t="s">
        <v>25</v>
      </c>
      <c r="F159" s="9" t="s">
        <v>149</v>
      </c>
      <c r="G159" s="9" t="s">
        <v>156</v>
      </c>
      <c r="H159" s="9" t="s">
        <v>165</v>
      </c>
      <c r="I159" s="9" t="b">
        <f>TRUE()</f>
        <v>1</v>
      </c>
      <c r="J159" s="9" t="s">
        <v>152</v>
      </c>
      <c r="K159" s="9" t="s">
        <v>153</v>
      </c>
      <c r="L159" s="10">
        <v>45911</v>
      </c>
      <c r="M159" s="10"/>
      <c r="N159" s="10"/>
      <c r="O159" s="10">
        <v>45935</v>
      </c>
      <c r="P159" s="9" t="b">
        <f>TRUE()</f>
        <v>1</v>
      </c>
      <c r="Q159" s="11">
        <v>690.07</v>
      </c>
    </row>
    <row r="160" spans="1:17" ht="15" customHeight="1" x14ac:dyDescent="0.2">
      <c r="A160" s="9" t="s">
        <v>330</v>
      </c>
      <c r="B160" s="10">
        <v>45759</v>
      </c>
      <c r="C160" s="10">
        <v>45748</v>
      </c>
      <c r="D160" s="9" t="s">
        <v>19</v>
      </c>
      <c r="E160" s="9" t="s">
        <v>24</v>
      </c>
      <c r="F160" s="9" t="s">
        <v>149</v>
      </c>
      <c r="G160" s="9" t="s">
        <v>156</v>
      </c>
      <c r="H160" s="9" t="s">
        <v>210</v>
      </c>
      <c r="I160" s="9" t="b">
        <f>TRUE()</f>
        <v>1</v>
      </c>
      <c r="J160" s="9" t="s">
        <v>152</v>
      </c>
      <c r="K160" s="9" t="s">
        <v>153</v>
      </c>
      <c r="L160" s="10">
        <v>45769</v>
      </c>
      <c r="M160" s="10">
        <v>45776</v>
      </c>
      <c r="N160" s="10"/>
      <c r="O160" s="10">
        <v>45784</v>
      </c>
      <c r="P160" s="9" t="b">
        <f>TRUE()</f>
        <v>1</v>
      </c>
      <c r="Q160" s="11">
        <v>885.5</v>
      </c>
    </row>
    <row r="161" spans="1:17" ht="15" customHeight="1" x14ac:dyDescent="0.2">
      <c r="A161" s="9" t="s">
        <v>331</v>
      </c>
      <c r="B161" s="10">
        <v>46021</v>
      </c>
      <c r="C161" s="10">
        <v>45992</v>
      </c>
      <c r="D161" s="9" t="s">
        <v>21</v>
      </c>
      <c r="E161" s="9" t="s">
        <v>27</v>
      </c>
      <c r="F161" s="9" t="s">
        <v>155</v>
      </c>
      <c r="G161" s="9" t="s">
        <v>150</v>
      </c>
      <c r="H161" s="9" t="s">
        <v>183</v>
      </c>
      <c r="I161" s="9" t="b">
        <f>TRUE()</f>
        <v>1</v>
      </c>
      <c r="J161" s="9" t="s">
        <v>190</v>
      </c>
      <c r="K161" s="9" t="s">
        <v>163</v>
      </c>
      <c r="L161" s="10"/>
      <c r="M161" s="10"/>
      <c r="N161" s="10"/>
      <c r="O161" s="10"/>
      <c r="P161" s="9" t="b">
        <f>TRUE()</f>
        <v>1</v>
      </c>
      <c r="Q161" s="11">
        <v>5277.24</v>
      </c>
    </row>
    <row r="162" spans="1:17" ht="15" customHeight="1" x14ac:dyDescent="0.2">
      <c r="A162" s="9" t="s">
        <v>332</v>
      </c>
      <c r="B162" s="10">
        <v>45853</v>
      </c>
      <c r="C162" s="10">
        <v>45839</v>
      </c>
      <c r="D162" s="9" t="s">
        <v>22</v>
      </c>
      <c r="E162" s="9" t="s">
        <v>25</v>
      </c>
      <c r="F162" s="9" t="s">
        <v>149</v>
      </c>
      <c r="G162" s="9" t="s">
        <v>161</v>
      </c>
      <c r="H162" s="9" t="s">
        <v>170</v>
      </c>
      <c r="I162" s="9" t="b">
        <f>TRUE()</f>
        <v>1</v>
      </c>
      <c r="J162" s="9" t="s">
        <v>152</v>
      </c>
      <c r="K162" s="9" t="s">
        <v>153</v>
      </c>
      <c r="L162" s="10">
        <v>45863</v>
      </c>
      <c r="M162" s="10"/>
      <c r="N162" s="10"/>
      <c r="O162" s="10">
        <v>45881</v>
      </c>
      <c r="P162" s="9" t="b">
        <f>TRUE()</f>
        <v>1</v>
      </c>
      <c r="Q162" s="11">
        <v>3071.77</v>
      </c>
    </row>
    <row r="163" spans="1:17" ht="15" customHeight="1" x14ac:dyDescent="0.2">
      <c r="A163" s="9" t="s">
        <v>333</v>
      </c>
      <c r="B163" s="10">
        <v>45864</v>
      </c>
      <c r="C163" s="10">
        <v>45839</v>
      </c>
      <c r="D163" s="9" t="s">
        <v>20</v>
      </c>
      <c r="E163" s="9" t="s">
        <v>25</v>
      </c>
      <c r="F163" s="9" t="s">
        <v>155</v>
      </c>
      <c r="G163" s="9" t="s">
        <v>161</v>
      </c>
      <c r="H163" s="9" t="s">
        <v>189</v>
      </c>
      <c r="I163" s="9" t="b">
        <f>TRUE()</f>
        <v>1</v>
      </c>
      <c r="J163" s="9" t="s">
        <v>2</v>
      </c>
      <c r="K163" s="9" t="s">
        <v>153</v>
      </c>
      <c r="L163" s="10">
        <v>45869</v>
      </c>
      <c r="M163" s="10">
        <v>45873</v>
      </c>
      <c r="N163" s="10">
        <v>45896</v>
      </c>
      <c r="O163" s="10"/>
      <c r="P163" s="9" t="b">
        <f>TRUE()</f>
        <v>1</v>
      </c>
      <c r="Q163" s="11">
        <v>2050.27</v>
      </c>
    </row>
    <row r="164" spans="1:17" ht="15" customHeight="1" x14ac:dyDescent="0.2">
      <c r="A164" s="9" t="s">
        <v>334</v>
      </c>
      <c r="B164" s="10">
        <v>45916</v>
      </c>
      <c r="C164" s="10">
        <v>45901</v>
      </c>
      <c r="D164" s="9" t="s">
        <v>22</v>
      </c>
      <c r="E164" s="9" t="s">
        <v>26</v>
      </c>
      <c r="F164" s="9" t="s">
        <v>160</v>
      </c>
      <c r="G164" s="9" t="s">
        <v>156</v>
      </c>
      <c r="H164" s="9" t="s">
        <v>170</v>
      </c>
      <c r="I164" s="9" t="b">
        <f>TRUE()</f>
        <v>1</v>
      </c>
      <c r="J164" s="9" t="s">
        <v>152</v>
      </c>
      <c r="K164" s="9" t="s">
        <v>153</v>
      </c>
      <c r="L164" s="10">
        <v>45923</v>
      </c>
      <c r="M164" s="10"/>
      <c r="N164" s="10"/>
      <c r="O164" s="10">
        <v>45946</v>
      </c>
      <c r="P164" s="9" t="b">
        <f>TRUE()</f>
        <v>1</v>
      </c>
      <c r="Q164" s="11">
        <v>543.88</v>
      </c>
    </row>
    <row r="165" spans="1:17" ht="15" customHeight="1" x14ac:dyDescent="0.2">
      <c r="A165" s="9" t="s">
        <v>335</v>
      </c>
      <c r="B165" s="10">
        <v>45751</v>
      </c>
      <c r="C165" s="10">
        <v>45748</v>
      </c>
      <c r="D165" s="9" t="s">
        <v>22</v>
      </c>
      <c r="E165" s="9" t="s">
        <v>26</v>
      </c>
      <c r="F165" s="9" t="s">
        <v>149</v>
      </c>
      <c r="G165" s="9" t="s">
        <v>156</v>
      </c>
      <c r="H165" s="9" t="s">
        <v>165</v>
      </c>
      <c r="I165" s="9" t="b">
        <f>TRUE()</f>
        <v>1</v>
      </c>
      <c r="J165" s="9" t="s">
        <v>152</v>
      </c>
      <c r="K165" s="9" t="s">
        <v>163</v>
      </c>
      <c r="L165" s="10"/>
      <c r="M165" s="10"/>
      <c r="N165" s="10"/>
      <c r="O165" s="10">
        <v>45766</v>
      </c>
      <c r="P165" s="9" t="b">
        <f>TRUE()</f>
        <v>1</v>
      </c>
      <c r="Q165" s="11">
        <v>655.73</v>
      </c>
    </row>
    <row r="166" spans="1:17" ht="15" customHeight="1" x14ac:dyDescent="0.2">
      <c r="A166" s="9" t="s">
        <v>336</v>
      </c>
      <c r="B166" s="10">
        <v>45840</v>
      </c>
      <c r="C166" s="10">
        <v>45839</v>
      </c>
      <c r="D166" s="9" t="s">
        <v>20</v>
      </c>
      <c r="E166" s="9" t="s">
        <v>26</v>
      </c>
      <c r="F166" s="9" t="s">
        <v>160</v>
      </c>
      <c r="G166" s="9" t="s">
        <v>161</v>
      </c>
      <c r="H166" s="9" t="s">
        <v>189</v>
      </c>
      <c r="I166" s="9" t="b">
        <f>TRUE()</f>
        <v>1</v>
      </c>
      <c r="J166" s="9" t="s">
        <v>2</v>
      </c>
      <c r="K166" s="9" t="s">
        <v>153</v>
      </c>
      <c r="L166" s="10">
        <v>45850</v>
      </c>
      <c r="M166" s="10">
        <v>45856</v>
      </c>
      <c r="N166" s="10">
        <v>45881</v>
      </c>
      <c r="O166" s="10"/>
      <c r="P166" s="9" t="b">
        <f>TRUE()</f>
        <v>1</v>
      </c>
      <c r="Q166" s="11">
        <v>1977.9</v>
      </c>
    </row>
    <row r="167" spans="1:17" ht="15" customHeight="1" x14ac:dyDescent="0.2">
      <c r="A167" s="9" t="s">
        <v>337</v>
      </c>
      <c r="B167" s="10">
        <v>45758</v>
      </c>
      <c r="C167" s="10">
        <v>45748</v>
      </c>
      <c r="D167" s="9" t="s">
        <v>20</v>
      </c>
      <c r="E167" s="9" t="s">
        <v>24</v>
      </c>
      <c r="F167" s="9" t="s">
        <v>149</v>
      </c>
      <c r="G167" s="9" t="s">
        <v>156</v>
      </c>
      <c r="H167" s="9" t="s">
        <v>192</v>
      </c>
      <c r="I167" s="9" t="b">
        <f>TRUE()</f>
        <v>1</v>
      </c>
      <c r="J167" s="9" t="s">
        <v>2</v>
      </c>
      <c r="K167" s="9" t="s">
        <v>153</v>
      </c>
      <c r="L167" s="10">
        <v>45764</v>
      </c>
      <c r="M167" s="10">
        <v>45768</v>
      </c>
      <c r="N167" s="10">
        <v>45784</v>
      </c>
      <c r="O167" s="10"/>
      <c r="P167" s="9" t="b">
        <f>TRUE()</f>
        <v>1</v>
      </c>
      <c r="Q167" s="11">
        <v>1018.13</v>
      </c>
    </row>
    <row r="168" spans="1:17" ht="15" customHeight="1" x14ac:dyDescent="0.2">
      <c r="A168" s="9" t="s">
        <v>338</v>
      </c>
      <c r="B168" s="10">
        <v>45976</v>
      </c>
      <c r="C168" s="10">
        <v>45962</v>
      </c>
      <c r="D168" s="9" t="s">
        <v>19</v>
      </c>
      <c r="E168" s="9" t="s">
        <v>24</v>
      </c>
      <c r="F168" s="9" t="s">
        <v>149</v>
      </c>
      <c r="G168" s="9" t="s">
        <v>156</v>
      </c>
      <c r="H168" s="9" t="s">
        <v>207</v>
      </c>
      <c r="I168" s="9" t="b">
        <f>TRUE()</f>
        <v>1</v>
      </c>
      <c r="J168" s="9" t="s">
        <v>152</v>
      </c>
      <c r="K168" s="9" t="s">
        <v>153</v>
      </c>
      <c r="L168" s="10">
        <v>45983</v>
      </c>
      <c r="M168" s="10"/>
      <c r="N168" s="10"/>
      <c r="O168" s="10">
        <v>45998</v>
      </c>
      <c r="P168" s="9" t="b">
        <f>TRUE()</f>
        <v>1</v>
      </c>
      <c r="Q168" s="11">
        <v>1086.83</v>
      </c>
    </row>
    <row r="169" spans="1:17" ht="15" customHeight="1" x14ac:dyDescent="0.2">
      <c r="A169" s="9" t="s">
        <v>339</v>
      </c>
      <c r="B169" s="10">
        <v>45953</v>
      </c>
      <c r="C169" s="10">
        <v>45931</v>
      </c>
      <c r="D169" s="9" t="s">
        <v>22</v>
      </c>
      <c r="E169" s="9" t="s">
        <v>26</v>
      </c>
      <c r="F169" s="9" t="s">
        <v>160</v>
      </c>
      <c r="G169" s="9" t="s">
        <v>161</v>
      </c>
      <c r="H169" s="9" t="s">
        <v>170</v>
      </c>
      <c r="I169" s="9" t="b">
        <f>TRUE()</f>
        <v>1</v>
      </c>
      <c r="J169" s="9" t="s">
        <v>152</v>
      </c>
      <c r="K169" s="9" t="s">
        <v>153</v>
      </c>
      <c r="L169" s="10">
        <v>45954</v>
      </c>
      <c r="M169" s="10">
        <v>45959</v>
      </c>
      <c r="N169" s="10"/>
      <c r="O169" s="10">
        <v>45972</v>
      </c>
      <c r="P169" s="9" t="b">
        <f>TRUE()</f>
        <v>1</v>
      </c>
      <c r="Q169" s="11">
        <v>2854.5</v>
      </c>
    </row>
    <row r="170" spans="1:17" ht="15" customHeight="1" x14ac:dyDescent="0.2">
      <c r="A170" s="9" t="s">
        <v>340</v>
      </c>
      <c r="B170" s="10">
        <v>45864</v>
      </c>
      <c r="C170" s="10">
        <v>45839</v>
      </c>
      <c r="D170" s="9" t="s">
        <v>22</v>
      </c>
      <c r="E170" s="9" t="s">
        <v>28</v>
      </c>
      <c r="F170" s="9" t="s">
        <v>160</v>
      </c>
      <c r="G170" s="9" t="s">
        <v>156</v>
      </c>
      <c r="H170" s="9" t="s">
        <v>165</v>
      </c>
      <c r="I170" s="9" t="b">
        <f>TRUE()</f>
        <v>1</v>
      </c>
      <c r="J170" s="9" t="s">
        <v>152</v>
      </c>
      <c r="K170" s="9" t="s">
        <v>163</v>
      </c>
      <c r="L170" s="10"/>
      <c r="M170" s="10"/>
      <c r="N170" s="10"/>
      <c r="O170" s="10">
        <v>45874</v>
      </c>
      <c r="P170" s="9" t="b">
        <f>TRUE()</f>
        <v>1</v>
      </c>
      <c r="Q170" s="11">
        <v>868.16</v>
      </c>
    </row>
    <row r="171" spans="1:17" ht="15" customHeight="1" x14ac:dyDescent="0.2">
      <c r="A171" s="9" t="s">
        <v>341</v>
      </c>
      <c r="B171" s="10">
        <v>45945</v>
      </c>
      <c r="C171" s="10">
        <v>45931</v>
      </c>
      <c r="D171" s="9" t="s">
        <v>18</v>
      </c>
      <c r="E171" s="9" t="s">
        <v>25</v>
      </c>
      <c r="F171" s="9" t="s">
        <v>186</v>
      </c>
      <c r="G171" s="9" t="s">
        <v>156</v>
      </c>
      <c r="H171" s="9" t="s">
        <v>201</v>
      </c>
      <c r="I171" s="9" t="b">
        <f>TRUE()</f>
        <v>1</v>
      </c>
      <c r="J171" s="9" t="s">
        <v>152</v>
      </c>
      <c r="K171" s="9" t="s">
        <v>153</v>
      </c>
      <c r="L171" s="10">
        <v>45946</v>
      </c>
      <c r="M171" s="10"/>
      <c r="N171" s="10"/>
      <c r="O171" s="10">
        <v>45971</v>
      </c>
      <c r="P171" s="9" t="b">
        <f>TRUE()</f>
        <v>1</v>
      </c>
      <c r="Q171" s="11">
        <v>752.1</v>
      </c>
    </row>
    <row r="172" spans="1:17" ht="15" customHeight="1" x14ac:dyDescent="0.2">
      <c r="A172" s="9" t="s">
        <v>342</v>
      </c>
      <c r="B172" s="10">
        <v>45682</v>
      </c>
      <c r="C172" s="10">
        <v>45658</v>
      </c>
      <c r="D172" s="9" t="s">
        <v>22</v>
      </c>
      <c r="E172" s="9" t="s">
        <v>24</v>
      </c>
      <c r="F172" s="9" t="s">
        <v>160</v>
      </c>
      <c r="G172" s="9" t="s">
        <v>161</v>
      </c>
      <c r="H172" s="9" t="s">
        <v>170</v>
      </c>
      <c r="I172" s="9" t="b">
        <f>TRUE()</f>
        <v>1</v>
      </c>
      <c r="J172" s="9" t="s">
        <v>152</v>
      </c>
      <c r="K172" s="9" t="s">
        <v>153</v>
      </c>
      <c r="L172" s="10">
        <v>45685</v>
      </c>
      <c r="M172" s="10">
        <v>45697</v>
      </c>
      <c r="N172" s="10"/>
      <c r="O172" s="10">
        <v>45703</v>
      </c>
      <c r="P172" s="9" t="b">
        <f>TRUE()</f>
        <v>1</v>
      </c>
      <c r="Q172" s="11">
        <v>2629.65</v>
      </c>
    </row>
    <row r="173" spans="1:17" ht="15" customHeight="1" x14ac:dyDescent="0.2">
      <c r="A173" s="9" t="s">
        <v>343</v>
      </c>
      <c r="B173" s="10">
        <v>45835</v>
      </c>
      <c r="C173" s="10">
        <v>45809</v>
      </c>
      <c r="D173" s="9" t="s">
        <v>19</v>
      </c>
      <c r="E173" s="9" t="s">
        <v>25</v>
      </c>
      <c r="F173" s="9" t="s">
        <v>149</v>
      </c>
      <c r="G173" s="9" t="s">
        <v>156</v>
      </c>
      <c r="H173" s="9" t="s">
        <v>210</v>
      </c>
      <c r="I173" s="9" t="b">
        <f>TRUE()</f>
        <v>1</v>
      </c>
      <c r="J173" s="9" t="s">
        <v>152</v>
      </c>
      <c r="K173" s="9" t="s">
        <v>153</v>
      </c>
      <c r="L173" s="10">
        <v>45845</v>
      </c>
      <c r="M173" s="10"/>
      <c r="N173" s="10"/>
      <c r="O173" s="10">
        <v>45851</v>
      </c>
      <c r="P173" s="9" t="b">
        <f>TRUE()</f>
        <v>1</v>
      </c>
      <c r="Q173" s="11">
        <v>1003.3</v>
      </c>
    </row>
    <row r="174" spans="1:17" ht="15" customHeight="1" x14ac:dyDescent="0.2">
      <c r="A174" s="9" t="s">
        <v>344</v>
      </c>
      <c r="B174" s="10">
        <v>45800</v>
      </c>
      <c r="C174" s="10">
        <v>45778</v>
      </c>
      <c r="D174" s="9" t="s">
        <v>22</v>
      </c>
      <c r="E174" s="9" t="s">
        <v>25</v>
      </c>
      <c r="F174" s="9" t="s">
        <v>160</v>
      </c>
      <c r="G174" s="9" t="s">
        <v>156</v>
      </c>
      <c r="H174" s="9" t="s">
        <v>151</v>
      </c>
      <c r="I174" s="9" t="b">
        <f>TRUE()</f>
        <v>1</v>
      </c>
      <c r="J174" s="9" t="s">
        <v>152</v>
      </c>
      <c r="K174" s="9" t="s">
        <v>153</v>
      </c>
      <c r="L174" s="10">
        <v>45810</v>
      </c>
      <c r="M174" s="10"/>
      <c r="N174" s="10"/>
      <c r="O174" s="10">
        <v>45826</v>
      </c>
      <c r="P174" s="9" t="b">
        <f>TRUE()</f>
        <v>1</v>
      </c>
      <c r="Q174" s="11">
        <v>802.33</v>
      </c>
    </row>
    <row r="175" spans="1:17" ht="15" customHeight="1" x14ac:dyDescent="0.2">
      <c r="A175" s="9" t="s">
        <v>345</v>
      </c>
      <c r="B175" s="10">
        <v>45871</v>
      </c>
      <c r="C175" s="10">
        <v>45870</v>
      </c>
      <c r="D175" s="9" t="s">
        <v>18</v>
      </c>
      <c r="E175" s="9" t="s">
        <v>26</v>
      </c>
      <c r="F175" s="9" t="s">
        <v>155</v>
      </c>
      <c r="G175" s="9" t="s">
        <v>156</v>
      </c>
      <c r="H175" s="9" t="s">
        <v>251</v>
      </c>
      <c r="I175" s="9" t="b">
        <f>TRUE()</f>
        <v>1</v>
      </c>
      <c r="J175" s="9" t="s">
        <v>152</v>
      </c>
      <c r="K175" s="9" t="s">
        <v>163</v>
      </c>
      <c r="L175" s="10"/>
      <c r="M175" s="10"/>
      <c r="N175" s="10"/>
      <c r="O175" s="10">
        <v>45890</v>
      </c>
      <c r="P175" s="9" t="b">
        <f>TRUE()</f>
        <v>1</v>
      </c>
      <c r="Q175" s="11">
        <v>611.01</v>
      </c>
    </row>
    <row r="176" spans="1:17" ht="15" customHeight="1" x14ac:dyDescent="0.2">
      <c r="A176" s="9" t="s">
        <v>346</v>
      </c>
      <c r="B176" s="10">
        <v>45825</v>
      </c>
      <c r="C176" s="10">
        <v>45809</v>
      </c>
      <c r="D176" s="9" t="s">
        <v>21</v>
      </c>
      <c r="E176" s="9" t="s">
        <v>24</v>
      </c>
      <c r="F176" s="9" t="s">
        <v>160</v>
      </c>
      <c r="G176" s="9" t="s">
        <v>150</v>
      </c>
      <c r="H176" s="9" t="s">
        <v>176</v>
      </c>
      <c r="I176" s="9" t="b">
        <f>TRUE()</f>
        <v>1</v>
      </c>
      <c r="J176" s="9" t="s">
        <v>152</v>
      </c>
      <c r="K176" s="9" t="s">
        <v>153</v>
      </c>
      <c r="L176" s="10">
        <v>45827</v>
      </c>
      <c r="M176" s="10">
        <v>45832</v>
      </c>
      <c r="N176" s="10"/>
      <c r="O176" s="10">
        <v>45842</v>
      </c>
      <c r="P176" s="9" t="b">
        <f>TRUE()</f>
        <v>1</v>
      </c>
      <c r="Q176" s="11">
        <v>7890.12</v>
      </c>
    </row>
    <row r="177" spans="1:17" ht="15" customHeight="1" x14ac:dyDescent="0.2">
      <c r="A177" s="9" t="s">
        <v>347</v>
      </c>
      <c r="B177" s="10">
        <v>45992</v>
      </c>
      <c r="C177" s="10">
        <v>45992</v>
      </c>
      <c r="D177" s="9" t="s">
        <v>20</v>
      </c>
      <c r="E177" s="9" t="s">
        <v>24</v>
      </c>
      <c r="F177" s="9" t="s">
        <v>155</v>
      </c>
      <c r="G177" s="9" t="s">
        <v>156</v>
      </c>
      <c r="H177" s="9" t="s">
        <v>192</v>
      </c>
      <c r="I177" s="9" t="b">
        <f>TRUE()</f>
        <v>1</v>
      </c>
      <c r="J177" s="9" t="s">
        <v>152</v>
      </c>
      <c r="K177" s="9" t="s">
        <v>163</v>
      </c>
      <c r="L177" s="10"/>
      <c r="M177" s="10"/>
      <c r="N177" s="10"/>
      <c r="O177" s="10">
        <v>45997</v>
      </c>
      <c r="P177" s="9" t="b">
        <f>TRUE()</f>
        <v>1</v>
      </c>
      <c r="Q177" s="11">
        <v>400.15</v>
      </c>
    </row>
    <row r="178" spans="1:17" ht="15" customHeight="1" x14ac:dyDescent="0.2">
      <c r="A178" s="9" t="s">
        <v>348</v>
      </c>
      <c r="B178" s="10">
        <v>45922</v>
      </c>
      <c r="C178" s="10">
        <v>45901</v>
      </c>
      <c r="D178" s="9" t="s">
        <v>18</v>
      </c>
      <c r="E178" s="9" t="s">
        <v>26</v>
      </c>
      <c r="F178" s="9" t="s">
        <v>149</v>
      </c>
      <c r="G178" s="9" t="s">
        <v>161</v>
      </c>
      <c r="H178" s="9" t="s">
        <v>201</v>
      </c>
      <c r="I178" s="9" t="b">
        <f>TRUE()</f>
        <v>1</v>
      </c>
      <c r="J178" s="9" t="s">
        <v>152</v>
      </c>
      <c r="K178" s="9" t="s">
        <v>163</v>
      </c>
      <c r="L178" s="10"/>
      <c r="M178" s="10"/>
      <c r="N178" s="10"/>
      <c r="O178" s="10">
        <v>45927</v>
      </c>
      <c r="P178" s="9" t="b">
        <f>TRUE()</f>
        <v>1</v>
      </c>
      <c r="Q178" s="11">
        <v>2287.29</v>
      </c>
    </row>
    <row r="179" spans="1:17" ht="15" customHeight="1" x14ac:dyDescent="0.2">
      <c r="A179" s="9" t="s">
        <v>349</v>
      </c>
      <c r="B179" s="10">
        <v>45735</v>
      </c>
      <c r="C179" s="10">
        <v>45717</v>
      </c>
      <c r="D179" s="9" t="s">
        <v>19</v>
      </c>
      <c r="E179" s="9" t="s">
        <v>25</v>
      </c>
      <c r="F179" s="9" t="s">
        <v>149</v>
      </c>
      <c r="G179" s="9" t="s">
        <v>156</v>
      </c>
      <c r="H179" s="9" t="s">
        <v>179</v>
      </c>
      <c r="I179" s="9" t="b">
        <f>TRUE()</f>
        <v>1</v>
      </c>
      <c r="J179" s="9" t="s">
        <v>152</v>
      </c>
      <c r="K179" s="9" t="s">
        <v>153</v>
      </c>
      <c r="L179" s="10">
        <v>45743</v>
      </c>
      <c r="M179" s="10">
        <v>45752</v>
      </c>
      <c r="N179" s="10"/>
      <c r="O179" s="10">
        <v>45774</v>
      </c>
      <c r="P179" s="9" t="b">
        <f>TRUE()</f>
        <v>1</v>
      </c>
      <c r="Q179" s="11">
        <v>1017</v>
      </c>
    </row>
    <row r="180" spans="1:17" ht="15" customHeight="1" x14ac:dyDescent="0.2">
      <c r="A180" s="9" t="s">
        <v>350</v>
      </c>
      <c r="B180" s="10">
        <v>45960</v>
      </c>
      <c r="C180" s="10">
        <v>45931</v>
      </c>
      <c r="D180" s="9" t="s">
        <v>20</v>
      </c>
      <c r="E180" s="9" t="s">
        <v>26</v>
      </c>
      <c r="F180" s="9" t="s">
        <v>160</v>
      </c>
      <c r="G180" s="9" t="s">
        <v>161</v>
      </c>
      <c r="H180" s="9" t="s">
        <v>167</v>
      </c>
      <c r="I180" s="9" t="b">
        <f>TRUE()</f>
        <v>1</v>
      </c>
      <c r="J180" s="9" t="s">
        <v>152</v>
      </c>
      <c r="K180" s="9" t="s">
        <v>163</v>
      </c>
      <c r="L180" s="10"/>
      <c r="M180" s="10"/>
      <c r="N180" s="10"/>
      <c r="O180" s="10">
        <v>45968</v>
      </c>
      <c r="P180" s="9" t="b">
        <f>TRUE()</f>
        <v>1</v>
      </c>
      <c r="Q180" s="11">
        <v>2439.12</v>
      </c>
    </row>
    <row r="181" spans="1:17" ht="15" customHeight="1" x14ac:dyDescent="0.2">
      <c r="A181" s="9" t="s">
        <v>351</v>
      </c>
      <c r="B181" s="10">
        <v>45782</v>
      </c>
      <c r="C181" s="10">
        <v>45778</v>
      </c>
      <c r="D181" s="9" t="s">
        <v>22</v>
      </c>
      <c r="E181" s="9" t="s">
        <v>28</v>
      </c>
      <c r="F181" s="9" t="s">
        <v>160</v>
      </c>
      <c r="G181" s="9" t="s">
        <v>161</v>
      </c>
      <c r="H181" s="9" t="s">
        <v>151</v>
      </c>
      <c r="I181" s="9" t="b">
        <f>TRUE()</f>
        <v>1</v>
      </c>
      <c r="J181" s="9" t="s">
        <v>152</v>
      </c>
      <c r="K181" s="9" t="s">
        <v>163</v>
      </c>
      <c r="L181" s="10"/>
      <c r="M181" s="10"/>
      <c r="N181" s="10"/>
      <c r="O181" s="10">
        <v>45795</v>
      </c>
      <c r="P181" s="9" t="b">
        <f>TRUE()</f>
        <v>1</v>
      </c>
      <c r="Q181" s="11">
        <v>2494.48</v>
      </c>
    </row>
    <row r="182" spans="1:17" ht="15" customHeight="1" x14ac:dyDescent="0.2">
      <c r="A182" s="9" t="s">
        <v>352</v>
      </c>
      <c r="B182" s="10">
        <v>45987</v>
      </c>
      <c r="C182" s="10">
        <v>45962</v>
      </c>
      <c r="D182" s="9" t="s">
        <v>20</v>
      </c>
      <c r="E182" s="9" t="s">
        <v>27</v>
      </c>
      <c r="F182" s="9" t="s">
        <v>160</v>
      </c>
      <c r="G182" s="9" t="s">
        <v>161</v>
      </c>
      <c r="H182" s="9" t="s">
        <v>192</v>
      </c>
      <c r="I182" s="9" t="b">
        <f>TRUE()</f>
        <v>1</v>
      </c>
      <c r="J182" s="9" t="s">
        <v>2</v>
      </c>
      <c r="K182" s="9" t="s">
        <v>153</v>
      </c>
      <c r="L182" s="10">
        <v>45995</v>
      </c>
      <c r="M182" s="10">
        <v>46007</v>
      </c>
      <c r="N182" s="10">
        <v>46023</v>
      </c>
      <c r="O182" s="10"/>
      <c r="P182" s="9" t="b">
        <f>TRUE()</f>
        <v>1</v>
      </c>
      <c r="Q182" s="11">
        <v>3214.92</v>
      </c>
    </row>
    <row r="183" spans="1:17" ht="15" customHeight="1" x14ac:dyDescent="0.2">
      <c r="A183" s="9" t="s">
        <v>353</v>
      </c>
      <c r="B183" s="10">
        <v>45820</v>
      </c>
      <c r="C183" s="10">
        <v>45809</v>
      </c>
      <c r="D183" s="9" t="s">
        <v>22</v>
      </c>
      <c r="E183" s="9" t="s">
        <v>25</v>
      </c>
      <c r="F183" s="9" t="s">
        <v>149</v>
      </c>
      <c r="G183" s="9" t="s">
        <v>156</v>
      </c>
      <c r="H183" s="9" t="s">
        <v>170</v>
      </c>
      <c r="I183" s="9" t="b">
        <f>TRUE()</f>
        <v>1</v>
      </c>
      <c r="J183" s="9" t="s">
        <v>152</v>
      </c>
      <c r="K183" s="9" t="s">
        <v>153</v>
      </c>
      <c r="L183" s="10">
        <v>45830</v>
      </c>
      <c r="M183" s="10"/>
      <c r="N183" s="10"/>
      <c r="O183" s="10">
        <v>45847</v>
      </c>
      <c r="P183" s="9" t="b">
        <f>TRUE()</f>
        <v>1</v>
      </c>
      <c r="Q183" s="11">
        <v>900.82</v>
      </c>
    </row>
    <row r="184" spans="1:17" ht="15" customHeight="1" x14ac:dyDescent="0.2">
      <c r="A184" s="9" t="s">
        <v>354</v>
      </c>
      <c r="B184" s="10">
        <v>45887</v>
      </c>
      <c r="C184" s="10">
        <v>45870</v>
      </c>
      <c r="D184" s="9" t="s">
        <v>19</v>
      </c>
      <c r="E184" s="9" t="s">
        <v>28</v>
      </c>
      <c r="F184" s="9" t="s">
        <v>149</v>
      </c>
      <c r="G184" s="9" t="s">
        <v>156</v>
      </c>
      <c r="H184" s="9" t="s">
        <v>210</v>
      </c>
      <c r="I184" s="9" t="b">
        <f>TRUE()</f>
        <v>1</v>
      </c>
      <c r="J184" s="9" t="s">
        <v>152</v>
      </c>
      <c r="K184" s="9" t="s">
        <v>153</v>
      </c>
      <c r="L184" s="10">
        <v>45894</v>
      </c>
      <c r="M184" s="10">
        <v>45902</v>
      </c>
      <c r="N184" s="10"/>
      <c r="O184" s="10">
        <v>45922</v>
      </c>
      <c r="P184" s="9" t="b">
        <f>TRUE()</f>
        <v>1</v>
      </c>
      <c r="Q184" s="11">
        <v>1074.49</v>
      </c>
    </row>
    <row r="185" spans="1:17" ht="15" customHeight="1" x14ac:dyDescent="0.2">
      <c r="A185" s="9" t="s">
        <v>355</v>
      </c>
      <c r="B185" s="10">
        <v>45848</v>
      </c>
      <c r="C185" s="10">
        <v>45839</v>
      </c>
      <c r="D185" s="9" t="s">
        <v>22</v>
      </c>
      <c r="E185" s="9" t="s">
        <v>28</v>
      </c>
      <c r="F185" s="9" t="s">
        <v>155</v>
      </c>
      <c r="G185" s="9" t="s">
        <v>156</v>
      </c>
      <c r="H185" s="9" t="s">
        <v>165</v>
      </c>
      <c r="I185" s="9" t="b">
        <f>TRUE()</f>
        <v>1</v>
      </c>
      <c r="J185" s="9" t="s">
        <v>152</v>
      </c>
      <c r="K185" s="9" t="s">
        <v>153</v>
      </c>
      <c r="L185" s="10">
        <v>45855</v>
      </c>
      <c r="M185" s="10">
        <v>45867</v>
      </c>
      <c r="N185" s="10"/>
      <c r="O185" s="10">
        <v>45881</v>
      </c>
      <c r="P185" s="9" t="b">
        <f>TRUE()</f>
        <v>1</v>
      </c>
      <c r="Q185" s="11">
        <v>509.46</v>
      </c>
    </row>
    <row r="186" spans="1:17" ht="15" customHeight="1" x14ac:dyDescent="0.2">
      <c r="A186" s="9" t="s">
        <v>356</v>
      </c>
      <c r="B186" s="10">
        <v>45679</v>
      </c>
      <c r="C186" s="10">
        <v>45658</v>
      </c>
      <c r="D186" s="9" t="s">
        <v>21</v>
      </c>
      <c r="E186" s="9" t="s">
        <v>25</v>
      </c>
      <c r="F186" s="9" t="s">
        <v>149</v>
      </c>
      <c r="G186" s="9" t="s">
        <v>156</v>
      </c>
      <c r="H186" s="9" t="s">
        <v>176</v>
      </c>
      <c r="I186" s="9" t="b">
        <f>TRUE()</f>
        <v>1</v>
      </c>
      <c r="J186" s="9" t="s">
        <v>152</v>
      </c>
      <c r="K186" s="9" t="s">
        <v>153</v>
      </c>
      <c r="L186" s="10">
        <v>45684</v>
      </c>
      <c r="M186" s="10"/>
      <c r="N186" s="10"/>
      <c r="O186" s="10">
        <v>45709</v>
      </c>
      <c r="P186" s="9" t="b">
        <f>TRUE()</f>
        <v>1</v>
      </c>
      <c r="Q186" s="11">
        <v>864.32</v>
      </c>
    </row>
    <row r="187" spans="1:17" ht="15" customHeight="1" x14ac:dyDescent="0.2">
      <c r="A187" s="9" t="s">
        <v>357</v>
      </c>
      <c r="B187" s="10">
        <v>45966</v>
      </c>
      <c r="C187" s="10">
        <v>45962</v>
      </c>
      <c r="D187" s="9" t="s">
        <v>21</v>
      </c>
      <c r="E187" s="9" t="s">
        <v>25</v>
      </c>
      <c r="F187" s="9" t="s">
        <v>160</v>
      </c>
      <c r="G187" s="9" t="s">
        <v>161</v>
      </c>
      <c r="H187" s="9" t="s">
        <v>176</v>
      </c>
      <c r="I187" s="9" t="b">
        <f>TRUE()</f>
        <v>1</v>
      </c>
      <c r="J187" s="9" t="s">
        <v>2</v>
      </c>
      <c r="K187" s="9" t="s">
        <v>153</v>
      </c>
      <c r="L187" s="10">
        <v>45970</v>
      </c>
      <c r="M187" s="10">
        <v>45972</v>
      </c>
      <c r="N187" s="10">
        <v>45987</v>
      </c>
      <c r="O187" s="10"/>
      <c r="P187" s="9" t="b">
        <f>TRUE()</f>
        <v>1</v>
      </c>
      <c r="Q187" s="11">
        <v>2603.91</v>
      </c>
    </row>
    <row r="188" spans="1:17" ht="15" customHeight="1" x14ac:dyDescent="0.2">
      <c r="A188" s="9" t="s">
        <v>358</v>
      </c>
      <c r="B188" s="10">
        <v>45989</v>
      </c>
      <c r="C188" s="10">
        <v>45962</v>
      </c>
      <c r="D188" s="9" t="s">
        <v>18</v>
      </c>
      <c r="E188" s="9" t="s">
        <v>26</v>
      </c>
      <c r="F188" s="9" t="s">
        <v>160</v>
      </c>
      <c r="G188" s="9" t="s">
        <v>156</v>
      </c>
      <c r="H188" s="9" t="s">
        <v>201</v>
      </c>
      <c r="I188" s="9" t="b">
        <f>TRUE()</f>
        <v>1</v>
      </c>
      <c r="J188" s="9" t="s">
        <v>152</v>
      </c>
      <c r="K188" s="9" t="s">
        <v>153</v>
      </c>
      <c r="L188" s="10">
        <v>45999</v>
      </c>
      <c r="M188" s="10">
        <v>46010</v>
      </c>
      <c r="N188" s="10"/>
      <c r="O188" s="10">
        <v>46044</v>
      </c>
      <c r="P188" s="9" t="b">
        <f>TRUE()</f>
        <v>1</v>
      </c>
      <c r="Q188" s="11">
        <v>786.61</v>
      </c>
    </row>
    <row r="189" spans="1:17" ht="15" customHeight="1" x14ac:dyDescent="0.2">
      <c r="A189" s="9" t="s">
        <v>359</v>
      </c>
      <c r="B189" s="10">
        <v>45720</v>
      </c>
      <c r="C189" s="10">
        <v>45717</v>
      </c>
      <c r="D189" s="9" t="s">
        <v>22</v>
      </c>
      <c r="E189" s="9" t="s">
        <v>28</v>
      </c>
      <c r="F189" s="9" t="s">
        <v>160</v>
      </c>
      <c r="G189" s="9" t="s">
        <v>156</v>
      </c>
      <c r="H189" s="9" t="s">
        <v>151</v>
      </c>
      <c r="I189" s="9" t="b">
        <f>TRUE()</f>
        <v>1</v>
      </c>
      <c r="J189" s="9" t="s">
        <v>152</v>
      </c>
      <c r="K189" s="9" t="s">
        <v>163</v>
      </c>
      <c r="L189" s="10"/>
      <c r="M189" s="10"/>
      <c r="N189" s="10"/>
      <c r="O189" s="10">
        <v>45723</v>
      </c>
      <c r="P189" s="9" t="b">
        <f>TRUE()</f>
        <v>1</v>
      </c>
      <c r="Q189" s="11">
        <v>581.13</v>
      </c>
    </row>
    <row r="190" spans="1:17" ht="15" customHeight="1" x14ac:dyDescent="0.2">
      <c r="A190" s="9" t="s">
        <v>360</v>
      </c>
      <c r="B190" s="10">
        <v>45879</v>
      </c>
      <c r="C190" s="10">
        <v>45870</v>
      </c>
      <c r="D190" s="9" t="s">
        <v>19</v>
      </c>
      <c r="E190" s="9" t="s">
        <v>25</v>
      </c>
      <c r="F190" s="9" t="s">
        <v>149</v>
      </c>
      <c r="G190" s="9" t="s">
        <v>156</v>
      </c>
      <c r="H190" s="9" t="s">
        <v>179</v>
      </c>
      <c r="I190" s="9" t="b">
        <f>TRUE()</f>
        <v>1</v>
      </c>
      <c r="J190" s="9" t="s">
        <v>2</v>
      </c>
      <c r="K190" s="9" t="s">
        <v>153</v>
      </c>
      <c r="L190" s="10">
        <v>45885</v>
      </c>
      <c r="M190" s="10">
        <v>45887</v>
      </c>
      <c r="N190" s="10">
        <v>45899</v>
      </c>
      <c r="O190" s="10"/>
      <c r="P190" s="9" t="b">
        <f>TRUE()</f>
        <v>1</v>
      </c>
      <c r="Q190" s="11">
        <v>616.57000000000005</v>
      </c>
    </row>
    <row r="191" spans="1:17" ht="15" customHeight="1" x14ac:dyDescent="0.2">
      <c r="A191" s="9" t="s">
        <v>361</v>
      </c>
      <c r="B191" s="10">
        <v>45838</v>
      </c>
      <c r="C191" s="10">
        <v>45809</v>
      </c>
      <c r="D191" s="9" t="s">
        <v>22</v>
      </c>
      <c r="E191" s="9" t="s">
        <v>28</v>
      </c>
      <c r="F191" s="9" t="s">
        <v>186</v>
      </c>
      <c r="G191" s="9" t="s">
        <v>156</v>
      </c>
      <c r="H191" s="9" t="s">
        <v>151</v>
      </c>
      <c r="I191" s="9" t="b">
        <f>TRUE()</f>
        <v>1</v>
      </c>
      <c r="J191" s="9" t="s">
        <v>152</v>
      </c>
      <c r="K191" s="9" t="s">
        <v>163</v>
      </c>
      <c r="L191" s="10"/>
      <c r="M191" s="10"/>
      <c r="N191" s="10"/>
      <c r="O191" s="10">
        <v>45856</v>
      </c>
      <c r="P191" s="9" t="b">
        <f>TRUE()</f>
        <v>1</v>
      </c>
      <c r="Q191" s="11">
        <v>581.99</v>
      </c>
    </row>
    <row r="192" spans="1:17" ht="15" customHeight="1" x14ac:dyDescent="0.2">
      <c r="A192" s="9" t="s">
        <v>44</v>
      </c>
      <c r="B192" s="10">
        <v>45918</v>
      </c>
      <c r="C192" s="10">
        <v>45901</v>
      </c>
      <c r="D192" s="9" t="s">
        <v>20</v>
      </c>
      <c r="E192" s="9" t="s">
        <v>28</v>
      </c>
      <c r="F192" s="9" t="s">
        <v>155</v>
      </c>
      <c r="G192" s="9" t="s">
        <v>161</v>
      </c>
      <c r="H192" s="9" t="s">
        <v>167</v>
      </c>
      <c r="I192" s="9" t="b">
        <f>TRUE()</f>
        <v>1</v>
      </c>
      <c r="J192" s="9" t="s">
        <v>152</v>
      </c>
      <c r="K192" s="9" t="s">
        <v>153</v>
      </c>
      <c r="L192" s="10">
        <v>45928</v>
      </c>
      <c r="M192" s="10">
        <v>45936</v>
      </c>
      <c r="N192" s="10"/>
      <c r="O192" s="10">
        <v>45971</v>
      </c>
      <c r="P192" s="9" t="b">
        <f>TRUE()</f>
        <v>1</v>
      </c>
      <c r="Q192" s="11">
        <v>1375.65</v>
      </c>
    </row>
    <row r="193" spans="1:17" ht="15" customHeight="1" x14ac:dyDescent="0.2">
      <c r="A193" s="9" t="s">
        <v>362</v>
      </c>
      <c r="B193" s="10">
        <v>45804</v>
      </c>
      <c r="C193" s="10">
        <v>45778</v>
      </c>
      <c r="D193" s="9" t="s">
        <v>20</v>
      </c>
      <c r="E193" s="9" t="s">
        <v>26</v>
      </c>
      <c r="F193" s="9" t="s">
        <v>186</v>
      </c>
      <c r="G193" s="9" t="s">
        <v>156</v>
      </c>
      <c r="H193" s="9" t="s">
        <v>192</v>
      </c>
      <c r="I193" s="9" t="b">
        <f>TRUE()</f>
        <v>1</v>
      </c>
      <c r="J193" s="9" t="s">
        <v>152</v>
      </c>
      <c r="K193" s="9" t="s">
        <v>153</v>
      </c>
      <c r="L193" s="10">
        <v>45813</v>
      </c>
      <c r="M193" s="10">
        <v>45824</v>
      </c>
      <c r="N193" s="10"/>
      <c r="O193" s="10">
        <v>45856</v>
      </c>
      <c r="P193" s="9" t="b">
        <f>TRUE()</f>
        <v>1</v>
      </c>
      <c r="Q193" s="11">
        <v>482.58</v>
      </c>
    </row>
    <row r="194" spans="1:17" ht="15" customHeight="1" x14ac:dyDescent="0.2">
      <c r="A194" s="9" t="s">
        <v>363</v>
      </c>
      <c r="B194" s="10">
        <v>45922</v>
      </c>
      <c r="C194" s="10">
        <v>45901</v>
      </c>
      <c r="D194" s="9" t="s">
        <v>22</v>
      </c>
      <c r="E194" s="9" t="s">
        <v>24</v>
      </c>
      <c r="F194" s="9" t="s">
        <v>155</v>
      </c>
      <c r="G194" s="9" t="s">
        <v>161</v>
      </c>
      <c r="H194" s="9" t="s">
        <v>165</v>
      </c>
      <c r="I194" s="9" t="b">
        <f>TRUE()</f>
        <v>1</v>
      </c>
      <c r="J194" s="9" t="s">
        <v>2</v>
      </c>
      <c r="K194" s="9" t="s">
        <v>153</v>
      </c>
      <c r="L194" s="10">
        <v>45923</v>
      </c>
      <c r="M194" s="10">
        <v>45927</v>
      </c>
      <c r="N194" s="10">
        <v>45939</v>
      </c>
      <c r="O194" s="10"/>
      <c r="P194" s="9" t="b">
        <f>TRUE()</f>
        <v>1</v>
      </c>
      <c r="Q194" s="11">
        <v>1203.6400000000001</v>
      </c>
    </row>
    <row r="195" spans="1:17" ht="15" customHeight="1" x14ac:dyDescent="0.2">
      <c r="A195" s="9" t="s">
        <v>364</v>
      </c>
      <c r="B195" s="10">
        <v>45768</v>
      </c>
      <c r="C195" s="10">
        <v>45748</v>
      </c>
      <c r="D195" s="9" t="s">
        <v>22</v>
      </c>
      <c r="E195" s="9" t="s">
        <v>25</v>
      </c>
      <c r="F195" s="9" t="s">
        <v>149</v>
      </c>
      <c r="G195" s="9" t="s">
        <v>156</v>
      </c>
      <c r="H195" s="9" t="s">
        <v>165</v>
      </c>
      <c r="I195" s="9" t="b">
        <f>TRUE()</f>
        <v>1</v>
      </c>
      <c r="J195" s="9" t="s">
        <v>152</v>
      </c>
      <c r="K195" s="9" t="s">
        <v>163</v>
      </c>
      <c r="L195" s="10"/>
      <c r="M195" s="10"/>
      <c r="N195" s="10"/>
      <c r="O195" s="10">
        <v>45774</v>
      </c>
      <c r="P195" s="9" t="b">
        <f>TRUE()</f>
        <v>1</v>
      </c>
      <c r="Q195" s="11">
        <v>650.04</v>
      </c>
    </row>
    <row r="196" spans="1:17" ht="15" customHeight="1" x14ac:dyDescent="0.2">
      <c r="A196" s="9" t="s">
        <v>365</v>
      </c>
      <c r="B196" s="10">
        <v>45789</v>
      </c>
      <c r="C196" s="10">
        <v>45778</v>
      </c>
      <c r="D196" s="9" t="s">
        <v>21</v>
      </c>
      <c r="E196" s="9" t="s">
        <v>28</v>
      </c>
      <c r="F196" s="9" t="s">
        <v>149</v>
      </c>
      <c r="G196" s="9" t="s">
        <v>156</v>
      </c>
      <c r="H196" s="9" t="s">
        <v>162</v>
      </c>
      <c r="I196" s="9" t="b">
        <f>TRUE()</f>
        <v>1</v>
      </c>
      <c r="J196" s="9" t="s">
        <v>152</v>
      </c>
      <c r="K196" s="9" t="s">
        <v>153</v>
      </c>
      <c r="L196" s="10">
        <v>45799</v>
      </c>
      <c r="M196" s="10">
        <v>45805</v>
      </c>
      <c r="N196" s="10"/>
      <c r="O196" s="10">
        <v>45828</v>
      </c>
      <c r="P196" s="9" t="b">
        <f>TRUE()</f>
        <v>1</v>
      </c>
      <c r="Q196" s="11">
        <v>598.97</v>
      </c>
    </row>
    <row r="197" spans="1:17" ht="15" customHeight="1" x14ac:dyDescent="0.2">
      <c r="A197" s="9" t="s">
        <v>366</v>
      </c>
      <c r="B197" s="10">
        <v>45873</v>
      </c>
      <c r="C197" s="10">
        <v>45870</v>
      </c>
      <c r="D197" s="9" t="s">
        <v>19</v>
      </c>
      <c r="E197" s="9" t="s">
        <v>24</v>
      </c>
      <c r="F197" s="9" t="s">
        <v>149</v>
      </c>
      <c r="G197" s="9" t="s">
        <v>156</v>
      </c>
      <c r="H197" s="9" t="s">
        <v>207</v>
      </c>
      <c r="I197" s="9" t="b">
        <f>TRUE()</f>
        <v>1</v>
      </c>
      <c r="J197" s="9" t="s">
        <v>152</v>
      </c>
      <c r="K197" s="9" t="s">
        <v>163</v>
      </c>
      <c r="L197" s="10"/>
      <c r="M197" s="10"/>
      <c r="N197" s="10"/>
      <c r="O197" s="10">
        <v>45880</v>
      </c>
      <c r="P197" s="9" t="b">
        <f>TRUE()</f>
        <v>1</v>
      </c>
      <c r="Q197" s="11">
        <v>866</v>
      </c>
    </row>
    <row r="198" spans="1:17" ht="15" customHeight="1" x14ac:dyDescent="0.2">
      <c r="A198" s="9" t="s">
        <v>367</v>
      </c>
      <c r="B198" s="10">
        <v>45808</v>
      </c>
      <c r="C198" s="10">
        <v>45778</v>
      </c>
      <c r="D198" s="9" t="s">
        <v>19</v>
      </c>
      <c r="E198" s="9" t="s">
        <v>27</v>
      </c>
      <c r="F198" s="9" t="s">
        <v>186</v>
      </c>
      <c r="G198" s="9" t="s">
        <v>156</v>
      </c>
      <c r="H198" s="9" t="s">
        <v>179</v>
      </c>
      <c r="I198" s="9" t="b">
        <f>TRUE()</f>
        <v>1</v>
      </c>
      <c r="J198" s="9" t="s">
        <v>152</v>
      </c>
      <c r="K198" s="9" t="s">
        <v>153</v>
      </c>
      <c r="L198" s="10">
        <v>45814</v>
      </c>
      <c r="M198" s="10">
        <v>45829</v>
      </c>
      <c r="N198" s="10"/>
      <c r="O198" s="10">
        <v>45841</v>
      </c>
      <c r="P198" s="9" t="b">
        <f>TRUE()</f>
        <v>1</v>
      </c>
      <c r="Q198" s="11">
        <v>560.97</v>
      </c>
    </row>
    <row r="199" spans="1:17" ht="15" customHeight="1" x14ac:dyDescent="0.2">
      <c r="A199" s="9" t="s">
        <v>368</v>
      </c>
      <c r="B199" s="10">
        <v>45809</v>
      </c>
      <c r="C199" s="10">
        <v>45809</v>
      </c>
      <c r="D199" s="9" t="s">
        <v>22</v>
      </c>
      <c r="E199" s="9" t="s">
        <v>26</v>
      </c>
      <c r="F199" s="9" t="s">
        <v>186</v>
      </c>
      <c r="G199" s="9" t="s">
        <v>156</v>
      </c>
      <c r="H199" s="9" t="s">
        <v>165</v>
      </c>
      <c r="I199" s="9" t="b">
        <f>TRUE()</f>
        <v>1</v>
      </c>
      <c r="J199" s="9" t="s">
        <v>2</v>
      </c>
      <c r="K199" s="9" t="s">
        <v>153</v>
      </c>
      <c r="L199" s="10">
        <v>45817</v>
      </c>
      <c r="M199" s="10">
        <v>45824</v>
      </c>
      <c r="N199" s="10">
        <v>45836</v>
      </c>
      <c r="O199" s="10"/>
      <c r="P199" s="9" t="b">
        <f>TRUE()</f>
        <v>1</v>
      </c>
      <c r="Q199" s="11">
        <v>711.74</v>
      </c>
    </row>
    <row r="200" spans="1:17" ht="15" customHeight="1" x14ac:dyDescent="0.2">
      <c r="A200" s="9" t="s">
        <v>369</v>
      </c>
      <c r="B200" s="10">
        <v>45816</v>
      </c>
      <c r="C200" s="10">
        <v>45809</v>
      </c>
      <c r="D200" s="9" t="s">
        <v>22</v>
      </c>
      <c r="E200" s="9" t="s">
        <v>26</v>
      </c>
      <c r="F200" s="9" t="s">
        <v>149</v>
      </c>
      <c r="G200" s="9" t="s">
        <v>156</v>
      </c>
      <c r="H200" s="9" t="s">
        <v>170</v>
      </c>
      <c r="I200" s="9" t="b">
        <f>TRUE()</f>
        <v>1</v>
      </c>
      <c r="J200" s="9" t="s">
        <v>2</v>
      </c>
      <c r="K200" s="9" t="s">
        <v>153</v>
      </c>
      <c r="L200" s="10">
        <v>45826</v>
      </c>
      <c r="M200" s="10">
        <v>45832</v>
      </c>
      <c r="N200" s="10">
        <v>45841</v>
      </c>
      <c r="O200" s="10"/>
      <c r="P200" s="9" t="b">
        <f>TRUE()</f>
        <v>1</v>
      </c>
      <c r="Q200" s="11">
        <v>1083.67</v>
      </c>
    </row>
    <row r="201" spans="1:17" ht="15" customHeight="1" x14ac:dyDescent="0.2">
      <c r="A201" s="9" t="s">
        <v>370</v>
      </c>
      <c r="B201" s="10">
        <v>45999</v>
      </c>
      <c r="C201" s="10">
        <v>45992</v>
      </c>
      <c r="D201" s="9" t="s">
        <v>18</v>
      </c>
      <c r="E201" s="9" t="s">
        <v>24</v>
      </c>
      <c r="F201" s="9" t="s">
        <v>155</v>
      </c>
      <c r="G201" s="9" t="s">
        <v>156</v>
      </c>
      <c r="H201" s="9" t="s">
        <v>157</v>
      </c>
      <c r="I201" s="9" t="b">
        <f>TRUE()</f>
        <v>1</v>
      </c>
      <c r="J201" s="9" t="s">
        <v>190</v>
      </c>
      <c r="K201" s="9" t="s">
        <v>163</v>
      </c>
      <c r="L201" s="10"/>
      <c r="M201" s="10"/>
      <c r="N201" s="10"/>
      <c r="O201" s="10"/>
      <c r="P201" s="9" t="b">
        <f>TRUE()</f>
        <v>1</v>
      </c>
      <c r="Q201" s="11">
        <v>424.82</v>
      </c>
    </row>
    <row r="202" spans="1:17" ht="15" customHeight="1" x14ac:dyDescent="0.2">
      <c r="A202" s="9" t="s">
        <v>371</v>
      </c>
      <c r="B202" s="10">
        <v>45707</v>
      </c>
      <c r="C202" s="10">
        <v>45689</v>
      </c>
      <c r="D202" s="9" t="s">
        <v>22</v>
      </c>
      <c r="E202" s="9" t="s">
        <v>28</v>
      </c>
      <c r="F202" s="9" t="s">
        <v>149</v>
      </c>
      <c r="G202" s="9" t="s">
        <v>150</v>
      </c>
      <c r="H202" s="9" t="s">
        <v>170</v>
      </c>
      <c r="I202" s="9" t="b">
        <f>TRUE()</f>
        <v>1</v>
      </c>
      <c r="J202" s="9" t="s">
        <v>152</v>
      </c>
      <c r="K202" s="9" t="s">
        <v>163</v>
      </c>
      <c r="L202" s="10"/>
      <c r="M202" s="10"/>
      <c r="N202" s="10"/>
      <c r="O202" s="10">
        <v>45727</v>
      </c>
      <c r="P202" s="9" t="b">
        <f>TRUE()</f>
        <v>1</v>
      </c>
      <c r="Q202" s="11">
        <v>6242.92</v>
      </c>
    </row>
    <row r="203" spans="1:17" ht="15" customHeight="1" x14ac:dyDescent="0.2">
      <c r="A203" s="9" t="s">
        <v>372</v>
      </c>
      <c r="B203" s="10">
        <v>45993</v>
      </c>
      <c r="C203" s="10">
        <v>45992</v>
      </c>
      <c r="D203" s="9" t="s">
        <v>22</v>
      </c>
      <c r="E203" s="9" t="s">
        <v>26</v>
      </c>
      <c r="F203" s="9" t="s">
        <v>149</v>
      </c>
      <c r="G203" s="9" t="s">
        <v>156</v>
      </c>
      <c r="H203" s="9" t="s">
        <v>151</v>
      </c>
      <c r="I203" s="9" t="b">
        <f>TRUE()</f>
        <v>1</v>
      </c>
      <c r="J203" s="9" t="s">
        <v>2</v>
      </c>
      <c r="K203" s="9" t="s">
        <v>153</v>
      </c>
      <c r="L203" s="10">
        <v>46000</v>
      </c>
      <c r="M203" s="10">
        <v>46015</v>
      </c>
      <c r="N203" s="10">
        <v>46037</v>
      </c>
      <c r="O203" s="10"/>
      <c r="P203" s="9" t="b">
        <f>TRUE()</f>
        <v>1</v>
      </c>
      <c r="Q203" s="11">
        <v>848.18</v>
      </c>
    </row>
    <row r="204" spans="1:17" ht="15" customHeight="1" x14ac:dyDescent="0.2">
      <c r="A204" s="9" t="s">
        <v>373</v>
      </c>
      <c r="B204" s="10">
        <v>45912</v>
      </c>
      <c r="C204" s="10">
        <v>45901</v>
      </c>
      <c r="D204" s="9" t="s">
        <v>19</v>
      </c>
      <c r="E204" s="9" t="s">
        <v>28</v>
      </c>
      <c r="F204" s="9" t="s">
        <v>149</v>
      </c>
      <c r="G204" s="9" t="s">
        <v>161</v>
      </c>
      <c r="H204" s="9" t="s">
        <v>179</v>
      </c>
      <c r="I204" s="9" t="b">
        <f>TRUE()</f>
        <v>1</v>
      </c>
      <c r="J204" s="9" t="s">
        <v>152</v>
      </c>
      <c r="K204" s="9" t="s">
        <v>153</v>
      </c>
      <c r="L204" s="10">
        <v>45913</v>
      </c>
      <c r="M204" s="10">
        <v>45925</v>
      </c>
      <c r="N204" s="10"/>
      <c r="O204" s="10">
        <v>45953</v>
      </c>
      <c r="P204" s="9" t="b">
        <f>TRUE()</f>
        <v>1</v>
      </c>
      <c r="Q204" s="11">
        <v>2316.3200000000002</v>
      </c>
    </row>
    <row r="205" spans="1:17" ht="15" customHeight="1" x14ac:dyDescent="0.2">
      <c r="A205" s="9" t="s">
        <v>374</v>
      </c>
      <c r="B205" s="10">
        <v>45846</v>
      </c>
      <c r="C205" s="10">
        <v>45839</v>
      </c>
      <c r="D205" s="9" t="s">
        <v>22</v>
      </c>
      <c r="E205" s="9" t="s">
        <v>26</v>
      </c>
      <c r="F205" s="9" t="s">
        <v>149</v>
      </c>
      <c r="G205" s="9" t="s">
        <v>156</v>
      </c>
      <c r="H205" s="9" t="s">
        <v>165</v>
      </c>
      <c r="I205" s="9" t="b">
        <f>TRUE()</f>
        <v>1</v>
      </c>
      <c r="J205" s="9" t="s">
        <v>152</v>
      </c>
      <c r="K205" s="9" t="s">
        <v>153</v>
      </c>
      <c r="L205" s="10">
        <v>45849</v>
      </c>
      <c r="M205" s="10">
        <v>45858</v>
      </c>
      <c r="N205" s="10"/>
      <c r="O205" s="10">
        <v>45882</v>
      </c>
      <c r="P205" s="9" t="b">
        <f>TRUE()</f>
        <v>1</v>
      </c>
      <c r="Q205" s="11">
        <v>1026.05</v>
      </c>
    </row>
    <row r="206" spans="1:17" ht="15" customHeight="1" x14ac:dyDescent="0.2">
      <c r="A206" s="9" t="s">
        <v>52</v>
      </c>
      <c r="B206" s="10">
        <v>45879</v>
      </c>
      <c r="C206" s="10">
        <v>45870</v>
      </c>
      <c r="D206" s="9" t="s">
        <v>21</v>
      </c>
      <c r="E206" s="9" t="s">
        <v>375</v>
      </c>
      <c r="F206" s="9" t="s">
        <v>149</v>
      </c>
      <c r="G206" s="9" t="s">
        <v>156</v>
      </c>
      <c r="H206" s="9" t="s">
        <v>176</v>
      </c>
      <c r="I206" s="9" t="b">
        <f>TRUE()</f>
        <v>1</v>
      </c>
      <c r="J206" s="9" t="s">
        <v>152</v>
      </c>
      <c r="K206" s="9" t="s">
        <v>153</v>
      </c>
      <c r="L206" s="10">
        <v>45884</v>
      </c>
      <c r="M206" s="10"/>
      <c r="N206" s="10"/>
      <c r="O206" s="10">
        <v>45895</v>
      </c>
      <c r="P206" s="9" t="b">
        <f>TRUE()</f>
        <v>1</v>
      </c>
      <c r="Q206" s="11">
        <v>845.53</v>
      </c>
    </row>
    <row r="207" spans="1:17" ht="15" customHeight="1" x14ac:dyDescent="0.2">
      <c r="A207" s="9" t="s">
        <v>376</v>
      </c>
      <c r="B207" s="10">
        <v>45747</v>
      </c>
      <c r="C207" s="10">
        <v>45717</v>
      </c>
      <c r="D207" s="9" t="s">
        <v>21</v>
      </c>
      <c r="E207" s="9" t="s">
        <v>28</v>
      </c>
      <c r="F207" s="9" t="s">
        <v>160</v>
      </c>
      <c r="G207" s="9" t="s">
        <v>161</v>
      </c>
      <c r="H207" s="9" t="s">
        <v>176</v>
      </c>
      <c r="I207" s="9" t="b">
        <f>TRUE()</f>
        <v>1</v>
      </c>
      <c r="J207" s="9" t="s">
        <v>152</v>
      </c>
      <c r="K207" s="9" t="s">
        <v>153</v>
      </c>
      <c r="L207" s="10">
        <v>45750</v>
      </c>
      <c r="M207" s="10">
        <v>45755</v>
      </c>
      <c r="N207" s="10"/>
      <c r="O207" s="10">
        <v>45775</v>
      </c>
      <c r="P207" s="9" t="b">
        <f>TRUE()</f>
        <v>1</v>
      </c>
      <c r="Q207" s="11">
        <v>2327.85</v>
      </c>
    </row>
    <row r="208" spans="1:17" ht="15" customHeight="1" x14ac:dyDescent="0.2">
      <c r="A208" s="9" t="s">
        <v>377</v>
      </c>
      <c r="B208" s="10">
        <v>45715</v>
      </c>
      <c r="C208" s="10">
        <v>45689</v>
      </c>
      <c r="D208" s="9" t="s">
        <v>22</v>
      </c>
      <c r="E208" s="9" t="s">
        <v>26</v>
      </c>
      <c r="F208" s="9" t="s">
        <v>149</v>
      </c>
      <c r="G208" s="9" t="s">
        <v>156</v>
      </c>
      <c r="H208" s="9" t="s">
        <v>151</v>
      </c>
      <c r="I208" s="9" t="b">
        <f>TRUE()</f>
        <v>1</v>
      </c>
      <c r="J208" s="9" t="s">
        <v>152</v>
      </c>
      <c r="K208" s="9" t="s">
        <v>153</v>
      </c>
      <c r="L208" s="10">
        <v>45720</v>
      </c>
      <c r="M208" s="10"/>
      <c r="N208" s="10"/>
      <c r="O208" s="10">
        <v>45727</v>
      </c>
      <c r="P208" s="9" t="b">
        <f>TRUE()</f>
        <v>1</v>
      </c>
      <c r="Q208" s="11">
        <v>1085.96</v>
      </c>
    </row>
    <row r="209" spans="1:17" ht="15" customHeight="1" x14ac:dyDescent="0.2">
      <c r="A209" s="9" t="s">
        <v>378</v>
      </c>
      <c r="B209" s="10">
        <v>45863</v>
      </c>
      <c r="C209" s="10">
        <v>45839</v>
      </c>
      <c r="D209" s="9" t="s">
        <v>22</v>
      </c>
      <c r="E209" s="9" t="s">
        <v>25</v>
      </c>
      <c r="F209" s="9" t="s">
        <v>149</v>
      </c>
      <c r="G209" s="9" t="s">
        <v>156</v>
      </c>
      <c r="H209" s="9" t="s">
        <v>151</v>
      </c>
      <c r="I209" s="9" t="b">
        <f>TRUE()</f>
        <v>1</v>
      </c>
      <c r="J209" s="9" t="s">
        <v>2</v>
      </c>
      <c r="K209" s="9" t="s">
        <v>153</v>
      </c>
      <c r="L209" s="10">
        <v>45870</v>
      </c>
      <c r="M209" s="10">
        <v>45884</v>
      </c>
      <c r="N209" s="10">
        <v>45887</v>
      </c>
      <c r="O209" s="10"/>
      <c r="P209" s="9" t="b">
        <f>TRUE()</f>
        <v>1</v>
      </c>
      <c r="Q209" s="11">
        <v>732.17</v>
      </c>
    </row>
    <row r="210" spans="1:17" ht="15" customHeight="1" x14ac:dyDescent="0.2">
      <c r="A210" s="9" t="s">
        <v>379</v>
      </c>
      <c r="B210" s="10">
        <v>45710</v>
      </c>
      <c r="C210" s="10">
        <v>45689</v>
      </c>
      <c r="D210" s="9" t="s">
        <v>19</v>
      </c>
      <c r="E210" s="9" t="s">
        <v>25</v>
      </c>
      <c r="F210" s="9" t="s">
        <v>149</v>
      </c>
      <c r="G210" s="9" t="s">
        <v>161</v>
      </c>
      <c r="H210" s="9" t="s">
        <v>210</v>
      </c>
      <c r="I210" s="9" t="b">
        <f>TRUE()</f>
        <v>1</v>
      </c>
      <c r="J210" s="9" t="s">
        <v>152</v>
      </c>
      <c r="K210" s="9" t="s">
        <v>153</v>
      </c>
      <c r="L210" s="10">
        <v>45716</v>
      </c>
      <c r="M210" s="10">
        <v>45721</v>
      </c>
      <c r="N210" s="10"/>
      <c r="O210" s="10">
        <v>45755</v>
      </c>
      <c r="P210" s="9" t="b">
        <f>TRUE()</f>
        <v>1</v>
      </c>
      <c r="Q210" s="11">
        <v>2894.11</v>
      </c>
    </row>
    <row r="211" spans="1:17" ht="15" customHeight="1" x14ac:dyDescent="0.2">
      <c r="A211" s="9" t="s">
        <v>380</v>
      </c>
      <c r="B211" s="10">
        <v>45820</v>
      </c>
      <c r="C211" s="10">
        <v>45809</v>
      </c>
      <c r="D211" s="9" t="s">
        <v>19</v>
      </c>
      <c r="E211" s="9" t="s">
        <v>25</v>
      </c>
      <c r="F211" s="9" t="s">
        <v>155</v>
      </c>
      <c r="G211" s="9" t="s">
        <v>156</v>
      </c>
      <c r="H211" s="9" t="s">
        <v>207</v>
      </c>
      <c r="I211" s="9" t="b">
        <f>TRUE()</f>
        <v>1</v>
      </c>
      <c r="J211" s="9" t="s">
        <v>152</v>
      </c>
      <c r="K211" s="9" t="s">
        <v>163</v>
      </c>
      <c r="L211" s="10"/>
      <c r="M211" s="10"/>
      <c r="N211" s="10"/>
      <c r="O211" s="10">
        <v>45829</v>
      </c>
      <c r="P211" s="9" t="b">
        <f>TRUE()</f>
        <v>1</v>
      </c>
      <c r="Q211" s="11">
        <v>591.82000000000005</v>
      </c>
    </row>
    <row r="212" spans="1:17" ht="15" customHeight="1" x14ac:dyDescent="0.2">
      <c r="A212" s="9" t="s">
        <v>381</v>
      </c>
      <c r="B212" s="10">
        <v>45883</v>
      </c>
      <c r="C212" s="10">
        <v>45870</v>
      </c>
      <c r="D212" s="9" t="s">
        <v>19</v>
      </c>
      <c r="E212" s="9" t="s">
        <v>26</v>
      </c>
      <c r="F212" s="9" t="s">
        <v>160</v>
      </c>
      <c r="G212" s="9" t="s">
        <v>161</v>
      </c>
      <c r="H212" s="9" t="s">
        <v>179</v>
      </c>
      <c r="I212" s="9" t="b">
        <f>TRUE()</f>
        <v>1</v>
      </c>
      <c r="J212" s="9" t="s">
        <v>152</v>
      </c>
      <c r="K212" s="9" t="s">
        <v>163</v>
      </c>
      <c r="L212" s="10"/>
      <c r="M212" s="10"/>
      <c r="N212" s="10"/>
      <c r="O212" s="10">
        <v>45900</v>
      </c>
      <c r="P212" s="9" t="b">
        <f>TRUE()</f>
        <v>1</v>
      </c>
      <c r="Q212" s="11">
        <v>1964.63</v>
      </c>
    </row>
    <row r="213" spans="1:17" ht="15" customHeight="1" x14ac:dyDescent="0.2">
      <c r="A213" s="9" t="s">
        <v>382</v>
      </c>
      <c r="B213" s="10">
        <v>46007</v>
      </c>
      <c r="C213" s="10">
        <v>45992</v>
      </c>
      <c r="D213" s="9" t="s">
        <v>20</v>
      </c>
      <c r="E213" s="9" t="s">
        <v>27</v>
      </c>
      <c r="F213" s="9" t="s">
        <v>149</v>
      </c>
      <c r="G213" s="9" t="s">
        <v>156</v>
      </c>
      <c r="H213" s="9" t="s">
        <v>167</v>
      </c>
      <c r="I213" s="9" t="b">
        <f>TRUE()</f>
        <v>1</v>
      </c>
      <c r="J213" s="9" t="s">
        <v>158</v>
      </c>
      <c r="K213" s="9" t="s">
        <v>153</v>
      </c>
      <c r="L213" s="10">
        <v>46010</v>
      </c>
      <c r="M213" s="10">
        <v>46011</v>
      </c>
      <c r="N213" s="10"/>
      <c r="O213" s="10"/>
      <c r="P213" s="9" t="b">
        <f>TRUE()</f>
        <v>1</v>
      </c>
      <c r="Q213" s="11">
        <v>925.71</v>
      </c>
    </row>
    <row r="214" spans="1:17" ht="15" customHeight="1" x14ac:dyDescent="0.2">
      <c r="A214" s="9" t="s">
        <v>383</v>
      </c>
      <c r="B214" s="10">
        <v>45698</v>
      </c>
      <c r="C214" s="10">
        <v>45689</v>
      </c>
      <c r="D214" s="9" t="s">
        <v>21</v>
      </c>
      <c r="E214" s="9" t="s">
        <v>24</v>
      </c>
      <c r="F214" s="9" t="s">
        <v>155</v>
      </c>
      <c r="G214" s="9" t="s">
        <v>156</v>
      </c>
      <c r="H214" s="9" t="s">
        <v>183</v>
      </c>
      <c r="I214" s="9" t="b">
        <f>TRUE()</f>
        <v>1</v>
      </c>
      <c r="J214" s="9" t="s">
        <v>152</v>
      </c>
      <c r="K214" s="9" t="s">
        <v>153</v>
      </c>
      <c r="L214" s="10">
        <v>45707</v>
      </c>
      <c r="M214" s="10"/>
      <c r="N214" s="10"/>
      <c r="O214" s="10">
        <v>45725</v>
      </c>
      <c r="P214" s="9" t="b">
        <f>TRUE()</f>
        <v>1</v>
      </c>
      <c r="Q214" s="11">
        <v>443.73</v>
      </c>
    </row>
    <row r="215" spans="1:17" ht="15" customHeight="1" x14ac:dyDescent="0.2">
      <c r="A215" s="9" t="s">
        <v>384</v>
      </c>
      <c r="B215" s="10">
        <v>45874</v>
      </c>
      <c r="C215" s="10">
        <v>45870</v>
      </c>
      <c r="D215" s="9" t="s">
        <v>19</v>
      </c>
      <c r="E215" s="9" t="s">
        <v>25</v>
      </c>
      <c r="F215" s="9" t="s">
        <v>160</v>
      </c>
      <c r="G215" s="9" t="s">
        <v>150</v>
      </c>
      <c r="H215" s="9" t="s">
        <v>179</v>
      </c>
      <c r="I215" s="9" t="b">
        <f>TRUE()</f>
        <v>1</v>
      </c>
      <c r="J215" s="9" t="s">
        <v>2</v>
      </c>
      <c r="K215" s="9" t="s">
        <v>153</v>
      </c>
      <c r="L215" s="10">
        <v>45880</v>
      </c>
      <c r="M215" s="10">
        <v>45894</v>
      </c>
      <c r="N215" s="10">
        <v>45903</v>
      </c>
      <c r="O215" s="10"/>
      <c r="P215" s="9" t="b">
        <f>TRUE()</f>
        <v>1</v>
      </c>
      <c r="Q215" s="11">
        <v>5993.39</v>
      </c>
    </row>
    <row r="216" spans="1:17" ht="15" customHeight="1" x14ac:dyDescent="0.2">
      <c r="A216" s="9" t="s">
        <v>385</v>
      </c>
      <c r="B216" s="10">
        <v>46004</v>
      </c>
      <c r="C216" s="10">
        <v>45992</v>
      </c>
      <c r="D216" s="9" t="s">
        <v>18</v>
      </c>
      <c r="E216" s="9" t="s">
        <v>24</v>
      </c>
      <c r="F216" s="9" t="s">
        <v>186</v>
      </c>
      <c r="G216" s="9" t="s">
        <v>161</v>
      </c>
      <c r="H216" s="9" t="s">
        <v>251</v>
      </c>
      <c r="I216" s="9" t="b">
        <f>TRUE()</f>
        <v>1</v>
      </c>
      <c r="J216" s="9" t="s">
        <v>2</v>
      </c>
      <c r="K216" s="9" t="s">
        <v>153</v>
      </c>
      <c r="L216" s="10">
        <v>46014</v>
      </c>
      <c r="M216" s="10">
        <v>46029</v>
      </c>
      <c r="N216" s="10">
        <v>46049</v>
      </c>
      <c r="O216" s="10"/>
      <c r="P216" s="9" t="b">
        <f>TRUE()</f>
        <v>1</v>
      </c>
      <c r="Q216" s="11">
        <v>2794.31</v>
      </c>
    </row>
    <row r="217" spans="1:17" ht="15" customHeight="1" x14ac:dyDescent="0.2">
      <c r="A217" s="9" t="s">
        <v>386</v>
      </c>
      <c r="B217" s="10">
        <v>45963</v>
      </c>
      <c r="C217" s="10">
        <v>45962</v>
      </c>
      <c r="D217" s="9" t="s">
        <v>18</v>
      </c>
      <c r="E217" s="9" t="s">
        <v>26</v>
      </c>
      <c r="F217" s="9" t="s">
        <v>186</v>
      </c>
      <c r="G217" s="9" t="s">
        <v>156</v>
      </c>
      <c r="H217" s="9" t="s">
        <v>201</v>
      </c>
      <c r="I217" s="9" t="b">
        <f>TRUE()</f>
        <v>1</v>
      </c>
      <c r="J217" s="9" t="s">
        <v>152</v>
      </c>
      <c r="K217" s="9" t="s">
        <v>153</v>
      </c>
      <c r="L217" s="10">
        <v>45972</v>
      </c>
      <c r="M217" s="10"/>
      <c r="N217" s="10"/>
      <c r="O217" s="10">
        <v>45992</v>
      </c>
      <c r="P217" s="9" t="b">
        <f>TRUE()</f>
        <v>1</v>
      </c>
      <c r="Q217" s="11">
        <v>485.17</v>
      </c>
    </row>
    <row r="218" spans="1:17" ht="15" customHeight="1" x14ac:dyDescent="0.2">
      <c r="A218" s="9" t="s">
        <v>387</v>
      </c>
      <c r="B218" s="10">
        <v>45948</v>
      </c>
      <c r="C218" s="10">
        <v>45931</v>
      </c>
      <c r="D218" s="9" t="s">
        <v>22</v>
      </c>
      <c r="E218" s="9" t="s">
        <v>24</v>
      </c>
      <c r="F218" s="9" t="s">
        <v>149</v>
      </c>
      <c r="G218" s="9" t="s">
        <v>150</v>
      </c>
      <c r="H218" s="9" t="s">
        <v>151</v>
      </c>
      <c r="I218" s="9" t="b">
        <f>TRUE()</f>
        <v>1</v>
      </c>
      <c r="J218" s="9" t="s">
        <v>152</v>
      </c>
      <c r="K218" s="9" t="s">
        <v>163</v>
      </c>
      <c r="L218" s="10"/>
      <c r="M218" s="10"/>
      <c r="N218" s="10"/>
      <c r="O218" s="10">
        <v>45959</v>
      </c>
      <c r="P218" s="9" t="b">
        <f>TRUE()</f>
        <v>1</v>
      </c>
      <c r="Q218" s="11">
        <v>6692.85</v>
      </c>
    </row>
    <row r="219" spans="1:17" ht="15" customHeight="1" x14ac:dyDescent="0.2">
      <c r="A219" s="9" t="s">
        <v>388</v>
      </c>
      <c r="B219" s="10">
        <v>45764</v>
      </c>
      <c r="C219" s="10">
        <v>45748</v>
      </c>
      <c r="D219" s="9" t="s">
        <v>20</v>
      </c>
      <c r="E219" s="9" t="s">
        <v>25</v>
      </c>
      <c r="F219" s="9" t="s">
        <v>186</v>
      </c>
      <c r="G219" s="9" t="s">
        <v>150</v>
      </c>
      <c r="H219" s="9" t="s">
        <v>192</v>
      </c>
      <c r="I219" s="9" t="b">
        <f>TRUE()</f>
        <v>1</v>
      </c>
      <c r="J219" s="9" t="s">
        <v>152</v>
      </c>
      <c r="K219" s="9" t="s">
        <v>153</v>
      </c>
      <c r="L219" s="10">
        <v>45772</v>
      </c>
      <c r="M219" s="10">
        <v>45787</v>
      </c>
      <c r="N219" s="10"/>
      <c r="O219" s="10">
        <v>45821</v>
      </c>
      <c r="P219" s="9" t="b">
        <f>TRUE()</f>
        <v>1</v>
      </c>
      <c r="Q219" s="11">
        <v>8806.5400000000009</v>
      </c>
    </row>
    <row r="220" spans="1:17" ht="15" customHeight="1" x14ac:dyDescent="0.2">
      <c r="A220" s="9" t="s">
        <v>389</v>
      </c>
      <c r="B220" s="10">
        <v>45799</v>
      </c>
      <c r="C220" s="10">
        <v>45778</v>
      </c>
      <c r="D220" s="9" t="s">
        <v>22</v>
      </c>
      <c r="E220" s="9" t="s">
        <v>26</v>
      </c>
      <c r="F220" s="9" t="s">
        <v>149</v>
      </c>
      <c r="G220" s="9" t="s">
        <v>150</v>
      </c>
      <c r="H220" s="9" t="s">
        <v>170</v>
      </c>
      <c r="I220" s="9" t="b">
        <f>TRUE()</f>
        <v>1</v>
      </c>
      <c r="J220" s="9" t="s">
        <v>152</v>
      </c>
      <c r="K220" s="9" t="s">
        <v>163</v>
      </c>
      <c r="L220" s="10"/>
      <c r="M220" s="10"/>
      <c r="N220" s="10"/>
      <c r="O220" s="10">
        <v>45801</v>
      </c>
      <c r="P220" s="9" t="b">
        <f>TRUE()</f>
        <v>1</v>
      </c>
      <c r="Q220" s="11">
        <v>5954.11</v>
      </c>
    </row>
    <row r="221" spans="1:17" ht="15" customHeight="1" x14ac:dyDescent="0.2">
      <c r="A221" s="9" t="s">
        <v>390</v>
      </c>
      <c r="B221" s="10">
        <v>45751</v>
      </c>
      <c r="C221" s="10">
        <v>45748</v>
      </c>
      <c r="D221" s="9" t="s">
        <v>20</v>
      </c>
      <c r="E221" s="9" t="s">
        <v>25</v>
      </c>
      <c r="F221" s="9" t="s">
        <v>186</v>
      </c>
      <c r="G221" s="9" t="s">
        <v>161</v>
      </c>
      <c r="H221" s="9" t="s">
        <v>189</v>
      </c>
      <c r="I221" s="9" t="b">
        <f>TRUE()</f>
        <v>1</v>
      </c>
      <c r="J221" s="9" t="s">
        <v>2</v>
      </c>
      <c r="K221" s="9" t="s">
        <v>153</v>
      </c>
      <c r="L221" s="10">
        <v>45761</v>
      </c>
      <c r="M221" s="10">
        <v>45768</v>
      </c>
      <c r="N221" s="10">
        <v>45772</v>
      </c>
      <c r="O221" s="10"/>
      <c r="P221" s="9" t="b">
        <f>TRUE()</f>
        <v>1</v>
      </c>
      <c r="Q221" s="11">
        <v>2371.38</v>
      </c>
    </row>
    <row r="222" spans="1:17" ht="15" customHeight="1" x14ac:dyDescent="0.2">
      <c r="A222" s="9" t="s">
        <v>391</v>
      </c>
      <c r="B222" s="10">
        <v>45745</v>
      </c>
      <c r="C222" s="10">
        <v>45717</v>
      </c>
      <c r="D222" s="9" t="s">
        <v>21</v>
      </c>
      <c r="E222" s="9" t="s">
        <v>25</v>
      </c>
      <c r="F222" s="9" t="s">
        <v>149</v>
      </c>
      <c r="G222" s="9" t="s">
        <v>156</v>
      </c>
      <c r="H222" s="9" t="s">
        <v>176</v>
      </c>
      <c r="I222" s="9" t="b">
        <f>TRUE()</f>
        <v>1</v>
      </c>
      <c r="J222" s="9" t="s">
        <v>152</v>
      </c>
      <c r="K222" s="9" t="s">
        <v>163</v>
      </c>
      <c r="L222" s="10"/>
      <c r="M222" s="10"/>
      <c r="N222" s="10"/>
      <c r="O222" s="10">
        <v>45751</v>
      </c>
      <c r="P222" s="9" t="b">
        <f>TRUE()</f>
        <v>1</v>
      </c>
      <c r="Q222" s="11">
        <v>793.87</v>
      </c>
    </row>
    <row r="223" spans="1:17" ht="15" customHeight="1" x14ac:dyDescent="0.2">
      <c r="A223" s="9" t="s">
        <v>392</v>
      </c>
      <c r="B223" s="10">
        <v>45868</v>
      </c>
      <c r="C223" s="10">
        <v>45839</v>
      </c>
      <c r="D223" s="9" t="s">
        <v>19</v>
      </c>
      <c r="E223" s="9" t="s">
        <v>24</v>
      </c>
      <c r="F223" s="9" t="s">
        <v>149</v>
      </c>
      <c r="G223" s="9" t="s">
        <v>150</v>
      </c>
      <c r="H223" s="9" t="s">
        <v>210</v>
      </c>
      <c r="I223" s="9" t="b">
        <f>TRUE()</f>
        <v>1</v>
      </c>
      <c r="J223" s="9" t="s">
        <v>152</v>
      </c>
      <c r="K223" s="9" t="s">
        <v>163</v>
      </c>
      <c r="L223" s="10"/>
      <c r="M223" s="10"/>
      <c r="N223" s="10"/>
      <c r="O223" s="10">
        <v>45870</v>
      </c>
      <c r="P223" s="9" t="b">
        <f>TRUE()</f>
        <v>1</v>
      </c>
      <c r="Q223" s="11">
        <v>11162.71</v>
      </c>
    </row>
    <row r="224" spans="1:17" ht="15" customHeight="1" x14ac:dyDescent="0.2">
      <c r="A224" s="9" t="s">
        <v>393</v>
      </c>
      <c r="B224" s="10">
        <v>45961</v>
      </c>
      <c r="C224" s="10">
        <v>45931</v>
      </c>
      <c r="D224" s="9" t="s">
        <v>19</v>
      </c>
      <c r="E224" s="9" t="s">
        <v>25</v>
      </c>
      <c r="F224" s="9" t="s">
        <v>160</v>
      </c>
      <c r="G224" s="9" t="s">
        <v>161</v>
      </c>
      <c r="H224" s="9" t="s">
        <v>207</v>
      </c>
      <c r="I224" s="9" t="b">
        <f>TRUE()</f>
        <v>1</v>
      </c>
      <c r="J224" s="9" t="s">
        <v>152</v>
      </c>
      <c r="K224" s="9" t="s">
        <v>163</v>
      </c>
      <c r="L224" s="10"/>
      <c r="M224" s="10"/>
      <c r="N224" s="10"/>
      <c r="O224" s="10">
        <v>45966</v>
      </c>
      <c r="P224" s="9" t="b">
        <f>TRUE()</f>
        <v>1</v>
      </c>
      <c r="Q224" s="11">
        <v>2915.21</v>
      </c>
    </row>
    <row r="225" spans="1:17" ht="15" customHeight="1" x14ac:dyDescent="0.2">
      <c r="A225" s="9" t="s">
        <v>394</v>
      </c>
      <c r="B225" s="10">
        <v>45753</v>
      </c>
      <c r="C225" s="10">
        <v>45748</v>
      </c>
      <c r="D225" s="9" t="s">
        <v>21</v>
      </c>
      <c r="E225" s="9" t="s">
        <v>26</v>
      </c>
      <c r="F225" s="9" t="s">
        <v>186</v>
      </c>
      <c r="G225" s="9" t="s">
        <v>161</v>
      </c>
      <c r="H225" s="9" t="s">
        <v>162</v>
      </c>
      <c r="I225" s="9" t="b">
        <f>TRUE()</f>
        <v>1</v>
      </c>
      <c r="J225" s="9" t="s">
        <v>152</v>
      </c>
      <c r="K225" s="9" t="s">
        <v>163</v>
      </c>
      <c r="L225" s="10"/>
      <c r="M225" s="10"/>
      <c r="N225" s="10"/>
      <c r="O225" s="10">
        <v>45757</v>
      </c>
      <c r="P225" s="9" t="b">
        <f>TRUE()</f>
        <v>1</v>
      </c>
      <c r="Q225" s="11">
        <v>1801.97</v>
      </c>
    </row>
    <row r="226" spans="1:17" ht="15" customHeight="1" x14ac:dyDescent="0.2">
      <c r="A226" s="9" t="s">
        <v>395</v>
      </c>
      <c r="B226" s="10">
        <v>46022</v>
      </c>
      <c r="C226" s="10">
        <v>45992</v>
      </c>
      <c r="D226" s="9" t="s">
        <v>20</v>
      </c>
      <c r="E226" s="9" t="s">
        <v>26</v>
      </c>
      <c r="F226" s="9" t="s">
        <v>160</v>
      </c>
      <c r="G226" s="9" t="s">
        <v>156</v>
      </c>
      <c r="H226" s="9" t="s">
        <v>167</v>
      </c>
      <c r="I226" s="9" t="b">
        <f>TRUE()</f>
        <v>1</v>
      </c>
      <c r="J226" s="9" t="s">
        <v>15</v>
      </c>
      <c r="K226" s="9" t="s">
        <v>153</v>
      </c>
      <c r="L226" s="10">
        <v>46029</v>
      </c>
      <c r="M226" s="10"/>
      <c r="N226" s="10"/>
      <c r="O226" s="10"/>
      <c r="P226" s="9" t="b">
        <f>TRUE()</f>
        <v>1</v>
      </c>
      <c r="Q226" s="11">
        <v>871.57</v>
      </c>
    </row>
    <row r="227" spans="1:17" ht="15" customHeight="1" x14ac:dyDescent="0.2">
      <c r="A227" s="9" t="s">
        <v>396</v>
      </c>
      <c r="B227" s="10">
        <v>45783</v>
      </c>
      <c r="C227" s="10">
        <v>45778</v>
      </c>
      <c r="D227" s="9" t="s">
        <v>21</v>
      </c>
      <c r="E227" s="9" t="s">
        <v>26</v>
      </c>
      <c r="F227" s="9" t="s">
        <v>186</v>
      </c>
      <c r="G227" s="9" t="s">
        <v>156</v>
      </c>
      <c r="H227" s="9" t="s">
        <v>162</v>
      </c>
      <c r="I227" s="9" t="b">
        <f>TRUE()</f>
        <v>1</v>
      </c>
      <c r="J227" s="9" t="s">
        <v>152</v>
      </c>
      <c r="K227" s="9" t="s">
        <v>153</v>
      </c>
      <c r="L227" s="10">
        <v>45786</v>
      </c>
      <c r="M227" s="10">
        <v>45791</v>
      </c>
      <c r="N227" s="10"/>
      <c r="O227" s="10">
        <v>45811</v>
      </c>
      <c r="P227" s="9" t="b">
        <f>TRUE()</f>
        <v>1</v>
      </c>
      <c r="Q227" s="11">
        <v>842.06</v>
      </c>
    </row>
    <row r="228" spans="1:17" ht="15" customHeight="1" x14ac:dyDescent="0.2">
      <c r="A228" s="9" t="s">
        <v>397</v>
      </c>
      <c r="B228" s="10">
        <v>45971</v>
      </c>
      <c r="C228" s="10">
        <v>45962</v>
      </c>
      <c r="D228" s="9" t="s">
        <v>19</v>
      </c>
      <c r="E228" s="9" t="s">
        <v>25</v>
      </c>
      <c r="F228" s="9" t="s">
        <v>149</v>
      </c>
      <c r="G228" s="9" t="s">
        <v>156</v>
      </c>
      <c r="H228" s="9" t="s">
        <v>179</v>
      </c>
      <c r="I228" s="9" t="b">
        <f>TRUE()</f>
        <v>1</v>
      </c>
      <c r="J228" s="9" t="s">
        <v>2</v>
      </c>
      <c r="K228" s="9" t="s">
        <v>153</v>
      </c>
      <c r="L228" s="10">
        <v>45975</v>
      </c>
      <c r="M228" s="10">
        <v>45984</v>
      </c>
      <c r="N228" s="10">
        <v>46000</v>
      </c>
      <c r="O228" s="10"/>
      <c r="P228" s="9" t="b">
        <f>TRUE()</f>
        <v>1</v>
      </c>
      <c r="Q228" s="11">
        <v>714.73</v>
      </c>
    </row>
    <row r="229" spans="1:17" ht="15" customHeight="1" x14ac:dyDescent="0.2">
      <c r="A229" s="9" t="s">
        <v>398</v>
      </c>
      <c r="B229" s="10">
        <v>45927</v>
      </c>
      <c r="C229" s="10">
        <v>45901</v>
      </c>
      <c r="D229" s="9" t="s">
        <v>19</v>
      </c>
      <c r="E229" s="9" t="s">
        <v>24</v>
      </c>
      <c r="F229" s="9" t="s">
        <v>160</v>
      </c>
      <c r="G229" s="9" t="s">
        <v>156</v>
      </c>
      <c r="H229" s="9" t="s">
        <v>207</v>
      </c>
      <c r="I229" s="9" t="b">
        <f>TRUE()</f>
        <v>1</v>
      </c>
      <c r="J229" s="9" t="s">
        <v>152</v>
      </c>
      <c r="K229" s="9" t="s">
        <v>153</v>
      </c>
      <c r="L229" s="10">
        <v>45933</v>
      </c>
      <c r="M229" s="10">
        <v>45939</v>
      </c>
      <c r="N229" s="10"/>
      <c r="O229" s="10">
        <v>45974</v>
      </c>
      <c r="P229" s="9" t="b">
        <f>TRUE()</f>
        <v>1</v>
      </c>
      <c r="Q229" s="11">
        <v>922.69</v>
      </c>
    </row>
    <row r="230" spans="1:17" ht="15" customHeight="1" x14ac:dyDescent="0.2">
      <c r="A230" s="9" t="s">
        <v>399</v>
      </c>
      <c r="B230" s="10">
        <v>45876</v>
      </c>
      <c r="C230" s="10">
        <v>45870</v>
      </c>
      <c r="D230" s="9" t="s">
        <v>18</v>
      </c>
      <c r="E230" s="9" t="s">
        <v>27</v>
      </c>
      <c r="F230" s="9" t="s">
        <v>186</v>
      </c>
      <c r="G230" s="9" t="s">
        <v>150</v>
      </c>
      <c r="H230" s="9" t="s">
        <v>157</v>
      </c>
      <c r="I230" s="9" t="b">
        <f>TRUE()</f>
        <v>1</v>
      </c>
      <c r="J230" s="9" t="s">
        <v>2</v>
      </c>
      <c r="K230" s="9" t="s">
        <v>153</v>
      </c>
      <c r="L230" s="10">
        <v>45877</v>
      </c>
      <c r="M230" s="10">
        <v>45890</v>
      </c>
      <c r="N230" s="10">
        <v>45895</v>
      </c>
      <c r="O230" s="10"/>
      <c r="P230" s="9" t="b">
        <f>TRUE()</f>
        <v>1</v>
      </c>
      <c r="Q230" s="11">
        <v>7135</v>
      </c>
    </row>
    <row r="231" spans="1:17" ht="15" customHeight="1" x14ac:dyDescent="0.2">
      <c r="A231" s="9" t="s">
        <v>400</v>
      </c>
      <c r="B231" s="10">
        <v>45775</v>
      </c>
      <c r="C231" s="10">
        <v>45748</v>
      </c>
      <c r="D231" s="9" t="s">
        <v>20</v>
      </c>
      <c r="E231" s="9" t="s">
        <v>26</v>
      </c>
      <c r="F231" s="9" t="s">
        <v>160</v>
      </c>
      <c r="G231" s="9" t="s">
        <v>161</v>
      </c>
      <c r="H231" s="9" t="s">
        <v>167</v>
      </c>
      <c r="I231" s="9" t="b">
        <f>TRUE()</f>
        <v>1</v>
      </c>
      <c r="J231" s="9" t="s">
        <v>152</v>
      </c>
      <c r="K231" s="9" t="s">
        <v>153</v>
      </c>
      <c r="L231" s="10">
        <v>45784</v>
      </c>
      <c r="M231" s="10">
        <v>45796</v>
      </c>
      <c r="N231" s="10"/>
      <c r="O231" s="10">
        <v>45803</v>
      </c>
      <c r="P231" s="9" t="b">
        <f>TRUE()</f>
        <v>1</v>
      </c>
      <c r="Q231" s="11">
        <v>1747.77</v>
      </c>
    </row>
    <row r="232" spans="1:17" ht="15" customHeight="1" x14ac:dyDescent="0.2">
      <c r="A232" s="9" t="s">
        <v>401</v>
      </c>
      <c r="B232" s="10">
        <v>45722</v>
      </c>
      <c r="C232" s="10">
        <v>45717</v>
      </c>
      <c r="D232" s="9" t="s">
        <v>22</v>
      </c>
      <c r="E232" s="9" t="s">
        <v>24</v>
      </c>
      <c r="F232" s="9" t="s">
        <v>149</v>
      </c>
      <c r="G232" s="9" t="s">
        <v>156</v>
      </c>
      <c r="H232" s="9" t="s">
        <v>151</v>
      </c>
      <c r="I232" s="9" t="b">
        <f>TRUE()</f>
        <v>1</v>
      </c>
      <c r="J232" s="9" t="s">
        <v>152</v>
      </c>
      <c r="K232" s="9" t="s">
        <v>163</v>
      </c>
      <c r="L232" s="10"/>
      <c r="M232" s="10"/>
      <c r="N232" s="10"/>
      <c r="O232" s="10">
        <v>45728</v>
      </c>
      <c r="P232" s="9" t="b">
        <f>TRUE()</f>
        <v>1</v>
      </c>
      <c r="Q232" s="11">
        <v>712.51</v>
      </c>
    </row>
    <row r="233" spans="1:17" ht="15" customHeight="1" x14ac:dyDescent="0.2">
      <c r="A233" s="9" t="s">
        <v>402</v>
      </c>
      <c r="B233" s="10">
        <v>45688</v>
      </c>
      <c r="C233" s="10">
        <v>45658</v>
      </c>
      <c r="D233" s="9" t="s">
        <v>20</v>
      </c>
      <c r="E233" s="9" t="s">
        <v>25</v>
      </c>
      <c r="F233" s="9" t="s">
        <v>186</v>
      </c>
      <c r="G233" s="9" t="s">
        <v>156</v>
      </c>
      <c r="H233" s="9" t="s">
        <v>192</v>
      </c>
      <c r="I233" s="9" t="b">
        <f>TRUE()</f>
        <v>1</v>
      </c>
      <c r="J233" s="9" t="s">
        <v>2</v>
      </c>
      <c r="K233" s="9" t="s">
        <v>153</v>
      </c>
      <c r="L233" s="10">
        <v>45693</v>
      </c>
      <c r="M233" s="10">
        <v>45708</v>
      </c>
      <c r="N233" s="10">
        <v>45718</v>
      </c>
      <c r="O233" s="10"/>
      <c r="P233" s="9" t="b">
        <f>TRUE()</f>
        <v>1</v>
      </c>
      <c r="Q233" s="11">
        <v>703.07</v>
      </c>
    </row>
    <row r="234" spans="1:17" ht="15" customHeight="1" x14ac:dyDescent="0.2">
      <c r="A234" s="9" t="s">
        <v>403</v>
      </c>
      <c r="B234" s="10">
        <v>45808</v>
      </c>
      <c r="C234" s="10">
        <v>45778</v>
      </c>
      <c r="D234" s="9" t="s">
        <v>18</v>
      </c>
      <c r="E234" s="9" t="s">
        <v>26</v>
      </c>
      <c r="F234" s="9" t="s">
        <v>149</v>
      </c>
      <c r="G234" s="9" t="s">
        <v>150</v>
      </c>
      <c r="H234" s="9" t="s">
        <v>251</v>
      </c>
      <c r="I234" s="9" t="b">
        <f>TRUE()</f>
        <v>1</v>
      </c>
      <c r="J234" s="9" t="s">
        <v>152</v>
      </c>
      <c r="K234" s="9" t="s">
        <v>153</v>
      </c>
      <c r="L234" s="10">
        <v>45816</v>
      </c>
      <c r="M234" s="10"/>
      <c r="N234" s="10"/>
      <c r="O234" s="10">
        <v>45834</v>
      </c>
      <c r="P234" s="9" t="b">
        <f>TRUE()</f>
        <v>1</v>
      </c>
      <c r="Q234" s="11">
        <v>8785.84</v>
      </c>
    </row>
    <row r="235" spans="1:17" ht="15" customHeight="1" x14ac:dyDescent="0.2">
      <c r="A235" s="9" t="s">
        <v>404</v>
      </c>
      <c r="B235" s="10">
        <v>45880</v>
      </c>
      <c r="C235" s="10">
        <v>45870</v>
      </c>
      <c r="D235" s="9" t="s">
        <v>20</v>
      </c>
      <c r="E235" s="9" t="s">
        <v>28</v>
      </c>
      <c r="F235" s="9" t="s">
        <v>186</v>
      </c>
      <c r="G235" s="9" t="s">
        <v>156</v>
      </c>
      <c r="H235" s="9" t="s">
        <v>167</v>
      </c>
      <c r="I235" s="9" t="b">
        <f>TRUE()</f>
        <v>1</v>
      </c>
      <c r="J235" s="9" t="s">
        <v>152</v>
      </c>
      <c r="K235" s="9" t="s">
        <v>153</v>
      </c>
      <c r="L235" s="10">
        <v>45886</v>
      </c>
      <c r="M235" s="10"/>
      <c r="N235" s="10"/>
      <c r="O235" s="10">
        <v>45891</v>
      </c>
      <c r="P235" s="9" t="b">
        <f>TRUE()</f>
        <v>1</v>
      </c>
      <c r="Q235" s="11">
        <v>675.83</v>
      </c>
    </row>
    <row r="236" spans="1:17" ht="15" customHeight="1" x14ac:dyDescent="0.2">
      <c r="A236" s="9" t="s">
        <v>405</v>
      </c>
      <c r="B236" s="10">
        <v>45959</v>
      </c>
      <c r="C236" s="10">
        <v>45931</v>
      </c>
      <c r="D236" s="9" t="s">
        <v>21</v>
      </c>
      <c r="E236" s="9" t="s">
        <v>25</v>
      </c>
      <c r="F236" s="9" t="s">
        <v>186</v>
      </c>
      <c r="G236" s="9" t="s">
        <v>161</v>
      </c>
      <c r="H236" s="9" t="s">
        <v>183</v>
      </c>
      <c r="I236" s="9" t="b">
        <f>TRUE()</f>
        <v>1</v>
      </c>
      <c r="J236" s="9" t="s">
        <v>2</v>
      </c>
      <c r="K236" s="9" t="s">
        <v>153</v>
      </c>
      <c r="L236" s="10">
        <v>45965</v>
      </c>
      <c r="M236" s="10">
        <v>45972</v>
      </c>
      <c r="N236" s="10">
        <v>45988</v>
      </c>
      <c r="O236" s="10"/>
      <c r="P236" s="9" t="b">
        <f>TRUE()</f>
        <v>1</v>
      </c>
      <c r="Q236" s="11">
        <v>2725.98</v>
      </c>
    </row>
    <row r="237" spans="1:17" ht="15" customHeight="1" x14ac:dyDescent="0.2">
      <c r="A237" s="9" t="s">
        <v>406</v>
      </c>
      <c r="B237" s="10">
        <v>45875</v>
      </c>
      <c r="C237" s="10">
        <v>45870</v>
      </c>
      <c r="D237" s="9" t="s">
        <v>20</v>
      </c>
      <c r="E237" s="9" t="s">
        <v>24</v>
      </c>
      <c r="F237" s="9" t="s">
        <v>155</v>
      </c>
      <c r="G237" s="9" t="s">
        <v>150</v>
      </c>
      <c r="H237" s="9" t="s">
        <v>167</v>
      </c>
      <c r="I237" s="9" t="b">
        <f>TRUE()</f>
        <v>1</v>
      </c>
      <c r="J237" s="9" t="s">
        <v>2</v>
      </c>
      <c r="K237" s="9" t="s">
        <v>153</v>
      </c>
      <c r="L237" s="10">
        <v>45883</v>
      </c>
      <c r="M237" s="10">
        <v>45890</v>
      </c>
      <c r="N237" s="10">
        <v>45917</v>
      </c>
      <c r="O237" s="10"/>
      <c r="P237" s="9" t="b">
        <f>TRUE()</f>
        <v>1</v>
      </c>
      <c r="Q237" s="11">
        <v>6448.96</v>
      </c>
    </row>
    <row r="238" spans="1:17" ht="15" customHeight="1" x14ac:dyDescent="0.2">
      <c r="A238" s="9" t="s">
        <v>407</v>
      </c>
      <c r="B238" s="10">
        <v>45668</v>
      </c>
      <c r="C238" s="10">
        <v>45658</v>
      </c>
      <c r="D238" s="9" t="s">
        <v>19</v>
      </c>
      <c r="E238" s="9" t="s">
        <v>27</v>
      </c>
      <c r="F238" s="9" t="s">
        <v>149</v>
      </c>
      <c r="G238" s="9" t="s">
        <v>156</v>
      </c>
      <c r="H238" s="9" t="s">
        <v>207</v>
      </c>
      <c r="I238" s="9" t="b">
        <f>TRUE()</f>
        <v>1</v>
      </c>
      <c r="J238" s="9" t="s">
        <v>2</v>
      </c>
      <c r="K238" s="9" t="s">
        <v>153</v>
      </c>
      <c r="L238" s="10">
        <v>45677</v>
      </c>
      <c r="M238" s="10">
        <v>45681</v>
      </c>
      <c r="N238" s="10">
        <v>45697</v>
      </c>
      <c r="O238" s="10"/>
      <c r="P238" s="9" t="b">
        <f>TRUE()</f>
        <v>1</v>
      </c>
      <c r="Q238" s="11">
        <v>765.02</v>
      </c>
    </row>
    <row r="239" spans="1:17" ht="15" customHeight="1" x14ac:dyDescent="0.2">
      <c r="A239" s="9" t="s">
        <v>408</v>
      </c>
      <c r="B239" s="10">
        <v>45767</v>
      </c>
      <c r="C239" s="10">
        <v>45748</v>
      </c>
      <c r="D239" s="9" t="s">
        <v>20</v>
      </c>
      <c r="E239" s="9" t="s">
        <v>26</v>
      </c>
      <c r="F239" s="9" t="s">
        <v>186</v>
      </c>
      <c r="G239" s="9" t="s">
        <v>156</v>
      </c>
      <c r="H239" s="9" t="s">
        <v>167</v>
      </c>
      <c r="I239" s="9" t="b">
        <f>TRUE()</f>
        <v>1</v>
      </c>
      <c r="J239" s="9" t="s">
        <v>2</v>
      </c>
      <c r="K239" s="9" t="s">
        <v>153</v>
      </c>
      <c r="L239" s="10">
        <v>45769</v>
      </c>
      <c r="M239" s="10">
        <v>45777</v>
      </c>
      <c r="N239" s="10">
        <v>45807</v>
      </c>
      <c r="O239" s="10"/>
      <c r="P239" s="9" t="b">
        <f>TRUE()</f>
        <v>1</v>
      </c>
      <c r="Q239" s="11">
        <v>777.05</v>
      </c>
    </row>
    <row r="240" spans="1:17" ht="15" customHeight="1" x14ac:dyDescent="0.2">
      <c r="A240" s="9" t="s">
        <v>409</v>
      </c>
      <c r="B240" s="10">
        <v>45790</v>
      </c>
      <c r="C240" s="10">
        <v>45778</v>
      </c>
      <c r="D240" s="9" t="s">
        <v>20</v>
      </c>
      <c r="E240" s="9" t="s">
        <v>26</v>
      </c>
      <c r="F240" s="9" t="s">
        <v>155</v>
      </c>
      <c r="G240" s="9" t="s">
        <v>156</v>
      </c>
      <c r="H240" s="9" t="s">
        <v>192</v>
      </c>
      <c r="I240" s="9" t="b">
        <f>TRUE()</f>
        <v>1</v>
      </c>
      <c r="J240" s="9" t="s">
        <v>2</v>
      </c>
      <c r="K240" s="9" t="s">
        <v>153</v>
      </c>
      <c r="L240" s="10">
        <v>45791</v>
      </c>
      <c r="M240" s="10">
        <v>45797</v>
      </c>
      <c r="N240" s="10">
        <v>45804</v>
      </c>
      <c r="O240" s="10"/>
      <c r="P240" s="9" t="b">
        <f>TRUE()</f>
        <v>1</v>
      </c>
      <c r="Q240" s="11">
        <v>540.37</v>
      </c>
    </row>
    <row r="241" spans="1:17" ht="15" customHeight="1" x14ac:dyDescent="0.2">
      <c r="A241" s="9" t="s">
        <v>410</v>
      </c>
      <c r="B241" s="10">
        <v>45830</v>
      </c>
      <c r="C241" s="10">
        <v>45809</v>
      </c>
      <c r="D241" s="9" t="s">
        <v>20</v>
      </c>
      <c r="E241" s="9" t="s">
        <v>26</v>
      </c>
      <c r="F241" s="9" t="s">
        <v>149</v>
      </c>
      <c r="G241" s="9" t="s">
        <v>161</v>
      </c>
      <c r="H241" s="9" t="s">
        <v>192</v>
      </c>
      <c r="I241" s="9" t="b">
        <f>TRUE()</f>
        <v>1</v>
      </c>
      <c r="J241" s="9" t="s">
        <v>152</v>
      </c>
      <c r="K241" s="9" t="s">
        <v>153</v>
      </c>
      <c r="L241" s="10">
        <v>45837</v>
      </c>
      <c r="M241" s="10">
        <v>45850</v>
      </c>
      <c r="N241" s="10"/>
      <c r="O241" s="10">
        <v>45868</v>
      </c>
      <c r="P241" s="9" t="b">
        <f>TRUE()</f>
        <v>1</v>
      </c>
      <c r="Q241" s="11">
        <v>2931.18</v>
      </c>
    </row>
    <row r="242" spans="1:17" ht="15" customHeight="1" x14ac:dyDescent="0.2">
      <c r="A242" s="9" t="s">
        <v>411</v>
      </c>
      <c r="B242" s="10">
        <v>45840</v>
      </c>
      <c r="C242" s="10">
        <v>45839</v>
      </c>
      <c r="D242" s="9" t="s">
        <v>19</v>
      </c>
      <c r="E242" s="9" t="s">
        <v>25</v>
      </c>
      <c r="F242" s="9" t="s">
        <v>149</v>
      </c>
      <c r="G242" s="9" t="s">
        <v>156</v>
      </c>
      <c r="H242" s="9" t="s">
        <v>207</v>
      </c>
      <c r="I242" s="9" t="b">
        <f>TRUE()</f>
        <v>1</v>
      </c>
      <c r="J242" s="9" t="s">
        <v>2</v>
      </c>
      <c r="K242" s="9" t="s">
        <v>153</v>
      </c>
      <c r="L242" s="10">
        <v>45842</v>
      </c>
      <c r="M242" s="10">
        <v>45857</v>
      </c>
      <c r="N242" s="10">
        <v>45868</v>
      </c>
      <c r="O242" s="10"/>
      <c r="P242" s="9" t="b">
        <f>TRUE()</f>
        <v>1</v>
      </c>
      <c r="Q242" s="11">
        <v>1005.07</v>
      </c>
    </row>
    <row r="243" spans="1:17" ht="15" customHeight="1" x14ac:dyDescent="0.2">
      <c r="A243" s="9" t="s">
        <v>412</v>
      </c>
      <c r="B243" s="10">
        <v>45823</v>
      </c>
      <c r="C243" s="10">
        <v>45809</v>
      </c>
      <c r="D243" s="9" t="s">
        <v>20</v>
      </c>
      <c r="E243" s="9" t="s">
        <v>24</v>
      </c>
      <c r="F243" s="9" t="s">
        <v>149</v>
      </c>
      <c r="G243" s="9" t="s">
        <v>161</v>
      </c>
      <c r="H243" s="9" t="s">
        <v>189</v>
      </c>
      <c r="I243" s="9" t="b">
        <f>TRUE()</f>
        <v>1</v>
      </c>
      <c r="J243" s="9" t="s">
        <v>152</v>
      </c>
      <c r="K243" s="9" t="s">
        <v>163</v>
      </c>
      <c r="L243" s="10"/>
      <c r="M243" s="10"/>
      <c r="N243" s="10"/>
      <c r="O243" s="10">
        <v>45829</v>
      </c>
      <c r="P243" s="9" t="b">
        <f>TRUE()</f>
        <v>1</v>
      </c>
      <c r="Q243" s="11">
        <v>3202.34</v>
      </c>
    </row>
    <row r="244" spans="1:17" ht="15" customHeight="1" x14ac:dyDescent="0.2">
      <c r="A244" s="9" t="s">
        <v>413</v>
      </c>
      <c r="B244" s="10">
        <v>45728</v>
      </c>
      <c r="C244" s="10">
        <v>45717</v>
      </c>
      <c r="D244" s="9" t="s">
        <v>20</v>
      </c>
      <c r="E244" s="9" t="s">
        <v>26</v>
      </c>
      <c r="F244" s="9" t="s">
        <v>149</v>
      </c>
      <c r="G244" s="9" t="s">
        <v>156</v>
      </c>
      <c r="H244" s="9" t="s">
        <v>167</v>
      </c>
      <c r="I244" s="9" t="b">
        <f>TRUE()</f>
        <v>1</v>
      </c>
      <c r="J244" s="9" t="s">
        <v>152</v>
      </c>
      <c r="K244" s="9" t="s">
        <v>163</v>
      </c>
      <c r="L244" s="10"/>
      <c r="M244" s="10"/>
      <c r="N244" s="10"/>
      <c r="O244" s="10">
        <v>45748</v>
      </c>
      <c r="P244" s="9" t="b">
        <f>TRUE()</f>
        <v>1</v>
      </c>
      <c r="Q244" s="11">
        <v>1059.95</v>
      </c>
    </row>
    <row r="245" spans="1:17" ht="15" customHeight="1" x14ac:dyDescent="0.2">
      <c r="A245" s="9" t="s">
        <v>414</v>
      </c>
      <c r="B245" s="10">
        <v>45720</v>
      </c>
      <c r="C245" s="10">
        <v>45717</v>
      </c>
      <c r="D245" s="9" t="s">
        <v>19</v>
      </c>
      <c r="E245" s="9" t="s">
        <v>27</v>
      </c>
      <c r="F245" s="9" t="s">
        <v>149</v>
      </c>
      <c r="G245" s="9" t="s">
        <v>156</v>
      </c>
      <c r="H245" s="9" t="s">
        <v>179</v>
      </c>
      <c r="I245" s="9" t="b">
        <f>TRUE()</f>
        <v>1</v>
      </c>
      <c r="J245" s="9" t="s">
        <v>152</v>
      </c>
      <c r="K245" s="9" t="s">
        <v>153</v>
      </c>
      <c r="L245" s="10">
        <v>45726</v>
      </c>
      <c r="M245" s="10">
        <v>45740</v>
      </c>
      <c r="N245" s="10"/>
      <c r="O245" s="10">
        <v>45745</v>
      </c>
      <c r="P245" s="9" t="b">
        <f>TRUE()</f>
        <v>1</v>
      </c>
      <c r="Q245" s="11">
        <v>650.91</v>
      </c>
    </row>
    <row r="246" spans="1:17" ht="15" customHeight="1" x14ac:dyDescent="0.2">
      <c r="A246" s="9" t="s">
        <v>415</v>
      </c>
      <c r="B246" s="10">
        <v>45903</v>
      </c>
      <c r="C246" s="10">
        <v>45901</v>
      </c>
      <c r="D246" s="9" t="s">
        <v>20</v>
      </c>
      <c r="E246" s="9" t="s">
        <v>26</v>
      </c>
      <c r="F246" s="9" t="s">
        <v>149</v>
      </c>
      <c r="G246" s="9" t="s">
        <v>150</v>
      </c>
      <c r="H246" s="9" t="s">
        <v>189</v>
      </c>
      <c r="I246" s="9" t="b">
        <f>TRUE()</f>
        <v>1</v>
      </c>
      <c r="J246" s="9" t="s">
        <v>152</v>
      </c>
      <c r="K246" s="9" t="s">
        <v>153</v>
      </c>
      <c r="L246" s="10">
        <v>45911</v>
      </c>
      <c r="M246" s="10">
        <v>45921</v>
      </c>
      <c r="N246" s="10"/>
      <c r="O246" s="10">
        <v>45942</v>
      </c>
      <c r="P246" s="9" t="b">
        <f>TRUE()</f>
        <v>1</v>
      </c>
      <c r="Q246" s="11">
        <v>7417.17</v>
      </c>
    </row>
    <row r="247" spans="1:17" ht="15" customHeight="1" x14ac:dyDescent="0.2">
      <c r="A247" s="9" t="s">
        <v>416</v>
      </c>
      <c r="B247" s="10">
        <v>45910</v>
      </c>
      <c r="C247" s="10">
        <v>45901</v>
      </c>
      <c r="D247" s="9" t="s">
        <v>19</v>
      </c>
      <c r="E247" s="9" t="s">
        <v>28</v>
      </c>
      <c r="F247" s="9" t="s">
        <v>149</v>
      </c>
      <c r="G247" s="9" t="s">
        <v>156</v>
      </c>
      <c r="H247" s="9" t="s">
        <v>179</v>
      </c>
      <c r="I247" s="9" t="b">
        <f>TRUE()</f>
        <v>1</v>
      </c>
      <c r="J247" s="9" t="s">
        <v>2</v>
      </c>
      <c r="K247" s="9" t="s">
        <v>153</v>
      </c>
      <c r="L247" s="10">
        <v>45913</v>
      </c>
      <c r="M247" s="10">
        <v>45916</v>
      </c>
      <c r="N247" s="10">
        <v>45942</v>
      </c>
      <c r="O247" s="10"/>
      <c r="P247" s="9" t="b">
        <f>TRUE()</f>
        <v>1</v>
      </c>
      <c r="Q247" s="11">
        <v>982.51</v>
      </c>
    </row>
    <row r="248" spans="1:17" ht="15" customHeight="1" x14ac:dyDescent="0.2">
      <c r="A248" s="9" t="s">
        <v>417</v>
      </c>
      <c r="B248" s="10">
        <v>45845</v>
      </c>
      <c r="C248" s="10">
        <v>45839</v>
      </c>
      <c r="D248" s="9" t="s">
        <v>20</v>
      </c>
      <c r="E248" s="9" t="s">
        <v>28</v>
      </c>
      <c r="F248" s="9" t="s">
        <v>160</v>
      </c>
      <c r="G248" s="9" t="s">
        <v>156</v>
      </c>
      <c r="H248" s="9" t="s">
        <v>189</v>
      </c>
      <c r="I248" s="9" t="b">
        <f>TRUE()</f>
        <v>1</v>
      </c>
      <c r="J248" s="9" t="s">
        <v>152</v>
      </c>
      <c r="K248" s="9" t="s">
        <v>163</v>
      </c>
      <c r="L248" s="10"/>
      <c r="M248" s="10"/>
      <c r="N248" s="10"/>
      <c r="O248" s="10">
        <v>45855</v>
      </c>
      <c r="P248" s="9" t="b">
        <f>TRUE()</f>
        <v>1</v>
      </c>
      <c r="Q248" s="11">
        <v>721.48</v>
      </c>
    </row>
    <row r="249" spans="1:17" ht="15" customHeight="1" x14ac:dyDescent="0.2">
      <c r="A249" s="9" t="s">
        <v>418</v>
      </c>
      <c r="B249" s="10">
        <v>45855</v>
      </c>
      <c r="C249" s="10">
        <v>45839</v>
      </c>
      <c r="D249" s="9" t="s">
        <v>20</v>
      </c>
      <c r="E249" s="9" t="s">
        <v>24</v>
      </c>
      <c r="F249" s="9" t="s">
        <v>149</v>
      </c>
      <c r="G249" s="9" t="s">
        <v>161</v>
      </c>
      <c r="H249" s="9" t="s">
        <v>192</v>
      </c>
      <c r="I249" s="9" t="b">
        <f>TRUE()</f>
        <v>1</v>
      </c>
      <c r="J249" s="9" t="s">
        <v>152</v>
      </c>
      <c r="K249" s="9" t="s">
        <v>163</v>
      </c>
      <c r="L249" s="10"/>
      <c r="M249" s="10"/>
      <c r="N249" s="10"/>
      <c r="O249" s="10">
        <v>45860</v>
      </c>
      <c r="P249" s="9" t="b">
        <f>TRUE()</f>
        <v>1</v>
      </c>
      <c r="Q249" s="11">
        <v>2370.63</v>
      </c>
    </row>
    <row r="250" spans="1:17" ht="15" customHeight="1" x14ac:dyDescent="0.2">
      <c r="A250" s="9" t="s">
        <v>419</v>
      </c>
      <c r="B250" s="10">
        <v>46018</v>
      </c>
      <c r="C250" s="10">
        <v>45992</v>
      </c>
      <c r="D250" s="9" t="s">
        <v>19</v>
      </c>
      <c r="E250" s="9" t="s">
        <v>28</v>
      </c>
      <c r="F250" s="9" t="s">
        <v>149</v>
      </c>
      <c r="G250" s="9" t="s">
        <v>156</v>
      </c>
      <c r="H250" s="9" t="s">
        <v>179</v>
      </c>
      <c r="I250" s="9" t="b">
        <f>TRUE()</f>
        <v>1</v>
      </c>
      <c r="J250" s="9" t="s">
        <v>190</v>
      </c>
      <c r="K250" s="9" t="s">
        <v>163</v>
      </c>
      <c r="L250" s="10"/>
      <c r="M250" s="10"/>
      <c r="N250" s="10"/>
      <c r="O250" s="10"/>
      <c r="P250" s="9" t="b">
        <f>TRUE()</f>
        <v>1</v>
      </c>
      <c r="Q250" s="11">
        <v>769.88</v>
      </c>
    </row>
    <row r="251" spans="1:17" ht="15" customHeight="1" x14ac:dyDescent="0.2">
      <c r="A251" s="9" t="s">
        <v>420</v>
      </c>
      <c r="B251" s="10">
        <v>45754</v>
      </c>
      <c r="C251" s="10">
        <v>45748</v>
      </c>
      <c r="D251" s="9" t="s">
        <v>19</v>
      </c>
      <c r="E251" s="9" t="s">
        <v>25</v>
      </c>
      <c r="F251" s="9" t="s">
        <v>149</v>
      </c>
      <c r="G251" s="9" t="s">
        <v>156</v>
      </c>
      <c r="H251" s="9" t="s">
        <v>207</v>
      </c>
      <c r="I251" s="9" t="b">
        <f>TRUE()</f>
        <v>1</v>
      </c>
      <c r="J251" s="9" t="s">
        <v>152</v>
      </c>
      <c r="K251" s="9" t="s">
        <v>153</v>
      </c>
      <c r="L251" s="10">
        <v>45760</v>
      </c>
      <c r="M251" s="10">
        <v>45762</v>
      </c>
      <c r="N251" s="10"/>
      <c r="O251" s="10">
        <v>45777</v>
      </c>
      <c r="P251" s="9" t="b">
        <f>TRUE()</f>
        <v>1</v>
      </c>
      <c r="Q251" s="11">
        <v>1043.6099999999999</v>
      </c>
    </row>
    <row r="252" spans="1:17" ht="15" customHeight="1" x14ac:dyDescent="0.2">
      <c r="A252" s="9" t="s">
        <v>421</v>
      </c>
      <c r="B252" s="10">
        <v>45978</v>
      </c>
      <c r="C252" s="10">
        <v>45962</v>
      </c>
      <c r="D252" s="9" t="s">
        <v>20</v>
      </c>
      <c r="E252" s="9" t="s">
        <v>26</v>
      </c>
      <c r="F252" s="9" t="s">
        <v>186</v>
      </c>
      <c r="G252" s="9" t="s">
        <v>156</v>
      </c>
      <c r="H252" s="9" t="s">
        <v>189</v>
      </c>
      <c r="I252" s="9" t="b">
        <f>TRUE()</f>
        <v>1</v>
      </c>
      <c r="J252" s="9" t="s">
        <v>152</v>
      </c>
      <c r="K252" s="9" t="s">
        <v>153</v>
      </c>
      <c r="L252" s="10">
        <v>45980</v>
      </c>
      <c r="M252" s="10"/>
      <c r="N252" s="10"/>
      <c r="O252" s="10">
        <v>46004</v>
      </c>
      <c r="P252" s="9" t="b">
        <f>TRUE()</f>
        <v>1</v>
      </c>
      <c r="Q252" s="11">
        <v>489.41</v>
      </c>
    </row>
    <row r="253" spans="1:17" ht="15" customHeight="1" x14ac:dyDescent="0.2">
      <c r="A253" s="9" t="s">
        <v>422</v>
      </c>
      <c r="B253" s="10">
        <v>45805</v>
      </c>
      <c r="C253" s="10">
        <v>45778</v>
      </c>
      <c r="D253" s="9" t="s">
        <v>22</v>
      </c>
      <c r="E253" s="9" t="s">
        <v>24</v>
      </c>
      <c r="F253" s="9" t="s">
        <v>155</v>
      </c>
      <c r="G253" s="9" t="s">
        <v>150</v>
      </c>
      <c r="H253" s="9" t="s">
        <v>151</v>
      </c>
      <c r="I253" s="9" t="b">
        <f>TRUE()</f>
        <v>1</v>
      </c>
      <c r="J253" s="9" t="s">
        <v>152</v>
      </c>
      <c r="K253" s="9" t="s">
        <v>163</v>
      </c>
      <c r="L253" s="10"/>
      <c r="M253" s="10"/>
      <c r="N253" s="10"/>
      <c r="O253" s="10">
        <v>45816</v>
      </c>
      <c r="P253" s="9" t="b">
        <f>TRUE()</f>
        <v>1</v>
      </c>
      <c r="Q253" s="11">
        <v>6197.92</v>
      </c>
    </row>
    <row r="254" spans="1:17" ht="15" customHeight="1" x14ac:dyDescent="0.2">
      <c r="A254" s="9" t="s">
        <v>423</v>
      </c>
      <c r="B254" s="10">
        <v>45923</v>
      </c>
      <c r="C254" s="10">
        <v>45901</v>
      </c>
      <c r="D254" s="9" t="s">
        <v>22</v>
      </c>
      <c r="E254" s="9" t="s">
        <v>26</v>
      </c>
      <c r="F254" s="9" t="s">
        <v>160</v>
      </c>
      <c r="G254" s="9" t="s">
        <v>156</v>
      </c>
      <c r="H254" s="9" t="s">
        <v>170</v>
      </c>
      <c r="I254" s="9" t="b">
        <f>TRUE()</f>
        <v>1</v>
      </c>
      <c r="J254" s="9" t="s">
        <v>2</v>
      </c>
      <c r="K254" s="9" t="s">
        <v>153</v>
      </c>
      <c r="L254" s="10">
        <v>45928</v>
      </c>
      <c r="M254" s="10">
        <v>45936</v>
      </c>
      <c r="N254" s="10">
        <v>45963</v>
      </c>
      <c r="O254" s="10"/>
      <c r="P254" s="9" t="b">
        <f>TRUE()</f>
        <v>1</v>
      </c>
      <c r="Q254" s="11">
        <v>919.94</v>
      </c>
    </row>
    <row r="255" spans="1:17" ht="15" customHeight="1" x14ac:dyDescent="0.2">
      <c r="A255" s="9" t="s">
        <v>424</v>
      </c>
      <c r="B255" s="10">
        <v>45834</v>
      </c>
      <c r="C255" s="10">
        <v>45809</v>
      </c>
      <c r="D255" s="9" t="s">
        <v>20</v>
      </c>
      <c r="E255" s="9" t="s">
        <v>24</v>
      </c>
      <c r="F255" s="9" t="s">
        <v>186</v>
      </c>
      <c r="G255" s="9" t="s">
        <v>156</v>
      </c>
      <c r="H255" s="9" t="s">
        <v>167</v>
      </c>
      <c r="I255" s="9" t="b">
        <f>TRUE()</f>
        <v>1</v>
      </c>
      <c r="J255" s="9" t="s">
        <v>152</v>
      </c>
      <c r="K255" s="9" t="s">
        <v>153</v>
      </c>
      <c r="L255" s="10">
        <v>45835</v>
      </c>
      <c r="M255" s="10">
        <v>45849</v>
      </c>
      <c r="N255" s="10"/>
      <c r="O255" s="10">
        <v>45863</v>
      </c>
      <c r="P255" s="9" t="b">
        <f>TRUE()</f>
        <v>1</v>
      </c>
      <c r="Q255" s="11">
        <v>650.78</v>
      </c>
    </row>
    <row r="256" spans="1:17" ht="15" customHeight="1" x14ac:dyDescent="0.2">
      <c r="A256" s="9" t="s">
        <v>425</v>
      </c>
      <c r="B256" s="10">
        <v>45724</v>
      </c>
      <c r="C256" s="10">
        <v>45717</v>
      </c>
      <c r="D256" s="9" t="s">
        <v>20</v>
      </c>
      <c r="E256" s="9" t="s">
        <v>24</v>
      </c>
      <c r="F256" s="9" t="s">
        <v>155</v>
      </c>
      <c r="G256" s="9" t="s">
        <v>156</v>
      </c>
      <c r="H256" s="9" t="s">
        <v>167</v>
      </c>
      <c r="I256" s="9" t="b">
        <f>TRUE()</f>
        <v>1</v>
      </c>
      <c r="J256" s="9" t="s">
        <v>152</v>
      </c>
      <c r="K256" s="9" t="s">
        <v>153</v>
      </c>
      <c r="L256" s="10">
        <v>45727</v>
      </c>
      <c r="M256" s="10">
        <v>45738</v>
      </c>
      <c r="N256" s="10"/>
      <c r="O256" s="10">
        <v>45744</v>
      </c>
      <c r="P256" s="9" t="b">
        <f>TRUE()</f>
        <v>1</v>
      </c>
      <c r="Q256" s="11">
        <v>399.79</v>
      </c>
    </row>
    <row r="257" spans="1:17" ht="15" customHeight="1" x14ac:dyDescent="0.2">
      <c r="A257" s="9" t="s">
        <v>426</v>
      </c>
      <c r="B257" s="10">
        <v>45782</v>
      </c>
      <c r="C257" s="10">
        <v>45778</v>
      </c>
      <c r="D257" s="9" t="s">
        <v>22</v>
      </c>
      <c r="E257" s="9" t="s">
        <v>25</v>
      </c>
      <c r="F257" s="9" t="s">
        <v>149</v>
      </c>
      <c r="G257" s="9" t="s">
        <v>156</v>
      </c>
      <c r="H257" s="9" t="s">
        <v>170</v>
      </c>
      <c r="I257" s="9" t="b">
        <f>TRUE()</f>
        <v>1</v>
      </c>
      <c r="J257" s="9" t="s">
        <v>152</v>
      </c>
      <c r="K257" s="9" t="s">
        <v>153</v>
      </c>
      <c r="L257" s="10">
        <v>45783</v>
      </c>
      <c r="M257" s="10"/>
      <c r="N257" s="10"/>
      <c r="O257" s="10">
        <v>45793</v>
      </c>
      <c r="P257" s="9" t="b">
        <f>TRUE()</f>
        <v>1</v>
      </c>
      <c r="Q257" s="11">
        <v>1101.03</v>
      </c>
    </row>
    <row r="258" spans="1:17" ht="15" customHeight="1" x14ac:dyDescent="0.2">
      <c r="A258" s="9" t="s">
        <v>53</v>
      </c>
      <c r="B258" s="10">
        <v>45843</v>
      </c>
      <c r="C258" s="10">
        <v>45839</v>
      </c>
      <c r="D258" s="9" t="s">
        <v>18</v>
      </c>
      <c r="E258" s="9" t="s">
        <v>375</v>
      </c>
      <c r="F258" s="9" t="s">
        <v>160</v>
      </c>
      <c r="G258" s="9" t="s">
        <v>156</v>
      </c>
      <c r="H258" s="9" t="s">
        <v>251</v>
      </c>
      <c r="I258" s="9" t="b">
        <f>TRUE()</f>
        <v>1</v>
      </c>
      <c r="J258" s="9" t="s">
        <v>152</v>
      </c>
      <c r="K258" s="9" t="s">
        <v>163</v>
      </c>
      <c r="L258" s="10"/>
      <c r="M258" s="10"/>
      <c r="N258" s="10"/>
      <c r="O258" s="10">
        <v>45858</v>
      </c>
      <c r="P258" s="9" t="b">
        <f>TRUE()</f>
        <v>1</v>
      </c>
      <c r="Q258" s="11">
        <v>933.81</v>
      </c>
    </row>
    <row r="259" spans="1:17" ht="15" customHeight="1" x14ac:dyDescent="0.2">
      <c r="A259" s="9" t="s">
        <v>63</v>
      </c>
      <c r="B259" s="10">
        <v>45913</v>
      </c>
      <c r="C259" s="10">
        <v>45901</v>
      </c>
      <c r="D259" s="9" t="s">
        <v>20</v>
      </c>
      <c r="E259" s="9" t="s">
        <v>24</v>
      </c>
      <c r="F259" s="9" t="s">
        <v>186</v>
      </c>
      <c r="G259" s="9" t="s">
        <v>161</v>
      </c>
      <c r="H259" s="9" t="s">
        <v>265</v>
      </c>
      <c r="I259" s="9" t="b">
        <f>FALSE()</f>
        <v>0</v>
      </c>
      <c r="J259" s="9" t="s">
        <v>152</v>
      </c>
      <c r="K259" s="9" t="s">
        <v>163</v>
      </c>
      <c r="L259" s="10"/>
      <c r="M259" s="10"/>
      <c r="N259" s="10"/>
      <c r="O259" s="10">
        <v>45917</v>
      </c>
      <c r="P259" s="9" t="b">
        <f>TRUE()</f>
        <v>1</v>
      </c>
      <c r="Q259" s="11">
        <v>2054.59</v>
      </c>
    </row>
    <row r="260" spans="1:17" ht="15" customHeight="1" x14ac:dyDescent="0.2">
      <c r="A260" s="9" t="s">
        <v>427</v>
      </c>
      <c r="B260" s="10">
        <v>45893</v>
      </c>
      <c r="C260" s="10">
        <v>45870</v>
      </c>
      <c r="D260" s="9" t="s">
        <v>20</v>
      </c>
      <c r="E260" s="9" t="s">
        <v>28</v>
      </c>
      <c r="F260" s="9" t="s">
        <v>149</v>
      </c>
      <c r="G260" s="9" t="s">
        <v>156</v>
      </c>
      <c r="H260" s="9" t="s">
        <v>189</v>
      </c>
      <c r="I260" s="9" t="b">
        <f>TRUE()</f>
        <v>1</v>
      </c>
      <c r="J260" s="9" t="s">
        <v>152</v>
      </c>
      <c r="K260" s="9" t="s">
        <v>163</v>
      </c>
      <c r="L260" s="10"/>
      <c r="M260" s="10"/>
      <c r="N260" s="10"/>
      <c r="O260" s="10">
        <v>45898</v>
      </c>
      <c r="P260" s="9" t="b">
        <f>TRUE()</f>
        <v>1</v>
      </c>
      <c r="Q260" s="11">
        <v>595.19000000000005</v>
      </c>
    </row>
    <row r="261" spans="1:17" ht="15" customHeight="1" x14ac:dyDescent="0.2">
      <c r="A261" s="9" t="s">
        <v>428</v>
      </c>
      <c r="B261" s="10">
        <v>45683</v>
      </c>
      <c r="C261" s="10">
        <v>45658</v>
      </c>
      <c r="D261" s="9" t="s">
        <v>19</v>
      </c>
      <c r="E261" s="9" t="s">
        <v>26</v>
      </c>
      <c r="F261" s="9" t="s">
        <v>186</v>
      </c>
      <c r="G261" s="9" t="s">
        <v>156</v>
      </c>
      <c r="H261" s="9" t="s">
        <v>210</v>
      </c>
      <c r="I261" s="9" t="b">
        <f>TRUE()</f>
        <v>1</v>
      </c>
      <c r="J261" s="9" t="s">
        <v>152</v>
      </c>
      <c r="K261" s="9" t="s">
        <v>163</v>
      </c>
      <c r="L261" s="10"/>
      <c r="M261" s="10"/>
      <c r="N261" s="10"/>
      <c r="O261" s="10">
        <v>45691</v>
      </c>
      <c r="P261" s="9" t="b">
        <f>TRUE()</f>
        <v>1</v>
      </c>
      <c r="Q261" s="11">
        <v>592.48</v>
      </c>
    </row>
    <row r="262" spans="1:17" ht="15" customHeight="1" x14ac:dyDescent="0.2">
      <c r="A262" s="9" t="s">
        <v>429</v>
      </c>
      <c r="B262" s="10">
        <v>45743</v>
      </c>
      <c r="C262" s="10">
        <v>45717</v>
      </c>
      <c r="D262" s="9" t="s">
        <v>22</v>
      </c>
      <c r="E262" s="9" t="s">
        <v>27</v>
      </c>
      <c r="F262" s="9" t="s">
        <v>160</v>
      </c>
      <c r="G262" s="9" t="s">
        <v>150</v>
      </c>
      <c r="H262" s="9" t="s">
        <v>170</v>
      </c>
      <c r="I262" s="9" t="b">
        <f>TRUE()</f>
        <v>1</v>
      </c>
      <c r="J262" s="9" t="s">
        <v>152</v>
      </c>
      <c r="K262" s="9" t="s">
        <v>153</v>
      </c>
      <c r="L262" s="10">
        <v>45750</v>
      </c>
      <c r="M262" s="10"/>
      <c r="N262" s="10"/>
      <c r="O262" s="10">
        <v>45771</v>
      </c>
      <c r="P262" s="9" t="b">
        <f>TRUE()</f>
        <v>1</v>
      </c>
      <c r="Q262" s="11">
        <v>5667.75</v>
      </c>
    </row>
    <row r="263" spans="1:17" ht="15" customHeight="1" x14ac:dyDescent="0.2">
      <c r="A263" s="9" t="s">
        <v>430</v>
      </c>
      <c r="B263" s="10">
        <v>45808</v>
      </c>
      <c r="C263" s="10">
        <v>45778</v>
      </c>
      <c r="D263" s="9" t="s">
        <v>19</v>
      </c>
      <c r="E263" s="9" t="s">
        <v>25</v>
      </c>
      <c r="F263" s="9" t="s">
        <v>149</v>
      </c>
      <c r="G263" s="9" t="s">
        <v>150</v>
      </c>
      <c r="H263" s="9" t="s">
        <v>179</v>
      </c>
      <c r="I263" s="9" t="b">
        <f>TRUE()</f>
        <v>1</v>
      </c>
      <c r="J263" s="9" t="s">
        <v>2</v>
      </c>
      <c r="K263" s="9" t="s">
        <v>153</v>
      </c>
      <c r="L263" s="10">
        <v>45809</v>
      </c>
      <c r="M263" s="10">
        <v>45812</v>
      </c>
      <c r="N263" s="10">
        <v>45831</v>
      </c>
      <c r="O263" s="10"/>
      <c r="P263" s="9" t="b">
        <f>TRUE()</f>
        <v>1</v>
      </c>
      <c r="Q263" s="11">
        <v>10436.51</v>
      </c>
    </row>
    <row r="264" spans="1:17" ht="15" customHeight="1" x14ac:dyDescent="0.2">
      <c r="A264" s="9" t="s">
        <v>431</v>
      </c>
      <c r="B264" s="10">
        <v>45942</v>
      </c>
      <c r="C264" s="10">
        <v>45931</v>
      </c>
      <c r="D264" s="9" t="s">
        <v>18</v>
      </c>
      <c r="E264" s="9" t="s">
        <v>25</v>
      </c>
      <c r="F264" s="9" t="s">
        <v>149</v>
      </c>
      <c r="G264" s="9" t="s">
        <v>156</v>
      </c>
      <c r="H264" s="9" t="s">
        <v>157</v>
      </c>
      <c r="I264" s="9" t="b">
        <f>TRUE()</f>
        <v>1</v>
      </c>
      <c r="J264" s="9" t="s">
        <v>152</v>
      </c>
      <c r="K264" s="9" t="s">
        <v>163</v>
      </c>
      <c r="L264" s="10"/>
      <c r="M264" s="10"/>
      <c r="N264" s="10"/>
      <c r="O264" s="10">
        <v>45947</v>
      </c>
      <c r="P264" s="9" t="b">
        <f>TRUE()</f>
        <v>1</v>
      </c>
      <c r="Q264" s="11">
        <v>590.61</v>
      </c>
    </row>
    <row r="265" spans="1:17" ht="15" customHeight="1" x14ac:dyDescent="0.2">
      <c r="A265" s="9" t="s">
        <v>432</v>
      </c>
      <c r="B265" s="10">
        <v>45960</v>
      </c>
      <c r="C265" s="10">
        <v>45931</v>
      </c>
      <c r="D265" s="9" t="s">
        <v>18</v>
      </c>
      <c r="E265" s="9" t="s">
        <v>24</v>
      </c>
      <c r="F265" s="9" t="s">
        <v>186</v>
      </c>
      <c r="G265" s="9" t="s">
        <v>150</v>
      </c>
      <c r="H265" s="9" t="s">
        <v>201</v>
      </c>
      <c r="I265" s="9" t="b">
        <f>TRUE()</f>
        <v>1</v>
      </c>
      <c r="J265" s="9" t="s">
        <v>152</v>
      </c>
      <c r="K265" s="9" t="s">
        <v>163</v>
      </c>
      <c r="L265" s="10"/>
      <c r="M265" s="10"/>
      <c r="N265" s="10"/>
      <c r="O265" s="10">
        <v>45980</v>
      </c>
      <c r="P265" s="9" t="b">
        <f>TRUE()</f>
        <v>1</v>
      </c>
      <c r="Q265" s="11">
        <v>5797.56</v>
      </c>
    </row>
    <row r="266" spans="1:17" ht="15" customHeight="1" x14ac:dyDescent="0.2">
      <c r="A266" s="9" t="s">
        <v>433</v>
      </c>
      <c r="B266" s="10">
        <v>45955</v>
      </c>
      <c r="C266" s="10">
        <v>45931</v>
      </c>
      <c r="D266" s="9" t="s">
        <v>19</v>
      </c>
      <c r="E266" s="9" t="s">
        <v>25</v>
      </c>
      <c r="F266" s="9" t="s">
        <v>186</v>
      </c>
      <c r="G266" s="9" t="s">
        <v>150</v>
      </c>
      <c r="H266" s="9" t="s">
        <v>207</v>
      </c>
      <c r="I266" s="9" t="b">
        <f>TRUE()</f>
        <v>1</v>
      </c>
      <c r="J266" s="9" t="s">
        <v>152</v>
      </c>
      <c r="K266" s="9" t="s">
        <v>153</v>
      </c>
      <c r="L266" s="10">
        <v>45960</v>
      </c>
      <c r="M266" s="10"/>
      <c r="N266" s="10"/>
      <c r="O266" s="10">
        <v>45977</v>
      </c>
      <c r="P266" s="9" t="b">
        <f>TRUE()</f>
        <v>1</v>
      </c>
      <c r="Q266" s="11">
        <v>8886.94</v>
      </c>
    </row>
    <row r="267" spans="1:17" ht="15" customHeight="1" x14ac:dyDescent="0.2">
      <c r="A267" s="9" t="s">
        <v>434</v>
      </c>
      <c r="B267" s="10">
        <v>45688</v>
      </c>
      <c r="C267" s="10">
        <v>45658</v>
      </c>
      <c r="D267" s="9" t="s">
        <v>20</v>
      </c>
      <c r="E267" s="9" t="s">
        <v>25</v>
      </c>
      <c r="F267" s="9" t="s">
        <v>160</v>
      </c>
      <c r="G267" s="9" t="s">
        <v>161</v>
      </c>
      <c r="H267" s="9" t="s">
        <v>192</v>
      </c>
      <c r="I267" s="9" t="b">
        <f>TRUE()</f>
        <v>1</v>
      </c>
      <c r="J267" s="9" t="s">
        <v>152</v>
      </c>
      <c r="K267" s="9" t="s">
        <v>153</v>
      </c>
      <c r="L267" s="10">
        <v>45698</v>
      </c>
      <c r="M267" s="10"/>
      <c r="N267" s="10"/>
      <c r="O267" s="10">
        <v>45715</v>
      </c>
      <c r="P267" s="9" t="b">
        <f>TRUE()</f>
        <v>1</v>
      </c>
      <c r="Q267" s="11">
        <v>2755.87</v>
      </c>
    </row>
    <row r="268" spans="1:17" ht="15" customHeight="1" x14ac:dyDescent="0.2">
      <c r="A268" s="9" t="s">
        <v>435</v>
      </c>
      <c r="B268" s="10">
        <v>45790</v>
      </c>
      <c r="C268" s="10">
        <v>45778</v>
      </c>
      <c r="D268" s="9" t="s">
        <v>19</v>
      </c>
      <c r="E268" s="9" t="s">
        <v>27</v>
      </c>
      <c r="F268" s="9" t="s">
        <v>160</v>
      </c>
      <c r="G268" s="9" t="s">
        <v>161</v>
      </c>
      <c r="H268" s="9" t="s">
        <v>179</v>
      </c>
      <c r="I268" s="9" t="b">
        <f>TRUE()</f>
        <v>1</v>
      </c>
      <c r="J268" s="9" t="s">
        <v>2</v>
      </c>
      <c r="K268" s="9" t="s">
        <v>153</v>
      </c>
      <c r="L268" s="10">
        <v>45798</v>
      </c>
      <c r="M268" s="10">
        <v>45800</v>
      </c>
      <c r="N268" s="10">
        <v>45814</v>
      </c>
      <c r="O268" s="10"/>
      <c r="P268" s="9" t="b">
        <f>TRUE()</f>
        <v>1</v>
      </c>
      <c r="Q268" s="11">
        <v>2697.38</v>
      </c>
    </row>
    <row r="269" spans="1:17" ht="15" customHeight="1" x14ac:dyDescent="0.2">
      <c r="A269" s="9" t="s">
        <v>436</v>
      </c>
      <c r="B269" s="10">
        <v>45998</v>
      </c>
      <c r="C269" s="10">
        <v>45992</v>
      </c>
      <c r="D269" s="9" t="s">
        <v>19</v>
      </c>
      <c r="E269" s="9" t="s">
        <v>28</v>
      </c>
      <c r="F269" s="9" t="s">
        <v>155</v>
      </c>
      <c r="G269" s="9" t="s">
        <v>156</v>
      </c>
      <c r="H269" s="9" t="s">
        <v>179</v>
      </c>
      <c r="I269" s="9" t="b">
        <f>TRUE()</f>
        <v>1</v>
      </c>
      <c r="J269" s="9" t="s">
        <v>190</v>
      </c>
      <c r="K269" s="9" t="s">
        <v>163</v>
      </c>
      <c r="L269" s="10"/>
      <c r="M269" s="10"/>
      <c r="N269" s="10"/>
      <c r="O269" s="10"/>
      <c r="P269" s="9" t="b">
        <f>TRUE()</f>
        <v>1</v>
      </c>
      <c r="Q269" s="11">
        <v>661.69</v>
      </c>
    </row>
    <row r="270" spans="1:17" ht="15" customHeight="1" x14ac:dyDescent="0.2">
      <c r="A270" s="9" t="s">
        <v>48</v>
      </c>
      <c r="B270" s="10">
        <v>45739</v>
      </c>
      <c r="C270" s="10">
        <v>45717</v>
      </c>
      <c r="D270" s="9" t="s">
        <v>19</v>
      </c>
      <c r="E270" s="9" t="s">
        <v>27</v>
      </c>
      <c r="F270" s="9" t="s">
        <v>160</v>
      </c>
      <c r="G270" s="9" t="s">
        <v>156</v>
      </c>
      <c r="H270" s="9" t="s">
        <v>210</v>
      </c>
      <c r="I270" s="9" t="b">
        <f>TRUE()</f>
        <v>1</v>
      </c>
      <c r="J270" s="9" t="s">
        <v>152</v>
      </c>
      <c r="K270" s="9" t="s">
        <v>153</v>
      </c>
      <c r="L270" s="10">
        <v>45749</v>
      </c>
      <c r="M270" s="10">
        <v>45760</v>
      </c>
      <c r="N270" s="10"/>
      <c r="O270" s="10">
        <v>45765</v>
      </c>
      <c r="P270" s="9" t="b">
        <f>TRUE()</f>
        <v>1</v>
      </c>
      <c r="Q270" s="11">
        <v>999.07</v>
      </c>
    </row>
    <row r="271" spans="1:17" ht="15" customHeight="1" x14ac:dyDescent="0.2">
      <c r="A271" s="9" t="s">
        <v>437</v>
      </c>
      <c r="B271" s="10">
        <v>45820</v>
      </c>
      <c r="C271" s="10">
        <v>45809</v>
      </c>
      <c r="D271" s="9" t="s">
        <v>18</v>
      </c>
      <c r="E271" s="9" t="s">
        <v>27</v>
      </c>
      <c r="F271" s="9" t="s">
        <v>149</v>
      </c>
      <c r="G271" s="9" t="s">
        <v>156</v>
      </c>
      <c r="H271" s="9" t="s">
        <v>157</v>
      </c>
      <c r="I271" s="9" t="b">
        <f>TRUE()</f>
        <v>1</v>
      </c>
      <c r="J271" s="9" t="s">
        <v>2</v>
      </c>
      <c r="K271" s="9" t="s">
        <v>153</v>
      </c>
      <c r="L271" s="10">
        <v>45830</v>
      </c>
      <c r="M271" s="10">
        <v>45832</v>
      </c>
      <c r="N271" s="10">
        <v>45846</v>
      </c>
      <c r="O271" s="10"/>
      <c r="P271" s="9" t="b">
        <f>TRUE()</f>
        <v>1</v>
      </c>
      <c r="Q271" s="11">
        <v>1094.9000000000001</v>
      </c>
    </row>
    <row r="272" spans="1:17" ht="15" customHeight="1" x14ac:dyDescent="0.2">
      <c r="A272" s="9" t="s">
        <v>51</v>
      </c>
      <c r="B272" s="10">
        <v>45697</v>
      </c>
      <c r="C272" s="10">
        <v>45689</v>
      </c>
      <c r="D272" s="9" t="s">
        <v>18</v>
      </c>
      <c r="E272" s="9" t="s">
        <v>24</v>
      </c>
      <c r="F272" s="9" t="s">
        <v>155</v>
      </c>
      <c r="G272" s="9" t="s">
        <v>161</v>
      </c>
      <c r="H272" s="9" t="s">
        <v>201</v>
      </c>
      <c r="I272" s="9" t="b">
        <f>TRUE()</f>
        <v>1</v>
      </c>
      <c r="J272" s="9" t="s">
        <v>152</v>
      </c>
      <c r="K272" s="9" t="s">
        <v>153</v>
      </c>
      <c r="L272" s="10">
        <v>45700</v>
      </c>
      <c r="M272" s="10">
        <v>45705</v>
      </c>
      <c r="N272" s="10"/>
      <c r="O272" s="10">
        <v>45717</v>
      </c>
      <c r="P272" s="9" t="b">
        <f>TRUE()</f>
        <v>1</v>
      </c>
      <c r="Q272" s="11">
        <v>1336.37</v>
      </c>
    </row>
    <row r="273" spans="1:17" ht="15" customHeight="1" x14ac:dyDescent="0.2">
      <c r="A273" s="9" t="s">
        <v>438</v>
      </c>
      <c r="B273" s="10">
        <v>45896</v>
      </c>
      <c r="C273" s="10">
        <v>45870</v>
      </c>
      <c r="D273" s="9" t="s">
        <v>19</v>
      </c>
      <c r="E273" s="9" t="s">
        <v>25</v>
      </c>
      <c r="F273" s="9" t="s">
        <v>160</v>
      </c>
      <c r="G273" s="9" t="s">
        <v>156</v>
      </c>
      <c r="H273" s="9" t="s">
        <v>179</v>
      </c>
      <c r="I273" s="9" t="b">
        <f>TRUE()</f>
        <v>1</v>
      </c>
      <c r="J273" s="9" t="s">
        <v>152</v>
      </c>
      <c r="K273" s="9" t="s">
        <v>163</v>
      </c>
      <c r="L273" s="10"/>
      <c r="M273" s="10"/>
      <c r="N273" s="10"/>
      <c r="O273" s="10">
        <v>45901</v>
      </c>
      <c r="P273" s="9" t="b">
        <f>TRUE()</f>
        <v>1</v>
      </c>
      <c r="Q273" s="11">
        <v>675.42</v>
      </c>
    </row>
    <row r="274" spans="1:17" ht="15" customHeight="1" x14ac:dyDescent="0.2">
      <c r="A274" s="9" t="s">
        <v>439</v>
      </c>
      <c r="B274" s="10">
        <v>45692</v>
      </c>
      <c r="C274" s="10">
        <v>45689</v>
      </c>
      <c r="D274" s="9" t="s">
        <v>22</v>
      </c>
      <c r="E274" s="9" t="s">
        <v>28</v>
      </c>
      <c r="F274" s="9" t="s">
        <v>155</v>
      </c>
      <c r="G274" s="9" t="s">
        <v>161</v>
      </c>
      <c r="H274" s="9" t="s">
        <v>165</v>
      </c>
      <c r="I274" s="9" t="b">
        <f>TRUE()</f>
        <v>1</v>
      </c>
      <c r="J274" s="9" t="s">
        <v>152</v>
      </c>
      <c r="K274" s="9" t="s">
        <v>163</v>
      </c>
      <c r="L274" s="10"/>
      <c r="M274" s="10"/>
      <c r="N274" s="10"/>
      <c r="O274" s="10">
        <v>45712</v>
      </c>
      <c r="P274" s="9" t="b">
        <f>TRUE()</f>
        <v>1</v>
      </c>
      <c r="Q274" s="11">
        <v>1609.69</v>
      </c>
    </row>
    <row r="275" spans="1:17" ht="15" customHeight="1" x14ac:dyDescent="0.2">
      <c r="A275" s="9" t="s">
        <v>440</v>
      </c>
      <c r="B275" s="10">
        <v>45823</v>
      </c>
      <c r="C275" s="10">
        <v>45809</v>
      </c>
      <c r="D275" s="9" t="s">
        <v>18</v>
      </c>
      <c r="E275" s="9" t="s">
        <v>27</v>
      </c>
      <c r="F275" s="9" t="s">
        <v>186</v>
      </c>
      <c r="G275" s="9" t="s">
        <v>156</v>
      </c>
      <c r="H275" s="9" t="s">
        <v>201</v>
      </c>
      <c r="I275" s="9" t="b">
        <f>TRUE()</f>
        <v>1</v>
      </c>
      <c r="J275" s="9" t="s">
        <v>152</v>
      </c>
      <c r="K275" s="9" t="s">
        <v>153</v>
      </c>
      <c r="L275" s="10">
        <v>45825</v>
      </c>
      <c r="M275" s="10">
        <v>45830</v>
      </c>
      <c r="N275" s="10"/>
      <c r="O275" s="10">
        <v>45853</v>
      </c>
      <c r="P275" s="9" t="b">
        <f>TRUE()</f>
        <v>1</v>
      </c>
      <c r="Q275" s="11">
        <v>602.97</v>
      </c>
    </row>
    <row r="276" spans="1:17" ht="15" customHeight="1" x14ac:dyDescent="0.2">
      <c r="A276" s="9" t="s">
        <v>441</v>
      </c>
      <c r="B276" s="10">
        <v>45977</v>
      </c>
      <c r="C276" s="10">
        <v>45962</v>
      </c>
      <c r="D276" s="9" t="s">
        <v>22</v>
      </c>
      <c r="E276" s="9" t="s">
        <v>28</v>
      </c>
      <c r="F276" s="9" t="s">
        <v>155</v>
      </c>
      <c r="G276" s="9" t="s">
        <v>156</v>
      </c>
      <c r="H276" s="9" t="s">
        <v>151</v>
      </c>
      <c r="I276" s="9" t="b">
        <f>TRUE()</f>
        <v>1</v>
      </c>
      <c r="J276" s="9" t="s">
        <v>152</v>
      </c>
      <c r="K276" s="9" t="s">
        <v>153</v>
      </c>
      <c r="L276" s="10">
        <v>45987</v>
      </c>
      <c r="M276" s="10">
        <v>45994</v>
      </c>
      <c r="N276" s="10"/>
      <c r="O276" s="10">
        <v>46011</v>
      </c>
      <c r="P276" s="9" t="b">
        <f>TRUE()</f>
        <v>1</v>
      </c>
      <c r="Q276" s="11">
        <v>540.42999999999995</v>
      </c>
    </row>
    <row r="277" spans="1:17" ht="15" customHeight="1" x14ac:dyDescent="0.2">
      <c r="A277" s="9" t="s">
        <v>442</v>
      </c>
      <c r="B277" s="10">
        <v>45662</v>
      </c>
      <c r="C277" s="10">
        <v>45658</v>
      </c>
      <c r="D277" s="9" t="s">
        <v>18</v>
      </c>
      <c r="E277" s="9" t="s">
        <v>27</v>
      </c>
      <c r="F277" s="9" t="s">
        <v>149</v>
      </c>
      <c r="G277" s="9" t="s">
        <v>156</v>
      </c>
      <c r="H277" s="9" t="s">
        <v>157</v>
      </c>
      <c r="I277" s="9" t="b">
        <f>TRUE()</f>
        <v>1</v>
      </c>
      <c r="J277" s="9" t="s">
        <v>152</v>
      </c>
      <c r="K277" s="9" t="s">
        <v>153</v>
      </c>
      <c r="L277" s="10">
        <v>45671</v>
      </c>
      <c r="M277" s="10"/>
      <c r="N277" s="10"/>
      <c r="O277" s="10">
        <v>45685</v>
      </c>
      <c r="P277" s="9" t="b">
        <f>TRUE()</f>
        <v>1</v>
      </c>
      <c r="Q277" s="11">
        <v>1117.5</v>
      </c>
    </row>
    <row r="278" spans="1:17" ht="15" customHeight="1" x14ac:dyDescent="0.2">
      <c r="A278" s="9" t="s">
        <v>443</v>
      </c>
      <c r="B278" s="10">
        <v>45911</v>
      </c>
      <c r="C278" s="10">
        <v>45901</v>
      </c>
      <c r="D278" s="9" t="s">
        <v>20</v>
      </c>
      <c r="E278" s="9" t="s">
        <v>26</v>
      </c>
      <c r="F278" s="9" t="s">
        <v>155</v>
      </c>
      <c r="G278" s="9" t="s">
        <v>161</v>
      </c>
      <c r="H278" s="9" t="s">
        <v>192</v>
      </c>
      <c r="I278" s="9" t="b">
        <f>TRUE()</f>
        <v>1</v>
      </c>
      <c r="J278" s="9" t="s">
        <v>152</v>
      </c>
      <c r="K278" s="9" t="s">
        <v>153</v>
      </c>
      <c r="L278" s="10">
        <v>45920</v>
      </c>
      <c r="M278" s="10"/>
      <c r="N278" s="10"/>
      <c r="O278" s="10">
        <v>45934</v>
      </c>
      <c r="P278" s="9" t="b">
        <f>TRUE()</f>
        <v>1</v>
      </c>
      <c r="Q278" s="11">
        <v>2045.62</v>
      </c>
    </row>
    <row r="279" spans="1:17" ht="15" customHeight="1" x14ac:dyDescent="0.2">
      <c r="A279" s="9" t="s">
        <v>444</v>
      </c>
      <c r="B279" s="10">
        <v>45981</v>
      </c>
      <c r="C279" s="10">
        <v>45962</v>
      </c>
      <c r="D279" s="9" t="s">
        <v>20</v>
      </c>
      <c r="E279" s="9" t="s">
        <v>26</v>
      </c>
      <c r="F279" s="9" t="s">
        <v>160</v>
      </c>
      <c r="G279" s="9" t="s">
        <v>156</v>
      </c>
      <c r="H279" s="9" t="s">
        <v>167</v>
      </c>
      <c r="I279" s="9" t="b">
        <f>TRUE()</f>
        <v>1</v>
      </c>
      <c r="J279" s="9" t="s">
        <v>152</v>
      </c>
      <c r="K279" s="9" t="s">
        <v>163</v>
      </c>
      <c r="L279" s="10"/>
      <c r="M279" s="10"/>
      <c r="N279" s="10"/>
      <c r="O279" s="10">
        <v>45990</v>
      </c>
      <c r="P279" s="9" t="b">
        <f>TRUE()</f>
        <v>1</v>
      </c>
      <c r="Q279" s="11">
        <v>644.52</v>
      </c>
    </row>
    <row r="280" spans="1:17" ht="15" customHeight="1" x14ac:dyDescent="0.2">
      <c r="A280" s="9" t="s">
        <v>445</v>
      </c>
      <c r="B280" s="10">
        <v>45977</v>
      </c>
      <c r="C280" s="10">
        <v>45962</v>
      </c>
      <c r="D280" s="9" t="s">
        <v>19</v>
      </c>
      <c r="E280" s="9" t="s">
        <v>25</v>
      </c>
      <c r="F280" s="9" t="s">
        <v>149</v>
      </c>
      <c r="G280" s="9" t="s">
        <v>161</v>
      </c>
      <c r="H280" s="9" t="s">
        <v>207</v>
      </c>
      <c r="I280" s="9" t="b">
        <f>TRUE()</f>
        <v>1</v>
      </c>
      <c r="J280" s="9" t="s">
        <v>152</v>
      </c>
      <c r="K280" s="9" t="s">
        <v>163</v>
      </c>
      <c r="L280" s="10"/>
      <c r="M280" s="10"/>
      <c r="N280" s="10"/>
      <c r="O280" s="10">
        <v>45979</v>
      </c>
      <c r="P280" s="9" t="b">
        <f>TRUE()</f>
        <v>1</v>
      </c>
      <c r="Q280" s="11">
        <v>3002.02</v>
      </c>
    </row>
    <row r="281" spans="1:17" ht="15" customHeight="1" x14ac:dyDescent="0.2">
      <c r="A281" s="9" t="s">
        <v>446</v>
      </c>
      <c r="B281" s="10">
        <v>45794</v>
      </c>
      <c r="C281" s="10">
        <v>45778</v>
      </c>
      <c r="D281" s="9" t="s">
        <v>22</v>
      </c>
      <c r="E281" s="9" t="s">
        <v>26</v>
      </c>
      <c r="F281" s="9" t="s">
        <v>149</v>
      </c>
      <c r="G281" s="9" t="s">
        <v>161</v>
      </c>
      <c r="H281" s="9" t="s">
        <v>165</v>
      </c>
      <c r="I281" s="9" t="b">
        <f>TRUE()</f>
        <v>1</v>
      </c>
      <c r="J281" s="9" t="s">
        <v>152</v>
      </c>
      <c r="K281" s="9" t="s">
        <v>153</v>
      </c>
      <c r="L281" s="10">
        <v>45796</v>
      </c>
      <c r="M281" s="10">
        <v>45810</v>
      </c>
      <c r="N281" s="10"/>
      <c r="O281" s="10">
        <v>45837</v>
      </c>
      <c r="P281" s="9" t="b">
        <f>TRUE()</f>
        <v>1</v>
      </c>
      <c r="Q281" s="11">
        <v>2076.33</v>
      </c>
    </row>
    <row r="282" spans="1:17" ht="15" customHeight="1" x14ac:dyDescent="0.2">
      <c r="A282" s="9" t="s">
        <v>447</v>
      </c>
      <c r="B282" s="10">
        <v>45809</v>
      </c>
      <c r="C282" s="10">
        <v>45809</v>
      </c>
      <c r="D282" s="9" t="s">
        <v>20</v>
      </c>
      <c r="E282" s="9" t="s">
        <v>24</v>
      </c>
      <c r="F282" s="9" t="s">
        <v>155</v>
      </c>
      <c r="G282" s="9" t="s">
        <v>156</v>
      </c>
      <c r="H282" s="9" t="s">
        <v>189</v>
      </c>
      <c r="I282" s="9" t="b">
        <f>TRUE()</f>
        <v>1</v>
      </c>
      <c r="J282" s="9" t="s">
        <v>2</v>
      </c>
      <c r="K282" s="9" t="s">
        <v>153</v>
      </c>
      <c r="L282" s="10">
        <v>45818</v>
      </c>
      <c r="M282" s="10">
        <v>45829</v>
      </c>
      <c r="N282" s="10">
        <v>45849</v>
      </c>
      <c r="O282" s="10"/>
      <c r="P282" s="9" t="b">
        <f>TRUE()</f>
        <v>1</v>
      </c>
      <c r="Q282" s="11">
        <v>446.26</v>
      </c>
    </row>
    <row r="283" spans="1:17" ht="15" customHeight="1" x14ac:dyDescent="0.2">
      <c r="A283" s="9" t="s">
        <v>448</v>
      </c>
      <c r="B283" s="10">
        <v>45860</v>
      </c>
      <c r="C283" s="10">
        <v>45839</v>
      </c>
      <c r="D283" s="9" t="s">
        <v>22</v>
      </c>
      <c r="E283" s="9" t="s">
        <v>26</v>
      </c>
      <c r="F283" s="9" t="s">
        <v>149</v>
      </c>
      <c r="G283" s="9" t="s">
        <v>161</v>
      </c>
      <c r="H283" s="9" t="s">
        <v>170</v>
      </c>
      <c r="I283" s="9" t="b">
        <f>TRUE()</f>
        <v>1</v>
      </c>
      <c r="J283" s="9" t="s">
        <v>152</v>
      </c>
      <c r="K283" s="9" t="s">
        <v>163</v>
      </c>
      <c r="L283" s="10"/>
      <c r="M283" s="10"/>
      <c r="N283" s="10"/>
      <c r="O283" s="10">
        <v>45874</v>
      </c>
      <c r="P283" s="9" t="b">
        <f>TRUE()</f>
        <v>1</v>
      </c>
      <c r="Q283" s="11">
        <v>3037.84</v>
      </c>
    </row>
    <row r="284" spans="1:17" ht="15" customHeight="1" x14ac:dyDescent="0.2">
      <c r="A284" s="9" t="s">
        <v>449</v>
      </c>
      <c r="B284" s="10">
        <v>45979</v>
      </c>
      <c r="C284" s="10">
        <v>45962</v>
      </c>
      <c r="D284" s="9" t="s">
        <v>19</v>
      </c>
      <c r="E284" s="9" t="s">
        <v>25</v>
      </c>
      <c r="F284" s="9" t="s">
        <v>149</v>
      </c>
      <c r="G284" s="9" t="s">
        <v>156</v>
      </c>
      <c r="H284" s="9" t="s">
        <v>207</v>
      </c>
      <c r="I284" s="9" t="b">
        <f>TRUE()</f>
        <v>1</v>
      </c>
      <c r="J284" s="9" t="s">
        <v>2</v>
      </c>
      <c r="K284" s="9" t="s">
        <v>153</v>
      </c>
      <c r="L284" s="10">
        <v>45981</v>
      </c>
      <c r="M284" s="10">
        <v>45990</v>
      </c>
      <c r="N284" s="10">
        <v>46002</v>
      </c>
      <c r="O284" s="10"/>
      <c r="P284" s="9" t="b">
        <f>TRUE()</f>
        <v>1</v>
      </c>
      <c r="Q284" s="11">
        <v>807.92</v>
      </c>
    </row>
    <row r="285" spans="1:17" ht="15" customHeight="1" x14ac:dyDescent="0.2">
      <c r="A285" s="9" t="s">
        <v>450</v>
      </c>
      <c r="B285" s="10">
        <v>45844</v>
      </c>
      <c r="C285" s="10">
        <v>45839</v>
      </c>
      <c r="D285" s="9" t="s">
        <v>22</v>
      </c>
      <c r="E285" s="9" t="s">
        <v>26</v>
      </c>
      <c r="F285" s="9" t="s">
        <v>149</v>
      </c>
      <c r="G285" s="9" t="s">
        <v>161</v>
      </c>
      <c r="H285" s="9" t="s">
        <v>151</v>
      </c>
      <c r="I285" s="9" t="b">
        <f>TRUE()</f>
        <v>1</v>
      </c>
      <c r="J285" s="9" t="s">
        <v>152</v>
      </c>
      <c r="K285" s="9" t="s">
        <v>153</v>
      </c>
      <c r="L285" s="10">
        <v>45851</v>
      </c>
      <c r="M285" s="10"/>
      <c r="N285" s="10"/>
      <c r="O285" s="10">
        <v>45856</v>
      </c>
      <c r="P285" s="9" t="b">
        <f>TRUE()</f>
        <v>1</v>
      </c>
      <c r="Q285" s="11">
        <v>3391.07</v>
      </c>
    </row>
    <row r="286" spans="1:17" ht="15" customHeight="1" x14ac:dyDescent="0.2">
      <c r="A286" s="9" t="s">
        <v>451</v>
      </c>
      <c r="B286" s="10">
        <v>45815</v>
      </c>
      <c r="C286" s="10">
        <v>45809</v>
      </c>
      <c r="D286" s="9" t="s">
        <v>20</v>
      </c>
      <c r="E286" s="9" t="s">
        <v>26</v>
      </c>
      <c r="F286" s="9" t="s">
        <v>149</v>
      </c>
      <c r="G286" s="9" t="s">
        <v>161</v>
      </c>
      <c r="H286" s="9" t="s">
        <v>189</v>
      </c>
      <c r="I286" s="9" t="b">
        <f>TRUE()</f>
        <v>1</v>
      </c>
      <c r="J286" s="9" t="s">
        <v>152</v>
      </c>
      <c r="K286" s="9" t="s">
        <v>163</v>
      </c>
      <c r="L286" s="10"/>
      <c r="M286" s="10"/>
      <c r="N286" s="10"/>
      <c r="O286" s="10">
        <v>45832</v>
      </c>
      <c r="P286" s="9" t="b">
        <f>TRUE()</f>
        <v>1</v>
      </c>
      <c r="Q286" s="11">
        <v>2808.59</v>
      </c>
    </row>
    <row r="287" spans="1:17" ht="15" customHeight="1" x14ac:dyDescent="0.2">
      <c r="A287" s="9" t="s">
        <v>54</v>
      </c>
      <c r="B287" s="10">
        <v>45998</v>
      </c>
      <c r="C287" s="10">
        <v>45992</v>
      </c>
      <c r="D287" s="9" t="s">
        <v>22</v>
      </c>
      <c r="E287" s="9" t="s">
        <v>375</v>
      </c>
      <c r="F287" s="9" t="s">
        <v>155</v>
      </c>
      <c r="G287" s="9" t="s">
        <v>156</v>
      </c>
      <c r="H287" s="9" t="s">
        <v>165</v>
      </c>
      <c r="I287" s="9" t="b">
        <f>TRUE()</f>
        <v>1</v>
      </c>
      <c r="J287" s="9" t="s">
        <v>190</v>
      </c>
      <c r="K287" s="9" t="s">
        <v>163</v>
      </c>
      <c r="L287" s="10"/>
      <c r="M287" s="10"/>
      <c r="N287" s="10"/>
      <c r="O287" s="10"/>
      <c r="P287" s="9" t="b">
        <f>TRUE()</f>
        <v>1</v>
      </c>
      <c r="Q287" s="11">
        <v>497.78</v>
      </c>
    </row>
    <row r="288" spans="1:17" ht="15" customHeight="1" x14ac:dyDescent="0.2">
      <c r="A288" s="9" t="s">
        <v>452</v>
      </c>
      <c r="B288" s="10">
        <v>45730</v>
      </c>
      <c r="C288" s="10">
        <v>45717</v>
      </c>
      <c r="D288" s="9" t="s">
        <v>20</v>
      </c>
      <c r="E288" s="9" t="s">
        <v>24</v>
      </c>
      <c r="F288" s="9" t="s">
        <v>155</v>
      </c>
      <c r="G288" s="9" t="s">
        <v>150</v>
      </c>
      <c r="H288" s="9" t="s">
        <v>189</v>
      </c>
      <c r="I288" s="9" t="b">
        <f>TRUE()</f>
        <v>1</v>
      </c>
      <c r="J288" s="9" t="s">
        <v>2</v>
      </c>
      <c r="K288" s="9" t="s">
        <v>153</v>
      </c>
      <c r="L288" s="10">
        <v>45738</v>
      </c>
      <c r="M288" s="10">
        <v>45746</v>
      </c>
      <c r="N288" s="10">
        <v>45769</v>
      </c>
      <c r="O288" s="10"/>
      <c r="P288" s="9" t="b">
        <f>TRUE()</f>
        <v>1</v>
      </c>
      <c r="Q288" s="11">
        <v>6517.51</v>
      </c>
    </row>
    <row r="289" spans="1:17" ht="15" customHeight="1" x14ac:dyDescent="0.2">
      <c r="A289" s="9" t="s">
        <v>453</v>
      </c>
      <c r="B289" s="10">
        <v>45752</v>
      </c>
      <c r="C289" s="10">
        <v>45748</v>
      </c>
      <c r="D289" s="9" t="s">
        <v>21</v>
      </c>
      <c r="E289" s="9" t="s">
        <v>25</v>
      </c>
      <c r="F289" s="9" t="s">
        <v>155</v>
      </c>
      <c r="G289" s="9" t="s">
        <v>156</v>
      </c>
      <c r="H289" s="9" t="s">
        <v>162</v>
      </c>
      <c r="I289" s="9" t="b">
        <f>TRUE()</f>
        <v>1</v>
      </c>
      <c r="J289" s="9" t="s">
        <v>2</v>
      </c>
      <c r="K289" s="9" t="s">
        <v>153</v>
      </c>
      <c r="L289" s="10">
        <v>45753</v>
      </c>
      <c r="M289" s="10">
        <v>45760</v>
      </c>
      <c r="N289" s="10">
        <v>45789</v>
      </c>
      <c r="O289" s="10"/>
      <c r="P289" s="9" t="b">
        <f>TRUE()</f>
        <v>1</v>
      </c>
      <c r="Q289" s="11">
        <v>706</v>
      </c>
    </row>
    <row r="290" spans="1:17" ht="15" customHeight="1" x14ac:dyDescent="0.2">
      <c r="A290" s="9" t="s">
        <v>454</v>
      </c>
      <c r="B290" s="10">
        <v>45972</v>
      </c>
      <c r="C290" s="10">
        <v>45962</v>
      </c>
      <c r="D290" s="9" t="s">
        <v>18</v>
      </c>
      <c r="E290" s="9" t="s">
        <v>26</v>
      </c>
      <c r="F290" s="9" t="s">
        <v>186</v>
      </c>
      <c r="G290" s="9" t="s">
        <v>161</v>
      </c>
      <c r="H290" s="9" t="s">
        <v>251</v>
      </c>
      <c r="I290" s="9" t="b">
        <f>TRUE()</f>
        <v>1</v>
      </c>
      <c r="J290" s="9" t="s">
        <v>152</v>
      </c>
      <c r="K290" s="9" t="s">
        <v>153</v>
      </c>
      <c r="L290" s="10">
        <v>45975</v>
      </c>
      <c r="M290" s="10">
        <v>45979</v>
      </c>
      <c r="N290" s="10"/>
      <c r="O290" s="10">
        <v>46001</v>
      </c>
      <c r="P290" s="9" t="b">
        <f>TRUE()</f>
        <v>1</v>
      </c>
      <c r="Q290" s="11">
        <v>1526.91</v>
      </c>
    </row>
    <row r="291" spans="1:17" ht="15" customHeight="1" x14ac:dyDescent="0.2">
      <c r="A291" s="9" t="s">
        <v>455</v>
      </c>
      <c r="B291" s="10">
        <v>46020</v>
      </c>
      <c r="C291" s="10">
        <v>45992</v>
      </c>
      <c r="D291" s="9" t="s">
        <v>20</v>
      </c>
      <c r="E291" s="9" t="s">
        <v>26</v>
      </c>
      <c r="F291" s="9" t="s">
        <v>149</v>
      </c>
      <c r="G291" s="9" t="s">
        <v>156</v>
      </c>
      <c r="H291" s="9" t="s">
        <v>189</v>
      </c>
      <c r="I291" s="9" t="b">
        <f>TRUE()</f>
        <v>1</v>
      </c>
      <c r="J291" s="9" t="s">
        <v>190</v>
      </c>
      <c r="K291" s="9" t="s">
        <v>163</v>
      </c>
      <c r="L291" s="10"/>
      <c r="M291" s="10"/>
      <c r="N291" s="10"/>
      <c r="O291" s="10"/>
      <c r="P291" s="9" t="b">
        <f>TRUE()</f>
        <v>1</v>
      </c>
      <c r="Q291" s="11">
        <v>797.59</v>
      </c>
    </row>
    <row r="292" spans="1:17" ht="15" customHeight="1" x14ac:dyDescent="0.2">
      <c r="A292" s="9" t="s">
        <v>456</v>
      </c>
      <c r="B292" s="10">
        <v>45966</v>
      </c>
      <c r="C292" s="10">
        <v>45962</v>
      </c>
      <c r="D292" s="9" t="s">
        <v>18</v>
      </c>
      <c r="E292" s="9" t="s">
        <v>24</v>
      </c>
      <c r="F292" s="9" t="s">
        <v>149</v>
      </c>
      <c r="G292" s="9" t="s">
        <v>161</v>
      </c>
      <c r="H292" s="9" t="s">
        <v>201</v>
      </c>
      <c r="I292" s="9" t="b">
        <f>TRUE()</f>
        <v>1</v>
      </c>
      <c r="J292" s="9" t="s">
        <v>152</v>
      </c>
      <c r="K292" s="9" t="s">
        <v>153</v>
      </c>
      <c r="L292" s="10">
        <v>45969</v>
      </c>
      <c r="M292" s="10">
        <v>45975</v>
      </c>
      <c r="N292" s="10"/>
      <c r="O292" s="10">
        <v>45984</v>
      </c>
      <c r="P292" s="9" t="b">
        <f>TRUE()</f>
        <v>1</v>
      </c>
      <c r="Q292" s="11">
        <v>1913.26</v>
      </c>
    </row>
    <row r="293" spans="1:17" ht="15" customHeight="1" x14ac:dyDescent="0.2">
      <c r="A293" s="9" t="s">
        <v>457</v>
      </c>
      <c r="B293" s="10">
        <v>45807</v>
      </c>
      <c r="C293" s="10">
        <v>45778</v>
      </c>
      <c r="D293" s="9" t="s">
        <v>22</v>
      </c>
      <c r="E293" s="9" t="s">
        <v>24</v>
      </c>
      <c r="F293" s="9" t="s">
        <v>149</v>
      </c>
      <c r="G293" s="9" t="s">
        <v>156</v>
      </c>
      <c r="H293" s="9" t="s">
        <v>165</v>
      </c>
      <c r="I293" s="9" t="b">
        <f>TRUE()</f>
        <v>1</v>
      </c>
      <c r="J293" s="9" t="s">
        <v>152</v>
      </c>
      <c r="K293" s="9" t="s">
        <v>153</v>
      </c>
      <c r="L293" s="10">
        <v>45816</v>
      </c>
      <c r="M293" s="10"/>
      <c r="N293" s="10"/>
      <c r="O293" s="10">
        <v>45841</v>
      </c>
      <c r="P293" s="9" t="b">
        <f>TRUE()</f>
        <v>1</v>
      </c>
      <c r="Q293" s="11">
        <v>642.55999999999995</v>
      </c>
    </row>
    <row r="294" spans="1:17" ht="15" customHeight="1" x14ac:dyDescent="0.2">
      <c r="A294" s="9" t="s">
        <v>458</v>
      </c>
      <c r="B294" s="10">
        <v>45822</v>
      </c>
      <c r="C294" s="10">
        <v>45809</v>
      </c>
      <c r="D294" s="9" t="s">
        <v>20</v>
      </c>
      <c r="E294" s="9" t="s">
        <v>28</v>
      </c>
      <c r="F294" s="9" t="s">
        <v>149</v>
      </c>
      <c r="G294" s="9" t="s">
        <v>156</v>
      </c>
      <c r="H294" s="9" t="s">
        <v>189</v>
      </c>
      <c r="I294" s="9" t="b">
        <f>TRUE()</f>
        <v>1</v>
      </c>
      <c r="J294" s="9" t="s">
        <v>2</v>
      </c>
      <c r="K294" s="9" t="s">
        <v>153</v>
      </c>
      <c r="L294" s="10">
        <v>45823</v>
      </c>
      <c r="M294" s="10">
        <v>45827</v>
      </c>
      <c r="N294" s="10">
        <v>45839</v>
      </c>
      <c r="O294" s="10"/>
      <c r="P294" s="9" t="b">
        <f>TRUE()</f>
        <v>1</v>
      </c>
      <c r="Q294" s="11">
        <v>758.21</v>
      </c>
    </row>
    <row r="295" spans="1:17" ht="15" customHeight="1" x14ac:dyDescent="0.2">
      <c r="A295" s="9" t="s">
        <v>459</v>
      </c>
      <c r="B295" s="10">
        <v>45967</v>
      </c>
      <c r="C295" s="10">
        <v>45962</v>
      </c>
      <c r="D295" s="9" t="s">
        <v>20</v>
      </c>
      <c r="E295" s="9" t="s">
        <v>24</v>
      </c>
      <c r="F295" s="9" t="s">
        <v>149</v>
      </c>
      <c r="G295" s="9" t="s">
        <v>150</v>
      </c>
      <c r="H295" s="9" t="s">
        <v>167</v>
      </c>
      <c r="I295" s="9" t="b">
        <f>TRUE()</f>
        <v>1</v>
      </c>
      <c r="J295" s="9" t="s">
        <v>152</v>
      </c>
      <c r="K295" s="9" t="s">
        <v>163</v>
      </c>
      <c r="L295" s="10"/>
      <c r="M295" s="10"/>
      <c r="N295" s="10"/>
      <c r="O295" s="10">
        <v>45984</v>
      </c>
      <c r="P295" s="9" t="b">
        <f>TRUE()</f>
        <v>1</v>
      </c>
      <c r="Q295" s="11">
        <v>7055.89</v>
      </c>
    </row>
    <row r="296" spans="1:17" ht="15" customHeight="1" x14ac:dyDescent="0.2">
      <c r="A296" s="9" t="s">
        <v>460</v>
      </c>
      <c r="B296" s="10">
        <v>45960</v>
      </c>
      <c r="C296" s="10">
        <v>45931</v>
      </c>
      <c r="D296" s="9" t="s">
        <v>18</v>
      </c>
      <c r="E296" s="9" t="s">
        <v>24</v>
      </c>
      <c r="F296" s="9" t="s">
        <v>149</v>
      </c>
      <c r="G296" s="9" t="s">
        <v>161</v>
      </c>
      <c r="H296" s="9" t="s">
        <v>157</v>
      </c>
      <c r="I296" s="9" t="b">
        <f>TRUE()</f>
        <v>1</v>
      </c>
      <c r="J296" s="9" t="s">
        <v>152</v>
      </c>
      <c r="K296" s="9" t="s">
        <v>153</v>
      </c>
      <c r="L296" s="10">
        <v>45967</v>
      </c>
      <c r="M296" s="10">
        <v>45974</v>
      </c>
      <c r="N296" s="10"/>
      <c r="O296" s="10">
        <v>45991</v>
      </c>
      <c r="P296" s="9" t="b">
        <f>TRUE()</f>
        <v>1</v>
      </c>
      <c r="Q296" s="11">
        <v>3537.4</v>
      </c>
    </row>
    <row r="297" spans="1:17" ht="15" customHeight="1" x14ac:dyDescent="0.2">
      <c r="A297" s="9" t="s">
        <v>461</v>
      </c>
      <c r="B297" s="10">
        <v>45805</v>
      </c>
      <c r="C297" s="10">
        <v>45778</v>
      </c>
      <c r="D297" s="9" t="s">
        <v>21</v>
      </c>
      <c r="E297" s="9" t="s">
        <v>25</v>
      </c>
      <c r="F297" s="9" t="s">
        <v>160</v>
      </c>
      <c r="G297" s="9" t="s">
        <v>161</v>
      </c>
      <c r="H297" s="9" t="s">
        <v>162</v>
      </c>
      <c r="I297" s="9" t="b">
        <f>TRUE()</f>
        <v>1</v>
      </c>
      <c r="J297" s="9" t="s">
        <v>2</v>
      </c>
      <c r="K297" s="9" t="s">
        <v>153</v>
      </c>
      <c r="L297" s="10">
        <v>45812</v>
      </c>
      <c r="M297" s="10">
        <v>45820</v>
      </c>
      <c r="N297" s="10">
        <v>45844</v>
      </c>
      <c r="O297" s="10"/>
      <c r="P297" s="9" t="b">
        <f>TRUE()</f>
        <v>1</v>
      </c>
      <c r="Q297" s="11">
        <v>2807.03</v>
      </c>
    </row>
    <row r="298" spans="1:17" ht="15" customHeight="1" x14ac:dyDescent="0.2">
      <c r="A298" s="9" t="s">
        <v>462</v>
      </c>
      <c r="B298" s="10">
        <v>46016</v>
      </c>
      <c r="C298" s="10">
        <v>45992</v>
      </c>
      <c r="D298" s="9" t="s">
        <v>21</v>
      </c>
      <c r="E298" s="9" t="s">
        <v>26</v>
      </c>
      <c r="F298" s="9" t="s">
        <v>149</v>
      </c>
      <c r="G298" s="9" t="s">
        <v>150</v>
      </c>
      <c r="H298" s="9" t="s">
        <v>183</v>
      </c>
      <c r="I298" s="9" t="b">
        <f>TRUE()</f>
        <v>1</v>
      </c>
      <c r="J298" s="9" t="s">
        <v>158</v>
      </c>
      <c r="K298" s="9" t="s">
        <v>153</v>
      </c>
      <c r="L298" s="10">
        <v>46021</v>
      </c>
      <c r="M298" s="10">
        <v>46032</v>
      </c>
      <c r="N298" s="10"/>
      <c r="O298" s="10"/>
      <c r="P298" s="9" t="b">
        <f>TRUE()</f>
        <v>1</v>
      </c>
      <c r="Q298" s="11">
        <v>5938.13</v>
      </c>
    </row>
    <row r="299" spans="1:17" ht="15" customHeight="1" x14ac:dyDescent="0.2">
      <c r="A299" s="9" t="s">
        <v>463</v>
      </c>
      <c r="B299" s="10">
        <v>45712</v>
      </c>
      <c r="C299" s="10">
        <v>45689</v>
      </c>
      <c r="D299" s="9" t="s">
        <v>20</v>
      </c>
      <c r="E299" s="9" t="s">
        <v>25</v>
      </c>
      <c r="F299" s="9" t="s">
        <v>186</v>
      </c>
      <c r="G299" s="9" t="s">
        <v>156</v>
      </c>
      <c r="H299" s="9" t="s">
        <v>189</v>
      </c>
      <c r="I299" s="9" t="b">
        <f>TRUE()</f>
        <v>1</v>
      </c>
      <c r="J299" s="9" t="s">
        <v>2</v>
      </c>
      <c r="K299" s="9" t="s">
        <v>153</v>
      </c>
      <c r="L299" s="10">
        <v>45719</v>
      </c>
      <c r="M299" s="10">
        <v>45730</v>
      </c>
      <c r="N299" s="10">
        <v>45737</v>
      </c>
      <c r="O299" s="10"/>
      <c r="P299" s="9" t="b">
        <f>TRUE()</f>
        <v>1</v>
      </c>
      <c r="Q299" s="11">
        <v>784.27</v>
      </c>
    </row>
    <row r="300" spans="1:17" ht="15" customHeight="1" x14ac:dyDescent="0.2">
      <c r="A300" s="9" t="s">
        <v>464</v>
      </c>
      <c r="B300" s="10">
        <v>45751</v>
      </c>
      <c r="C300" s="10">
        <v>45748</v>
      </c>
      <c r="D300" s="9" t="s">
        <v>18</v>
      </c>
      <c r="E300" s="9" t="s">
        <v>26</v>
      </c>
      <c r="F300" s="9" t="s">
        <v>160</v>
      </c>
      <c r="G300" s="9" t="s">
        <v>161</v>
      </c>
      <c r="H300" s="9" t="s">
        <v>251</v>
      </c>
      <c r="I300" s="9" t="b">
        <f>TRUE()</f>
        <v>1</v>
      </c>
      <c r="J300" s="9" t="s">
        <v>152</v>
      </c>
      <c r="K300" s="9" t="s">
        <v>153</v>
      </c>
      <c r="L300" s="10">
        <v>45758</v>
      </c>
      <c r="M300" s="10">
        <v>45768</v>
      </c>
      <c r="N300" s="10"/>
      <c r="O300" s="10">
        <v>45797</v>
      </c>
      <c r="P300" s="9" t="b">
        <f>TRUE()</f>
        <v>1</v>
      </c>
      <c r="Q300" s="11">
        <v>2757.7</v>
      </c>
    </row>
    <row r="301" spans="1:17" ht="15" customHeight="1" x14ac:dyDescent="0.2">
      <c r="A301" s="9" t="s">
        <v>465</v>
      </c>
      <c r="B301" s="10">
        <v>45787</v>
      </c>
      <c r="C301" s="10">
        <v>45778</v>
      </c>
      <c r="D301" s="9" t="s">
        <v>18</v>
      </c>
      <c r="E301" s="9" t="s">
        <v>24</v>
      </c>
      <c r="F301" s="9" t="s">
        <v>186</v>
      </c>
      <c r="G301" s="9" t="s">
        <v>156</v>
      </c>
      <c r="H301" s="9" t="s">
        <v>201</v>
      </c>
      <c r="I301" s="9" t="b">
        <f>TRUE()</f>
        <v>1</v>
      </c>
      <c r="J301" s="9" t="s">
        <v>2</v>
      </c>
      <c r="K301" s="9" t="s">
        <v>153</v>
      </c>
      <c r="L301" s="10">
        <v>45792</v>
      </c>
      <c r="M301" s="10">
        <v>45796</v>
      </c>
      <c r="N301" s="10">
        <v>45806</v>
      </c>
      <c r="O301" s="10"/>
      <c r="P301" s="9" t="b">
        <f>TRUE()</f>
        <v>1</v>
      </c>
      <c r="Q301" s="11">
        <v>733.76</v>
      </c>
    </row>
    <row r="302" spans="1:17" ht="15" customHeight="1" x14ac:dyDescent="0.2">
      <c r="A302" s="9" t="s">
        <v>466</v>
      </c>
      <c r="B302" s="10">
        <v>45689</v>
      </c>
      <c r="C302" s="10">
        <v>45689</v>
      </c>
      <c r="D302" s="9" t="s">
        <v>22</v>
      </c>
      <c r="E302" s="9" t="s">
        <v>28</v>
      </c>
      <c r="F302" s="9" t="s">
        <v>186</v>
      </c>
      <c r="G302" s="9" t="s">
        <v>150</v>
      </c>
      <c r="H302" s="9" t="s">
        <v>170</v>
      </c>
      <c r="I302" s="9" t="b">
        <f>TRUE()</f>
        <v>1</v>
      </c>
      <c r="J302" s="9" t="s">
        <v>2</v>
      </c>
      <c r="K302" s="9" t="s">
        <v>153</v>
      </c>
      <c r="L302" s="10">
        <v>45696</v>
      </c>
      <c r="M302" s="10">
        <v>45697</v>
      </c>
      <c r="N302" s="10">
        <v>45711</v>
      </c>
      <c r="O302" s="10"/>
      <c r="P302" s="9" t="b">
        <f>TRUE()</f>
        <v>1</v>
      </c>
      <c r="Q302" s="11">
        <v>5537.49</v>
      </c>
    </row>
    <row r="303" spans="1:17" ht="15" customHeight="1" x14ac:dyDescent="0.2">
      <c r="A303" s="9" t="s">
        <v>467</v>
      </c>
      <c r="B303" s="10">
        <v>45905</v>
      </c>
      <c r="C303" s="10">
        <v>45901</v>
      </c>
      <c r="D303" s="9" t="s">
        <v>22</v>
      </c>
      <c r="E303" s="9" t="s">
        <v>28</v>
      </c>
      <c r="F303" s="9" t="s">
        <v>149</v>
      </c>
      <c r="G303" s="9" t="s">
        <v>161</v>
      </c>
      <c r="H303" s="9" t="s">
        <v>165</v>
      </c>
      <c r="I303" s="9" t="b">
        <f>TRUE()</f>
        <v>1</v>
      </c>
      <c r="J303" s="9" t="s">
        <v>152</v>
      </c>
      <c r="K303" s="9" t="s">
        <v>153</v>
      </c>
      <c r="L303" s="10">
        <v>45908</v>
      </c>
      <c r="M303" s="10">
        <v>45914</v>
      </c>
      <c r="N303" s="10"/>
      <c r="O303" s="10">
        <v>45932</v>
      </c>
      <c r="P303" s="9" t="b">
        <f>TRUE()</f>
        <v>1</v>
      </c>
      <c r="Q303" s="11">
        <v>2023.94</v>
      </c>
    </row>
    <row r="304" spans="1:17" ht="15" customHeight="1" x14ac:dyDescent="0.2">
      <c r="A304" s="9" t="s">
        <v>468</v>
      </c>
      <c r="B304" s="10">
        <v>45780</v>
      </c>
      <c r="C304" s="10">
        <v>45778</v>
      </c>
      <c r="D304" s="9" t="s">
        <v>21</v>
      </c>
      <c r="E304" s="9" t="s">
        <v>26</v>
      </c>
      <c r="F304" s="9" t="s">
        <v>155</v>
      </c>
      <c r="G304" s="9" t="s">
        <v>156</v>
      </c>
      <c r="H304" s="9" t="s">
        <v>162</v>
      </c>
      <c r="I304" s="9" t="b">
        <f>TRUE()</f>
        <v>1</v>
      </c>
      <c r="J304" s="9" t="s">
        <v>152</v>
      </c>
      <c r="K304" s="9" t="s">
        <v>163</v>
      </c>
      <c r="L304" s="10"/>
      <c r="M304" s="10"/>
      <c r="N304" s="10"/>
      <c r="O304" s="10">
        <v>45791</v>
      </c>
      <c r="P304" s="9" t="b">
        <f>TRUE()</f>
        <v>1</v>
      </c>
      <c r="Q304" s="11">
        <v>534.48</v>
      </c>
    </row>
    <row r="305" spans="1:17" ht="15" customHeight="1" x14ac:dyDescent="0.2">
      <c r="A305" s="9" t="s">
        <v>469</v>
      </c>
      <c r="B305" s="10">
        <v>46000</v>
      </c>
      <c r="C305" s="10">
        <v>45992</v>
      </c>
      <c r="D305" s="9" t="s">
        <v>20</v>
      </c>
      <c r="E305" s="9" t="s">
        <v>27</v>
      </c>
      <c r="F305" s="9" t="s">
        <v>186</v>
      </c>
      <c r="G305" s="9" t="s">
        <v>156</v>
      </c>
      <c r="H305" s="9" t="s">
        <v>167</v>
      </c>
      <c r="I305" s="9" t="b">
        <f>TRUE()</f>
        <v>1</v>
      </c>
      <c r="J305" s="9" t="s">
        <v>158</v>
      </c>
      <c r="K305" s="9" t="s">
        <v>153</v>
      </c>
      <c r="L305" s="10">
        <v>46007</v>
      </c>
      <c r="M305" s="10">
        <v>46014</v>
      </c>
      <c r="N305" s="10"/>
      <c r="O305" s="10"/>
      <c r="P305" s="9" t="b">
        <f>TRUE()</f>
        <v>1</v>
      </c>
      <c r="Q305" s="11">
        <v>657.51</v>
      </c>
    </row>
    <row r="306" spans="1:17" ht="15" customHeight="1" x14ac:dyDescent="0.2">
      <c r="A306" s="9" t="s">
        <v>470</v>
      </c>
      <c r="B306" s="10">
        <v>45765</v>
      </c>
      <c r="C306" s="10">
        <v>45748</v>
      </c>
      <c r="D306" s="9" t="s">
        <v>20</v>
      </c>
      <c r="E306" s="9" t="s">
        <v>24</v>
      </c>
      <c r="F306" s="9" t="s">
        <v>160</v>
      </c>
      <c r="G306" s="9" t="s">
        <v>150</v>
      </c>
      <c r="H306" s="9" t="s">
        <v>167</v>
      </c>
      <c r="I306" s="9" t="b">
        <f>TRUE()</f>
        <v>1</v>
      </c>
      <c r="J306" s="9" t="s">
        <v>152</v>
      </c>
      <c r="K306" s="9" t="s">
        <v>163</v>
      </c>
      <c r="L306" s="10"/>
      <c r="M306" s="10"/>
      <c r="N306" s="10"/>
      <c r="O306" s="10">
        <v>45783</v>
      </c>
      <c r="P306" s="9" t="b">
        <f>TRUE()</f>
        <v>1</v>
      </c>
      <c r="Q306" s="11">
        <v>7525.63</v>
      </c>
    </row>
    <row r="307" spans="1:17" ht="15" customHeight="1" x14ac:dyDescent="0.2">
      <c r="A307" s="9" t="s">
        <v>471</v>
      </c>
      <c r="B307" s="10">
        <v>45858</v>
      </c>
      <c r="C307" s="10">
        <v>45839</v>
      </c>
      <c r="D307" s="9" t="s">
        <v>18</v>
      </c>
      <c r="E307" s="9" t="s">
        <v>28</v>
      </c>
      <c r="F307" s="9" t="s">
        <v>186</v>
      </c>
      <c r="G307" s="9" t="s">
        <v>156</v>
      </c>
      <c r="H307" s="9" t="s">
        <v>251</v>
      </c>
      <c r="I307" s="9" t="b">
        <f>TRUE()</f>
        <v>1</v>
      </c>
      <c r="J307" s="9" t="s">
        <v>152</v>
      </c>
      <c r="K307" s="9" t="s">
        <v>153</v>
      </c>
      <c r="L307" s="10">
        <v>45864</v>
      </c>
      <c r="M307" s="10">
        <v>45872</v>
      </c>
      <c r="N307" s="10"/>
      <c r="O307" s="10">
        <v>45894</v>
      </c>
      <c r="P307" s="9" t="b">
        <f>TRUE()</f>
        <v>1</v>
      </c>
      <c r="Q307" s="11">
        <v>747.08</v>
      </c>
    </row>
    <row r="308" spans="1:17" ht="15" customHeight="1" x14ac:dyDescent="0.2">
      <c r="A308" s="9" t="s">
        <v>472</v>
      </c>
      <c r="B308" s="10">
        <v>45920</v>
      </c>
      <c r="C308" s="10">
        <v>45901</v>
      </c>
      <c r="D308" s="9" t="s">
        <v>20</v>
      </c>
      <c r="E308" s="9" t="s">
        <v>26</v>
      </c>
      <c r="F308" s="9" t="s">
        <v>155</v>
      </c>
      <c r="G308" s="9" t="s">
        <v>156</v>
      </c>
      <c r="H308" s="9" t="s">
        <v>192</v>
      </c>
      <c r="I308" s="9" t="b">
        <f>TRUE()</f>
        <v>1</v>
      </c>
      <c r="J308" s="9" t="s">
        <v>152</v>
      </c>
      <c r="K308" s="9" t="s">
        <v>163</v>
      </c>
      <c r="L308" s="10"/>
      <c r="M308" s="10"/>
      <c r="N308" s="10"/>
      <c r="O308" s="10">
        <v>45929</v>
      </c>
      <c r="P308" s="9" t="b">
        <f>TRUE()</f>
        <v>1</v>
      </c>
      <c r="Q308" s="11">
        <v>419.27</v>
      </c>
    </row>
    <row r="309" spans="1:17" ht="15" customHeight="1" x14ac:dyDescent="0.2">
      <c r="A309" s="9" t="s">
        <v>473</v>
      </c>
      <c r="B309" s="10">
        <v>45956</v>
      </c>
      <c r="C309" s="10">
        <v>45931</v>
      </c>
      <c r="D309" s="9" t="s">
        <v>19</v>
      </c>
      <c r="E309" s="9" t="s">
        <v>25</v>
      </c>
      <c r="F309" s="9" t="s">
        <v>149</v>
      </c>
      <c r="G309" s="9" t="s">
        <v>150</v>
      </c>
      <c r="H309" s="9" t="s">
        <v>179</v>
      </c>
      <c r="I309" s="9" t="b">
        <f>TRUE()</f>
        <v>1</v>
      </c>
      <c r="J309" s="9" t="s">
        <v>152</v>
      </c>
      <c r="K309" s="9" t="s">
        <v>153</v>
      </c>
      <c r="L309" s="10">
        <v>45965</v>
      </c>
      <c r="M309" s="10"/>
      <c r="N309" s="10"/>
      <c r="O309" s="10">
        <v>45988</v>
      </c>
      <c r="P309" s="9" t="b">
        <f>TRUE()</f>
        <v>1</v>
      </c>
      <c r="Q309" s="11">
        <v>9655.25</v>
      </c>
    </row>
    <row r="310" spans="1:17" ht="15" customHeight="1" x14ac:dyDescent="0.2">
      <c r="A310" s="9" t="s">
        <v>474</v>
      </c>
      <c r="B310" s="10">
        <v>45744</v>
      </c>
      <c r="C310" s="10">
        <v>45717</v>
      </c>
      <c r="D310" s="9" t="s">
        <v>22</v>
      </c>
      <c r="E310" s="9" t="s">
        <v>25</v>
      </c>
      <c r="F310" s="9" t="s">
        <v>186</v>
      </c>
      <c r="G310" s="9" t="s">
        <v>150</v>
      </c>
      <c r="H310" s="9" t="s">
        <v>165</v>
      </c>
      <c r="I310" s="9" t="b">
        <f>TRUE()</f>
        <v>1</v>
      </c>
      <c r="J310" s="9" t="s">
        <v>2</v>
      </c>
      <c r="K310" s="9" t="s">
        <v>153</v>
      </c>
      <c r="L310" s="10">
        <v>45754</v>
      </c>
      <c r="M310" s="10">
        <v>45769</v>
      </c>
      <c r="N310" s="10">
        <v>45779</v>
      </c>
      <c r="O310" s="10"/>
      <c r="P310" s="9" t="b">
        <f>TRUE()</f>
        <v>1</v>
      </c>
      <c r="Q310" s="11">
        <v>6198.69</v>
      </c>
    </row>
    <row r="311" spans="1:17" ht="15" customHeight="1" x14ac:dyDescent="0.2">
      <c r="A311" s="9" t="s">
        <v>475</v>
      </c>
      <c r="B311" s="10">
        <v>45989</v>
      </c>
      <c r="C311" s="10">
        <v>45962</v>
      </c>
      <c r="D311" s="9" t="s">
        <v>18</v>
      </c>
      <c r="E311" s="9" t="s">
        <v>26</v>
      </c>
      <c r="F311" s="9" t="s">
        <v>155</v>
      </c>
      <c r="G311" s="9" t="s">
        <v>156</v>
      </c>
      <c r="H311" s="9" t="s">
        <v>201</v>
      </c>
      <c r="I311" s="9" t="b">
        <f>TRUE()</f>
        <v>1</v>
      </c>
      <c r="J311" s="9" t="s">
        <v>152</v>
      </c>
      <c r="K311" s="9" t="s">
        <v>163</v>
      </c>
      <c r="L311" s="10"/>
      <c r="M311" s="10"/>
      <c r="N311" s="10"/>
      <c r="O311" s="10">
        <v>45996</v>
      </c>
      <c r="P311" s="9" t="b">
        <f>TRUE()</f>
        <v>1</v>
      </c>
      <c r="Q311" s="11">
        <v>663.7</v>
      </c>
    </row>
    <row r="312" spans="1:17" ht="15" customHeight="1" x14ac:dyDescent="0.2">
      <c r="A312" s="9" t="s">
        <v>476</v>
      </c>
      <c r="B312" s="10">
        <v>45879</v>
      </c>
      <c r="C312" s="10">
        <v>45870</v>
      </c>
      <c r="D312" s="9" t="s">
        <v>21</v>
      </c>
      <c r="E312" s="9" t="s">
        <v>27</v>
      </c>
      <c r="F312" s="9" t="s">
        <v>149</v>
      </c>
      <c r="G312" s="9" t="s">
        <v>161</v>
      </c>
      <c r="H312" s="9" t="s">
        <v>176</v>
      </c>
      <c r="I312" s="9" t="b">
        <f>TRUE()</f>
        <v>1</v>
      </c>
      <c r="J312" s="9" t="s">
        <v>2</v>
      </c>
      <c r="K312" s="9" t="s">
        <v>153</v>
      </c>
      <c r="L312" s="10">
        <v>45882</v>
      </c>
      <c r="M312" s="10">
        <v>45889</v>
      </c>
      <c r="N312" s="10">
        <v>45900</v>
      </c>
      <c r="O312" s="10"/>
      <c r="P312" s="9" t="b">
        <f>TRUE()</f>
        <v>1</v>
      </c>
      <c r="Q312" s="11">
        <v>3464.47</v>
      </c>
    </row>
    <row r="313" spans="1:17" ht="15" customHeight="1" x14ac:dyDescent="0.2">
      <c r="A313" s="9" t="s">
        <v>45</v>
      </c>
      <c r="B313" s="10">
        <v>45740</v>
      </c>
      <c r="C313" s="10">
        <v>45717</v>
      </c>
      <c r="D313" s="9" t="s">
        <v>20</v>
      </c>
      <c r="E313" s="9" t="s">
        <v>27</v>
      </c>
      <c r="F313" s="9" t="s">
        <v>149</v>
      </c>
      <c r="G313" s="9" t="s">
        <v>161</v>
      </c>
      <c r="H313" s="9" t="s">
        <v>167</v>
      </c>
      <c r="I313" s="9" t="b">
        <f>TRUE()</f>
        <v>1</v>
      </c>
      <c r="J313" s="9" t="s">
        <v>152</v>
      </c>
      <c r="K313" s="9" t="s">
        <v>153</v>
      </c>
      <c r="L313" s="10">
        <v>45747</v>
      </c>
      <c r="M313" s="10">
        <v>45757</v>
      </c>
      <c r="N313" s="10"/>
      <c r="O313" s="10">
        <v>45773</v>
      </c>
      <c r="P313" s="9" t="b">
        <f>TRUE()</f>
        <v>1</v>
      </c>
      <c r="Q313" s="11">
        <v>2821.6</v>
      </c>
    </row>
    <row r="314" spans="1:17" ht="15" customHeight="1" x14ac:dyDescent="0.2">
      <c r="A314" s="9" t="s">
        <v>477</v>
      </c>
      <c r="B314" s="10">
        <v>46000</v>
      </c>
      <c r="C314" s="10">
        <v>45992</v>
      </c>
      <c r="D314" s="9" t="s">
        <v>21</v>
      </c>
      <c r="E314" s="9" t="s">
        <v>25</v>
      </c>
      <c r="F314" s="9" t="s">
        <v>155</v>
      </c>
      <c r="G314" s="9" t="s">
        <v>150</v>
      </c>
      <c r="H314" s="9" t="s">
        <v>183</v>
      </c>
      <c r="I314" s="9" t="b">
        <f>TRUE()</f>
        <v>1</v>
      </c>
      <c r="J314" s="9" t="s">
        <v>2</v>
      </c>
      <c r="K314" s="9" t="s">
        <v>153</v>
      </c>
      <c r="L314" s="10">
        <v>46005</v>
      </c>
      <c r="M314" s="10">
        <v>46010</v>
      </c>
      <c r="N314" s="10">
        <v>46028</v>
      </c>
      <c r="O314" s="10"/>
      <c r="P314" s="9" t="b">
        <f>TRUE()</f>
        <v>1</v>
      </c>
      <c r="Q314" s="11">
        <v>3840.21</v>
      </c>
    </row>
    <row r="315" spans="1:17" ht="15" customHeight="1" x14ac:dyDescent="0.2">
      <c r="A315" s="9" t="s">
        <v>478</v>
      </c>
      <c r="B315" s="10">
        <v>45760</v>
      </c>
      <c r="C315" s="10">
        <v>45748</v>
      </c>
      <c r="D315" s="9" t="s">
        <v>18</v>
      </c>
      <c r="E315" s="9" t="s">
        <v>25</v>
      </c>
      <c r="F315" s="9" t="s">
        <v>160</v>
      </c>
      <c r="G315" s="9" t="s">
        <v>156</v>
      </c>
      <c r="H315" s="9" t="s">
        <v>157</v>
      </c>
      <c r="I315" s="9" t="b">
        <f>TRUE()</f>
        <v>1</v>
      </c>
      <c r="J315" s="9" t="s">
        <v>152</v>
      </c>
      <c r="K315" s="9" t="s">
        <v>153</v>
      </c>
      <c r="L315" s="10">
        <v>45766</v>
      </c>
      <c r="M315" s="10">
        <v>45775</v>
      </c>
      <c r="N315" s="10"/>
      <c r="O315" s="10">
        <v>45793</v>
      </c>
      <c r="P315" s="9" t="b">
        <f>TRUE()</f>
        <v>1</v>
      </c>
      <c r="Q315" s="11">
        <v>561.36</v>
      </c>
    </row>
    <row r="316" spans="1:17" ht="15" customHeight="1" x14ac:dyDescent="0.2">
      <c r="A316" s="9" t="s">
        <v>479</v>
      </c>
      <c r="B316" s="10">
        <v>45848</v>
      </c>
      <c r="C316" s="10">
        <v>45839</v>
      </c>
      <c r="D316" s="9" t="s">
        <v>21</v>
      </c>
      <c r="E316" s="9" t="s">
        <v>26</v>
      </c>
      <c r="F316" s="9" t="s">
        <v>186</v>
      </c>
      <c r="G316" s="9" t="s">
        <v>156</v>
      </c>
      <c r="H316" s="9" t="s">
        <v>176</v>
      </c>
      <c r="I316" s="9" t="b">
        <f>TRUE()</f>
        <v>1</v>
      </c>
      <c r="J316" s="9" t="s">
        <v>152</v>
      </c>
      <c r="K316" s="9" t="s">
        <v>163</v>
      </c>
      <c r="L316" s="10"/>
      <c r="M316" s="10"/>
      <c r="N316" s="10"/>
      <c r="O316" s="10">
        <v>45852</v>
      </c>
      <c r="P316" s="9" t="b">
        <f>TRUE()</f>
        <v>1</v>
      </c>
      <c r="Q316" s="11">
        <v>595.70000000000005</v>
      </c>
    </row>
    <row r="317" spans="1:17" ht="15" customHeight="1" x14ac:dyDescent="0.2">
      <c r="A317" s="9" t="s">
        <v>480</v>
      </c>
      <c r="B317" s="10">
        <v>45871</v>
      </c>
      <c r="C317" s="10">
        <v>45870</v>
      </c>
      <c r="D317" s="9" t="s">
        <v>22</v>
      </c>
      <c r="E317" s="9" t="s">
        <v>25</v>
      </c>
      <c r="F317" s="9" t="s">
        <v>149</v>
      </c>
      <c r="G317" s="9" t="s">
        <v>161</v>
      </c>
      <c r="H317" s="9" t="s">
        <v>170</v>
      </c>
      <c r="I317" s="9" t="b">
        <f>TRUE()</f>
        <v>1</v>
      </c>
      <c r="J317" s="9" t="s">
        <v>152</v>
      </c>
      <c r="K317" s="9" t="s">
        <v>153</v>
      </c>
      <c r="L317" s="10">
        <v>45875</v>
      </c>
      <c r="M317" s="10">
        <v>45881</v>
      </c>
      <c r="N317" s="10"/>
      <c r="O317" s="10">
        <v>45903</v>
      </c>
      <c r="P317" s="9" t="b">
        <f>TRUE()</f>
        <v>1</v>
      </c>
      <c r="Q317" s="11">
        <v>2965.03</v>
      </c>
    </row>
    <row r="318" spans="1:17" ht="15" customHeight="1" x14ac:dyDescent="0.2">
      <c r="A318" s="9" t="s">
        <v>481</v>
      </c>
      <c r="B318" s="10">
        <v>45788</v>
      </c>
      <c r="C318" s="10">
        <v>45778</v>
      </c>
      <c r="D318" s="9" t="s">
        <v>22</v>
      </c>
      <c r="E318" s="9" t="s">
        <v>27</v>
      </c>
      <c r="F318" s="9" t="s">
        <v>149</v>
      </c>
      <c r="G318" s="9" t="s">
        <v>161</v>
      </c>
      <c r="H318" s="9" t="s">
        <v>151</v>
      </c>
      <c r="I318" s="9" t="b">
        <f>TRUE()</f>
        <v>1</v>
      </c>
      <c r="J318" s="9" t="s">
        <v>152</v>
      </c>
      <c r="K318" s="9" t="s">
        <v>153</v>
      </c>
      <c r="L318" s="10">
        <v>45793</v>
      </c>
      <c r="M318" s="10">
        <v>45802</v>
      </c>
      <c r="N318" s="10"/>
      <c r="O318" s="10">
        <v>45808</v>
      </c>
      <c r="P318" s="9" t="b">
        <f>TRUE()</f>
        <v>1</v>
      </c>
      <c r="Q318" s="11">
        <v>2617.89</v>
      </c>
    </row>
    <row r="319" spans="1:17" ht="15" customHeight="1" x14ac:dyDescent="0.2">
      <c r="A319" s="9" t="s">
        <v>482</v>
      </c>
      <c r="B319" s="10">
        <v>45951</v>
      </c>
      <c r="C319" s="10">
        <v>45931</v>
      </c>
      <c r="D319" s="9" t="s">
        <v>20</v>
      </c>
      <c r="E319" s="9" t="s">
        <v>28</v>
      </c>
      <c r="F319" s="9" t="s">
        <v>155</v>
      </c>
      <c r="G319" s="9" t="s">
        <v>150</v>
      </c>
      <c r="H319" s="9" t="s">
        <v>192</v>
      </c>
      <c r="I319" s="9" t="b">
        <f>TRUE()</f>
        <v>1</v>
      </c>
      <c r="J319" s="9" t="s">
        <v>152</v>
      </c>
      <c r="K319" s="9" t="s">
        <v>163</v>
      </c>
      <c r="L319" s="10"/>
      <c r="M319" s="10"/>
      <c r="N319" s="10"/>
      <c r="O319" s="10">
        <v>45960</v>
      </c>
      <c r="P319" s="9" t="b">
        <f>TRUE()</f>
        <v>1</v>
      </c>
      <c r="Q319" s="11">
        <v>5561.62</v>
      </c>
    </row>
    <row r="320" spans="1:17" ht="15" customHeight="1" x14ac:dyDescent="0.2">
      <c r="A320" s="9" t="s">
        <v>483</v>
      </c>
      <c r="B320" s="10">
        <v>45845</v>
      </c>
      <c r="C320" s="10">
        <v>45839</v>
      </c>
      <c r="D320" s="9" t="s">
        <v>22</v>
      </c>
      <c r="E320" s="9" t="s">
        <v>24</v>
      </c>
      <c r="F320" s="9" t="s">
        <v>149</v>
      </c>
      <c r="G320" s="9" t="s">
        <v>156</v>
      </c>
      <c r="H320" s="9" t="s">
        <v>151</v>
      </c>
      <c r="I320" s="9" t="b">
        <f>TRUE()</f>
        <v>1</v>
      </c>
      <c r="J320" s="9" t="s">
        <v>152</v>
      </c>
      <c r="K320" s="9" t="s">
        <v>153</v>
      </c>
      <c r="L320" s="10">
        <v>45846</v>
      </c>
      <c r="M320" s="10">
        <v>45853</v>
      </c>
      <c r="N320" s="10"/>
      <c r="O320" s="10">
        <v>45877</v>
      </c>
      <c r="P320" s="9" t="b">
        <f>TRUE()</f>
        <v>1</v>
      </c>
      <c r="Q320" s="11">
        <v>604.62</v>
      </c>
    </row>
    <row r="321" spans="1:17" ht="15" customHeight="1" x14ac:dyDescent="0.2">
      <c r="A321" s="9" t="s">
        <v>484</v>
      </c>
      <c r="B321" s="10">
        <v>45784</v>
      </c>
      <c r="C321" s="10">
        <v>45778</v>
      </c>
      <c r="D321" s="9" t="s">
        <v>18</v>
      </c>
      <c r="E321" s="9" t="s">
        <v>28</v>
      </c>
      <c r="F321" s="9" t="s">
        <v>149</v>
      </c>
      <c r="G321" s="9" t="s">
        <v>156</v>
      </c>
      <c r="H321" s="9" t="s">
        <v>201</v>
      </c>
      <c r="I321" s="9" t="b">
        <f>TRUE()</f>
        <v>1</v>
      </c>
      <c r="J321" s="9" t="s">
        <v>152</v>
      </c>
      <c r="K321" s="9" t="s">
        <v>153</v>
      </c>
      <c r="L321" s="10">
        <v>45787</v>
      </c>
      <c r="M321" s="10">
        <v>45796</v>
      </c>
      <c r="N321" s="10"/>
      <c r="O321" s="10">
        <v>45804</v>
      </c>
      <c r="P321" s="9" t="b">
        <f>TRUE()</f>
        <v>1</v>
      </c>
      <c r="Q321" s="11">
        <v>870.11</v>
      </c>
    </row>
    <row r="322" spans="1:17" ht="15" customHeight="1" x14ac:dyDescent="0.2">
      <c r="A322" s="9" t="s">
        <v>485</v>
      </c>
      <c r="B322" s="10">
        <v>45964</v>
      </c>
      <c r="C322" s="10">
        <v>45962</v>
      </c>
      <c r="D322" s="9" t="s">
        <v>18</v>
      </c>
      <c r="E322" s="9" t="s">
        <v>24</v>
      </c>
      <c r="F322" s="9" t="s">
        <v>149</v>
      </c>
      <c r="G322" s="9" t="s">
        <v>150</v>
      </c>
      <c r="H322" s="9" t="s">
        <v>157</v>
      </c>
      <c r="I322" s="9" t="b">
        <f>TRUE()</f>
        <v>1</v>
      </c>
      <c r="J322" s="9" t="s">
        <v>2</v>
      </c>
      <c r="K322" s="9" t="s">
        <v>153</v>
      </c>
      <c r="L322" s="10">
        <v>45973</v>
      </c>
      <c r="M322" s="10">
        <v>45976</v>
      </c>
      <c r="N322" s="10">
        <v>45982</v>
      </c>
      <c r="O322" s="10"/>
      <c r="P322" s="9" t="b">
        <f>TRUE()</f>
        <v>1</v>
      </c>
      <c r="Q322" s="11">
        <v>10097.299999999999</v>
      </c>
    </row>
    <row r="323" spans="1:17" ht="15" customHeight="1" x14ac:dyDescent="0.2">
      <c r="A323" s="9" t="s">
        <v>486</v>
      </c>
      <c r="B323" s="10">
        <v>45892</v>
      </c>
      <c r="C323" s="10">
        <v>45870</v>
      </c>
      <c r="D323" s="9" t="s">
        <v>20</v>
      </c>
      <c r="E323" s="9" t="s">
        <v>25</v>
      </c>
      <c r="F323" s="9" t="s">
        <v>149</v>
      </c>
      <c r="G323" s="9" t="s">
        <v>150</v>
      </c>
      <c r="H323" s="9" t="s">
        <v>192</v>
      </c>
      <c r="I323" s="9" t="b">
        <f>TRUE()</f>
        <v>1</v>
      </c>
      <c r="J323" s="9" t="s">
        <v>2</v>
      </c>
      <c r="K323" s="9" t="s">
        <v>153</v>
      </c>
      <c r="L323" s="10">
        <v>45895</v>
      </c>
      <c r="M323" s="10">
        <v>45907</v>
      </c>
      <c r="N323" s="10">
        <v>45919</v>
      </c>
      <c r="O323" s="10"/>
      <c r="P323" s="9" t="b">
        <f>TRUE()</f>
        <v>1</v>
      </c>
      <c r="Q323" s="11">
        <v>9640.93</v>
      </c>
    </row>
    <row r="324" spans="1:17" ht="15" customHeight="1" x14ac:dyDescent="0.2">
      <c r="A324" s="9" t="s">
        <v>487</v>
      </c>
      <c r="B324" s="10">
        <v>45674</v>
      </c>
      <c r="C324" s="10">
        <v>45658</v>
      </c>
      <c r="D324" s="9" t="s">
        <v>22</v>
      </c>
      <c r="E324" s="9" t="s">
        <v>25</v>
      </c>
      <c r="F324" s="9" t="s">
        <v>149</v>
      </c>
      <c r="G324" s="9" t="s">
        <v>156</v>
      </c>
      <c r="H324" s="9" t="s">
        <v>170</v>
      </c>
      <c r="I324" s="9" t="b">
        <f>TRUE()</f>
        <v>1</v>
      </c>
      <c r="J324" s="9" t="s">
        <v>152</v>
      </c>
      <c r="K324" s="9" t="s">
        <v>153</v>
      </c>
      <c r="L324" s="10">
        <v>45677</v>
      </c>
      <c r="M324" s="10">
        <v>45685</v>
      </c>
      <c r="N324" s="10"/>
      <c r="O324" s="10">
        <v>45717</v>
      </c>
      <c r="P324" s="9" t="b">
        <f>TRUE()</f>
        <v>1</v>
      </c>
      <c r="Q324" s="11">
        <v>609.9</v>
      </c>
    </row>
    <row r="325" spans="1:17" ht="15" customHeight="1" x14ac:dyDescent="0.2">
      <c r="A325" s="9" t="s">
        <v>488</v>
      </c>
      <c r="B325" s="10">
        <v>45822</v>
      </c>
      <c r="C325" s="10">
        <v>45809</v>
      </c>
      <c r="D325" s="9" t="s">
        <v>19</v>
      </c>
      <c r="E325" s="9" t="s">
        <v>27</v>
      </c>
      <c r="F325" s="9" t="s">
        <v>149</v>
      </c>
      <c r="G325" s="9" t="s">
        <v>150</v>
      </c>
      <c r="H325" s="9" t="s">
        <v>207</v>
      </c>
      <c r="I325" s="9" t="b">
        <f>TRUE()</f>
        <v>1</v>
      </c>
      <c r="J325" s="9" t="s">
        <v>152</v>
      </c>
      <c r="K325" s="9" t="s">
        <v>153</v>
      </c>
      <c r="L325" s="10">
        <v>45823</v>
      </c>
      <c r="M325" s="10">
        <v>45834</v>
      </c>
      <c r="N325" s="10"/>
      <c r="O325" s="10">
        <v>45856</v>
      </c>
      <c r="P325" s="9" t="b">
        <f>TRUE()</f>
        <v>1</v>
      </c>
      <c r="Q325" s="11">
        <v>11041.13</v>
      </c>
    </row>
    <row r="326" spans="1:17" ht="15" customHeight="1" x14ac:dyDescent="0.2">
      <c r="A326" s="9" t="s">
        <v>489</v>
      </c>
      <c r="B326" s="10">
        <v>45863</v>
      </c>
      <c r="C326" s="10">
        <v>45839</v>
      </c>
      <c r="D326" s="9" t="s">
        <v>21</v>
      </c>
      <c r="E326" s="9" t="s">
        <v>25</v>
      </c>
      <c r="F326" s="9" t="s">
        <v>186</v>
      </c>
      <c r="G326" s="9" t="s">
        <v>156</v>
      </c>
      <c r="H326" s="9" t="s">
        <v>162</v>
      </c>
      <c r="I326" s="9" t="b">
        <f>TRUE()</f>
        <v>1</v>
      </c>
      <c r="J326" s="9" t="s">
        <v>152</v>
      </c>
      <c r="K326" s="9" t="s">
        <v>153</v>
      </c>
      <c r="L326" s="10">
        <v>45868</v>
      </c>
      <c r="M326" s="10">
        <v>45879</v>
      </c>
      <c r="N326" s="10"/>
      <c r="O326" s="10">
        <v>45910</v>
      </c>
      <c r="P326" s="9" t="b">
        <f>TRUE()</f>
        <v>1</v>
      </c>
      <c r="Q326" s="11">
        <v>561.30999999999995</v>
      </c>
    </row>
    <row r="327" spans="1:17" ht="15" customHeight="1" x14ac:dyDescent="0.2">
      <c r="A327" s="9" t="s">
        <v>490</v>
      </c>
      <c r="B327" s="10">
        <v>45929</v>
      </c>
      <c r="C327" s="10">
        <v>45901</v>
      </c>
      <c r="D327" s="9" t="s">
        <v>22</v>
      </c>
      <c r="E327" s="9" t="s">
        <v>25</v>
      </c>
      <c r="F327" s="9" t="s">
        <v>155</v>
      </c>
      <c r="G327" s="9" t="s">
        <v>150</v>
      </c>
      <c r="H327" s="9" t="s">
        <v>165</v>
      </c>
      <c r="I327" s="9" t="b">
        <f>TRUE()</f>
        <v>1</v>
      </c>
      <c r="J327" s="9" t="s">
        <v>152</v>
      </c>
      <c r="K327" s="9" t="s">
        <v>163</v>
      </c>
      <c r="L327" s="10"/>
      <c r="M327" s="10"/>
      <c r="N327" s="10"/>
      <c r="O327" s="10">
        <v>45947</v>
      </c>
      <c r="P327" s="9" t="b">
        <f>TRUE()</f>
        <v>1</v>
      </c>
      <c r="Q327" s="11">
        <v>4766.88</v>
      </c>
    </row>
    <row r="328" spans="1:17" ht="15" customHeight="1" x14ac:dyDescent="0.2">
      <c r="A328" s="9" t="s">
        <v>491</v>
      </c>
      <c r="B328" s="10">
        <v>45660</v>
      </c>
      <c r="C328" s="10">
        <v>45658</v>
      </c>
      <c r="D328" s="9" t="s">
        <v>22</v>
      </c>
      <c r="E328" s="9" t="s">
        <v>24</v>
      </c>
      <c r="F328" s="9" t="s">
        <v>186</v>
      </c>
      <c r="G328" s="9" t="s">
        <v>156</v>
      </c>
      <c r="H328" s="9" t="s">
        <v>170</v>
      </c>
      <c r="I328" s="9" t="b">
        <f>TRUE()</f>
        <v>1</v>
      </c>
      <c r="J328" s="9" t="s">
        <v>152</v>
      </c>
      <c r="K328" s="9" t="s">
        <v>153</v>
      </c>
      <c r="L328" s="10">
        <v>45665</v>
      </c>
      <c r="M328" s="10"/>
      <c r="N328" s="10"/>
      <c r="O328" s="10">
        <v>45684</v>
      </c>
      <c r="P328" s="9" t="b">
        <f>TRUE()</f>
        <v>1</v>
      </c>
      <c r="Q328" s="11">
        <v>862.15</v>
      </c>
    </row>
    <row r="329" spans="1:17" ht="15" customHeight="1" x14ac:dyDescent="0.2">
      <c r="A329" s="9" t="s">
        <v>492</v>
      </c>
      <c r="B329" s="10">
        <v>45857</v>
      </c>
      <c r="C329" s="10">
        <v>45839</v>
      </c>
      <c r="D329" s="9" t="s">
        <v>20</v>
      </c>
      <c r="E329" s="9" t="s">
        <v>24</v>
      </c>
      <c r="F329" s="9" t="s">
        <v>186</v>
      </c>
      <c r="G329" s="9" t="s">
        <v>161</v>
      </c>
      <c r="H329" s="9" t="s">
        <v>192</v>
      </c>
      <c r="I329" s="9" t="b">
        <f>TRUE()</f>
        <v>1</v>
      </c>
      <c r="J329" s="9" t="s">
        <v>152</v>
      </c>
      <c r="K329" s="9" t="s">
        <v>153</v>
      </c>
      <c r="L329" s="10">
        <v>45862</v>
      </c>
      <c r="M329" s="10">
        <v>45870</v>
      </c>
      <c r="N329" s="10"/>
      <c r="O329" s="10">
        <v>45895</v>
      </c>
      <c r="P329" s="9" t="b">
        <f>TRUE()</f>
        <v>1</v>
      </c>
      <c r="Q329" s="11">
        <v>2214.2600000000002</v>
      </c>
    </row>
    <row r="330" spans="1:17" ht="15" customHeight="1" x14ac:dyDescent="0.2">
      <c r="A330" s="9" t="s">
        <v>493</v>
      </c>
      <c r="B330" s="10">
        <v>45716</v>
      </c>
      <c r="C330" s="10">
        <v>45689</v>
      </c>
      <c r="D330" s="9" t="s">
        <v>19</v>
      </c>
      <c r="E330" s="9" t="s">
        <v>24</v>
      </c>
      <c r="F330" s="9" t="s">
        <v>160</v>
      </c>
      <c r="G330" s="9" t="s">
        <v>156</v>
      </c>
      <c r="H330" s="9" t="s">
        <v>210</v>
      </c>
      <c r="I330" s="9" t="b">
        <f>TRUE()</f>
        <v>1</v>
      </c>
      <c r="J330" s="9" t="s">
        <v>152</v>
      </c>
      <c r="K330" s="9" t="s">
        <v>153</v>
      </c>
      <c r="L330" s="10">
        <v>45721</v>
      </c>
      <c r="M330" s="10">
        <v>45729</v>
      </c>
      <c r="N330" s="10"/>
      <c r="O330" s="10">
        <v>45763</v>
      </c>
      <c r="P330" s="9" t="b">
        <f>TRUE()</f>
        <v>1</v>
      </c>
      <c r="Q330" s="11">
        <v>817.19</v>
      </c>
    </row>
    <row r="331" spans="1:17" ht="15" customHeight="1" x14ac:dyDescent="0.2">
      <c r="A331" s="9" t="s">
        <v>494</v>
      </c>
      <c r="B331" s="10">
        <v>45863</v>
      </c>
      <c r="C331" s="10">
        <v>45839</v>
      </c>
      <c r="D331" s="9" t="s">
        <v>18</v>
      </c>
      <c r="E331" s="9" t="s">
        <v>25</v>
      </c>
      <c r="F331" s="9" t="s">
        <v>149</v>
      </c>
      <c r="G331" s="9" t="s">
        <v>161</v>
      </c>
      <c r="H331" s="9" t="s">
        <v>157</v>
      </c>
      <c r="I331" s="9" t="b">
        <f>TRUE()</f>
        <v>1</v>
      </c>
      <c r="J331" s="9" t="s">
        <v>152</v>
      </c>
      <c r="K331" s="9" t="s">
        <v>153</v>
      </c>
      <c r="L331" s="10">
        <v>45869</v>
      </c>
      <c r="M331" s="10">
        <v>45871</v>
      </c>
      <c r="N331" s="10"/>
      <c r="O331" s="10">
        <v>45877</v>
      </c>
      <c r="P331" s="9" t="b">
        <f>TRUE()</f>
        <v>1</v>
      </c>
      <c r="Q331" s="11">
        <v>2478.7399999999998</v>
      </c>
    </row>
    <row r="332" spans="1:17" ht="15" customHeight="1" x14ac:dyDescent="0.2">
      <c r="A332" s="9" t="s">
        <v>495</v>
      </c>
      <c r="B332" s="10">
        <v>45954</v>
      </c>
      <c r="C332" s="10">
        <v>45931</v>
      </c>
      <c r="D332" s="9" t="s">
        <v>20</v>
      </c>
      <c r="E332" s="9" t="s">
        <v>24</v>
      </c>
      <c r="F332" s="9" t="s">
        <v>155</v>
      </c>
      <c r="G332" s="9" t="s">
        <v>156</v>
      </c>
      <c r="H332" s="9" t="s">
        <v>192</v>
      </c>
      <c r="I332" s="9" t="b">
        <f>TRUE()</f>
        <v>1</v>
      </c>
      <c r="J332" s="9" t="s">
        <v>152</v>
      </c>
      <c r="K332" s="9" t="s">
        <v>163</v>
      </c>
      <c r="L332" s="10"/>
      <c r="M332" s="10"/>
      <c r="N332" s="10"/>
      <c r="O332" s="10">
        <v>45972</v>
      </c>
      <c r="P332" s="9" t="b">
        <f>TRUE()</f>
        <v>1</v>
      </c>
      <c r="Q332" s="11">
        <v>374.63</v>
      </c>
    </row>
    <row r="333" spans="1:17" ht="15" customHeight="1" x14ac:dyDescent="0.2">
      <c r="A333" s="9" t="s">
        <v>496</v>
      </c>
      <c r="B333" s="10">
        <v>45719</v>
      </c>
      <c r="C333" s="10">
        <v>45717</v>
      </c>
      <c r="D333" s="9" t="s">
        <v>21</v>
      </c>
      <c r="E333" s="9" t="s">
        <v>25</v>
      </c>
      <c r="F333" s="9" t="s">
        <v>186</v>
      </c>
      <c r="G333" s="9" t="s">
        <v>161</v>
      </c>
      <c r="H333" s="9" t="s">
        <v>176</v>
      </c>
      <c r="I333" s="9" t="b">
        <f>TRUE()</f>
        <v>1</v>
      </c>
      <c r="J333" s="9" t="s">
        <v>2</v>
      </c>
      <c r="K333" s="9" t="s">
        <v>153</v>
      </c>
      <c r="L333" s="10">
        <v>45720</v>
      </c>
      <c r="M333" s="10">
        <v>45721</v>
      </c>
      <c r="N333" s="10">
        <v>45736</v>
      </c>
      <c r="O333" s="10"/>
      <c r="P333" s="9" t="b">
        <f>TRUE()</f>
        <v>1</v>
      </c>
      <c r="Q333" s="11">
        <v>2559.14</v>
      </c>
    </row>
    <row r="334" spans="1:17" ht="15" customHeight="1" x14ac:dyDescent="0.2">
      <c r="A334" s="9" t="s">
        <v>497</v>
      </c>
      <c r="B334" s="10">
        <v>45679</v>
      </c>
      <c r="C334" s="10">
        <v>45658</v>
      </c>
      <c r="D334" s="9" t="s">
        <v>18</v>
      </c>
      <c r="E334" s="9" t="s">
        <v>28</v>
      </c>
      <c r="F334" s="9" t="s">
        <v>155</v>
      </c>
      <c r="G334" s="9" t="s">
        <v>156</v>
      </c>
      <c r="H334" s="9" t="s">
        <v>157</v>
      </c>
      <c r="I334" s="9" t="b">
        <f>TRUE()</f>
        <v>1</v>
      </c>
      <c r="J334" s="9" t="s">
        <v>152</v>
      </c>
      <c r="K334" s="9" t="s">
        <v>153</v>
      </c>
      <c r="L334" s="10">
        <v>45683</v>
      </c>
      <c r="M334" s="10">
        <v>45684</v>
      </c>
      <c r="N334" s="10"/>
      <c r="O334" s="10">
        <v>45701</v>
      </c>
      <c r="P334" s="9" t="b">
        <f>TRUE()</f>
        <v>1</v>
      </c>
      <c r="Q334" s="11">
        <v>644.17999999999995</v>
      </c>
    </row>
    <row r="335" spans="1:17" ht="15" customHeight="1" x14ac:dyDescent="0.2">
      <c r="A335" s="9" t="s">
        <v>498</v>
      </c>
      <c r="B335" s="10">
        <v>46016</v>
      </c>
      <c r="C335" s="10">
        <v>45992</v>
      </c>
      <c r="D335" s="9" t="s">
        <v>20</v>
      </c>
      <c r="E335" s="9" t="s">
        <v>27</v>
      </c>
      <c r="F335" s="9" t="s">
        <v>149</v>
      </c>
      <c r="G335" s="9" t="s">
        <v>161</v>
      </c>
      <c r="H335" s="9" t="s">
        <v>189</v>
      </c>
      <c r="I335" s="9" t="b">
        <f>TRUE()</f>
        <v>1</v>
      </c>
      <c r="J335" s="9" t="s">
        <v>158</v>
      </c>
      <c r="K335" s="9" t="s">
        <v>153</v>
      </c>
      <c r="L335" s="10">
        <v>46025</v>
      </c>
      <c r="M335" s="10">
        <v>46033</v>
      </c>
      <c r="N335" s="10"/>
      <c r="O335" s="10"/>
      <c r="P335" s="9" t="b">
        <f>TRUE()</f>
        <v>1</v>
      </c>
      <c r="Q335" s="11">
        <v>2048.81</v>
      </c>
    </row>
    <row r="336" spans="1:17" ht="15" customHeight="1" x14ac:dyDescent="0.2">
      <c r="A336" s="9" t="s">
        <v>499</v>
      </c>
      <c r="B336" s="10">
        <v>45753</v>
      </c>
      <c r="C336" s="10">
        <v>45748</v>
      </c>
      <c r="D336" s="9" t="s">
        <v>20</v>
      </c>
      <c r="E336" s="9" t="s">
        <v>27</v>
      </c>
      <c r="F336" s="9" t="s">
        <v>186</v>
      </c>
      <c r="G336" s="9" t="s">
        <v>161</v>
      </c>
      <c r="H336" s="9" t="s">
        <v>167</v>
      </c>
      <c r="I336" s="9" t="b">
        <f>TRUE()</f>
        <v>1</v>
      </c>
      <c r="J336" s="9" t="s">
        <v>152</v>
      </c>
      <c r="K336" s="9" t="s">
        <v>163</v>
      </c>
      <c r="L336" s="10"/>
      <c r="M336" s="10"/>
      <c r="N336" s="10"/>
      <c r="O336" s="10">
        <v>45764</v>
      </c>
      <c r="P336" s="9" t="b">
        <f>TRUE()</f>
        <v>1</v>
      </c>
      <c r="Q336" s="11">
        <v>1909.06</v>
      </c>
    </row>
    <row r="337" spans="1:17" ht="15" customHeight="1" x14ac:dyDescent="0.2">
      <c r="A337" s="9" t="s">
        <v>500</v>
      </c>
      <c r="B337" s="10">
        <v>45719</v>
      </c>
      <c r="C337" s="10">
        <v>45717</v>
      </c>
      <c r="D337" s="9" t="s">
        <v>19</v>
      </c>
      <c r="E337" s="9" t="s">
        <v>25</v>
      </c>
      <c r="F337" s="9" t="s">
        <v>155</v>
      </c>
      <c r="G337" s="9" t="s">
        <v>150</v>
      </c>
      <c r="H337" s="9" t="s">
        <v>210</v>
      </c>
      <c r="I337" s="9" t="b">
        <f>TRUE()</f>
        <v>1</v>
      </c>
      <c r="J337" s="9" t="s">
        <v>2</v>
      </c>
      <c r="K337" s="9" t="s">
        <v>153</v>
      </c>
      <c r="L337" s="10">
        <v>45724</v>
      </c>
      <c r="M337" s="10">
        <v>45739</v>
      </c>
      <c r="N337" s="10">
        <v>45746</v>
      </c>
      <c r="O337" s="10"/>
      <c r="P337" s="9" t="b">
        <f>TRUE()</f>
        <v>1</v>
      </c>
      <c r="Q337" s="11">
        <v>5133.84</v>
      </c>
    </row>
    <row r="338" spans="1:17" ht="15" customHeight="1" x14ac:dyDescent="0.2">
      <c r="A338" s="9" t="s">
        <v>501</v>
      </c>
      <c r="B338" s="10">
        <v>46012</v>
      </c>
      <c r="C338" s="10">
        <v>45992</v>
      </c>
      <c r="D338" s="9" t="s">
        <v>18</v>
      </c>
      <c r="E338" s="9" t="s">
        <v>26</v>
      </c>
      <c r="F338" s="9" t="s">
        <v>186</v>
      </c>
      <c r="G338" s="9" t="s">
        <v>156</v>
      </c>
      <c r="H338" s="9" t="s">
        <v>201</v>
      </c>
      <c r="I338" s="9" t="b">
        <f>TRUE()</f>
        <v>1</v>
      </c>
      <c r="J338" s="9" t="s">
        <v>2</v>
      </c>
      <c r="K338" s="9" t="s">
        <v>153</v>
      </c>
      <c r="L338" s="10">
        <v>46014</v>
      </c>
      <c r="M338" s="10">
        <v>46019</v>
      </c>
      <c r="N338" s="10">
        <v>46028</v>
      </c>
      <c r="O338" s="10"/>
      <c r="P338" s="9" t="b">
        <f>TRUE()</f>
        <v>1</v>
      </c>
      <c r="Q338" s="11">
        <v>751.66</v>
      </c>
    </row>
    <row r="339" spans="1:17" ht="15" customHeight="1" x14ac:dyDescent="0.2">
      <c r="A339" s="9" t="s">
        <v>502</v>
      </c>
      <c r="B339" s="10">
        <v>45928</v>
      </c>
      <c r="C339" s="10">
        <v>45901</v>
      </c>
      <c r="D339" s="9" t="s">
        <v>21</v>
      </c>
      <c r="E339" s="9" t="s">
        <v>26</v>
      </c>
      <c r="F339" s="9" t="s">
        <v>155</v>
      </c>
      <c r="G339" s="9" t="s">
        <v>156</v>
      </c>
      <c r="H339" s="9" t="s">
        <v>162</v>
      </c>
      <c r="I339" s="9" t="b">
        <f>TRUE()</f>
        <v>1</v>
      </c>
      <c r="J339" s="9" t="s">
        <v>152</v>
      </c>
      <c r="K339" s="9" t="s">
        <v>163</v>
      </c>
      <c r="L339" s="10"/>
      <c r="M339" s="10"/>
      <c r="N339" s="10"/>
      <c r="O339" s="10">
        <v>45939</v>
      </c>
      <c r="P339" s="9" t="b">
        <f>TRUE()</f>
        <v>1</v>
      </c>
      <c r="Q339" s="11">
        <v>598.71</v>
      </c>
    </row>
    <row r="340" spans="1:17" ht="15" customHeight="1" x14ac:dyDescent="0.2">
      <c r="A340" s="9" t="s">
        <v>503</v>
      </c>
      <c r="B340" s="10">
        <v>45703</v>
      </c>
      <c r="C340" s="10">
        <v>45689</v>
      </c>
      <c r="D340" s="9" t="s">
        <v>22</v>
      </c>
      <c r="E340" s="9" t="s">
        <v>25</v>
      </c>
      <c r="F340" s="9" t="s">
        <v>149</v>
      </c>
      <c r="G340" s="9" t="s">
        <v>156</v>
      </c>
      <c r="H340" s="9" t="s">
        <v>170</v>
      </c>
      <c r="I340" s="9" t="b">
        <f>TRUE()</f>
        <v>1</v>
      </c>
      <c r="J340" s="9" t="s">
        <v>2</v>
      </c>
      <c r="K340" s="9" t="s">
        <v>153</v>
      </c>
      <c r="L340" s="10">
        <v>45712</v>
      </c>
      <c r="M340" s="10">
        <v>45713</v>
      </c>
      <c r="N340" s="10">
        <v>45717</v>
      </c>
      <c r="O340" s="10"/>
      <c r="P340" s="9" t="b">
        <f>TRUE()</f>
        <v>1</v>
      </c>
      <c r="Q340" s="11">
        <v>904.76</v>
      </c>
    </row>
    <row r="341" spans="1:17" ht="15" customHeight="1" x14ac:dyDescent="0.2">
      <c r="A341" s="9" t="s">
        <v>504</v>
      </c>
      <c r="B341" s="10">
        <v>46021</v>
      </c>
      <c r="C341" s="10">
        <v>45992</v>
      </c>
      <c r="D341" s="9" t="s">
        <v>22</v>
      </c>
      <c r="E341" s="9" t="s">
        <v>26</v>
      </c>
      <c r="F341" s="9" t="s">
        <v>160</v>
      </c>
      <c r="G341" s="9" t="s">
        <v>156</v>
      </c>
      <c r="H341" s="9" t="s">
        <v>151</v>
      </c>
      <c r="I341" s="9" t="b">
        <f>TRUE()</f>
        <v>1</v>
      </c>
      <c r="J341" s="9" t="s">
        <v>190</v>
      </c>
      <c r="K341" s="9" t="s">
        <v>163</v>
      </c>
      <c r="L341" s="10"/>
      <c r="M341" s="10"/>
      <c r="N341" s="10"/>
      <c r="O341" s="10"/>
      <c r="P341" s="9" t="b">
        <f>TRUE()</f>
        <v>1</v>
      </c>
      <c r="Q341" s="11">
        <v>956.52</v>
      </c>
    </row>
    <row r="342" spans="1:17" ht="15" customHeight="1" x14ac:dyDescent="0.2">
      <c r="A342" s="9" t="s">
        <v>505</v>
      </c>
      <c r="B342" s="10">
        <v>45668</v>
      </c>
      <c r="C342" s="10">
        <v>45658</v>
      </c>
      <c r="D342" s="9" t="s">
        <v>20</v>
      </c>
      <c r="E342" s="9" t="s">
        <v>28</v>
      </c>
      <c r="F342" s="9" t="s">
        <v>160</v>
      </c>
      <c r="G342" s="9" t="s">
        <v>156</v>
      </c>
      <c r="H342" s="9" t="s">
        <v>167</v>
      </c>
      <c r="I342" s="9" t="b">
        <f>TRUE()</f>
        <v>1</v>
      </c>
      <c r="J342" s="9" t="s">
        <v>152</v>
      </c>
      <c r="K342" s="9" t="s">
        <v>153</v>
      </c>
      <c r="L342" s="10">
        <v>45673</v>
      </c>
      <c r="M342" s="10">
        <v>45688</v>
      </c>
      <c r="N342" s="10"/>
      <c r="O342" s="10">
        <v>45723</v>
      </c>
      <c r="P342" s="9" t="b">
        <f>TRUE()</f>
        <v>1</v>
      </c>
      <c r="Q342" s="11">
        <v>828.03</v>
      </c>
    </row>
    <row r="343" spans="1:17" ht="15" customHeight="1" x14ac:dyDescent="0.2">
      <c r="A343" s="9" t="s">
        <v>506</v>
      </c>
      <c r="B343" s="10">
        <v>45962</v>
      </c>
      <c r="C343" s="10">
        <v>45962</v>
      </c>
      <c r="D343" s="9" t="s">
        <v>21</v>
      </c>
      <c r="E343" s="9" t="s">
        <v>24</v>
      </c>
      <c r="F343" s="9" t="s">
        <v>186</v>
      </c>
      <c r="G343" s="9" t="s">
        <v>161</v>
      </c>
      <c r="H343" s="9" t="s">
        <v>162</v>
      </c>
      <c r="I343" s="9" t="b">
        <f>TRUE()</f>
        <v>1</v>
      </c>
      <c r="J343" s="9" t="s">
        <v>152</v>
      </c>
      <c r="K343" s="9" t="s">
        <v>153</v>
      </c>
      <c r="L343" s="10">
        <v>45967</v>
      </c>
      <c r="M343" s="10">
        <v>45973</v>
      </c>
      <c r="N343" s="10"/>
      <c r="O343" s="10">
        <v>46003</v>
      </c>
      <c r="P343" s="9" t="b">
        <f>TRUE()</f>
        <v>1</v>
      </c>
      <c r="Q343" s="11">
        <v>1816.37</v>
      </c>
    </row>
    <row r="344" spans="1:17" ht="15" customHeight="1" x14ac:dyDescent="0.2">
      <c r="A344" s="9" t="s">
        <v>507</v>
      </c>
      <c r="B344" s="10">
        <v>45732</v>
      </c>
      <c r="C344" s="10">
        <v>45717</v>
      </c>
      <c r="D344" s="9" t="s">
        <v>19</v>
      </c>
      <c r="E344" s="9" t="s">
        <v>28</v>
      </c>
      <c r="F344" s="9" t="s">
        <v>155</v>
      </c>
      <c r="G344" s="9" t="s">
        <v>156</v>
      </c>
      <c r="H344" s="9" t="s">
        <v>179</v>
      </c>
      <c r="I344" s="9" t="b">
        <f>TRUE()</f>
        <v>1</v>
      </c>
      <c r="J344" s="9" t="s">
        <v>152</v>
      </c>
      <c r="K344" s="9" t="s">
        <v>153</v>
      </c>
      <c r="L344" s="10">
        <v>45739</v>
      </c>
      <c r="M344" s="10">
        <v>45748</v>
      </c>
      <c r="N344" s="10"/>
      <c r="O344" s="10">
        <v>45779</v>
      </c>
      <c r="P344" s="9" t="b">
        <f>TRUE()</f>
        <v>1</v>
      </c>
      <c r="Q344" s="11">
        <v>371.3</v>
      </c>
    </row>
    <row r="345" spans="1:17" ht="15" customHeight="1" x14ac:dyDescent="0.2">
      <c r="A345" s="9" t="s">
        <v>508</v>
      </c>
      <c r="B345" s="10">
        <v>45929</v>
      </c>
      <c r="C345" s="10">
        <v>45901</v>
      </c>
      <c r="D345" s="9" t="s">
        <v>19</v>
      </c>
      <c r="E345" s="9" t="s">
        <v>28</v>
      </c>
      <c r="F345" s="9" t="s">
        <v>149</v>
      </c>
      <c r="G345" s="9" t="s">
        <v>156</v>
      </c>
      <c r="H345" s="9" t="s">
        <v>179</v>
      </c>
      <c r="I345" s="9" t="b">
        <f>TRUE()</f>
        <v>1</v>
      </c>
      <c r="J345" s="9" t="s">
        <v>152</v>
      </c>
      <c r="K345" s="9" t="s">
        <v>153</v>
      </c>
      <c r="L345" s="10">
        <v>45934</v>
      </c>
      <c r="M345" s="10">
        <v>45937</v>
      </c>
      <c r="N345" s="10"/>
      <c r="O345" s="10">
        <v>45957</v>
      </c>
      <c r="P345" s="9" t="b">
        <f>TRUE()</f>
        <v>1</v>
      </c>
      <c r="Q345" s="11">
        <v>895.48</v>
      </c>
    </row>
    <row r="346" spans="1:17" ht="15" customHeight="1" x14ac:dyDescent="0.2">
      <c r="A346" s="9" t="s">
        <v>509</v>
      </c>
      <c r="B346" s="10">
        <v>45662</v>
      </c>
      <c r="C346" s="10">
        <v>45658</v>
      </c>
      <c r="D346" s="9" t="s">
        <v>21</v>
      </c>
      <c r="E346" s="9" t="s">
        <v>26</v>
      </c>
      <c r="F346" s="9" t="s">
        <v>186</v>
      </c>
      <c r="G346" s="9" t="s">
        <v>150</v>
      </c>
      <c r="H346" s="9" t="s">
        <v>162</v>
      </c>
      <c r="I346" s="9" t="b">
        <f>TRUE()</f>
        <v>1</v>
      </c>
      <c r="J346" s="9" t="s">
        <v>152</v>
      </c>
      <c r="K346" s="9" t="s">
        <v>153</v>
      </c>
      <c r="L346" s="10">
        <v>45671</v>
      </c>
      <c r="M346" s="10">
        <v>45677</v>
      </c>
      <c r="N346" s="10"/>
      <c r="O346" s="10">
        <v>45700</v>
      </c>
      <c r="P346" s="9" t="b">
        <f>TRUE()</f>
        <v>1</v>
      </c>
      <c r="Q346" s="11">
        <v>6555.45</v>
      </c>
    </row>
    <row r="347" spans="1:17" ht="15" customHeight="1" x14ac:dyDescent="0.2">
      <c r="A347" s="9" t="s">
        <v>510</v>
      </c>
      <c r="B347" s="10">
        <v>45813</v>
      </c>
      <c r="C347" s="10">
        <v>45809</v>
      </c>
      <c r="D347" s="9" t="s">
        <v>19</v>
      </c>
      <c r="E347" s="9" t="s">
        <v>28</v>
      </c>
      <c r="F347" s="9" t="s">
        <v>149</v>
      </c>
      <c r="G347" s="9" t="s">
        <v>156</v>
      </c>
      <c r="H347" s="9" t="s">
        <v>179</v>
      </c>
      <c r="I347" s="9" t="b">
        <f>TRUE()</f>
        <v>1</v>
      </c>
      <c r="J347" s="9" t="s">
        <v>152</v>
      </c>
      <c r="K347" s="9" t="s">
        <v>163</v>
      </c>
      <c r="L347" s="10"/>
      <c r="M347" s="10"/>
      <c r="N347" s="10"/>
      <c r="O347" s="10">
        <v>45823</v>
      </c>
      <c r="P347" s="9" t="b">
        <f>TRUE()</f>
        <v>1</v>
      </c>
      <c r="Q347" s="11">
        <v>1062.27</v>
      </c>
    </row>
    <row r="348" spans="1:17" ht="15" customHeight="1" x14ac:dyDescent="0.2">
      <c r="A348" s="9" t="s">
        <v>511</v>
      </c>
      <c r="B348" s="10">
        <v>45723</v>
      </c>
      <c r="C348" s="10">
        <v>45717</v>
      </c>
      <c r="D348" s="9" t="s">
        <v>19</v>
      </c>
      <c r="E348" s="9" t="s">
        <v>26</v>
      </c>
      <c r="F348" s="9" t="s">
        <v>155</v>
      </c>
      <c r="G348" s="9" t="s">
        <v>161</v>
      </c>
      <c r="H348" s="9" t="s">
        <v>210</v>
      </c>
      <c r="I348" s="9" t="b">
        <f>TRUE()</f>
        <v>1</v>
      </c>
      <c r="J348" s="9" t="s">
        <v>152</v>
      </c>
      <c r="K348" s="9" t="s">
        <v>163</v>
      </c>
      <c r="L348" s="10"/>
      <c r="M348" s="10"/>
      <c r="N348" s="10"/>
      <c r="O348" s="10">
        <v>45736</v>
      </c>
      <c r="P348" s="9" t="b">
        <f>TRUE()</f>
        <v>1</v>
      </c>
      <c r="Q348" s="11">
        <v>2060.23</v>
      </c>
    </row>
    <row r="349" spans="1:17" ht="15" customHeight="1" x14ac:dyDescent="0.2">
      <c r="A349" s="9" t="s">
        <v>512</v>
      </c>
      <c r="B349" s="10">
        <v>45918</v>
      </c>
      <c r="C349" s="10">
        <v>45901</v>
      </c>
      <c r="D349" s="9" t="s">
        <v>20</v>
      </c>
      <c r="E349" s="9" t="s">
        <v>26</v>
      </c>
      <c r="F349" s="9" t="s">
        <v>149</v>
      </c>
      <c r="G349" s="9" t="s">
        <v>150</v>
      </c>
      <c r="H349" s="9" t="s">
        <v>192</v>
      </c>
      <c r="I349" s="9" t="b">
        <f>TRUE()</f>
        <v>1</v>
      </c>
      <c r="J349" s="9" t="s">
        <v>152</v>
      </c>
      <c r="K349" s="9" t="s">
        <v>153</v>
      </c>
      <c r="L349" s="10">
        <v>45920</v>
      </c>
      <c r="M349" s="10"/>
      <c r="N349" s="10"/>
      <c r="O349" s="10">
        <v>45927</v>
      </c>
      <c r="P349" s="9" t="b">
        <f>TRUE()</f>
        <v>1</v>
      </c>
      <c r="Q349" s="11">
        <v>11322.73</v>
      </c>
    </row>
    <row r="350" spans="1:17" ht="15" customHeight="1" x14ac:dyDescent="0.2">
      <c r="A350" s="9" t="s">
        <v>513</v>
      </c>
      <c r="B350" s="10">
        <v>45793</v>
      </c>
      <c r="C350" s="10">
        <v>45778</v>
      </c>
      <c r="D350" s="9" t="s">
        <v>19</v>
      </c>
      <c r="E350" s="9" t="s">
        <v>25</v>
      </c>
      <c r="F350" s="9" t="s">
        <v>155</v>
      </c>
      <c r="G350" s="9" t="s">
        <v>156</v>
      </c>
      <c r="H350" s="9" t="s">
        <v>179</v>
      </c>
      <c r="I350" s="9" t="b">
        <f>TRUE()</f>
        <v>1</v>
      </c>
      <c r="J350" s="9" t="s">
        <v>152</v>
      </c>
      <c r="K350" s="9" t="s">
        <v>153</v>
      </c>
      <c r="L350" s="10">
        <v>45796</v>
      </c>
      <c r="M350" s="10">
        <v>45805</v>
      </c>
      <c r="N350" s="10"/>
      <c r="O350" s="10">
        <v>45836</v>
      </c>
      <c r="P350" s="9" t="b">
        <f>TRUE()</f>
        <v>1</v>
      </c>
      <c r="Q350" s="11">
        <v>599.79</v>
      </c>
    </row>
    <row r="351" spans="1:17" ht="15" customHeight="1" x14ac:dyDescent="0.2">
      <c r="A351" s="9" t="s">
        <v>514</v>
      </c>
      <c r="B351" s="10">
        <v>45751</v>
      </c>
      <c r="C351" s="10">
        <v>45748</v>
      </c>
      <c r="D351" s="9" t="s">
        <v>19</v>
      </c>
      <c r="E351" s="9" t="s">
        <v>24</v>
      </c>
      <c r="F351" s="9" t="s">
        <v>149</v>
      </c>
      <c r="G351" s="9" t="s">
        <v>150</v>
      </c>
      <c r="H351" s="9" t="s">
        <v>179</v>
      </c>
      <c r="I351" s="9" t="b">
        <f>TRUE()</f>
        <v>1</v>
      </c>
      <c r="J351" s="9" t="s">
        <v>152</v>
      </c>
      <c r="K351" s="9" t="s">
        <v>153</v>
      </c>
      <c r="L351" s="10">
        <v>45754</v>
      </c>
      <c r="M351" s="10">
        <v>45755</v>
      </c>
      <c r="N351" s="10"/>
      <c r="O351" s="10">
        <v>45774</v>
      </c>
      <c r="P351" s="9" t="b">
        <f>TRUE()</f>
        <v>1</v>
      </c>
      <c r="Q351" s="11">
        <v>7994.33</v>
      </c>
    </row>
    <row r="352" spans="1:17" ht="15" customHeight="1" x14ac:dyDescent="0.2">
      <c r="A352" s="9" t="s">
        <v>515</v>
      </c>
      <c r="B352" s="10">
        <v>45798</v>
      </c>
      <c r="C352" s="10">
        <v>45778</v>
      </c>
      <c r="D352" s="9" t="s">
        <v>21</v>
      </c>
      <c r="E352" s="9" t="s">
        <v>26</v>
      </c>
      <c r="F352" s="9" t="s">
        <v>149</v>
      </c>
      <c r="G352" s="9" t="s">
        <v>156</v>
      </c>
      <c r="H352" s="9" t="s">
        <v>162</v>
      </c>
      <c r="I352" s="9" t="b">
        <f>TRUE()</f>
        <v>1</v>
      </c>
      <c r="J352" s="9" t="s">
        <v>152</v>
      </c>
      <c r="K352" s="9" t="s">
        <v>153</v>
      </c>
      <c r="L352" s="10">
        <v>45807</v>
      </c>
      <c r="M352" s="10"/>
      <c r="N352" s="10"/>
      <c r="O352" s="10">
        <v>45814</v>
      </c>
      <c r="P352" s="9" t="b">
        <f>TRUE()</f>
        <v>1</v>
      </c>
      <c r="Q352" s="11">
        <v>1014</v>
      </c>
    </row>
    <row r="353" spans="1:17" ht="15" customHeight="1" x14ac:dyDescent="0.2">
      <c r="A353" s="9" t="s">
        <v>516</v>
      </c>
      <c r="B353" s="10">
        <v>45931</v>
      </c>
      <c r="C353" s="10">
        <v>45931</v>
      </c>
      <c r="D353" s="9" t="s">
        <v>20</v>
      </c>
      <c r="E353" s="9" t="s">
        <v>25</v>
      </c>
      <c r="F353" s="9" t="s">
        <v>149</v>
      </c>
      <c r="G353" s="9" t="s">
        <v>161</v>
      </c>
      <c r="H353" s="9" t="s">
        <v>167</v>
      </c>
      <c r="I353" s="9" t="b">
        <f>TRUE()</f>
        <v>1</v>
      </c>
      <c r="J353" s="9" t="s">
        <v>152</v>
      </c>
      <c r="K353" s="9" t="s">
        <v>153</v>
      </c>
      <c r="L353" s="10">
        <v>45938</v>
      </c>
      <c r="M353" s="10"/>
      <c r="N353" s="10"/>
      <c r="O353" s="10">
        <v>45944</v>
      </c>
      <c r="P353" s="9" t="b">
        <f>TRUE()</f>
        <v>1</v>
      </c>
      <c r="Q353" s="11">
        <v>2416.84</v>
      </c>
    </row>
    <row r="354" spans="1:17" ht="15" customHeight="1" x14ac:dyDescent="0.2">
      <c r="A354" s="9" t="s">
        <v>517</v>
      </c>
      <c r="B354" s="10">
        <v>45699</v>
      </c>
      <c r="C354" s="10">
        <v>45689</v>
      </c>
      <c r="D354" s="9" t="s">
        <v>19</v>
      </c>
      <c r="E354" s="9" t="s">
        <v>25</v>
      </c>
      <c r="F354" s="9" t="s">
        <v>155</v>
      </c>
      <c r="G354" s="9" t="s">
        <v>150</v>
      </c>
      <c r="H354" s="9" t="s">
        <v>210</v>
      </c>
      <c r="I354" s="9" t="b">
        <f>TRUE()</f>
        <v>1</v>
      </c>
      <c r="J354" s="9" t="s">
        <v>2</v>
      </c>
      <c r="K354" s="9" t="s">
        <v>153</v>
      </c>
      <c r="L354" s="10">
        <v>45706</v>
      </c>
      <c r="M354" s="10">
        <v>45713</v>
      </c>
      <c r="N354" s="10">
        <v>45716</v>
      </c>
      <c r="O354" s="10"/>
      <c r="P354" s="9" t="b">
        <f>TRUE()</f>
        <v>1</v>
      </c>
      <c r="Q354" s="11">
        <v>6559.66</v>
      </c>
    </row>
    <row r="355" spans="1:17" ht="15" customHeight="1" x14ac:dyDescent="0.2">
      <c r="A355" s="9" t="s">
        <v>518</v>
      </c>
      <c r="B355" s="10">
        <v>45693</v>
      </c>
      <c r="C355" s="10">
        <v>45689</v>
      </c>
      <c r="D355" s="9" t="s">
        <v>18</v>
      </c>
      <c r="E355" s="9" t="s">
        <v>28</v>
      </c>
      <c r="F355" s="9" t="s">
        <v>149</v>
      </c>
      <c r="G355" s="9" t="s">
        <v>150</v>
      </c>
      <c r="H355" s="9" t="s">
        <v>201</v>
      </c>
      <c r="I355" s="9" t="b">
        <f>TRUE()</f>
        <v>1</v>
      </c>
      <c r="J355" s="9" t="s">
        <v>2</v>
      </c>
      <c r="K355" s="9" t="s">
        <v>153</v>
      </c>
      <c r="L355" s="10">
        <v>45696</v>
      </c>
      <c r="M355" s="10">
        <v>45705</v>
      </c>
      <c r="N355" s="10">
        <v>45716</v>
      </c>
      <c r="O355" s="10"/>
      <c r="P355" s="9" t="b">
        <f>TRUE()</f>
        <v>1</v>
      </c>
      <c r="Q355" s="11">
        <v>10492.14</v>
      </c>
    </row>
    <row r="356" spans="1:17" ht="15" customHeight="1" x14ac:dyDescent="0.2">
      <c r="A356" s="9" t="s">
        <v>519</v>
      </c>
      <c r="B356" s="10">
        <v>45859</v>
      </c>
      <c r="C356" s="10">
        <v>45839</v>
      </c>
      <c r="D356" s="9" t="s">
        <v>18</v>
      </c>
      <c r="E356" s="9" t="s">
        <v>25</v>
      </c>
      <c r="F356" s="9" t="s">
        <v>186</v>
      </c>
      <c r="G356" s="9" t="s">
        <v>156</v>
      </c>
      <c r="H356" s="9" t="s">
        <v>201</v>
      </c>
      <c r="I356" s="9" t="b">
        <f>TRUE()</f>
        <v>1</v>
      </c>
      <c r="J356" s="9" t="s">
        <v>152</v>
      </c>
      <c r="K356" s="9" t="s">
        <v>153</v>
      </c>
      <c r="L356" s="10">
        <v>45862</v>
      </c>
      <c r="M356" s="10">
        <v>45873</v>
      </c>
      <c r="N356" s="10"/>
      <c r="O356" s="10">
        <v>45901</v>
      </c>
      <c r="P356" s="9" t="b">
        <f>TRUE()</f>
        <v>1</v>
      </c>
      <c r="Q356" s="11">
        <v>824.49</v>
      </c>
    </row>
    <row r="357" spans="1:17" ht="15" customHeight="1" x14ac:dyDescent="0.2">
      <c r="A357" s="9" t="s">
        <v>520</v>
      </c>
      <c r="B357" s="10">
        <v>45940</v>
      </c>
      <c r="C357" s="10">
        <v>45931</v>
      </c>
      <c r="D357" s="9" t="s">
        <v>20</v>
      </c>
      <c r="E357" s="9" t="s">
        <v>25</v>
      </c>
      <c r="F357" s="9" t="s">
        <v>186</v>
      </c>
      <c r="G357" s="9" t="s">
        <v>156</v>
      </c>
      <c r="H357" s="9" t="s">
        <v>192</v>
      </c>
      <c r="I357" s="9" t="b">
        <f>TRUE()</f>
        <v>1</v>
      </c>
      <c r="J357" s="9" t="s">
        <v>2</v>
      </c>
      <c r="K357" s="9" t="s">
        <v>153</v>
      </c>
      <c r="L357" s="10">
        <v>45941</v>
      </c>
      <c r="M357" s="10">
        <v>45953</v>
      </c>
      <c r="N357" s="10">
        <v>45962</v>
      </c>
      <c r="O357" s="10"/>
      <c r="P357" s="9" t="b">
        <f>TRUE()</f>
        <v>1</v>
      </c>
      <c r="Q357" s="11">
        <v>635.51</v>
      </c>
    </row>
    <row r="358" spans="1:17" ht="15" customHeight="1" x14ac:dyDescent="0.2">
      <c r="A358" s="9" t="s">
        <v>521</v>
      </c>
      <c r="B358" s="10">
        <v>45690</v>
      </c>
      <c r="C358" s="10">
        <v>45689</v>
      </c>
      <c r="D358" s="9" t="s">
        <v>18</v>
      </c>
      <c r="E358" s="9" t="s">
        <v>25</v>
      </c>
      <c r="F358" s="9" t="s">
        <v>186</v>
      </c>
      <c r="G358" s="9" t="s">
        <v>156</v>
      </c>
      <c r="H358" s="9" t="s">
        <v>201</v>
      </c>
      <c r="I358" s="9" t="b">
        <f>TRUE()</f>
        <v>1</v>
      </c>
      <c r="J358" s="9" t="s">
        <v>152</v>
      </c>
      <c r="K358" s="9" t="s">
        <v>153</v>
      </c>
      <c r="L358" s="10">
        <v>45692</v>
      </c>
      <c r="M358" s="10">
        <v>45699</v>
      </c>
      <c r="N358" s="10"/>
      <c r="O358" s="10">
        <v>45720</v>
      </c>
      <c r="P358" s="9" t="b">
        <f>TRUE()</f>
        <v>1</v>
      </c>
      <c r="Q358" s="11">
        <v>557.61</v>
      </c>
    </row>
    <row r="359" spans="1:17" ht="15" customHeight="1" x14ac:dyDescent="0.2">
      <c r="A359" s="9" t="s">
        <v>522</v>
      </c>
      <c r="B359" s="10">
        <v>45928</v>
      </c>
      <c r="C359" s="10">
        <v>45901</v>
      </c>
      <c r="D359" s="9" t="s">
        <v>22</v>
      </c>
      <c r="E359" s="9" t="s">
        <v>28</v>
      </c>
      <c r="F359" s="9" t="s">
        <v>186</v>
      </c>
      <c r="G359" s="9" t="s">
        <v>150</v>
      </c>
      <c r="H359" s="9" t="s">
        <v>165</v>
      </c>
      <c r="I359" s="9" t="b">
        <f>TRUE()</f>
        <v>1</v>
      </c>
      <c r="J359" s="9" t="s">
        <v>152</v>
      </c>
      <c r="K359" s="9" t="s">
        <v>153</v>
      </c>
      <c r="L359" s="10">
        <v>45931</v>
      </c>
      <c r="M359" s="10">
        <v>45934</v>
      </c>
      <c r="N359" s="10"/>
      <c r="O359" s="10">
        <v>45952</v>
      </c>
      <c r="P359" s="9" t="b">
        <f>TRUE()</f>
        <v>1</v>
      </c>
      <c r="Q359" s="11">
        <v>7515.93</v>
      </c>
    </row>
    <row r="360" spans="1:17" ht="15" customHeight="1" x14ac:dyDescent="0.2">
      <c r="A360" s="9" t="s">
        <v>523</v>
      </c>
      <c r="B360" s="10">
        <v>45715</v>
      </c>
      <c r="C360" s="10">
        <v>45689</v>
      </c>
      <c r="D360" s="9" t="s">
        <v>20</v>
      </c>
      <c r="E360" s="9" t="s">
        <v>25</v>
      </c>
      <c r="F360" s="9" t="s">
        <v>160</v>
      </c>
      <c r="G360" s="9" t="s">
        <v>161</v>
      </c>
      <c r="H360" s="9" t="s">
        <v>192</v>
      </c>
      <c r="I360" s="9" t="b">
        <f>TRUE()</f>
        <v>1</v>
      </c>
      <c r="J360" s="9" t="s">
        <v>152</v>
      </c>
      <c r="K360" s="9" t="s">
        <v>163</v>
      </c>
      <c r="L360" s="10"/>
      <c r="M360" s="10"/>
      <c r="N360" s="10"/>
      <c r="O360" s="10">
        <v>45724</v>
      </c>
      <c r="P360" s="9" t="b">
        <f>TRUE()</f>
        <v>1</v>
      </c>
      <c r="Q360" s="11">
        <v>2043.42</v>
      </c>
    </row>
    <row r="361" spans="1:17" ht="15" customHeight="1" x14ac:dyDescent="0.2">
      <c r="A361" s="9" t="s">
        <v>524</v>
      </c>
      <c r="B361" s="10">
        <v>45912</v>
      </c>
      <c r="C361" s="10">
        <v>45901</v>
      </c>
      <c r="D361" s="9" t="s">
        <v>20</v>
      </c>
      <c r="E361" s="9" t="s">
        <v>28</v>
      </c>
      <c r="F361" s="9" t="s">
        <v>149</v>
      </c>
      <c r="G361" s="9" t="s">
        <v>161</v>
      </c>
      <c r="H361" s="9" t="s">
        <v>167</v>
      </c>
      <c r="I361" s="9" t="b">
        <f>TRUE()</f>
        <v>1</v>
      </c>
      <c r="J361" s="9" t="s">
        <v>2</v>
      </c>
      <c r="K361" s="9" t="s">
        <v>153</v>
      </c>
      <c r="L361" s="10">
        <v>45922</v>
      </c>
      <c r="M361" s="10">
        <v>45924</v>
      </c>
      <c r="N361" s="10">
        <v>45937</v>
      </c>
      <c r="O361" s="10"/>
      <c r="P361" s="9" t="b">
        <f>TRUE()</f>
        <v>1</v>
      </c>
      <c r="Q361" s="11">
        <v>2812.76</v>
      </c>
    </row>
    <row r="362" spans="1:17" ht="15" customHeight="1" x14ac:dyDescent="0.2">
      <c r="A362" s="9" t="s">
        <v>525</v>
      </c>
      <c r="B362" s="10">
        <v>45783</v>
      </c>
      <c r="C362" s="10">
        <v>45778</v>
      </c>
      <c r="D362" s="9" t="s">
        <v>18</v>
      </c>
      <c r="E362" s="9" t="s">
        <v>24</v>
      </c>
      <c r="F362" s="9" t="s">
        <v>160</v>
      </c>
      <c r="G362" s="9" t="s">
        <v>161</v>
      </c>
      <c r="H362" s="9" t="s">
        <v>157</v>
      </c>
      <c r="I362" s="9" t="b">
        <f>TRUE()</f>
        <v>1</v>
      </c>
      <c r="J362" s="9" t="s">
        <v>152</v>
      </c>
      <c r="K362" s="9" t="s">
        <v>163</v>
      </c>
      <c r="L362" s="10"/>
      <c r="M362" s="10"/>
      <c r="N362" s="10"/>
      <c r="O362" s="10">
        <v>45793</v>
      </c>
      <c r="P362" s="9" t="b">
        <f>TRUE()</f>
        <v>1</v>
      </c>
      <c r="Q362" s="11">
        <v>1730.19</v>
      </c>
    </row>
    <row r="363" spans="1:17" ht="15" customHeight="1" x14ac:dyDescent="0.2">
      <c r="A363" s="9" t="s">
        <v>526</v>
      </c>
      <c r="B363" s="10">
        <v>45844</v>
      </c>
      <c r="C363" s="10">
        <v>45839</v>
      </c>
      <c r="D363" s="9" t="s">
        <v>22</v>
      </c>
      <c r="E363" s="9" t="s">
        <v>24</v>
      </c>
      <c r="F363" s="9" t="s">
        <v>160</v>
      </c>
      <c r="G363" s="9" t="s">
        <v>156</v>
      </c>
      <c r="H363" s="9" t="s">
        <v>170</v>
      </c>
      <c r="I363" s="9" t="b">
        <f>TRUE()</f>
        <v>1</v>
      </c>
      <c r="J363" s="9" t="s">
        <v>152</v>
      </c>
      <c r="K363" s="9" t="s">
        <v>163</v>
      </c>
      <c r="L363" s="10"/>
      <c r="M363" s="10"/>
      <c r="N363" s="10"/>
      <c r="O363" s="10">
        <v>45848</v>
      </c>
      <c r="P363" s="9" t="b">
        <f>TRUE()</f>
        <v>1</v>
      </c>
      <c r="Q363" s="11">
        <v>765.02</v>
      </c>
    </row>
    <row r="364" spans="1:17" ht="15" customHeight="1" x14ac:dyDescent="0.2">
      <c r="A364" s="9" t="s">
        <v>527</v>
      </c>
      <c r="B364" s="10">
        <v>45742</v>
      </c>
      <c r="C364" s="10">
        <v>45717</v>
      </c>
      <c r="D364" s="9" t="s">
        <v>21</v>
      </c>
      <c r="E364" s="9" t="s">
        <v>24</v>
      </c>
      <c r="F364" s="9" t="s">
        <v>149</v>
      </c>
      <c r="G364" s="9" t="s">
        <v>156</v>
      </c>
      <c r="H364" s="9" t="s">
        <v>162</v>
      </c>
      <c r="I364" s="9" t="b">
        <f>TRUE()</f>
        <v>1</v>
      </c>
      <c r="J364" s="9" t="s">
        <v>152</v>
      </c>
      <c r="K364" s="9" t="s">
        <v>163</v>
      </c>
      <c r="L364" s="10"/>
      <c r="M364" s="10"/>
      <c r="N364" s="10"/>
      <c r="O364" s="10">
        <v>45748</v>
      </c>
      <c r="P364" s="9" t="b">
        <f>TRUE()</f>
        <v>1</v>
      </c>
      <c r="Q364" s="11">
        <v>975.65</v>
      </c>
    </row>
    <row r="365" spans="1:17" ht="15" customHeight="1" x14ac:dyDescent="0.2">
      <c r="A365" s="9" t="s">
        <v>528</v>
      </c>
      <c r="B365" s="10">
        <v>45733</v>
      </c>
      <c r="C365" s="10">
        <v>45717</v>
      </c>
      <c r="D365" s="9" t="s">
        <v>22</v>
      </c>
      <c r="E365" s="9" t="s">
        <v>26</v>
      </c>
      <c r="F365" s="9" t="s">
        <v>186</v>
      </c>
      <c r="G365" s="9" t="s">
        <v>161</v>
      </c>
      <c r="H365" s="9" t="s">
        <v>165</v>
      </c>
      <c r="I365" s="9" t="b">
        <f>TRUE()</f>
        <v>1</v>
      </c>
      <c r="J365" s="9" t="s">
        <v>152</v>
      </c>
      <c r="K365" s="9" t="s">
        <v>163</v>
      </c>
      <c r="L365" s="10"/>
      <c r="M365" s="10"/>
      <c r="N365" s="10"/>
      <c r="O365" s="10">
        <v>45753</v>
      </c>
      <c r="P365" s="9" t="b">
        <f>TRUE()</f>
        <v>1</v>
      </c>
      <c r="Q365" s="11">
        <v>1698.16</v>
      </c>
    </row>
    <row r="366" spans="1:17" ht="15" customHeight="1" x14ac:dyDescent="0.2">
      <c r="A366" s="9" t="s">
        <v>529</v>
      </c>
      <c r="B366" s="10">
        <v>45738</v>
      </c>
      <c r="C366" s="10">
        <v>45717</v>
      </c>
      <c r="D366" s="9" t="s">
        <v>19</v>
      </c>
      <c r="E366" s="9" t="s">
        <v>24</v>
      </c>
      <c r="F366" s="9" t="s">
        <v>149</v>
      </c>
      <c r="G366" s="9" t="s">
        <v>156</v>
      </c>
      <c r="H366" s="9" t="s">
        <v>207</v>
      </c>
      <c r="I366" s="9" t="b">
        <f>TRUE()</f>
        <v>1</v>
      </c>
      <c r="J366" s="9" t="s">
        <v>152</v>
      </c>
      <c r="K366" s="9" t="s">
        <v>163</v>
      </c>
      <c r="L366" s="10"/>
      <c r="M366" s="10"/>
      <c r="N366" s="10"/>
      <c r="O366" s="10">
        <v>45752</v>
      </c>
      <c r="P366" s="9" t="b">
        <f>TRUE()</f>
        <v>1</v>
      </c>
      <c r="Q366" s="11">
        <v>1095.32</v>
      </c>
    </row>
    <row r="367" spans="1:17" ht="15" customHeight="1" x14ac:dyDescent="0.2">
      <c r="A367" s="9" t="s">
        <v>530</v>
      </c>
      <c r="B367" s="10">
        <v>45662</v>
      </c>
      <c r="C367" s="10">
        <v>45658</v>
      </c>
      <c r="D367" s="9" t="s">
        <v>21</v>
      </c>
      <c r="E367" s="9" t="s">
        <v>26</v>
      </c>
      <c r="F367" s="9" t="s">
        <v>186</v>
      </c>
      <c r="G367" s="9" t="s">
        <v>156</v>
      </c>
      <c r="H367" s="9" t="s">
        <v>176</v>
      </c>
      <c r="I367" s="9" t="b">
        <f>TRUE()</f>
        <v>1</v>
      </c>
      <c r="J367" s="9" t="s">
        <v>152</v>
      </c>
      <c r="K367" s="9" t="s">
        <v>163</v>
      </c>
      <c r="L367" s="10"/>
      <c r="M367" s="10"/>
      <c r="N367" s="10"/>
      <c r="O367" s="10">
        <v>45675</v>
      </c>
      <c r="P367" s="9" t="b">
        <f>TRUE()</f>
        <v>1</v>
      </c>
      <c r="Q367" s="11">
        <v>863.65</v>
      </c>
    </row>
    <row r="368" spans="1:17" ht="15" customHeight="1" x14ac:dyDescent="0.2">
      <c r="A368" s="9" t="s">
        <v>531</v>
      </c>
      <c r="B368" s="10">
        <v>45930</v>
      </c>
      <c r="C368" s="10">
        <v>45901</v>
      </c>
      <c r="D368" s="9" t="s">
        <v>19</v>
      </c>
      <c r="E368" s="9" t="s">
        <v>26</v>
      </c>
      <c r="F368" s="9" t="s">
        <v>149</v>
      </c>
      <c r="G368" s="9" t="s">
        <v>156</v>
      </c>
      <c r="H368" s="9" t="s">
        <v>210</v>
      </c>
      <c r="I368" s="9" t="b">
        <f>TRUE()</f>
        <v>1</v>
      </c>
      <c r="J368" s="9" t="s">
        <v>2</v>
      </c>
      <c r="K368" s="9" t="s">
        <v>153</v>
      </c>
      <c r="L368" s="10">
        <v>45938</v>
      </c>
      <c r="M368" s="10">
        <v>45947</v>
      </c>
      <c r="N368" s="10">
        <v>45958</v>
      </c>
      <c r="O368" s="10"/>
      <c r="P368" s="9" t="b">
        <f>TRUE()</f>
        <v>1</v>
      </c>
      <c r="Q368" s="11">
        <v>598.11</v>
      </c>
    </row>
    <row r="369" spans="1:17" ht="15" customHeight="1" x14ac:dyDescent="0.2">
      <c r="A369" s="9" t="s">
        <v>532</v>
      </c>
      <c r="B369" s="10">
        <v>45819</v>
      </c>
      <c r="C369" s="10">
        <v>45809</v>
      </c>
      <c r="D369" s="9" t="s">
        <v>21</v>
      </c>
      <c r="E369" s="9" t="s">
        <v>25</v>
      </c>
      <c r="F369" s="9" t="s">
        <v>155</v>
      </c>
      <c r="G369" s="9" t="s">
        <v>156</v>
      </c>
      <c r="H369" s="9" t="s">
        <v>183</v>
      </c>
      <c r="I369" s="9" t="b">
        <f>TRUE()</f>
        <v>1</v>
      </c>
      <c r="J369" s="9" t="s">
        <v>2</v>
      </c>
      <c r="K369" s="9" t="s">
        <v>153</v>
      </c>
      <c r="L369" s="10">
        <v>45825</v>
      </c>
      <c r="M369" s="10">
        <v>45826</v>
      </c>
      <c r="N369" s="10">
        <v>45855</v>
      </c>
      <c r="O369" s="10"/>
      <c r="P369" s="9" t="b">
        <f>TRUE()</f>
        <v>1</v>
      </c>
      <c r="Q369" s="11">
        <v>542.29</v>
      </c>
    </row>
    <row r="370" spans="1:17" ht="15" customHeight="1" x14ac:dyDescent="0.2">
      <c r="A370" s="9" t="s">
        <v>533</v>
      </c>
      <c r="B370" s="10">
        <v>45833</v>
      </c>
      <c r="C370" s="10">
        <v>45809</v>
      </c>
      <c r="D370" s="9" t="s">
        <v>19</v>
      </c>
      <c r="E370" s="9" t="s">
        <v>24</v>
      </c>
      <c r="F370" s="9" t="s">
        <v>149</v>
      </c>
      <c r="G370" s="9" t="s">
        <v>150</v>
      </c>
      <c r="H370" s="9" t="s">
        <v>210</v>
      </c>
      <c r="I370" s="9" t="b">
        <f>TRUE()</f>
        <v>1</v>
      </c>
      <c r="J370" s="9" t="s">
        <v>152</v>
      </c>
      <c r="K370" s="9" t="s">
        <v>163</v>
      </c>
      <c r="L370" s="10"/>
      <c r="M370" s="10"/>
      <c r="N370" s="10"/>
      <c r="O370" s="10">
        <v>45838</v>
      </c>
      <c r="P370" s="9" t="b">
        <f>TRUE()</f>
        <v>1</v>
      </c>
      <c r="Q370" s="11">
        <v>8436.67</v>
      </c>
    </row>
    <row r="371" spans="1:17" ht="15" customHeight="1" x14ac:dyDescent="0.2">
      <c r="A371" s="9" t="s">
        <v>534</v>
      </c>
      <c r="B371" s="10">
        <v>45851</v>
      </c>
      <c r="C371" s="10">
        <v>45839</v>
      </c>
      <c r="D371" s="9" t="s">
        <v>19</v>
      </c>
      <c r="E371" s="9" t="s">
        <v>28</v>
      </c>
      <c r="F371" s="9" t="s">
        <v>149</v>
      </c>
      <c r="G371" s="9" t="s">
        <v>156</v>
      </c>
      <c r="H371" s="9" t="s">
        <v>207</v>
      </c>
      <c r="I371" s="9" t="b">
        <f>TRUE()</f>
        <v>1</v>
      </c>
      <c r="J371" s="9" t="s">
        <v>2</v>
      </c>
      <c r="K371" s="9" t="s">
        <v>153</v>
      </c>
      <c r="L371" s="10">
        <v>45860</v>
      </c>
      <c r="M371" s="10">
        <v>45868</v>
      </c>
      <c r="N371" s="10">
        <v>45882</v>
      </c>
      <c r="O371" s="10"/>
      <c r="P371" s="9" t="b">
        <f>TRUE()</f>
        <v>1</v>
      </c>
      <c r="Q371" s="11">
        <v>1018.33</v>
      </c>
    </row>
    <row r="372" spans="1:17" ht="15" customHeight="1" x14ac:dyDescent="0.2">
      <c r="A372" s="9" t="s">
        <v>535</v>
      </c>
      <c r="B372" s="10">
        <v>45997</v>
      </c>
      <c r="C372" s="10">
        <v>45992</v>
      </c>
      <c r="D372" s="9" t="s">
        <v>19</v>
      </c>
      <c r="E372" s="9" t="s">
        <v>24</v>
      </c>
      <c r="F372" s="9" t="s">
        <v>149</v>
      </c>
      <c r="G372" s="9" t="s">
        <v>161</v>
      </c>
      <c r="H372" s="9" t="s">
        <v>210</v>
      </c>
      <c r="I372" s="9" t="b">
        <f>TRUE()</f>
        <v>1</v>
      </c>
      <c r="J372" s="9" t="s">
        <v>158</v>
      </c>
      <c r="K372" s="9" t="s">
        <v>153</v>
      </c>
      <c r="L372" s="10">
        <v>46006</v>
      </c>
      <c r="M372" s="10">
        <v>46013</v>
      </c>
      <c r="N372" s="10"/>
      <c r="O372" s="10"/>
      <c r="P372" s="9" t="b">
        <f>TRUE()</f>
        <v>1</v>
      </c>
      <c r="Q372" s="11">
        <v>2422.1799999999998</v>
      </c>
    </row>
    <row r="373" spans="1:17" ht="15" customHeight="1" x14ac:dyDescent="0.2">
      <c r="A373" s="9" t="s">
        <v>536</v>
      </c>
      <c r="B373" s="10">
        <v>45953</v>
      </c>
      <c r="C373" s="10">
        <v>45931</v>
      </c>
      <c r="D373" s="9" t="s">
        <v>22</v>
      </c>
      <c r="E373" s="9" t="s">
        <v>25</v>
      </c>
      <c r="F373" s="9" t="s">
        <v>186</v>
      </c>
      <c r="G373" s="9" t="s">
        <v>156</v>
      </c>
      <c r="H373" s="9" t="s">
        <v>165</v>
      </c>
      <c r="I373" s="9" t="b">
        <f>TRUE()</f>
        <v>1</v>
      </c>
      <c r="J373" s="9" t="s">
        <v>152</v>
      </c>
      <c r="K373" s="9" t="s">
        <v>153</v>
      </c>
      <c r="L373" s="10">
        <v>45961</v>
      </c>
      <c r="M373" s="10"/>
      <c r="N373" s="10"/>
      <c r="O373" s="10">
        <v>45984</v>
      </c>
      <c r="P373" s="9" t="b">
        <f>TRUE()</f>
        <v>1</v>
      </c>
      <c r="Q373" s="11">
        <v>483.97</v>
      </c>
    </row>
    <row r="374" spans="1:17" ht="15" customHeight="1" x14ac:dyDescent="0.2">
      <c r="A374" s="9" t="s">
        <v>47</v>
      </c>
      <c r="B374" s="10">
        <v>45711</v>
      </c>
      <c r="C374" s="10">
        <v>45689</v>
      </c>
      <c r="D374" s="9" t="s">
        <v>19</v>
      </c>
      <c r="E374" s="9" t="s">
        <v>27</v>
      </c>
      <c r="F374" s="9" t="s">
        <v>186</v>
      </c>
      <c r="G374" s="9" t="s">
        <v>156</v>
      </c>
      <c r="H374" s="9" t="s">
        <v>179</v>
      </c>
      <c r="I374" s="9" t="b">
        <f>TRUE()</f>
        <v>1</v>
      </c>
      <c r="J374" s="9" t="s">
        <v>152</v>
      </c>
      <c r="K374" s="9" t="s">
        <v>153</v>
      </c>
      <c r="L374" s="10">
        <v>45712</v>
      </c>
      <c r="M374" s="10"/>
      <c r="N374" s="10"/>
      <c r="O374" s="10">
        <v>45734</v>
      </c>
      <c r="P374" s="9" t="b">
        <f>TRUE()</f>
        <v>1</v>
      </c>
      <c r="Q374" s="11">
        <v>611.49</v>
      </c>
    </row>
    <row r="375" spans="1:17" ht="15" customHeight="1" x14ac:dyDescent="0.2">
      <c r="A375" s="9" t="s">
        <v>537</v>
      </c>
      <c r="B375" s="10">
        <v>45975</v>
      </c>
      <c r="C375" s="10">
        <v>45962</v>
      </c>
      <c r="D375" s="9" t="s">
        <v>20</v>
      </c>
      <c r="E375" s="9" t="s">
        <v>27</v>
      </c>
      <c r="F375" s="9" t="s">
        <v>149</v>
      </c>
      <c r="G375" s="9" t="s">
        <v>156</v>
      </c>
      <c r="H375" s="9" t="s">
        <v>192</v>
      </c>
      <c r="I375" s="9" t="b">
        <f>TRUE()</f>
        <v>1</v>
      </c>
      <c r="J375" s="9" t="s">
        <v>2</v>
      </c>
      <c r="K375" s="9" t="s">
        <v>153</v>
      </c>
      <c r="L375" s="10">
        <v>45984</v>
      </c>
      <c r="M375" s="10">
        <v>45987</v>
      </c>
      <c r="N375" s="10">
        <v>45995</v>
      </c>
      <c r="O375" s="10"/>
      <c r="P375" s="9" t="b">
        <f>TRUE()</f>
        <v>1</v>
      </c>
      <c r="Q375" s="11">
        <v>849.91</v>
      </c>
    </row>
    <row r="376" spans="1:17" ht="15" customHeight="1" x14ac:dyDescent="0.2">
      <c r="A376" s="9" t="s">
        <v>538</v>
      </c>
      <c r="B376" s="10">
        <v>45997</v>
      </c>
      <c r="C376" s="10">
        <v>45992</v>
      </c>
      <c r="D376" s="9" t="s">
        <v>20</v>
      </c>
      <c r="E376" s="9" t="s">
        <v>25</v>
      </c>
      <c r="F376" s="9" t="s">
        <v>149</v>
      </c>
      <c r="G376" s="9" t="s">
        <v>161</v>
      </c>
      <c r="H376" s="9" t="s">
        <v>167</v>
      </c>
      <c r="I376" s="9" t="b">
        <f>TRUE()</f>
        <v>1</v>
      </c>
      <c r="J376" s="9" t="s">
        <v>152</v>
      </c>
      <c r="K376" s="9" t="s">
        <v>163</v>
      </c>
      <c r="L376" s="10"/>
      <c r="M376" s="10"/>
      <c r="N376" s="10"/>
      <c r="O376" s="10">
        <v>46001</v>
      </c>
      <c r="P376" s="9" t="b">
        <f>TRUE()</f>
        <v>1</v>
      </c>
      <c r="Q376" s="11">
        <v>3245.71</v>
      </c>
    </row>
    <row r="377" spans="1:17" ht="15" customHeight="1" x14ac:dyDescent="0.2">
      <c r="A377" s="9" t="s">
        <v>539</v>
      </c>
      <c r="B377" s="10">
        <v>45914</v>
      </c>
      <c r="C377" s="10">
        <v>45901</v>
      </c>
      <c r="D377" s="9" t="s">
        <v>21</v>
      </c>
      <c r="E377" s="9" t="s">
        <v>26</v>
      </c>
      <c r="F377" s="9" t="s">
        <v>149</v>
      </c>
      <c r="G377" s="9" t="s">
        <v>156</v>
      </c>
      <c r="H377" s="9" t="s">
        <v>183</v>
      </c>
      <c r="I377" s="9" t="b">
        <f>TRUE()</f>
        <v>1</v>
      </c>
      <c r="J377" s="9" t="s">
        <v>2</v>
      </c>
      <c r="K377" s="9" t="s">
        <v>153</v>
      </c>
      <c r="L377" s="10">
        <v>45923</v>
      </c>
      <c r="M377" s="10">
        <v>45929</v>
      </c>
      <c r="N377" s="10">
        <v>45934</v>
      </c>
      <c r="O377" s="10"/>
      <c r="P377" s="9" t="b">
        <f>TRUE()</f>
        <v>1</v>
      </c>
      <c r="Q377" s="11">
        <v>697.3</v>
      </c>
    </row>
    <row r="378" spans="1:17" ht="15" customHeight="1" x14ac:dyDescent="0.2">
      <c r="A378" s="9" t="s">
        <v>540</v>
      </c>
      <c r="B378" s="10">
        <v>45784</v>
      </c>
      <c r="C378" s="10">
        <v>45778</v>
      </c>
      <c r="D378" s="9" t="s">
        <v>20</v>
      </c>
      <c r="E378" s="9" t="s">
        <v>25</v>
      </c>
      <c r="F378" s="9" t="s">
        <v>149</v>
      </c>
      <c r="G378" s="9" t="s">
        <v>150</v>
      </c>
      <c r="H378" s="9" t="s">
        <v>189</v>
      </c>
      <c r="I378" s="9" t="b">
        <f>TRUE()</f>
        <v>1</v>
      </c>
      <c r="J378" s="9" t="s">
        <v>2</v>
      </c>
      <c r="K378" s="9" t="s">
        <v>153</v>
      </c>
      <c r="L378" s="10">
        <v>45789</v>
      </c>
      <c r="M378" s="10">
        <v>45790</v>
      </c>
      <c r="N378" s="10">
        <v>45793</v>
      </c>
      <c r="O378" s="10"/>
      <c r="P378" s="9" t="b">
        <f>TRUE()</f>
        <v>1</v>
      </c>
      <c r="Q378" s="11">
        <v>6827.52</v>
      </c>
    </row>
    <row r="379" spans="1:17" ht="15" customHeight="1" x14ac:dyDescent="0.2">
      <c r="A379" s="9" t="s">
        <v>541</v>
      </c>
      <c r="B379" s="10">
        <v>45910</v>
      </c>
      <c r="C379" s="10">
        <v>45901</v>
      </c>
      <c r="D379" s="9" t="s">
        <v>19</v>
      </c>
      <c r="E379" s="9" t="s">
        <v>26</v>
      </c>
      <c r="F379" s="9" t="s">
        <v>149</v>
      </c>
      <c r="G379" s="9" t="s">
        <v>156</v>
      </c>
      <c r="H379" s="9" t="s">
        <v>179</v>
      </c>
      <c r="I379" s="9" t="b">
        <f>TRUE()</f>
        <v>1</v>
      </c>
      <c r="J379" s="9" t="s">
        <v>152</v>
      </c>
      <c r="K379" s="9" t="s">
        <v>153</v>
      </c>
      <c r="L379" s="10">
        <v>45915</v>
      </c>
      <c r="M379" s="10">
        <v>45927</v>
      </c>
      <c r="N379" s="10"/>
      <c r="O379" s="10">
        <v>45956</v>
      </c>
      <c r="P379" s="9" t="b">
        <f>TRUE()</f>
        <v>1</v>
      </c>
      <c r="Q379" s="11">
        <v>646.41999999999996</v>
      </c>
    </row>
    <row r="380" spans="1:17" ht="15" customHeight="1" x14ac:dyDescent="0.2">
      <c r="A380" s="9" t="s">
        <v>542</v>
      </c>
      <c r="B380" s="10">
        <v>45956</v>
      </c>
      <c r="C380" s="10">
        <v>45931</v>
      </c>
      <c r="D380" s="9" t="s">
        <v>19</v>
      </c>
      <c r="E380" s="9" t="s">
        <v>25</v>
      </c>
      <c r="F380" s="9" t="s">
        <v>149</v>
      </c>
      <c r="G380" s="9" t="s">
        <v>156</v>
      </c>
      <c r="H380" s="9" t="s">
        <v>179</v>
      </c>
      <c r="I380" s="9" t="b">
        <f>TRUE()</f>
        <v>1</v>
      </c>
      <c r="J380" s="9" t="s">
        <v>2</v>
      </c>
      <c r="K380" s="9" t="s">
        <v>153</v>
      </c>
      <c r="L380" s="10">
        <v>45960</v>
      </c>
      <c r="M380" s="10">
        <v>45967</v>
      </c>
      <c r="N380" s="10">
        <v>45990</v>
      </c>
      <c r="O380" s="10"/>
      <c r="P380" s="9" t="b">
        <f>TRUE()</f>
        <v>1</v>
      </c>
      <c r="Q380" s="11">
        <v>878.74</v>
      </c>
    </row>
    <row r="381" spans="1:17" ht="15" customHeight="1" x14ac:dyDescent="0.2">
      <c r="A381" s="9" t="s">
        <v>543</v>
      </c>
      <c r="B381" s="10">
        <v>46010</v>
      </c>
      <c r="C381" s="10">
        <v>45992</v>
      </c>
      <c r="D381" s="9" t="s">
        <v>21</v>
      </c>
      <c r="E381" s="9" t="s">
        <v>28</v>
      </c>
      <c r="F381" s="9" t="s">
        <v>149</v>
      </c>
      <c r="G381" s="9" t="s">
        <v>156</v>
      </c>
      <c r="H381" s="9" t="s">
        <v>183</v>
      </c>
      <c r="I381" s="9" t="b">
        <f>TRUE()</f>
        <v>1</v>
      </c>
      <c r="J381" s="9" t="s">
        <v>2</v>
      </c>
      <c r="K381" s="9" t="s">
        <v>153</v>
      </c>
      <c r="L381" s="10">
        <v>46016</v>
      </c>
      <c r="M381" s="10">
        <v>46022</v>
      </c>
      <c r="N381" s="10">
        <v>46036</v>
      </c>
      <c r="O381" s="10"/>
      <c r="P381" s="9" t="b">
        <f>TRUE()</f>
        <v>1</v>
      </c>
      <c r="Q381" s="11">
        <v>725.42</v>
      </c>
    </row>
    <row r="382" spans="1:17" ht="15" customHeight="1" x14ac:dyDescent="0.2">
      <c r="A382" s="9" t="s">
        <v>544</v>
      </c>
      <c r="B382" s="10">
        <v>45723</v>
      </c>
      <c r="C382" s="10">
        <v>45717</v>
      </c>
      <c r="D382" s="9" t="s">
        <v>19</v>
      </c>
      <c r="E382" s="9" t="s">
        <v>26</v>
      </c>
      <c r="F382" s="9" t="s">
        <v>149</v>
      </c>
      <c r="G382" s="9" t="s">
        <v>150</v>
      </c>
      <c r="H382" s="9" t="s">
        <v>207</v>
      </c>
      <c r="I382" s="9" t="b">
        <f>TRUE()</f>
        <v>1</v>
      </c>
      <c r="J382" s="9" t="s">
        <v>152</v>
      </c>
      <c r="K382" s="9" t="s">
        <v>153</v>
      </c>
      <c r="L382" s="10">
        <v>45730</v>
      </c>
      <c r="M382" s="10">
        <v>45733</v>
      </c>
      <c r="N382" s="10"/>
      <c r="O382" s="10">
        <v>45764</v>
      </c>
      <c r="P382" s="9" t="b">
        <f>TRUE()</f>
        <v>1</v>
      </c>
      <c r="Q382" s="11">
        <v>7848.66</v>
      </c>
    </row>
    <row r="383" spans="1:17" ht="15" customHeight="1" x14ac:dyDescent="0.2">
      <c r="A383" s="9" t="s">
        <v>545</v>
      </c>
      <c r="B383" s="10">
        <v>45862</v>
      </c>
      <c r="C383" s="10">
        <v>45839</v>
      </c>
      <c r="D383" s="9" t="s">
        <v>20</v>
      </c>
      <c r="E383" s="9" t="s">
        <v>25</v>
      </c>
      <c r="F383" s="9" t="s">
        <v>186</v>
      </c>
      <c r="G383" s="9" t="s">
        <v>150</v>
      </c>
      <c r="H383" s="9" t="s">
        <v>192</v>
      </c>
      <c r="I383" s="9" t="b">
        <f>TRUE()</f>
        <v>1</v>
      </c>
      <c r="J383" s="9" t="s">
        <v>152</v>
      </c>
      <c r="K383" s="9" t="s">
        <v>153</v>
      </c>
      <c r="L383" s="10">
        <v>45870</v>
      </c>
      <c r="M383" s="10">
        <v>45874</v>
      </c>
      <c r="N383" s="10"/>
      <c r="O383" s="10">
        <v>45894</v>
      </c>
      <c r="P383" s="9" t="b">
        <f>TRUE()</f>
        <v>1</v>
      </c>
      <c r="Q383" s="11">
        <v>7449.47</v>
      </c>
    </row>
    <row r="384" spans="1:17" ht="15" customHeight="1" x14ac:dyDescent="0.2">
      <c r="A384" s="9" t="s">
        <v>546</v>
      </c>
      <c r="B384" s="10">
        <v>45899</v>
      </c>
      <c r="C384" s="10">
        <v>45870</v>
      </c>
      <c r="D384" s="9" t="s">
        <v>19</v>
      </c>
      <c r="E384" s="9" t="s">
        <v>25</v>
      </c>
      <c r="F384" s="9" t="s">
        <v>149</v>
      </c>
      <c r="G384" s="9" t="s">
        <v>156</v>
      </c>
      <c r="H384" s="9" t="s">
        <v>207</v>
      </c>
      <c r="I384" s="9" t="b">
        <f>TRUE()</f>
        <v>1</v>
      </c>
      <c r="J384" s="9" t="s">
        <v>152</v>
      </c>
      <c r="K384" s="9" t="s">
        <v>163</v>
      </c>
      <c r="L384" s="10"/>
      <c r="M384" s="10"/>
      <c r="N384" s="10"/>
      <c r="O384" s="10">
        <v>45911</v>
      </c>
      <c r="P384" s="9" t="b">
        <f>TRUE()</f>
        <v>1</v>
      </c>
      <c r="Q384" s="11">
        <v>1133.51</v>
      </c>
    </row>
    <row r="385" spans="1:17" ht="15" customHeight="1" x14ac:dyDescent="0.2">
      <c r="A385" s="9" t="s">
        <v>547</v>
      </c>
      <c r="B385" s="10">
        <v>45922</v>
      </c>
      <c r="C385" s="10">
        <v>45901</v>
      </c>
      <c r="D385" s="9" t="s">
        <v>19</v>
      </c>
      <c r="E385" s="9" t="s">
        <v>28</v>
      </c>
      <c r="F385" s="9" t="s">
        <v>149</v>
      </c>
      <c r="G385" s="9" t="s">
        <v>156</v>
      </c>
      <c r="H385" s="9" t="s">
        <v>179</v>
      </c>
      <c r="I385" s="9" t="b">
        <f>TRUE()</f>
        <v>1</v>
      </c>
      <c r="J385" s="9" t="s">
        <v>152</v>
      </c>
      <c r="K385" s="9" t="s">
        <v>153</v>
      </c>
      <c r="L385" s="10">
        <v>45928</v>
      </c>
      <c r="M385" s="10">
        <v>45929</v>
      </c>
      <c r="N385" s="10"/>
      <c r="O385" s="10">
        <v>45942</v>
      </c>
      <c r="P385" s="9" t="b">
        <f>TRUE()</f>
        <v>1</v>
      </c>
      <c r="Q385" s="11">
        <v>1082.23</v>
      </c>
    </row>
    <row r="386" spans="1:17" ht="15" customHeight="1" x14ac:dyDescent="0.2">
      <c r="A386" s="9" t="s">
        <v>548</v>
      </c>
      <c r="B386" s="10">
        <v>45821</v>
      </c>
      <c r="C386" s="10">
        <v>45809</v>
      </c>
      <c r="D386" s="9" t="s">
        <v>19</v>
      </c>
      <c r="E386" s="9" t="s">
        <v>24</v>
      </c>
      <c r="F386" s="9" t="s">
        <v>160</v>
      </c>
      <c r="G386" s="9" t="s">
        <v>161</v>
      </c>
      <c r="H386" s="9" t="s">
        <v>179</v>
      </c>
      <c r="I386" s="9" t="b">
        <f>TRUE()</f>
        <v>1</v>
      </c>
      <c r="J386" s="9" t="s">
        <v>152</v>
      </c>
      <c r="K386" s="9" t="s">
        <v>163</v>
      </c>
      <c r="L386" s="10"/>
      <c r="M386" s="10"/>
      <c r="N386" s="10"/>
      <c r="O386" s="10">
        <v>45838</v>
      </c>
      <c r="P386" s="9" t="b">
        <f>TRUE()</f>
        <v>1</v>
      </c>
      <c r="Q386" s="11">
        <v>2351.0100000000002</v>
      </c>
    </row>
    <row r="387" spans="1:17" ht="15" customHeight="1" x14ac:dyDescent="0.2">
      <c r="A387" s="9" t="s">
        <v>549</v>
      </c>
      <c r="B387" s="10">
        <v>45837</v>
      </c>
      <c r="C387" s="10">
        <v>45809</v>
      </c>
      <c r="D387" s="9" t="s">
        <v>21</v>
      </c>
      <c r="E387" s="9" t="s">
        <v>24</v>
      </c>
      <c r="F387" s="9" t="s">
        <v>155</v>
      </c>
      <c r="G387" s="9" t="s">
        <v>161</v>
      </c>
      <c r="H387" s="9" t="s">
        <v>176</v>
      </c>
      <c r="I387" s="9" t="b">
        <f>TRUE()</f>
        <v>1</v>
      </c>
      <c r="J387" s="9" t="s">
        <v>152</v>
      </c>
      <c r="K387" s="9" t="s">
        <v>153</v>
      </c>
      <c r="L387" s="10">
        <v>45843</v>
      </c>
      <c r="M387" s="10"/>
      <c r="N387" s="10"/>
      <c r="O387" s="10">
        <v>45852</v>
      </c>
      <c r="P387" s="9" t="b">
        <f>TRUE()</f>
        <v>1</v>
      </c>
      <c r="Q387" s="11">
        <v>1645.53</v>
      </c>
    </row>
    <row r="388" spans="1:17" ht="15" customHeight="1" x14ac:dyDescent="0.2">
      <c r="A388" s="9" t="s">
        <v>550</v>
      </c>
      <c r="B388" s="10">
        <v>45663</v>
      </c>
      <c r="C388" s="10">
        <v>45658</v>
      </c>
      <c r="D388" s="9" t="s">
        <v>22</v>
      </c>
      <c r="E388" s="9" t="s">
        <v>27</v>
      </c>
      <c r="F388" s="9" t="s">
        <v>155</v>
      </c>
      <c r="G388" s="9" t="s">
        <v>161</v>
      </c>
      <c r="H388" s="9" t="s">
        <v>170</v>
      </c>
      <c r="I388" s="9" t="b">
        <f>TRUE()</f>
        <v>1</v>
      </c>
      <c r="J388" s="9" t="s">
        <v>2</v>
      </c>
      <c r="K388" s="9" t="s">
        <v>153</v>
      </c>
      <c r="L388" s="10">
        <v>45668</v>
      </c>
      <c r="M388" s="10">
        <v>45674</v>
      </c>
      <c r="N388" s="10">
        <v>45684</v>
      </c>
      <c r="O388" s="10"/>
      <c r="P388" s="9" t="b">
        <f>TRUE()</f>
        <v>1</v>
      </c>
      <c r="Q388" s="11">
        <v>1561.49</v>
      </c>
    </row>
    <row r="389" spans="1:17" ht="15" customHeight="1" x14ac:dyDescent="0.2">
      <c r="A389" s="9" t="s">
        <v>551</v>
      </c>
      <c r="B389" s="10">
        <v>45889</v>
      </c>
      <c r="C389" s="10">
        <v>45870</v>
      </c>
      <c r="D389" s="9" t="s">
        <v>21</v>
      </c>
      <c r="E389" s="9" t="s">
        <v>24</v>
      </c>
      <c r="F389" s="9" t="s">
        <v>149</v>
      </c>
      <c r="G389" s="9" t="s">
        <v>156</v>
      </c>
      <c r="H389" s="9" t="s">
        <v>176</v>
      </c>
      <c r="I389" s="9" t="b">
        <f>TRUE()</f>
        <v>1</v>
      </c>
      <c r="J389" s="9" t="s">
        <v>152</v>
      </c>
      <c r="K389" s="9" t="s">
        <v>153</v>
      </c>
      <c r="L389" s="10">
        <v>45894</v>
      </c>
      <c r="M389" s="10">
        <v>45903</v>
      </c>
      <c r="N389" s="10"/>
      <c r="O389" s="10">
        <v>45933</v>
      </c>
      <c r="P389" s="9" t="b">
        <f>TRUE()</f>
        <v>1</v>
      </c>
      <c r="Q389" s="11">
        <v>604.59</v>
      </c>
    </row>
    <row r="390" spans="1:17" ht="15" customHeight="1" x14ac:dyDescent="0.2">
      <c r="A390" s="9" t="s">
        <v>552</v>
      </c>
      <c r="B390" s="10">
        <v>45884</v>
      </c>
      <c r="C390" s="10">
        <v>45870</v>
      </c>
      <c r="D390" s="9" t="s">
        <v>20</v>
      </c>
      <c r="E390" s="9" t="s">
        <v>25</v>
      </c>
      <c r="F390" s="9" t="s">
        <v>149</v>
      </c>
      <c r="G390" s="9" t="s">
        <v>156</v>
      </c>
      <c r="H390" s="9" t="s">
        <v>192</v>
      </c>
      <c r="I390" s="9" t="b">
        <f>TRUE()</f>
        <v>1</v>
      </c>
      <c r="J390" s="9" t="s">
        <v>152</v>
      </c>
      <c r="K390" s="9" t="s">
        <v>153</v>
      </c>
      <c r="L390" s="10">
        <v>45885</v>
      </c>
      <c r="M390" s="10">
        <v>45896</v>
      </c>
      <c r="N390" s="10"/>
      <c r="O390" s="10">
        <v>45906</v>
      </c>
      <c r="P390" s="9" t="b">
        <f>TRUE()</f>
        <v>1</v>
      </c>
      <c r="Q390" s="11">
        <v>787.69</v>
      </c>
    </row>
    <row r="391" spans="1:17" ht="15" customHeight="1" x14ac:dyDescent="0.2">
      <c r="A391" s="9" t="s">
        <v>553</v>
      </c>
      <c r="B391" s="10">
        <v>45909</v>
      </c>
      <c r="C391" s="10">
        <v>45901</v>
      </c>
      <c r="D391" s="9" t="s">
        <v>19</v>
      </c>
      <c r="E391" s="9" t="s">
        <v>25</v>
      </c>
      <c r="F391" s="9" t="s">
        <v>186</v>
      </c>
      <c r="G391" s="9" t="s">
        <v>156</v>
      </c>
      <c r="H391" s="9" t="s">
        <v>210</v>
      </c>
      <c r="I391" s="9" t="b">
        <f>TRUE()</f>
        <v>1</v>
      </c>
      <c r="J391" s="9" t="s">
        <v>2</v>
      </c>
      <c r="K391" s="9" t="s">
        <v>153</v>
      </c>
      <c r="L391" s="10">
        <v>45910</v>
      </c>
      <c r="M391" s="10">
        <v>45913</v>
      </c>
      <c r="N391" s="10">
        <v>45921</v>
      </c>
      <c r="O391" s="10"/>
      <c r="P391" s="9" t="b">
        <f>TRUE()</f>
        <v>1</v>
      </c>
      <c r="Q391" s="11">
        <v>880.85</v>
      </c>
    </row>
    <row r="392" spans="1:17" ht="15" customHeight="1" x14ac:dyDescent="0.2">
      <c r="A392" s="9" t="s">
        <v>554</v>
      </c>
      <c r="B392" s="10">
        <v>45753</v>
      </c>
      <c r="C392" s="10">
        <v>45748</v>
      </c>
      <c r="D392" s="9" t="s">
        <v>22</v>
      </c>
      <c r="E392" s="9" t="s">
        <v>25</v>
      </c>
      <c r="F392" s="9" t="s">
        <v>149</v>
      </c>
      <c r="G392" s="9" t="s">
        <v>156</v>
      </c>
      <c r="H392" s="9" t="s">
        <v>165</v>
      </c>
      <c r="I392" s="9" t="b">
        <f>TRUE()</f>
        <v>1</v>
      </c>
      <c r="J392" s="9" t="s">
        <v>2</v>
      </c>
      <c r="K392" s="9" t="s">
        <v>153</v>
      </c>
      <c r="L392" s="10">
        <v>45759</v>
      </c>
      <c r="M392" s="10">
        <v>45772</v>
      </c>
      <c r="N392" s="10">
        <v>45787</v>
      </c>
      <c r="O392" s="10"/>
      <c r="P392" s="9" t="b">
        <f>TRUE()</f>
        <v>1</v>
      </c>
      <c r="Q392" s="11">
        <v>765.99</v>
      </c>
    </row>
    <row r="393" spans="1:17" ht="15" customHeight="1" x14ac:dyDescent="0.2">
      <c r="A393" s="9" t="s">
        <v>555</v>
      </c>
      <c r="B393" s="10">
        <v>45950</v>
      </c>
      <c r="C393" s="10">
        <v>45931</v>
      </c>
      <c r="D393" s="9" t="s">
        <v>21</v>
      </c>
      <c r="E393" s="9" t="s">
        <v>24</v>
      </c>
      <c r="F393" s="9" t="s">
        <v>155</v>
      </c>
      <c r="G393" s="9" t="s">
        <v>161</v>
      </c>
      <c r="H393" s="9" t="s">
        <v>162</v>
      </c>
      <c r="I393" s="9" t="b">
        <f>TRUE()</f>
        <v>1</v>
      </c>
      <c r="J393" s="9" t="s">
        <v>152</v>
      </c>
      <c r="K393" s="9" t="s">
        <v>153</v>
      </c>
      <c r="L393" s="10">
        <v>45957</v>
      </c>
      <c r="M393" s="10"/>
      <c r="N393" s="10"/>
      <c r="O393" s="10">
        <v>45962</v>
      </c>
      <c r="P393" s="9" t="b">
        <f>TRUE()</f>
        <v>1</v>
      </c>
      <c r="Q393" s="11">
        <v>2120.7800000000002</v>
      </c>
    </row>
    <row r="394" spans="1:17" ht="15" customHeight="1" x14ac:dyDescent="0.2">
      <c r="A394" s="9" t="s">
        <v>556</v>
      </c>
      <c r="B394" s="10">
        <v>45693</v>
      </c>
      <c r="C394" s="10">
        <v>45689</v>
      </c>
      <c r="D394" s="9" t="s">
        <v>20</v>
      </c>
      <c r="E394" s="9" t="s">
        <v>27</v>
      </c>
      <c r="F394" s="9" t="s">
        <v>160</v>
      </c>
      <c r="G394" s="9" t="s">
        <v>150</v>
      </c>
      <c r="H394" s="9" t="s">
        <v>189</v>
      </c>
      <c r="I394" s="9" t="b">
        <f>TRUE()</f>
        <v>1</v>
      </c>
      <c r="J394" s="9" t="s">
        <v>152</v>
      </c>
      <c r="K394" s="9" t="s">
        <v>153</v>
      </c>
      <c r="L394" s="10">
        <v>45694</v>
      </c>
      <c r="M394" s="10">
        <v>45708</v>
      </c>
      <c r="N394" s="10"/>
      <c r="O394" s="10">
        <v>45717</v>
      </c>
      <c r="P394" s="9" t="b">
        <f>TRUE()</f>
        <v>1</v>
      </c>
      <c r="Q394" s="11">
        <v>9945.07</v>
      </c>
    </row>
    <row r="395" spans="1:17" ht="15" customHeight="1" x14ac:dyDescent="0.2">
      <c r="A395" s="9" t="s">
        <v>557</v>
      </c>
      <c r="B395" s="10">
        <v>45870</v>
      </c>
      <c r="C395" s="10">
        <v>45870</v>
      </c>
      <c r="D395" s="9" t="s">
        <v>20</v>
      </c>
      <c r="E395" s="9" t="s">
        <v>25</v>
      </c>
      <c r="F395" s="9" t="s">
        <v>155</v>
      </c>
      <c r="G395" s="9" t="s">
        <v>150</v>
      </c>
      <c r="H395" s="9" t="s">
        <v>192</v>
      </c>
      <c r="I395" s="9" t="b">
        <f>TRUE()</f>
        <v>1</v>
      </c>
      <c r="J395" s="9" t="s">
        <v>152</v>
      </c>
      <c r="K395" s="9" t="s">
        <v>163</v>
      </c>
      <c r="L395" s="10"/>
      <c r="M395" s="10"/>
      <c r="N395" s="10"/>
      <c r="O395" s="10">
        <v>45874</v>
      </c>
      <c r="P395" s="9" t="b">
        <f>TRUE()</f>
        <v>1</v>
      </c>
      <c r="Q395" s="11">
        <v>6988.75</v>
      </c>
    </row>
    <row r="396" spans="1:17" ht="15" customHeight="1" x14ac:dyDescent="0.2">
      <c r="A396" s="9" t="s">
        <v>558</v>
      </c>
      <c r="B396" s="10">
        <v>45842</v>
      </c>
      <c r="C396" s="10">
        <v>45839</v>
      </c>
      <c r="D396" s="9" t="s">
        <v>22</v>
      </c>
      <c r="E396" s="9" t="s">
        <v>25</v>
      </c>
      <c r="F396" s="9" t="s">
        <v>186</v>
      </c>
      <c r="G396" s="9" t="s">
        <v>156</v>
      </c>
      <c r="H396" s="9" t="s">
        <v>165</v>
      </c>
      <c r="I396" s="9" t="b">
        <f>TRUE()</f>
        <v>1</v>
      </c>
      <c r="J396" s="9" t="s">
        <v>152</v>
      </c>
      <c r="K396" s="9" t="s">
        <v>153</v>
      </c>
      <c r="L396" s="10">
        <v>45846</v>
      </c>
      <c r="M396" s="10">
        <v>45848</v>
      </c>
      <c r="N396" s="10"/>
      <c r="O396" s="10">
        <v>45868</v>
      </c>
      <c r="P396" s="9" t="b">
        <f>TRUE()</f>
        <v>1</v>
      </c>
      <c r="Q396" s="11">
        <v>722.41</v>
      </c>
    </row>
    <row r="397" spans="1:17" ht="15" customHeight="1" x14ac:dyDescent="0.2">
      <c r="A397" s="9" t="s">
        <v>559</v>
      </c>
      <c r="B397" s="10">
        <v>45769</v>
      </c>
      <c r="C397" s="10">
        <v>45748</v>
      </c>
      <c r="D397" s="9" t="s">
        <v>20</v>
      </c>
      <c r="E397" s="9" t="s">
        <v>28</v>
      </c>
      <c r="F397" s="9" t="s">
        <v>186</v>
      </c>
      <c r="G397" s="9" t="s">
        <v>161</v>
      </c>
      <c r="H397" s="9" t="s">
        <v>192</v>
      </c>
      <c r="I397" s="9" t="b">
        <f>TRUE()</f>
        <v>1</v>
      </c>
      <c r="J397" s="9" t="s">
        <v>152</v>
      </c>
      <c r="K397" s="9" t="s">
        <v>153</v>
      </c>
      <c r="L397" s="10">
        <v>45774</v>
      </c>
      <c r="M397" s="10">
        <v>45780</v>
      </c>
      <c r="N397" s="10"/>
      <c r="O397" s="10">
        <v>45798</v>
      </c>
      <c r="P397" s="9" t="b">
        <f>TRUE()</f>
        <v>1</v>
      </c>
      <c r="Q397" s="11">
        <v>2663.78</v>
      </c>
    </row>
    <row r="398" spans="1:17" ht="15" customHeight="1" x14ac:dyDescent="0.2">
      <c r="A398" s="9" t="s">
        <v>560</v>
      </c>
      <c r="B398" s="10">
        <v>45769</v>
      </c>
      <c r="C398" s="10">
        <v>45748</v>
      </c>
      <c r="D398" s="9" t="s">
        <v>20</v>
      </c>
      <c r="E398" s="9" t="s">
        <v>28</v>
      </c>
      <c r="F398" s="9" t="s">
        <v>149</v>
      </c>
      <c r="G398" s="9" t="s">
        <v>156</v>
      </c>
      <c r="H398" s="9" t="s">
        <v>192</v>
      </c>
      <c r="I398" s="9" t="b">
        <f>TRUE()</f>
        <v>1</v>
      </c>
      <c r="J398" s="9" t="s">
        <v>152</v>
      </c>
      <c r="K398" s="9" t="s">
        <v>153</v>
      </c>
      <c r="L398" s="10">
        <v>45776</v>
      </c>
      <c r="M398" s="10"/>
      <c r="N398" s="10"/>
      <c r="O398" s="10">
        <v>45796</v>
      </c>
      <c r="P398" s="9" t="b">
        <f>TRUE()</f>
        <v>1</v>
      </c>
      <c r="Q398" s="11">
        <v>1065.81</v>
      </c>
    </row>
    <row r="399" spans="1:17" ht="15" customHeight="1" x14ac:dyDescent="0.2">
      <c r="A399" s="9" t="s">
        <v>561</v>
      </c>
      <c r="B399" s="10">
        <v>45790</v>
      </c>
      <c r="C399" s="10">
        <v>45778</v>
      </c>
      <c r="D399" s="9" t="s">
        <v>22</v>
      </c>
      <c r="E399" s="9" t="s">
        <v>26</v>
      </c>
      <c r="F399" s="9" t="s">
        <v>149</v>
      </c>
      <c r="G399" s="9" t="s">
        <v>161</v>
      </c>
      <c r="H399" s="9" t="s">
        <v>170</v>
      </c>
      <c r="I399" s="9" t="b">
        <f>TRUE()</f>
        <v>1</v>
      </c>
      <c r="J399" s="9" t="s">
        <v>152</v>
      </c>
      <c r="K399" s="9" t="s">
        <v>153</v>
      </c>
      <c r="L399" s="10">
        <v>45799</v>
      </c>
      <c r="M399" s="10">
        <v>45809</v>
      </c>
      <c r="N399" s="10"/>
      <c r="O399" s="10">
        <v>45820</v>
      </c>
      <c r="P399" s="9" t="b">
        <f>TRUE()</f>
        <v>1</v>
      </c>
      <c r="Q399" s="11">
        <v>2702.17</v>
      </c>
    </row>
    <row r="400" spans="1:17" ht="15" customHeight="1" x14ac:dyDescent="0.2">
      <c r="A400" s="9" t="s">
        <v>562</v>
      </c>
      <c r="B400" s="10">
        <v>45825</v>
      </c>
      <c r="C400" s="10">
        <v>45809</v>
      </c>
      <c r="D400" s="9" t="s">
        <v>22</v>
      </c>
      <c r="E400" s="9" t="s">
        <v>26</v>
      </c>
      <c r="F400" s="9" t="s">
        <v>186</v>
      </c>
      <c r="G400" s="9" t="s">
        <v>161</v>
      </c>
      <c r="H400" s="9" t="s">
        <v>170</v>
      </c>
      <c r="I400" s="9" t="b">
        <f>TRUE()</f>
        <v>1</v>
      </c>
      <c r="J400" s="9" t="s">
        <v>152</v>
      </c>
      <c r="K400" s="9" t="s">
        <v>153</v>
      </c>
      <c r="L400" s="10">
        <v>45831</v>
      </c>
      <c r="M400" s="10">
        <v>45842</v>
      </c>
      <c r="N400" s="10"/>
      <c r="O400" s="10">
        <v>45858</v>
      </c>
      <c r="P400" s="9" t="b">
        <f>TRUE()</f>
        <v>1</v>
      </c>
      <c r="Q400" s="11">
        <v>2165.98</v>
      </c>
    </row>
    <row r="401" spans="1:17" ht="15" customHeight="1" x14ac:dyDescent="0.2">
      <c r="A401" s="9" t="s">
        <v>563</v>
      </c>
      <c r="B401" s="10">
        <v>45975</v>
      </c>
      <c r="C401" s="10">
        <v>45962</v>
      </c>
      <c r="D401" s="9" t="s">
        <v>22</v>
      </c>
      <c r="E401" s="9" t="s">
        <v>25</v>
      </c>
      <c r="F401" s="9" t="s">
        <v>155</v>
      </c>
      <c r="G401" s="9" t="s">
        <v>156</v>
      </c>
      <c r="H401" s="9" t="s">
        <v>165</v>
      </c>
      <c r="I401" s="9" t="b">
        <f>TRUE()</f>
        <v>1</v>
      </c>
      <c r="J401" s="9" t="s">
        <v>152</v>
      </c>
      <c r="K401" s="9" t="s">
        <v>153</v>
      </c>
      <c r="L401" s="10">
        <v>45979</v>
      </c>
      <c r="M401" s="10">
        <v>45989</v>
      </c>
      <c r="N401" s="10"/>
      <c r="O401" s="10">
        <v>46020</v>
      </c>
      <c r="P401" s="9" t="b">
        <f>TRUE()</f>
        <v>1</v>
      </c>
      <c r="Q401" s="11">
        <v>544.1</v>
      </c>
    </row>
    <row r="402" spans="1:17" ht="15" customHeight="1" x14ac:dyDescent="0.2">
      <c r="A402" s="9" t="s">
        <v>564</v>
      </c>
      <c r="B402" s="10">
        <v>45902</v>
      </c>
      <c r="C402" s="10">
        <v>45901</v>
      </c>
      <c r="D402" s="9" t="s">
        <v>22</v>
      </c>
      <c r="E402" s="9" t="s">
        <v>28</v>
      </c>
      <c r="F402" s="9" t="s">
        <v>155</v>
      </c>
      <c r="G402" s="9" t="s">
        <v>161</v>
      </c>
      <c r="H402" s="9" t="s">
        <v>165</v>
      </c>
      <c r="I402" s="9" t="b">
        <f>TRUE()</f>
        <v>1</v>
      </c>
      <c r="J402" s="9" t="s">
        <v>152</v>
      </c>
      <c r="K402" s="9" t="s">
        <v>153</v>
      </c>
      <c r="L402" s="10">
        <v>45910</v>
      </c>
      <c r="M402" s="10">
        <v>45923</v>
      </c>
      <c r="N402" s="10"/>
      <c r="O402" s="10">
        <v>45954</v>
      </c>
      <c r="P402" s="9" t="b">
        <f>TRUE()</f>
        <v>1</v>
      </c>
      <c r="Q402" s="11">
        <v>1651.32</v>
      </c>
    </row>
    <row r="403" spans="1:17" ht="15" customHeight="1" x14ac:dyDescent="0.2">
      <c r="A403" s="9" t="s">
        <v>565</v>
      </c>
      <c r="B403" s="10">
        <v>45740</v>
      </c>
      <c r="C403" s="10">
        <v>45717</v>
      </c>
      <c r="D403" s="9" t="s">
        <v>18</v>
      </c>
      <c r="E403" s="9" t="s">
        <v>27</v>
      </c>
      <c r="F403" s="9" t="s">
        <v>155</v>
      </c>
      <c r="G403" s="9" t="s">
        <v>156</v>
      </c>
      <c r="H403" s="9" t="s">
        <v>201</v>
      </c>
      <c r="I403" s="9" t="b">
        <f>TRUE()</f>
        <v>1</v>
      </c>
      <c r="J403" s="9" t="s">
        <v>2</v>
      </c>
      <c r="K403" s="9" t="s">
        <v>153</v>
      </c>
      <c r="L403" s="10">
        <v>45746</v>
      </c>
      <c r="M403" s="10">
        <v>45748</v>
      </c>
      <c r="N403" s="10">
        <v>45769</v>
      </c>
      <c r="O403" s="10"/>
      <c r="P403" s="9" t="b">
        <f>TRUE()</f>
        <v>1</v>
      </c>
      <c r="Q403" s="11">
        <v>615.38</v>
      </c>
    </row>
    <row r="404" spans="1:17" ht="15" customHeight="1" x14ac:dyDescent="0.2">
      <c r="A404" s="9" t="s">
        <v>566</v>
      </c>
      <c r="B404" s="10">
        <v>45728</v>
      </c>
      <c r="C404" s="10">
        <v>45717</v>
      </c>
      <c r="D404" s="9" t="s">
        <v>20</v>
      </c>
      <c r="E404" s="9" t="s">
        <v>25</v>
      </c>
      <c r="F404" s="9" t="s">
        <v>149</v>
      </c>
      <c r="G404" s="9" t="s">
        <v>161</v>
      </c>
      <c r="H404" s="9" t="s">
        <v>192</v>
      </c>
      <c r="I404" s="9" t="b">
        <f>TRUE()</f>
        <v>1</v>
      </c>
      <c r="J404" s="9" t="s">
        <v>152</v>
      </c>
      <c r="K404" s="9" t="s">
        <v>163</v>
      </c>
      <c r="L404" s="10"/>
      <c r="M404" s="10"/>
      <c r="N404" s="10"/>
      <c r="O404" s="10">
        <v>45744</v>
      </c>
      <c r="P404" s="9" t="b">
        <f>TRUE()</f>
        <v>1</v>
      </c>
      <c r="Q404" s="11">
        <v>1950.09</v>
      </c>
    </row>
    <row r="405" spans="1:17" ht="15" customHeight="1" x14ac:dyDescent="0.2">
      <c r="A405" s="9" t="s">
        <v>567</v>
      </c>
      <c r="B405" s="10">
        <v>46021</v>
      </c>
      <c r="C405" s="10">
        <v>45992</v>
      </c>
      <c r="D405" s="9" t="s">
        <v>19</v>
      </c>
      <c r="E405" s="9" t="s">
        <v>28</v>
      </c>
      <c r="F405" s="9" t="s">
        <v>155</v>
      </c>
      <c r="G405" s="9" t="s">
        <v>161</v>
      </c>
      <c r="H405" s="9" t="s">
        <v>207</v>
      </c>
      <c r="I405" s="9" t="b">
        <f>TRUE()</f>
        <v>1</v>
      </c>
      <c r="J405" s="9" t="s">
        <v>190</v>
      </c>
      <c r="K405" s="9" t="s">
        <v>163</v>
      </c>
      <c r="L405" s="10"/>
      <c r="M405" s="10"/>
      <c r="N405" s="10"/>
      <c r="O405" s="10"/>
      <c r="P405" s="9" t="b">
        <f>TRUE()</f>
        <v>1</v>
      </c>
      <c r="Q405" s="11">
        <v>2082.79</v>
      </c>
    </row>
    <row r="406" spans="1:17" ht="15" customHeight="1" x14ac:dyDescent="0.2">
      <c r="A406" s="9" t="s">
        <v>568</v>
      </c>
      <c r="B406" s="10">
        <v>45759</v>
      </c>
      <c r="C406" s="10">
        <v>45748</v>
      </c>
      <c r="D406" s="9" t="s">
        <v>20</v>
      </c>
      <c r="E406" s="9" t="s">
        <v>25</v>
      </c>
      <c r="F406" s="9" t="s">
        <v>160</v>
      </c>
      <c r="G406" s="9" t="s">
        <v>161</v>
      </c>
      <c r="H406" s="9" t="s">
        <v>192</v>
      </c>
      <c r="I406" s="9" t="b">
        <f>TRUE()</f>
        <v>1</v>
      </c>
      <c r="J406" s="9" t="s">
        <v>152</v>
      </c>
      <c r="K406" s="9" t="s">
        <v>153</v>
      </c>
      <c r="L406" s="10">
        <v>45761</v>
      </c>
      <c r="M406" s="10">
        <v>45768</v>
      </c>
      <c r="N406" s="10"/>
      <c r="O406" s="10">
        <v>45790</v>
      </c>
      <c r="P406" s="9" t="b">
        <f>TRUE()</f>
        <v>1</v>
      </c>
      <c r="Q406" s="11">
        <v>2489.84</v>
      </c>
    </row>
    <row r="407" spans="1:17" ht="15" customHeight="1" x14ac:dyDescent="0.2">
      <c r="A407" s="9" t="s">
        <v>569</v>
      </c>
      <c r="B407" s="10">
        <v>45928</v>
      </c>
      <c r="C407" s="10">
        <v>45901</v>
      </c>
      <c r="D407" s="9" t="s">
        <v>22</v>
      </c>
      <c r="E407" s="9" t="s">
        <v>26</v>
      </c>
      <c r="F407" s="9" t="s">
        <v>149</v>
      </c>
      <c r="G407" s="9" t="s">
        <v>156</v>
      </c>
      <c r="H407" s="9" t="s">
        <v>151</v>
      </c>
      <c r="I407" s="9" t="b">
        <f>TRUE()</f>
        <v>1</v>
      </c>
      <c r="J407" s="9" t="s">
        <v>152</v>
      </c>
      <c r="K407" s="9" t="s">
        <v>163</v>
      </c>
      <c r="L407" s="10"/>
      <c r="M407" s="10"/>
      <c r="N407" s="10"/>
      <c r="O407" s="10">
        <v>45944</v>
      </c>
      <c r="P407" s="9" t="b">
        <f>TRUE()</f>
        <v>1</v>
      </c>
      <c r="Q407" s="11">
        <v>753.51</v>
      </c>
    </row>
    <row r="408" spans="1:17" ht="15" customHeight="1" x14ac:dyDescent="0.2">
      <c r="A408" s="9" t="s">
        <v>570</v>
      </c>
      <c r="B408" s="10">
        <v>45681</v>
      </c>
      <c r="C408" s="10">
        <v>45658</v>
      </c>
      <c r="D408" s="9" t="s">
        <v>21</v>
      </c>
      <c r="E408" s="9" t="s">
        <v>24</v>
      </c>
      <c r="F408" s="9" t="s">
        <v>149</v>
      </c>
      <c r="G408" s="9" t="s">
        <v>150</v>
      </c>
      <c r="H408" s="9" t="s">
        <v>183</v>
      </c>
      <c r="I408" s="9" t="b">
        <f>TRUE()</f>
        <v>1</v>
      </c>
      <c r="J408" s="9" t="s">
        <v>152</v>
      </c>
      <c r="K408" s="9" t="s">
        <v>163</v>
      </c>
      <c r="L408" s="10"/>
      <c r="M408" s="10"/>
      <c r="N408" s="10"/>
      <c r="O408" s="10">
        <v>45695</v>
      </c>
      <c r="P408" s="9" t="b">
        <f>TRUE()</f>
        <v>1</v>
      </c>
      <c r="Q408" s="11">
        <v>6328.36</v>
      </c>
    </row>
    <row r="409" spans="1:17" ht="15" customHeight="1" x14ac:dyDescent="0.2">
      <c r="A409" s="9" t="s">
        <v>571</v>
      </c>
      <c r="B409" s="10">
        <v>46005</v>
      </c>
      <c r="C409" s="10">
        <v>45992</v>
      </c>
      <c r="D409" s="9" t="s">
        <v>20</v>
      </c>
      <c r="E409" s="9" t="s">
        <v>24</v>
      </c>
      <c r="F409" s="9" t="s">
        <v>149</v>
      </c>
      <c r="G409" s="9" t="s">
        <v>161</v>
      </c>
      <c r="H409" s="9" t="s">
        <v>167</v>
      </c>
      <c r="I409" s="9" t="b">
        <f>TRUE()</f>
        <v>1</v>
      </c>
      <c r="J409" s="9" t="s">
        <v>158</v>
      </c>
      <c r="K409" s="9" t="s">
        <v>153</v>
      </c>
      <c r="L409" s="10">
        <v>46008</v>
      </c>
      <c r="M409" s="10">
        <v>46010</v>
      </c>
      <c r="N409" s="10"/>
      <c r="O409" s="10"/>
      <c r="P409" s="9" t="b">
        <f>TRUE()</f>
        <v>1</v>
      </c>
      <c r="Q409" s="11">
        <v>2285.0500000000002</v>
      </c>
    </row>
    <row r="410" spans="1:17" ht="15" customHeight="1" x14ac:dyDescent="0.2">
      <c r="A410" s="9" t="s">
        <v>572</v>
      </c>
      <c r="B410" s="10">
        <v>45927</v>
      </c>
      <c r="C410" s="10">
        <v>45901</v>
      </c>
      <c r="D410" s="9" t="s">
        <v>20</v>
      </c>
      <c r="E410" s="9" t="s">
        <v>26</v>
      </c>
      <c r="F410" s="9" t="s">
        <v>155</v>
      </c>
      <c r="G410" s="9" t="s">
        <v>161</v>
      </c>
      <c r="H410" s="9" t="s">
        <v>192</v>
      </c>
      <c r="I410" s="9" t="b">
        <f>TRUE()</f>
        <v>1</v>
      </c>
      <c r="J410" s="9" t="s">
        <v>152</v>
      </c>
      <c r="K410" s="9" t="s">
        <v>163</v>
      </c>
      <c r="L410" s="10"/>
      <c r="M410" s="10"/>
      <c r="N410" s="10"/>
      <c r="O410" s="10">
        <v>45938</v>
      </c>
      <c r="P410" s="9" t="b">
        <f>TRUE()</f>
        <v>1</v>
      </c>
      <c r="Q410" s="11">
        <v>1639.08</v>
      </c>
    </row>
    <row r="411" spans="1:17" ht="15" customHeight="1" x14ac:dyDescent="0.2">
      <c r="A411" s="9" t="s">
        <v>573</v>
      </c>
      <c r="B411" s="10">
        <v>45861</v>
      </c>
      <c r="C411" s="10">
        <v>45839</v>
      </c>
      <c r="D411" s="9" t="s">
        <v>20</v>
      </c>
      <c r="E411" s="9" t="s">
        <v>27</v>
      </c>
      <c r="F411" s="9" t="s">
        <v>149</v>
      </c>
      <c r="G411" s="9" t="s">
        <v>161</v>
      </c>
      <c r="H411" s="9" t="s">
        <v>189</v>
      </c>
      <c r="I411" s="9" t="b">
        <f>TRUE()</f>
        <v>1</v>
      </c>
      <c r="J411" s="9" t="s">
        <v>152</v>
      </c>
      <c r="K411" s="9" t="s">
        <v>153</v>
      </c>
      <c r="L411" s="10">
        <v>45862</v>
      </c>
      <c r="M411" s="10">
        <v>45867</v>
      </c>
      <c r="N411" s="10"/>
      <c r="O411" s="10">
        <v>45872</v>
      </c>
      <c r="P411" s="9" t="b">
        <f>TRUE()</f>
        <v>1</v>
      </c>
      <c r="Q411" s="11">
        <v>2161.44</v>
      </c>
    </row>
    <row r="412" spans="1:17" ht="15" customHeight="1" x14ac:dyDescent="0.2">
      <c r="A412" s="9" t="s">
        <v>574</v>
      </c>
      <c r="B412" s="10">
        <v>45733</v>
      </c>
      <c r="C412" s="10">
        <v>45717</v>
      </c>
      <c r="D412" s="9" t="s">
        <v>21</v>
      </c>
      <c r="E412" s="9" t="s">
        <v>24</v>
      </c>
      <c r="F412" s="9" t="s">
        <v>149</v>
      </c>
      <c r="G412" s="9" t="s">
        <v>156</v>
      </c>
      <c r="H412" s="9" t="s">
        <v>162</v>
      </c>
      <c r="I412" s="9" t="b">
        <f>TRUE()</f>
        <v>1</v>
      </c>
      <c r="J412" s="9" t="s">
        <v>2</v>
      </c>
      <c r="K412" s="9" t="s">
        <v>153</v>
      </c>
      <c r="L412" s="10">
        <v>45736</v>
      </c>
      <c r="M412" s="10">
        <v>45745</v>
      </c>
      <c r="N412" s="10">
        <v>45766</v>
      </c>
      <c r="O412" s="10"/>
      <c r="P412" s="9" t="b">
        <f>TRUE()</f>
        <v>1</v>
      </c>
      <c r="Q412" s="11">
        <v>748.72</v>
      </c>
    </row>
    <row r="413" spans="1:17" ht="15" customHeight="1" x14ac:dyDescent="0.2">
      <c r="A413" s="9" t="s">
        <v>575</v>
      </c>
      <c r="B413" s="10">
        <v>45661</v>
      </c>
      <c r="C413" s="10">
        <v>45658</v>
      </c>
      <c r="D413" s="9" t="s">
        <v>19</v>
      </c>
      <c r="E413" s="9" t="s">
        <v>25</v>
      </c>
      <c r="F413" s="9" t="s">
        <v>149</v>
      </c>
      <c r="G413" s="9" t="s">
        <v>161</v>
      </c>
      <c r="H413" s="9" t="s">
        <v>210</v>
      </c>
      <c r="I413" s="9" t="b">
        <f>TRUE()</f>
        <v>1</v>
      </c>
      <c r="J413" s="9" t="s">
        <v>152</v>
      </c>
      <c r="K413" s="9" t="s">
        <v>153</v>
      </c>
      <c r="L413" s="10">
        <v>45668</v>
      </c>
      <c r="M413" s="10">
        <v>45679</v>
      </c>
      <c r="N413" s="10"/>
      <c r="O413" s="10">
        <v>45703</v>
      </c>
      <c r="P413" s="9" t="b">
        <f>TRUE()</f>
        <v>1</v>
      </c>
      <c r="Q413" s="11">
        <v>2017.09</v>
      </c>
    </row>
    <row r="414" spans="1:17" ht="15" customHeight="1" x14ac:dyDescent="0.2">
      <c r="A414" s="9" t="s">
        <v>576</v>
      </c>
      <c r="B414" s="10">
        <v>45865</v>
      </c>
      <c r="C414" s="10">
        <v>45839</v>
      </c>
      <c r="D414" s="9" t="s">
        <v>19</v>
      </c>
      <c r="E414" s="9" t="s">
        <v>24</v>
      </c>
      <c r="F414" s="9" t="s">
        <v>160</v>
      </c>
      <c r="G414" s="9" t="s">
        <v>161</v>
      </c>
      <c r="H414" s="9" t="s">
        <v>207</v>
      </c>
      <c r="I414" s="9" t="b">
        <f>TRUE()</f>
        <v>1</v>
      </c>
      <c r="J414" s="9" t="s">
        <v>152</v>
      </c>
      <c r="K414" s="9" t="s">
        <v>153</v>
      </c>
      <c r="L414" s="10">
        <v>45870</v>
      </c>
      <c r="M414" s="10">
        <v>45873</v>
      </c>
      <c r="N414" s="10"/>
      <c r="O414" s="10">
        <v>45899</v>
      </c>
      <c r="P414" s="9" t="b">
        <f>TRUE()</f>
        <v>1</v>
      </c>
      <c r="Q414" s="11">
        <v>2528.12</v>
      </c>
    </row>
    <row r="415" spans="1:17" ht="15" customHeight="1" x14ac:dyDescent="0.2">
      <c r="A415" s="9" t="s">
        <v>577</v>
      </c>
      <c r="B415" s="10">
        <v>46006</v>
      </c>
      <c r="C415" s="10">
        <v>45992</v>
      </c>
      <c r="D415" s="9" t="s">
        <v>20</v>
      </c>
      <c r="E415" s="9" t="s">
        <v>24</v>
      </c>
      <c r="F415" s="9" t="s">
        <v>155</v>
      </c>
      <c r="G415" s="9" t="s">
        <v>150</v>
      </c>
      <c r="H415" s="9" t="s">
        <v>167</v>
      </c>
      <c r="I415" s="9" t="b">
        <f>TRUE()</f>
        <v>1</v>
      </c>
      <c r="J415" s="9" t="s">
        <v>190</v>
      </c>
      <c r="K415" s="9" t="s">
        <v>163</v>
      </c>
      <c r="L415" s="10"/>
      <c r="M415" s="10"/>
      <c r="N415" s="10"/>
      <c r="O415" s="10"/>
      <c r="P415" s="9" t="b">
        <f>TRUE()</f>
        <v>1</v>
      </c>
      <c r="Q415" s="11">
        <v>5194.21</v>
      </c>
    </row>
    <row r="416" spans="1:17" ht="15" customHeight="1" x14ac:dyDescent="0.2">
      <c r="A416" s="9" t="s">
        <v>578</v>
      </c>
      <c r="B416" s="10">
        <v>45844</v>
      </c>
      <c r="C416" s="10">
        <v>45839</v>
      </c>
      <c r="D416" s="9" t="s">
        <v>20</v>
      </c>
      <c r="E416" s="9" t="s">
        <v>26</v>
      </c>
      <c r="F416" s="9" t="s">
        <v>186</v>
      </c>
      <c r="G416" s="9" t="s">
        <v>156</v>
      </c>
      <c r="H416" s="9" t="s">
        <v>192</v>
      </c>
      <c r="I416" s="9" t="b">
        <f>TRUE()</f>
        <v>1</v>
      </c>
      <c r="J416" s="9" t="s">
        <v>152</v>
      </c>
      <c r="K416" s="9" t="s">
        <v>153</v>
      </c>
      <c r="L416" s="10">
        <v>45848</v>
      </c>
      <c r="M416" s="10"/>
      <c r="N416" s="10"/>
      <c r="O416" s="10">
        <v>45857</v>
      </c>
      <c r="P416" s="9" t="b">
        <f>TRUE()</f>
        <v>1</v>
      </c>
      <c r="Q416" s="11">
        <v>468.9</v>
      </c>
    </row>
    <row r="417" spans="1:17" ht="15" customHeight="1" x14ac:dyDescent="0.2">
      <c r="A417" s="9" t="s">
        <v>579</v>
      </c>
      <c r="B417" s="10">
        <v>45820</v>
      </c>
      <c r="C417" s="10">
        <v>45809</v>
      </c>
      <c r="D417" s="9" t="s">
        <v>19</v>
      </c>
      <c r="E417" s="9" t="s">
        <v>24</v>
      </c>
      <c r="F417" s="9" t="s">
        <v>149</v>
      </c>
      <c r="G417" s="9" t="s">
        <v>156</v>
      </c>
      <c r="H417" s="9" t="s">
        <v>179</v>
      </c>
      <c r="I417" s="9" t="b">
        <f>TRUE()</f>
        <v>1</v>
      </c>
      <c r="J417" s="9" t="s">
        <v>152</v>
      </c>
      <c r="K417" s="9" t="s">
        <v>153</v>
      </c>
      <c r="L417" s="10">
        <v>45830</v>
      </c>
      <c r="M417" s="10">
        <v>45843</v>
      </c>
      <c r="N417" s="10"/>
      <c r="O417" s="10">
        <v>45851</v>
      </c>
      <c r="P417" s="9" t="b">
        <f>TRUE()</f>
        <v>1</v>
      </c>
      <c r="Q417" s="11">
        <v>626.88</v>
      </c>
    </row>
    <row r="418" spans="1:17" ht="15" customHeight="1" x14ac:dyDescent="0.2">
      <c r="A418" s="9" t="s">
        <v>580</v>
      </c>
      <c r="B418" s="10">
        <v>45879</v>
      </c>
      <c r="C418" s="10">
        <v>45870</v>
      </c>
      <c r="D418" s="9" t="s">
        <v>20</v>
      </c>
      <c r="E418" s="9" t="s">
        <v>25</v>
      </c>
      <c r="F418" s="9" t="s">
        <v>149</v>
      </c>
      <c r="G418" s="9" t="s">
        <v>156</v>
      </c>
      <c r="H418" s="9" t="s">
        <v>192</v>
      </c>
      <c r="I418" s="9" t="b">
        <f>TRUE()</f>
        <v>1</v>
      </c>
      <c r="J418" s="9" t="s">
        <v>152</v>
      </c>
      <c r="K418" s="9" t="s">
        <v>153</v>
      </c>
      <c r="L418" s="10">
        <v>45887</v>
      </c>
      <c r="M418" s="10">
        <v>45892</v>
      </c>
      <c r="N418" s="10"/>
      <c r="O418" s="10">
        <v>45918</v>
      </c>
      <c r="P418" s="9" t="b">
        <f>TRUE()</f>
        <v>1</v>
      </c>
      <c r="Q418" s="11">
        <v>1032.8499999999999</v>
      </c>
    </row>
    <row r="419" spans="1:17" ht="15" customHeight="1" x14ac:dyDescent="0.2">
      <c r="A419" s="9" t="s">
        <v>581</v>
      </c>
      <c r="B419" s="10">
        <v>45686</v>
      </c>
      <c r="C419" s="10">
        <v>45658</v>
      </c>
      <c r="D419" s="9" t="s">
        <v>19</v>
      </c>
      <c r="E419" s="9" t="s">
        <v>26</v>
      </c>
      <c r="F419" s="9" t="s">
        <v>149</v>
      </c>
      <c r="G419" s="9" t="s">
        <v>161</v>
      </c>
      <c r="H419" s="9" t="s">
        <v>179</v>
      </c>
      <c r="I419" s="9" t="b">
        <f>TRUE()</f>
        <v>1</v>
      </c>
      <c r="J419" s="9" t="s">
        <v>152</v>
      </c>
      <c r="K419" s="9" t="s">
        <v>153</v>
      </c>
      <c r="L419" s="10">
        <v>45689</v>
      </c>
      <c r="M419" s="10">
        <v>45703</v>
      </c>
      <c r="N419" s="10"/>
      <c r="O419" s="10">
        <v>45713</v>
      </c>
      <c r="P419" s="9" t="b">
        <f>TRUE()</f>
        <v>1</v>
      </c>
      <c r="Q419" s="11">
        <v>2228.67</v>
      </c>
    </row>
    <row r="420" spans="1:17" ht="15" customHeight="1" x14ac:dyDescent="0.2">
      <c r="A420" s="9" t="s">
        <v>582</v>
      </c>
      <c r="B420" s="10">
        <v>45971</v>
      </c>
      <c r="C420" s="10">
        <v>45962</v>
      </c>
      <c r="D420" s="9" t="s">
        <v>20</v>
      </c>
      <c r="E420" s="9" t="s">
        <v>26</v>
      </c>
      <c r="F420" s="9" t="s">
        <v>186</v>
      </c>
      <c r="G420" s="9" t="s">
        <v>161</v>
      </c>
      <c r="H420" s="9" t="s">
        <v>167</v>
      </c>
      <c r="I420" s="9" t="b">
        <f>TRUE()</f>
        <v>1</v>
      </c>
      <c r="J420" s="9" t="s">
        <v>152</v>
      </c>
      <c r="K420" s="9" t="s">
        <v>153</v>
      </c>
      <c r="L420" s="10">
        <v>45973</v>
      </c>
      <c r="M420" s="10">
        <v>45986</v>
      </c>
      <c r="N420" s="10"/>
      <c r="O420" s="10">
        <v>46018</v>
      </c>
      <c r="P420" s="9" t="b">
        <f>TRUE()</f>
        <v>1</v>
      </c>
      <c r="Q420" s="11">
        <v>2557.64</v>
      </c>
    </row>
    <row r="421" spans="1:17" ht="15" customHeight="1" x14ac:dyDescent="0.2">
      <c r="A421" s="9" t="s">
        <v>583</v>
      </c>
      <c r="B421" s="10">
        <v>45860</v>
      </c>
      <c r="C421" s="10">
        <v>45839</v>
      </c>
      <c r="D421" s="9" t="s">
        <v>20</v>
      </c>
      <c r="E421" s="9" t="s">
        <v>25</v>
      </c>
      <c r="F421" s="9" t="s">
        <v>149</v>
      </c>
      <c r="G421" s="9" t="s">
        <v>156</v>
      </c>
      <c r="H421" s="9" t="s">
        <v>167</v>
      </c>
      <c r="I421" s="9" t="b">
        <f>TRUE()</f>
        <v>1</v>
      </c>
      <c r="J421" s="9" t="s">
        <v>152</v>
      </c>
      <c r="K421" s="9" t="s">
        <v>153</v>
      </c>
      <c r="L421" s="10">
        <v>45865</v>
      </c>
      <c r="M421" s="10">
        <v>45866</v>
      </c>
      <c r="N421" s="10"/>
      <c r="O421" s="10">
        <v>45887</v>
      </c>
      <c r="P421" s="9" t="b">
        <f>TRUE()</f>
        <v>1</v>
      </c>
      <c r="Q421" s="11">
        <v>656</v>
      </c>
    </row>
    <row r="422" spans="1:17" ht="15" customHeight="1" x14ac:dyDescent="0.2">
      <c r="A422" s="9" t="s">
        <v>584</v>
      </c>
      <c r="B422" s="10">
        <v>45687</v>
      </c>
      <c r="C422" s="10">
        <v>45658</v>
      </c>
      <c r="D422" s="9" t="s">
        <v>22</v>
      </c>
      <c r="E422" s="9" t="s">
        <v>27</v>
      </c>
      <c r="F422" s="9" t="s">
        <v>186</v>
      </c>
      <c r="G422" s="9" t="s">
        <v>156</v>
      </c>
      <c r="H422" s="9" t="s">
        <v>165</v>
      </c>
      <c r="I422" s="9" t="b">
        <f>TRUE()</f>
        <v>1</v>
      </c>
      <c r="J422" s="9" t="s">
        <v>2</v>
      </c>
      <c r="K422" s="9" t="s">
        <v>153</v>
      </c>
      <c r="L422" s="10">
        <v>45692</v>
      </c>
      <c r="M422" s="10">
        <v>45698</v>
      </c>
      <c r="N422" s="10">
        <v>45724</v>
      </c>
      <c r="O422" s="10"/>
      <c r="P422" s="9" t="b">
        <f>TRUE()</f>
        <v>1</v>
      </c>
      <c r="Q422" s="11">
        <v>819.04</v>
      </c>
    </row>
    <row r="423" spans="1:17" ht="15" customHeight="1" x14ac:dyDescent="0.2">
      <c r="A423" s="9" t="s">
        <v>585</v>
      </c>
      <c r="B423" s="10">
        <v>45775</v>
      </c>
      <c r="C423" s="10">
        <v>45748</v>
      </c>
      <c r="D423" s="9" t="s">
        <v>22</v>
      </c>
      <c r="E423" s="9" t="s">
        <v>25</v>
      </c>
      <c r="F423" s="9" t="s">
        <v>149</v>
      </c>
      <c r="G423" s="9" t="s">
        <v>156</v>
      </c>
      <c r="H423" s="9" t="s">
        <v>170</v>
      </c>
      <c r="I423" s="9" t="b">
        <f>TRUE()</f>
        <v>1</v>
      </c>
      <c r="J423" s="9" t="s">
        <v>2</v>
      </c>
      <c r="K423" s="9" t="s">
        <v>153</v>
      </c>
      <c r="L423" s="10">
        <v>45780</v>
      </c>
      <c r="M423" s="10">
        <v>45789</v>
      </c>
      <c r="N423" s="10">
        <v>45806</v>
      </c>
      <c r="O423" s="10"/>
      <c r="P423" s="9" t="b">
        <f>TRUE()</f>
        <v>1</v>
      </c>
      <c r="Q423" s="11">
        <v>763.39</v>
      </c>
    </row>
    <row r="424" spans="1:17" ht="15" customHeight="1" x14ac:dyDescent="0.2">
      <c r="A424" s="9" t="s">
        <v>586</v>
      </c>
      <c r="B424" s="10">
        <v>45734</v>
      </c>
      <c r="C424" s="10">
        <v>45717</v>
      </c>
      <c r="D424" s="9" t="s">
        <v>21</v>
      </c>
      <c r="E424" s="9" t="s">
        <v>26</v>
      </c>
      <c r="F424" s="9" t="s">
        <v>149</v>
      </c>
      <c r="G424" s="9" t="s">
        <v>161</v>
      </c>
      <c r="H424" s="9" t="s">
        <v>176</v>
      </c>
      <c r="I424" s="9" t="b">
        <f>TRUE()</f>
        <v>1</v>
      </c>
      <c r="J424" s="9" t="s">
        <v>2</v>
      </c>
      <c r="K424" s="9" t="s">
        <v>153</v>
      </c>
      <c r="L424" s="10">
        <v>45735</v>
      </c>
      <c r="M424" s="10">
        <v>45750</v>
      </c>
      <c r="N424" s="10">
        <v>45780</v>
      </c>
      <c r="O424" s="10"/>
      <c r="P424" s="9" t="b">
        <f>TRUE()</f>
        <v>1</v>
      </c>
      <c r="Q424" s="11">
        <v>2809.94</v>
      </c>
    </row>
    <row r="425" spans="1:17" ht="15" customHeight="1" x14ac:dyDescent="0.2">
      <c r="A425" s="9" t="s">
        <v>587</v>
      </c>
      <c r="B425" s="10">
        <v>45864</v>
      </c>
      <c r="C425" s="10">
        <v>45839</v>
      </c>
      <c r="D425" s="9" t="s">
        <v>22</v>
      </c>
      <c r="E425" s="9" t="s">
        <v>26</v>
      </c>
      <c r="F425" s="9" t="s">
        <v>149</v>
      </c>
      <c r="G425" s="9" t="s">
        <v>161</v>
      </c>
      <c r="H425" s="9" t="s">
        <v>170</v>
      </c>
      <c r="I425" s="9" t="b">
        <f>TRUE()</f>
        <v>1</v>
      </c>
      <c r="J425" s="9" t="s">
        <v>152</v>
      </c>
      <c r="K425" s="9" t="s">
        <v>153</v>
      </c>
      <c r="L425" s="10">
        <v>45873</v>
      </c>
      <c r="M425" s="10">
        <v>45885</v>
      </c>
      <c r="N425" s="10"/>
      <c r="O425" s="10">
        <v>45892</v>
      </c>
      <c r="P425" s="9" t="b">
        <f>TRUE()</f>
        <v>1</v>
      </c>
      <c r="Q425" s="11">
        <v>3281.37</v>
      </c>
    </row>
    <row r="426" spans="1:17" ht="15" customHeight="1" x14ac:dyDescent="0.2">
      <c r="A426" s="9" t="s">
        <v>588</v>
      </c>
      <c r="B426" s="10">
        <v>45747</v>
      </c>
      <c r="C426" s="10">
        <v>45717</v>
      </c>
      <c r="D426" s="9" t="s">
        <v>20</v>
      </c>
      <c r="E426" s="9" t="s">
        <v>24</v>
      </c>
      <c r="F426" s="9" t="s">
        <v>160</v>
      </c>
      <c r="G426" s="9" t="s">
        <v>150</v>
      </c>
      <c r="H426" s="9" t="s">
        <v>167</v>
      </c>
      <c r="I426" s="9" t="b">
        <f>TRUE()</f>
        <v>1</v>
      </c>
      <c r="J426" s="9" t="s">
        <v>152</v>
      </c>
      <c r="K426" s="9" t="s">
        <v>153</v>
      </c>
      <c r="L426" s="10">
        <v>45757</v>
      </c>
      <c r="M426" s="10">
        <v>45763</v>
      </c>
      <c r="N426" s="10"/>
      <c r="O426" s="10">
        <v>45778</v>
      </c>
      <c r="P426" s="9" t="b">
        <f>TRUE()</f>
        <v>1</v>
      </c>
      <c r="Q426" s="11">
        <v>8404.68</v>
      </c>
    </row>
    <row r="427" spans="1:17" ht="15" customHeight="1" x14ac:dyDescent="0.2">
      <c r="A427" s="9" t="s">
        <v>589</v>
      </c>
      <c r="B427" s="10">
        <v>45883</v>
      </c>
      <c r="C427" s="10">
        <v>45870</v>
      </c>
      <c r="D427" s="9" t="s">
        <v>18</v>
      </c>
      <c r="E427" s="9" t="s">
        <v>24</v>
      </c>
      <c r="F427" s="9" t="s">
        <v>155</v>
      </c>
      <c r="G427" s="9" t="s">
        <v>161</v>
      </c>
      <c r="H427" s="9" t="s">
        <v>251</v>
      </c>
      <c r="I427" s="9" t="b">
        <f>TRUE()</f>
        <v>1</v>
      </c>
      <c r="J427" s="9" t="s">
        <v>152</v>
      </c>
      <c r="K427" s="9" t="s">
        <v>163</v>
      </c>
      <c r="L427" s="10"/>
      <c r="M427" s="10"/>
      <c r="N427" s="10"/>
      <c r="O427" s="10">
        <v>45888</v>
      </c>
      <c r="P427" s="9" t="b">
        <f>TRUE()</f>
        <v>1</v>
      </c>
      <c r="Q427" s="11">
        <v>1640.93</v>
      </c>
    </row>
    <row r="428" spans="1:17" ht="15" customHeight="1" x14ac:dyDescent="0.2">
      <c r="A428" s="9" t="s">
        <v>590</v>
      </c>
      <c r="B428" s="10">
        <v>45808</v>
      </c>
      <c r="C428" s="10">
        <v>45778</v>
      </c>
      <c r="D428" s="9" t="s">
        <v>22</v>
      </c>
      <c r="E428" s="9" t="s">
        <v>26</v>
      </c>
      <c r="F428" s="9" t="s">
        <v>155</v>
      </c>
      <c r="G428" s="9" t="s">
        <v>161</v>
      </c>
      <c r="H428" s="9" t="s">
        <v>170</v>
      </c>
      <c r="I428" s="9" t="b">
        <f>TRUE()</f>
        <v>1</v>
      </c>
      <c r="J428" s="9" t="s">
        <v>152</v>
      </c>
      <c r="K428" s="9" t="s">
        <v>163</v>
      </c>
      <c r="L428" s="10"/>
      <c r="M428" s="10"/>
      <c r="N428" s="10"/>
      <c r="O428" s="10">
        <v>45827</v>
      </c>
      <c r="P428" s="9" t="b">
        <f>TRUE()</f>
        <v>1</v>
      </c>
      <c r="Q428" s="11">
        <v>2005</v>
      </c>
    </row>
    <row r="429" spans="1:17" ht="15" customHeight="1" x14ac:dyDescent="0.2">
      <c r="A429" s="9" t="s">
        <v>591</v>
      </c>
      <c r="B429" s="10">
        <v>45955</v>
      </c>
      <c r="C429" s="10">
        <v>45931</v>
      </c>
      <c r="D429" s="9" t="s">
        <v>22</v>
      </c>
      <c r="E429" s="9" t="s">
        <v>26</v>
      </c>
      <c r="F429" s="9" t="s">
        <v>149</v>
      </c>
      <c r="G429" s="9" t="s">
        <v>161</v>
      </c>
      <c r="H429" s="9" t="s">
        <v>170</v>
      </c>
      <c r="I429" s="9" t="b">
        <f>TRUE()</f>
        <v>1</v>
      </c>
      <c r="J429" s="9" t="s">
        <v>2</v>
      </c>
      <c r="K429" s="9" t="s">
        <v>153</v>
      </c>
      <c r="L429" s="10">
        <v>45959</v>
      </c>
      <c r="M429" s="10">
        <v>45967</v>
      </c>
      <c r="N429" s="10">
        <v>45993</v>
      </c>
      <c r="O429" s="10"/>
      <c r="P429" s="9" t="b">
        <f>TRUE()</f>
        <v>1</v>
      </c>
      <c r="Q429" s="11">
        <v>3061.41</v>
      </c>
    </row>
    <row r="430" spans="1:17" ht="15" customHeight="1" x14ac:dyDescent="0.2">
      <c r="A430" s="9" t="s">
        <v>592</v>
      </c>
      <c r="B430" s="10">
        <v>45833</v>
      </c>
      <c r="C430" s="10">
        <v>45809</v>
      </c>
      <c r="D430" s="9" t="s">
        <v>19</v>
      </c>
      <c r="E430" s="9" t="s">
        <v>26</v>
      </c>
      <c r="F430" s="9" t="s">
        <v>155</v>
      </c>
      <c r="G430" s="9" t="s">
        <v>156</v>
      </c>
      <c r="H430" s="9" t="s">
        <v>179</v>
      </c>
      <c r="I430" s="9" t="b">
        <f>TRUE()</f>
        <v>1</v>
      </c>
      <c r="J430" s="9" t="s">
        <v>152</v>
      </c>
      <c r="K430" s="9" t="s">
        <v>163</v>
      </c>
      <c r="L430" s="10"/>
      <c r="M430" s="10"/>
      <c r="N430" s="10"/>
      <c r="O430" s="10">
        <v>45839</v>
      </c>
      <c r="P430" s="9" t="b">
        <f>TRUE()</f>
        <v>1</v>
      </c>
      <c r="Q430" s="11">
        <v>468.84</v>
      </c>
    </row>
    <row r="431" spans="1:17" ht="15" customHeight="1" x14ac:dyDescent="0.2">
      <c r="A431" s="9" t="s">
        <v>593</v>
      </c>
      <c r="B431" s="10">
        <v>45979</v>
      </c>
      <c r="C431" s="10">
        <v>45962</v>
      </c>
      <c r="D431" s="9" t="s">
        <v>21</v>
      </c>
      <c r="E431" s="9" t="s">
        <v>26</v>
      </c>
      <c r="F431" s="9" t="s">
        <v>149</v>
      </c>
      <c r="G431" s="9" t="s">
        <v>150</v>
      </c>
      <c r="H431" s="9" t="s">
        <v>162</v>
      </c>
      <c r="I431" s="9" t="b">
        <f>TRUE()</f>
        <v>1</v>
      </c>
      <c r="J431" s="9" t="s">
        <v>152</v>
      </c>
      <c r="K431" s="9" t="s">
        <v>163</v>
      </c>
      <c r="L431" s="10"/>
      <c r="M431" s="10"/>
      <c r="N431" s="10"/>
      <c r="O431" s="10">
        <v>45988</v>
      </c>
      <c r="P431" s="9" t="b">
        <f>TRUE()</f>
        <v>1</v>
      </c>
      <c r="Q431" s="11">
        <v>9516.5499999999993</v>
      </c>
    </row>
    <row r="432" spans="1:17" ht="15" customHeight="1" x14ac:dyDescent="0.2">
      <c r="A432" s="9" t="s">
        <v>594</v>
      </c>
      <c r="B432" s="10">
        <v>45678</v>
      </c>
      <c r="C432" s="10">
        <v>45658</v>
      </c>
      <c r="D432" s="9" t="s">
        <v>20</v>
      </c>
      <c r="E432" s="9" t="s">
        <v>25</v>
      </c>
      <c r="F432" s="9" t="s">
        <v>155</v>
      </c>
      <c r="G432" s="9" t="s">
        <v>156</v>
      </c>
      <c r="H432" s="9" t="s">
        <v>192</v>
      </c>
      <c r="I432" s="9" t="b">
        <f>TRUE()</f>
        <v>1</v>
      </c>
      <c r="J432" s="9" t="s">
        <v>152</v>
      </c>
      <c r="K432" s="9" t="s">
        <v>153</v>
      </c>
      <c r="L432" s="10">
        <v>45683</v>
      </c>
      <c r="M432" s="10">
        <v>45691</v>
      </c>
      <c r="N432" s="10"/>
      <c r="O432" s="10">
        <v>45705</v>
      </c>
      <c r="P432" s="9" t="b">
        <f>TRUE()</f>
        <v>1</v>
      </c>
      <c r="Q432" s="11">
        <v>506.68</v>
      </c>
    </row>
    <row r="433" spans="1:17" ht="15" customHeight="1" x14ac:dyDescent="0.2">
      <c r="A433" s="9" t="s">
        <v>595</v>
      </c>
      <c r="B433" s="10">
        <v>45806</v>
      </c>
      <c r="C433" s="10">
        <v>45778</v>
      </c>
      <c r="D433" s="9" t="s">
        <v>20</v>
      </c>
      <c r="E433" s="9" t="s">
        <v>27</v>
      </c>
      <c r="F433" s="9" t="s">
        <v>160</v>
      </c>
      <c r="G433" s="9" t="s">
        <v>156</v>
      </c>
      <c r="H433" s="9" t="s">
        <v>167</v>
      </c>
      <c r="I433" s="9" t="b">
        <f>TRUE()</f>
        <v>1</v>
      </c>
      <c r="J433" s="9" t="s">
        <v>152</v>
      </c>
      <c r="K433" s="9" t="s">
        <v>153</v>
      </c>
      <c r="L433" s="10">
        <v>45810</v>
      </c>
      <c r="M433" s="10">
        <v>45817</v>
      </c>
      <c r="N433" s="10"/>
      <c r="O433" s="10">
        <v>45848</v>
      </c>
      <c r="P433" s="9" t="b">
        <f>TRUE()</f>
        <v>1</v>
      </c>
      <c r="Q433" s="11">
        <v>932.56</v>
      </c>
    </row>
    <row r="434" spans="1:17" ht="15" customHeight="1" x14ac:dyDescent="0.2">
      <c r="A434" s="9" t="s">
        <v>596</v>
      </c>
      <c r="B434" s="10">
        <v>45858</v>
      </c>
      <c r="C434" s="10">
        <v>45839</v>
      </c>
      <c r="D434" s="9" t="s">
        <v>22</v>
      </c>
      <c r="E434" s="9" t="s">
        <v>25</v>
      </c>
      <c r="F434" s="9" t="s">
        <v>186</v>
      </c>
      <c r="G434" s="9" t="s">
        <v>156</v>
      </c>
      <c r="H434" s="9" t="s">
        <v>170</v>
      </c>
      <c r="I434" s="9" t="b">
        <f>TRUE()</f>
        <v>1</v>
      </c>
      <c r="J434" s="9" t="s">
        <v>2</v>
      </c>
      <c r="K434" s="9" t="s">
        <v>153</v>
      </c>
      <c r="L434" s="10">
        <v>45864</v>
      </c>
      <c r="M434" s="10">
        <v>45877</v>
      </c>
      <c r="N434" s="10">
        <v>45904</v>
      </c>
      <c r="O434" s="10"/>
      <c r="P434" s="9" t="b">
        <f>TRUE()</f>
        <v>1</v>
      </c>
      <c r="Q434" s="11">
        <v>834.52</v>
      </c>
    </row>
    <row r="435" spans="1:17" ht="15" customHeight="1" x14ac:dyDescent="0.2">
      <c r="A435" s="9" t="s">
        <v>597</v>
      </c>
      <c r="B435" s="10">
        <v>45808</v>
      </c>
      <c r="C435" s="10">
        <v>45778</v>
      </c>
      <c r="D435" s="9" t="s">
        <v>18</v>
      </c>
      <c r="E435" s="9" t="s">
        <v>28</v>
      </c>
      <c r="F435" s="9" t="s">
        <v>149</v>
      </c>
      <c r="G435" s="9" t="s">
        <v>156</v>
      </c>
      <c r="H435" s="9" t="s">
        <v>251</v>
      </c>
      <c r="I435" s="9" t="b">
        <f>TRUE()</f>
        <v>1</v>
      </c>
      <c r="J435" s="9" t="s">
        <v>152</v>
      </c>
      <c r="K435" s="9" t="s">
        <v>163</v>
      </c>
      <c r="L435" s="10"/>
      <c r="M435" s="10"/>
      <c r="N435" s="10"/>
      <c r="O435" s="10">
        <v>45817</v>
      </c>
      <c r="P435" s="9" t="b">
        <f>TRUE()</f>
        <v>1</v>
      </c>
      <c r="Q435" s="11">
        <v>805.33</v>
      </c>
    </row>
    <row r="436" spans="1:17" ht="15" customHeight="1" x14ac:dyDescent="0.2">
      <c r="A436" s="9" t="s">
        <v>598</v>
      </c>
      <c r="B436" s="10">
        <v>45845</v>
      </c>
      <c r="C436" s="10">
        <v>45839</v>
      </c>
      <c r="D436" s="9" t="s">
        <v>22</v>
      </c>
      <c r="E436" s="9" t="s">
        <v>25</v>
      </c>
      <c r="F436" s="9" t="s">
        <v>186</v>
      </c>
      <c r="G436" s="9" t="s">
        <v>156</v>
      </c>
      <c r="H436" s="9" t="s">
        <v>170</v>
      </c>
      <c r="I436" s="9" t="b">
        <f>TRUE()</f>
        <v>1</v>
      </c>
      <c r="J436" s="9" t="s">
        <v>152</v>
      </c>
      <c r="K436" s="9" t="s">
        <v>153</v>
      </c>
      <c r="L436" s="10">
        <v>45852</v>
      </c>
      <c r="M436" s="10"/>
      <c r="N436" s="10"/>
      <c r="O436" s="10">
        <v>45871</v>
      </c>
      <c r="P436" s="9" t="b">
        <f>TRUE()</f>
        <v>1</v>
      </c>
      <c r="Q436" s="11">
        <v>623.14</v>
      </c>
    </row>
    <row r="437" spans="1:17" ht="15" customHeight="1" x14ac:dyDescent="0.2">
      <c r="A437" s="9" t="s">
        <v>599</v>
      </c>
      <c r="B437" s="10">
        <v>45920</v>
      </c>
      <c r="C437" s="10">
        <v>45901</v>
      </c>
      <c r="D437" s="9" t="s">
        <v>22</v>
      </c>
      <c r="E437" s="9" t="s">
        <v>27</v>
      </c>
      <c r="F437" s="9" t="s">
        <v>186</v>
      </c>
      <c r="G437" s="9" t="s">
        <v>161</v>
      </c>
      <c r="H437" s="9" t="s">
        <v>151</v>
      </c>
      <c r="I437" s="9" t="b">
        <f>TRUE()</f>
        <v>1</v>
      </c>
      <c r="J437" s="9" t="s">
        <v>152</v>
      </c>
      <c r="K437" s="9" t="s">
        <v>153</v>
      </c>
      <c r="L437" s="10">
        <v>45928</v>
      </c>
      <c r="M437" s="10">
        <v>45931</v>
      </c>
      <c r="N437" s="10"/>
      <c r="O437" s="10">
        <v>45961</v>
      </c>
      <c r="P437" s="9" t="b">
        <f>TRUE()</f>
        <v>1</v>
      </c>
      <c r="Q437" s="11">
        <v>2415.19</v>
      </c>
    </row>
    <row r="438" spans="1:17" ht="15" customHeight="1" x14ac:dyDescent="0.2">
      <c r="A438" s="9" t="s">
        <v>600</v>
      </c>
      <c r="B438" s="10">
        <v>45826</v>
      </c>
      <c r="C438" s="10">
        <v>45809</v>
      </c>
      <c r="D438" s="9" t="s">
        <v>20</v>
      </c>
      <c r="E438" s="9" t="s">
        <v>28</v>
      </c>
      <c r="F438" s="9" t="s">
        <v>149</v>
      </c>
      <c r="G438" s="9" t="s">
        <v>161</v>
      </c>
      <c r="H438" s="9" t="s">
        <v>167</v>
      </c>
      <c r="I438" s="9" t="b">
        <f>TRUE()</f>
        <v>1</v>
      </c>
      <c r="J438" s="9" t="s">
        <v>152</v>
      </c>
      <c r="K438" s="9" t="s">
        <v>153</v>
      </c>
      <c r="L438" s="10">
        <v>45827</v>
      </c>
      <c r="M438" s="10">
        <v>45830</v>
      </c>
      <c r="N438" s="10"/>
      <c r="O438" s="10">
        <v>45858</v>
      </c>
      <c r="P438" s="9" t="b">
        <f>TRUE()</f>
        <v>1</v>
      </c>
      <c r="Q438" s="11">
        <v>2644.04</v>
      </c>
    </row>
    <row r="439" spans="1:17" ht="15" customHeight="1" x14ac:dyDescent="0.2">
      <c r="A439" s="9" t="s">
        <v>601</v>
      </c>
      <c r="B439" s="10">
        <v>45771</v>
      </c>
      <c r="C439" s="10">
        <v>45748</v>
      </c>
      <c r="D439" s="9" t="s">
        <v>20</v>
      </c>
      <c r="E439" s="9" t="s">
        <v>26</v>
      </c>
      <c r="F439" s="9" t="s">
        <v>149</v>
      </c>
      <c r="G439" s="9" t="s">
        <v>156</v>
      </c>
      <c r="H439" s="9" t="s">
        <v>167</v>
      </c>
      <c r="I439" s="9" t="b">
        <f>TRUE()</f>
        <v>1</v>
      </c>
      <c r="J439" s="9" t="s">
        <v>152</v>
      </c>
      <c r="K439" s="9" t="s">
        <v>153</v>
      </c>
      <c r="L439" s="10">
        <v>45772</v>
      </c>
      <c r="M439" s="10">
        <v>45776</v>
      </c>
      <c r="N439" s="10"/>
      <c r="O439" s="10">
        <v>45784</v>
      </c>
      <c r="P439" s="9" t="b">
        <f>TRUE()</f>
        <v>1</v>
      </c>
      <c r="Q439" s="11">
        <v>816.32</v>
      </c>
    </row>
    <row r="440" spans="1:17" ht="15" customHeight="1" x14ac:dyDescent="0.2">
      <c r="A440" s="9" t="s">
        <v>602</v>
      </c>
      <c r="B440" s="10">
        <v>45736</v>
      </c>
      <c r="C440" s="10">
        <v>45717</v>
      </c>
      <c r="D440" s="9" t="s">
        <v>21</v>
      </c>
      <c r="E440" s="9" t="s">
        <v>25</v>
      </c>
      <c r="F440" s="9" t="s">
        <v>149</v>
      </c>
      <c r="G440" s="9" t="s">
        <v>161</v>
      </c>
      <c r="H440" s="9" t="s">
        <v>183</v>
      </c>
      <c r="I440" s="9" t="b">
        <f>TRUE()</f>
        <v>1</v>
      </c>
      <c r="J440" s="9" t="s">
        <v>152</v>
      </c>
      <c r="K440" s="9" t="s">
        <v>163</v>
      </c>
      <c r="L440" s="10"/>
      <c r="M440" s="10"/>
      <c r="N440" s="10"/>
      <c r="O440" s="10">
        <v>45753</v>
      </c>
      <c r="P440" s="9" t="b">
        <f>TRUE()</f>
        <v>1</v>
      </c>
      <c r="Q440" s="11">
        <v>2851.88</v>
      </c>
    </row>
    <row r="441" spans="1:17" ht="15" customHeight="1" x14ac:dyDescent="0.2">
      <c r="A441" s="9" t="s">
        <v>603</v>
      </c>
      <c r="B441" s="10">
        <v>45949</v>
      </c>
      <c r="C441" s="10">
        <v>45931</v>
      </c>
      <c r="D441" s="9" t="s">
        <v>22</v>
      </c>
      <c r="E441" s="9" t="s">
        <v>26</v>
      </c>
      <c r="F441" s="9" t="s">
        <v>186</v>
      </c>
      <c r="G441" s="9" t="s">
        <v>150</v>
      </c>
      <c r="H441" s="9" t="s">
        <v>165</v>
      </c>
      <c r="I441" s="9" t="b">
        <f>TRUE()</f>
        <v>1</v>
      </c>
      <c r="J441" s="9" t="s">
        <v>152</v>
      </c>
      <c r="K441" s="9" t="s">
        <v>153</v>
      </c>
      <c r="L441" s="10">
        <v>45955</v>
      </c>
      <c r="M441" s="10"/>
      <c r="N441" s="10"/>
      <c r="O441" s="10">
        <v>45975</v>
      </c>
      <c r="P441" s="9" t="b">
        <f>TRUE()</f>
        <v>1</v>
      </c>
      <c r="Q441" s="11">
        <v>4939.3999999999996</v>
      </c>
    </row>
    <row r="442" spans="1:17" ht="15" customHeight="1" x14ac:dyDescent="0.2">
      <c r="A442" s="9" t="s">
        <v>604</v>
      </c>
      <c r="B442" s="10">
        <v>45741</v>
      </c>
      <c r="C442" s="10">
        <v>45717</v>
      </c>
      <c r="D442" s="9" t="s">
        <v>20</v>
      </c>
      <c r="E442" s="9" t="s">
        <v>26</v>
      </c>
      <c r="F442" s="9" t="s">
        <v>155</v>
      </c>
      <c r="G442" s="9" t="s">
        <v>161</v>
      </c>
      <c r="H442" s="9" t="s">
        <v>167</v>
      </c>
      <c r="I442" s="9" t="b">
        <f>TRUE()</f>
        <v>1</v>
      </c>
      <c r="J442" s="9" t="s">
        <v>152</v>
      </c>
      <c r="K442" s="9" t="s">
        <v>153</v>
      </c>
      <c r="L442" s="10">
        <v>45743</v>
      </c>
      <c r="M442" s="10"/>
      <c r="N442" s="10"/>
      <c r="O442" s="10">
        <v>45748</v>
      </c>
      <c r="P442" s="9" t="b">
        <f>TRUE()</f>
        <v>1</v>
      </c>
      <c r="Q442" s="11">
        <v>1647.03</v>
      </c>
    </row>
    <row r="443" spans="1:17" ht="15" customHeight="1" x14ac:dyDescent="0.2">
      <c r="A443" s="9" t="s">
        <v>605</v>
      </c>
      <c r="B443" s="10">
        <v>46022</v>
      </c>
      <c r="C443" s="10">
        <v>45992</v>
      </c>
      <c r="D443" s="9" t="s">
        <v>20</v>
      </c>
      <c r="E443" s="9" t="s">
        <v>28</v>
      </c>
      <c r="F443" s="9" t="s">
        <v>186</v>
      </c>
      <c r="G443" s="9" t="s">
        <v>161</v>
      </c>
      <c r="H443" s="9" t="s">
        <v>167</v>
      </c>
      <c r="I443" s="9" t="b">
        <f>TRUE()</f>
        <v>1</v>
      </c>
      <c r="J443" s="9" t="s">
        <v>15</v>
      </c>
      <c r="K443" s="9" t="s">
        <v>153</v>
      </c>
      <c r="L443" s="10">
        <v>46031</v>
      </c>
      <c r="M443" s="10"/>
      <c r="N443" s="10"/>
      <c r="O443" s="10"/>
      <c r="P443" s="9" t="b">
        <f>TRUE()</f>
        <v>1</v>
      </c>
      <c r="Q443" s="11">
        <v>2635.72</v>
      </c>
    </row>
    <row r="444" spans="1:17" ht="15" customHeight="1" x14ac:dyDescent="0.2">
      <c r="A444" s="9" t="s">
        <v>606</v>
      </c>
      <c r="B444" s="10">
        <v>45719</v>
      </c>
      <c r="C444" s="10">
        <v>45717</v>
      </c>
      <c r="D444" s="9" t="s">
        <v>20</v>
      </c>
      <c r="E444" s="9" t="s">
        <v>27</v>
      </c>
      <c r="F444" s="9" t="s">
        <v>149</v>
      </c>
      <c r="G444" s="9" t="s">
        <v>156</v>
      </c>
      <c r="H444" s="9" t="s">
        <v>192</v>
      </c>
      <c r="I444" s="9" t="b">
        <f>TRUE()</f>
        <v>1</v>
      </c>
      <c r="J444" s="9" t="s">
        <v>2</v>
      </c>
      <c r="K444" s="9" t="s">
        <v>153</v>
      </c>
      <c r="L444" s="10">
        <v>45722</v>
      </c>
      <c r="M444" s="10">
        <v>45727</v>
      </c>
      <c r="N444" s="10">
        <v>45741</v>
      </c>
      <c r="O444" s="10"/>
      <c r="P444" s="9" t="b">
        <f>TRUE()</f>
        <v>1</v>
      </c>
      <c r="Q444" s="11">
        <v>699.36</v>
      </c>
    </row>
    <row r="445" spans="1:17" ht="15" customHeight="1" x14ac:dyDescent="0.2">
      <c r="A445" s="9" t="s">
        <v>607</v>
      </c>
      <c r="B445" s="10">
        <v>45709</v>
      </c>
      <c r="C445" s="10">
        <v>45689</v>
      </c>
      <c r="D445" s="9" t="s">
        <v>22</v>
      </c>
      <c r="E445" s="9" t="s">
        <v>25</v>
      </c>
      <c r="F445" s="9" t="s">
        <v>160</v>
      </c>
      <c r="G445" s="9" t="s">
        <v>156</v>
      </c>
      <c r="H445" s="9" t="s">
        <v>151</v>
      </c>
      <c r="I445" s="9" t="b">
        <f>TRUE()</f>
        <v>1</v>
      </c>
      <c r="J445" s="9" t="s">
        <v>152</v>
      </c>
      <c r="K445" s="9" t="s">
        <v>153</v>
      </c>
      <c r="L445" s="10">
        <v>45714</v>
      </c>
      <c r="M445" s="10">
        <v>45723</v>
      </c>
      <c r="N445" s="10"/>
      <c r="O445" s="10">
        <v>45742</v>
      </c>
      <c r="P445" s="9" t="b">
        <f>TRUE()</f>
        <v>1</v>
      </c>
      <c r="Q445" s="11">
        <v>825.74</v>
      </c>
    </row>
    <row r="446" spans="1:17" ht="15" customHeight="1" x14ac:dyDescent="0.2">
      <c r="A446" s="9" t="s">
        <v>608</v>
      </c>
      <c r="B446" s="10">
        <v>45916</v>
      </c>
      <c r="C446" s="10">
        <v>45901</v>
      </c>
      <c r="D446" s="9" t="s">
        <v>22</v>
      </c>
      <c r="E446" s="9" t="s">
        <v>25</v>
      </c>
      <c r="F446" s="9" t="s">
        <v>149</v>
      </c>
      <c r="G446" s="9" t="s">
        <v>161</v>
      </c>
      <c r="H446" s="9" t="s">
        <v>151</v>
      </c>
      <c r="I446" s="9" t="b">
        <f>TRUE()</f>
        <v>1</v>
      </c>
      <c r="J446" s="9" t="s">
        <v>152</v>
      </c>
      <c r="K446" s="9" t="s">
        <v>153</v>
      </c>
      <c r="L446" s="10">
        <v>45922</v>
      </c>
      <c r="M446" s="10"/>
      <c r="N446" s="10"/>
      <c r="O446" s="10">
        <v>45935</v>
      </c>
      <c r="P446" s="9" t="b">
        <f>TRUE()</f>
        <v>1</v>
      </c>
      <c r="Q446" s="11">
        <v>1910.58</v>
      </c>
    </row>
    <row r="447" spans="1:17" ht="15" customHeight="1" x14ac:dyDescent="0.2">
      <c r="A447" s="9" t="s">
        <v>609</v>
      </c>
      <c r="B447" s="10">
        <v>45937</v>
      </c>
      <c r="C447" s="10">
        <v>45931</v>
      </c>
      <c r="D447" s="9" t="s">
        <v>21</v>
      </c>
      <c r="E447" s="9" t="s">
        <v>24</v>
      </c>
      <c r="F447" s="9" t="s">
        <v>149</v>
      </c>
      <c r="G447" s="9" t="s">
        <v>156</v>
      </c>
      <c r="H447" s="9" t="s">
        <v>176</v>
      </c>
      <c r="I447" s="9" t="b">
        <f>TRUE()</f>
        <v>1</v>
      </c>
      <c r="J447" s="9" t="s">
        <v>152</v>
      </c>
      <c r="K447" s="9" t="s">
        <v>163</v>
      </c>
      <c r="L447" s="10"/>
      <c r="M447" s="10"/>
      <c r="N447" s="10"/>
      <c r="O447" s="10">
        <v>45947</v>
      </c>
      <c r="P447" s="9" t="b">
        <f>TRUE()</f>
        <v>1</v>
      </c>
      <c r="Q447" s="11">
        <v>1067.55</v>
      </c>
    </row>
    <row r="448" spans="1:17" ht="15" customHeight="1" x14ac:dyDescent="0.2">
      <c r="A448" s="9" t="s">
        <v>610</v>
      </c>
      <c r="B448" s="10">
        <v>45667</v>
      </c>
      <c r="C448" s="10">
        <v>45658</v>
      </c>
      <c r="D448" s="9" t="s">
        <v>22</v>
      </c>
      <c r="E448" s="9" t="s">
        <v>28</v>
      </c>
      <c r="F448" s="9" t="s">
        <v>149</v>
      </c>
      <c r="G448" s="9" t="s">
        <v>156</v>
      </c>
      <c r="H448" s="9" t="s">
        <v>170</v>
      </c>
      <c r="I448" s="9" t="b">
        <f>TRUE()</f>
        <v>1</v>
      </c>
      <c r="J448" s="9" t="s">
        <v>152</v>
      </c>
      <c r="K448" s="9" t="s">
        <v>153</v>
      </c>
      <c r="L448" s="10">
        <v>45675</v>
      </c>
      <c r="M448" s="10">
        <v>45679</v>
      </c>
      <c r="N448" s="10"/>
      <c r="O448" s="10">
        <v>45707</v>
      </c>
      <c r="P448" s="9" t="b">
        <f>TRUE()</f>
        <v>1</v>
      </c>
      <c r="Q448" s="11">
        <v>1069.79</v>
      </c>
    </row>
    <row r="449" spans="1:17" ht="15" customHeight="1" x14ac:dyDescent="0.2">
      <c r="A449" s="9" t="s">
        <v>611</v>
      </c>
      <c r="B449" s="10">
        <v>45709</v>
      </c>
      <c r="C449" s="10">
        <v>45689</v>
      </c>
      <c r="D449" s="9" t="s">
        <v>21</v>
      </c>
      <c r="E449" s="9" t="s">
        <v>24</v>
      </c>
      <c r="F449" s="9" t="s">
        <v>149</v>
      </c>
      <c r="G449" s="9" t="s">
        <v>156</v>
      </c>
      <c r="H449" s="9" t="s">
        <v>183</v>
      </c>
      <c r="I449" s="9" t="b">
        <f>TRUE()</f>
        <v>1</v>
      </c>
      <c r="J449" s="9" t="s">
        <v>152</v>
      </c>
      <c r="K449" s="9" t="s">
        <v>163</v>
      </c>
      <c r="L449" s="10"/>
      <c r="M449" s="10"/>
      <c r="N449" s="10"/>
      <c r="O449" s="10">
        <v>45726</v>
      </c>
      <c r="P449" s="9" t="b">
        <f>TRUE()</f>
        <v>1</v>
      </c>
      <c r="Q449" s="11">
        <v>1123.6199999999999</v>
      </c>
    </row>
    <row r="450" spans="1:17" ht="15" customHeight="1" x14ac:dyDescent="0.2">
      <c r="A450" s="9" t="s">
        <v>612</v>
      </c>
      <c r="B450" s="10">
        <v>45816</v>
      </c>
      <c r="C450" s="10">
        <v>45809</v>
      </c>
      <c r="D450" s="9" t="s">
        <v>20</v>
      </c>
      <c r="E450" s="9" t="s">
        <v>25</v>
      </c>
      <c r="F450" s="9" t="s">
        <v>155</v>
      </c>
      <c r="G450" s="9" t="s">
        <v>156</v>
      </c>
      <c r="H450" s="9" t="s">
        <v>192</v>
      </c>
      <c r="I450" s="9" t="b">
        <f>TRUE()</f>
        <v>1</v>
      </c>
      <c r="J450" s="9" t="s">
        <v>152</v>
      </c>
      <c r="K450" s="9" t="s">
        <v>163</v>
      </c>
      <c r="L450" s="10"/>
      <c r="M450" s="10"/>
      <c r="N450" s="10"/>
      <c r="O450" s="10">
        <v>45828</v>
      </c>
      <c r="P450" s="9" t="b">
        <f>TRUE()</f>
        <v>1</v>
      </c>
      <c r="Q450" s="11">
        <v>609.73</v>
      </c>
    </row>
    <row r="451" spans="1:17" ht="15" customHeight="1" x14ac:dyDescent="0.2">
      <c r="A451" s="9" t="s">
        <v>613</v>
      </c>
      <c r="B451" s="10">
        <v>45773</v>
      </c>
      <c r="C451" s="10">
        <v>45748</v>
      </c>
      <c r="D451" s="9" t="s">
        <v>21</v>
      </c>
      <c r="E451" s="9" t="s">
        <v>26</v>
      </c>
      <c r="F451" s="9" t="s">
        <v>149</v>
      </c>
      <c r="G451" s="9" t="s">
        <v>156</v>
      </c>
      <c r="H451" s="9" t="s">
        <v>183</v>
      </c>
      <c r="I451" s="9" t="b">
        <f>TRUE()</f>
        <v>1</v>
      </c>
      <c r="J451" s="9" t="s">
        <v>152</v>
      </c>
      <c r="K451" s="9" t="s">
        <v>153</v>
      </c>
      <c r="L451" s="10">
        <v>45775</v>
      </c>
      <c r="M451" s="10">
        <v>45777</v>
      </c>
      <c r="N451" s="10"/>
      <c r="O451" s="10">
        <v>45792</v>
      </c>
      <c r="P451" s="9" t="b">
        <f>TRUE()</f>
        <v>1</v>
      </c>
      <c r="Q451" s="11">
        <v>990.38</v>
      </c>
    </row>
    <row r="452" spans="1:17" ht="15" customHeight="1" x14ac:dyDescent="0.2">
      <c r="A452" s="9" t="s">
        <v>614</v>
      </c>
      <c r="B452" s="10">
        <v>45821</v>
      </c>
      <c r="C452" s="10">
        <v>45809</v>
      </c>
      <c r="D452" s="9" t="s">
        <v>20</v>
      </c>
      <c r="E452" s="9" t="s">
        <v>28</v>
      </c>
      <c r="F452" s="9" t="s">
        <v>186</v>
      </c>
      <c r="G452" s="9" t="s">
        <v>161</v>
      </c>
      <c r="H452" s="9" t="s">
        <v>192</v>
      </c>
      <c r="I452" s="9" t="b">
        <f>TRUE()</f>
        <v>1</v>
      </c>
      <c r="J452" s="9" t="s">
        <v>152</v>
      </c>
      <c r="K452" s="9" t="s">
        <v>153</v>
      </c>
      <c r="L452" s="10">
        <v>45823</v>
      </c>
      <c r="M452" s="10">
        <v>45829</v>
      </c>
      <c r="N452" s="10"/>
      <c r="O452" s="10">
        <v>45855</v>
      </c>
      <c r="P452" s="9" t="b">
        <f>TRUE()</f>
        <v>1</v>
      </c>
      <c r="Q452" s="11">
        <v>2818.69</v>
      </c>
    </row>
    <row r="453" spans="1:17" ht="15" customHeight="1" x14ac:dyDescent="0.2">
      <c r="A453" s="9" t="s">
        <v>615</v>
      </c>
      <c r="B453" s="10">
        <v>45853</v>
      </c>
      <c r="C453" s="10">
        <v>45839</v>
      </c>
      <c r="D453" s="9" t="s">
        <v>18</v>
      </c>
      <c r="E453" s="9" t="s">
        <v>26</v>
      </c>
      <c r="F453" s="9" t="s">
        <v>186</v>
      </c>
      <c r="G453" s="9" t="s">
        <v>161</v>
      </c>
      <c r="H453" s="9" t="s">
        <v>201</v>
      </c>
      <c r="I453" s="9" t="b">
        <f>TRUE()</f>
        <v>1</v>
      </c>
      <c r="J453" s="9" t="s">
        <v>152</v>
      </c>
      <c r="K453" s="9" t="s">
        <v>153</v>
      </c>
      <c r="L453" s="10">
        <v>45862</v>
      </c>
      <c r="M453" s="10"/>
      <c r="N453" s="10"/>
      <c r="O453" s="10">
        <v>45876</v>
      </c>
      <c r="P453" s="9" t="b">
        <f>TRUE()</f>
        <v>1</v>
      </c>
      <c r="Q453" s="11">
        <v>2370.8000000000002</v>
      </c>
    </row>
    <row r="454" spans="1:17" ht="15" customHeight="1" x14ac:dyDescent="0.2">
      <c r="A454" s="9" t="s">
        <v>616</v>
      </c>
      <c r="B454" s="10">
        <v>45960</v>
      </c>
      <c r="C454" s="10">
        <v>45931</v>
      </c>
      <c r="D454" s="9" t="s">
        <v>20</v>
      </c>
      <c r="E454" s="9" t="s">
        <v>28</v>
      </c>
      <c r="F454" s="9" t="s">
        <v>149</v>
      </c>
      <c r="G454" s="9" t="s">
        <v>161</v>
      </c>
      <c r="H454" s="9" t="s">
        <v>189</v>
      </c>
      <c r="I454" s="9" t="b">
        <f>TRUE()</f>
        <v>1</v>
      </c>
      <c r="J454" s="9" t="s">
        <v>152</v>
      </c>
      <c r="K454" s="9" t="s">
        <v>153</v>
      </c>
      <c r="L454" s="10">
        <v>45967</v>
      </c>
      <c r="M454" s="10">
        <v>45976</v>
      </c>
      <c r="N454" s="10"/>
      <c r="O454" s="10">
        <v>46001</v>
      </c>
      <c r="P454" s="9" t="b">
        <f>TRUE()</f>
        <v>1</v>
      </c>
      <c r="Q454" s="11">
        <v>1928.41</v>
      </c>
    </row>
    <row r="455" spans="1:17" ht="15" customHeight="1" x14ac:dyDescent="0.2">
      <c r="A455" s="9" t="s">
        <v>617</v>
      </c>
      <c r="B455" s="10">
        <v>45731</v>
      </c>
      <c r="C455" s="10">
        <v>45717</v>
      </c>
      <c r="D455" s="9" t="s">
        <v>22</v>
      </c>
      <c r="E455" s="9" t="s">
        <v>25</v>
      </c>
      <c r="F455" s="9" t="s">
        <v>149</v>
      </c>
      <c r="G455" s="9" t="s">
        <v>161</v>
      </c>
      <c r="H455" s="9" t="s">
        <v>165</v>
      </c>
      <c r="I455" s="9" t="b">
        <f>TRUE()</f>
        <v>1</v>
      </c>
      <c r="J455" s="9" t="s">
        <v>152</v>
      </c>
      <c r="K455" s="9" t="s">
        <v>163</v>
      </c>
      <c r="L455" s="10"/>
      <c r="M455" s="10"/>
      <c r="N455" s="10"/>
      <c r="O455" s="10">
        <v>45747</v>
      </c>
      <c r="P455" s="9" t="b">
        <f>TRUE()</f>
        <v>1</v>
      </c>
      <c r="Q455" s="11">
        <v>2247.1799999999998</v>
      </c>
    </row>
    <row r="456" spans="1:17" ht="15" customHeight="1" x14ac:dyDescent="0.2">
      <c r="A456" s="9" t="s">
        <v>618</v>
      </c>
      <c r="B456" s="10">
        <v>45828</v>
      </c>
      <c r="C456" s="10">
        <v>45809</v>
      </c>
      <c r="D456" s="9" t="s">
        <v>20</v>
      </c>
      <c r="E456" s="9" t="s">
        <v>28</v>
      </c>
      <c r="F456" s="9" t="s">
        <v>149</v>
      </c>
      <c r="G456" s="9" t="s">
        <v>156</v>
      </c>
      <c r="H456" s="9" t="s">
        <v>189</v>
      </c>
      <c r="I456" s="9" t="b">
        <f>TRUE()</f>
        <v>1</v>
      </c>
      <c r="J456" s="9" t="s">
        <v>152</v>
      </c>
      <c r="K456" s="9" t="s">
        <v>153</v>
      </c>
      <c r="L456" s="10">
        <v>45829</v>
      </c>
      <c r="M456" s="10"/>
      <c r="N456" s="10"/>
      <c r="O456" s="10">
        <v>45835</v>
      </c>
      <c r="P456" s="9" t="b">
        <f>TRUE()</f>
        <v>1</v>
      </c>
      <c r="Q456" s="11">
        <v>862.07</v>
      </c>
    </row>
    <row r="457" spans="1:17" ht="15" customHeight="1" x14ac:dyDescent="0.2">
      <c r="A457" s="9" t="s">
        <v>619</v>
      </c>
      <c r="B457" s="10">
        <v>45790</v>
      </c>
      <c r="C457" s="10">
        <v>45778</v>
      </c>
      <c r="D457" s="9" t="s">
        <v>18</v>
      </c>
      <c r="E457" s="9" t="s">
        <v>28</v>
      </c>
      <c r="F457" s="9" t="s">
        <v>149</v>
      </c>
      <c r="G457" s="9" t="s">
        <v>161</v>
      </c>
      <c r="H457" s="9" t="s">
        <v>201</v>
      </c>
      <c r="I457" s="9" t="b">
        <f>TRUE()</f>
        <v>1</v>
      </c>
      <c r="J457" s="9" t="s">
        <v>152</v>
      </c>
      <c r="K457" s="9" t="s">
        <v>153</v>
      </c>
      <c r="L457" s="10">
        <v>45799</v>
      </c>
      <c r="M457" s="10">
        <v>45807</v>
      </c>
      <c r="N457" s="10"/>
      <c r="O457" s="10">
        <v>45824</v>
      </c>
      <c r="P457" s="9" t="b">
        <f>TRUE()</f>
        <v>1</v>
      </c>
      <c r="Q457" s="11">
        <v>2954</v>
      </c>
    </row>
    <row r="458" spans="1:17" ht="15" customHeight="1" x14ac:dyDescent="0.2">
      <c r="A458" s="9" t="s">
        <v>620</v>
      </c>
      <c r="B458" s="10">
        <v>45784</v>
      </c>
      <c r="C458" s="10">
        <v>45778</v>
      </c>
      <c r="D458" s="9" t="s">
        <v>22</v>
      </c>
      <c r="E458" s="9" t="s">
        <v>28</v>
      </c>
      <c r="F458" s="9" t="s">
        <v>149</v>
      </c>
      <c r="G458" s="9" t="s">
        <v>150</v>
      </c>
      <c r="H458" s="9" t="s">
        <v>165</v>
      </c>
      <c r="I458" s="9" t="b">
        <f>TRUE()</f>
        <v>1</v>
      </c>
      <c r="J458" s="9" t="s">
        <v>152</v>
      </c>
      <c r="K458" s="9" t="s">
        <v>153</v>
      </c>
      <c r="L458" s="10">
        <v>45790</v>
      </c>
      <c r="M458" s="10">
        <v>45803</v>
      </c>
      <c r="N458" s="10"/>
      <c r="O458" s="10">
        <v>45809</v>
      </c>
      <c r="P458" s="9" t="b">
        <f>TRUE()</f>
        <v>1</v>
      </c>
      <c r="Q458" s="11">
        <v>8976.69</v>
      </c>
    </row>
    <row r="459" spans="1:17" ht="15" customHeight="1" x14ac:dyDescent="0.2">
      <c r="A459" s="9" t="s">
        <v>621</v>
      </c>
      <c r="B459" s="10">
        <v>45946</v>
      </c>
      <c r="C459" s="10">
        <v>45931</v>
      </c>
      <c r="D459" s="9" t="s">
        <v>19</v>
      </c>
      <c r="E459" s="9" t="s">
        <v>26</v>
      </c>
      <c r="F459" s="9" t="s">
        <v>186</v>
      </c>
      <c r="G459" s="9" t="s">
        <v>156</v>
      </c>
      <c r="H459" s="9" t="s">
        <v>210</v>
      </c>
      <c r="I459" s="9" t="b">
        <f>TRUE()</f>
        <v>1</v>
      </c>
      <c r="J459" s="9" t="s">
        <v>2</v>
      </c>
      <c r="K459" s="9" t="s">
        <v>153</v>
      </c>
      <c r="L459" s="10">
        <v>45948</v>
      </c>
      <c r="M459" s="10">
        <v>45950</v>
      </c>
      <c r="N459" s="10">
        <v>45980</v>
      </c>
      <c r="O459" s="10"/>
      <c r="P459" s="9" t="b">
        <f>TRUE()</f>
        <v>1</v>
      </c>
      <c r="Q459" s="11">
        <v>840.18</v>
      </c>
    </row>
    <row r="460" spans="1:17" ht="15" customHeight="1" x14ac:dyDescent="0.2">
      <c r="A460" s="9" t="s">
        <v>622</v>
      </c>
      <c r="B460" s="10">
        <v>45676</v>
      </c>
      <c r="C460" s="10">
        <v>45658</v>
      </c>
      <c r="D460" s="9" t="s">
        <v>20</v>
      </c>
      <c r="E460" s="9" t="s">
        <v>25</v>
      </c>
      <c r="F460" s="9" t="s">
        <v>155</v>
      </c>
      <c r="G460" s="9" t="s">
        <v>156</v>
      </c>
      <c r="H460" s="9" t="s">
        <v>192</v>
      </c>
      <c r="I460" s="9" t="b">
        <f>TRUE()</f>
        <v>1</v>
      </c>
      <c r="J460" s="9" t="s">
        <v>2</v>
      </c>
      <c r="K460" s="9" t="s">
        <v>153</v>
      </c>
      <c r="L460" s="10">
        <v>45679</v>
      </c>
      <c r="M460" s="10">
        <v>45686</v>
      </c>
      <c r="N460" s="10">
        <v>45700</v>
      </c>
      <c r="O460" s="10"/>
      <c r="P460" s="9" t="b">
        <f>TRUE()</f>
        <v>1</v>
      </c>
      <c r="Q460" s="11">
        <v>522.46</v>
      </c>
    </row>
    <row r="461" spans="1:17" ht="15" customHeight="1" x14ac:dyDescent="0.2">
      <c r="A461" s="9" t="s">
        <v>623</v>
      </c>
      <c r="B461" s="10">
        <v>45696</v>
      </c>
      <c r="C461" s="10">
        <v>45689</v>
      </c>
      <c r="D461" s="9" t="s">
        <v>20</v>
      </c>
      <c r="E461" s="9" t="s">
        <v>24</v>
      </c>
      <c r="F461" s="9" t="s">
        <v>160</v>
      </c>
      <c r="G461" s="9" t="s">
        <v>156</v>
      </c>
      <c r="H461" s="9" t="s">
        <v>189</v>
      </c>
      <c r="I461" s="9" t="b">
        <f>TRUE()</f>
        <v>1</v>
      </c>
      <c r="J461" s="9" t="s">
        <v>152</v>
      </c>
      <c r="K461" s="9" t="s">
        <v>163</v>
      </c>
      <c r="L461" s="10"/>
      <c r="M461" s="10"/>
      <c r="N461" s="10"/>
      <c r="O461" s="10">
        <v>45705</v>
      </c>
      <c r="P461" s="9" t="b">
        <f>TRUE()</f>
        <v>1</v>
      </c>
      <c r="Q461" s="11">
        <v>879.26</v>
      </c>
    </row>
    <row r="462" spans="1:17" ht="15" customHeight="1" x14ac:dyDescent="0.2">
      <c r="A462" s="9" t="s">
        <v>624</v>
      </c>
      <c r="B462" s="10">
        <v>45810</v>
      </c>
      <c r="C462" s="10">
        <v>45809</v>
      </c>
      <c r="D462" s="9" t="s">
        <v>18</v>
      </c>
      <c r="E462" s="9" t="s">
        <v>28</v>
      </c>
      <c r="F462" s="9" t="s">
        <v>186</v>
      </c>
      <c r="G462" s="9" t="s">
        <v>161</v>
      </c>
      <c r="H462" s="9" t="s">
        <v>251</v>
      </c>
      <c r="I462" s="9" t="b">
        <f>TRUE()</f>
        <v>1</v>
      </c>
      <c r="J462" s="9" t="s">
        <v>152</v>
      </c>
      <c r="K462" s="9" t="s">
        <v>153</v>
      </c>
      <c r="L462" s="10">
        <v>45820</v>
      </c>
      <c r="M462" s="10">
        <v>45821</v>
      </c>
      <c r="N462" s="10"/>
      <c r="O462" s="10">
        <v>45845</v>
      </c>
      <c r="P462" s="9" t="b">
        <f>TRUE()</f>
        <v>1</v>
      </c>
      <c r="Q462" s="11">
        <v>2718.26</v>
      </c>
    </row>
    <row r="463" spans="1:17" ht="15" customHeight="1" x14ac:dyDescent="0.2">
      <c r="A463" s="9" t="s">
        <v>625</v>
      </c>
      <c r="B463" s="10">
        <v>45823</v>
      </c>
      <c r="C463" s="10">
        <v>45809</v>
      </c>
      <c r="D463" s="9" t="s">
        <v>22</v>
      </c>
      <c r="E463" s="9" t="s">
        <v>26</v>
      </c>
      <c r="F463" s="9" t="s">
        <v>149</v>
      </c>
      <c r="G463" s="9" t="s">
        <v>156</v>
      </c>
      <c r="H463" s="9" t="s">
        <v>151</v>
      </c>
      <c r="I463" s="9" t="b">
        <f>TRUE()</f>
        <v>1</v>
      </c>
      <c r="J463" s="9" t="s">
        <v>152</v>
      </c>
      <c r="K463" s="9" t="s">
        <v>153</v>
      </c>
      <c r="L463" s="10">
        <v>45832</v>
      </c>
      <c r="M463" s="10">
        <v>45844</v>
      </c>
      <c r="N463" s="10"/>
      <c r="O463" s="10">
        <v>45867</v>
      </c>
      <c r="P463" s="9" t="b">
        <f>TRUE()</f>
        <v>1</v>
      </c>
      <c r="Q463" s="11">
        <v>842.92</v>
      </c>
    </row>
    <row r="464" spans="1:17" ht="15" customHeight="1" x14ac:dyDescent="0.2">
      <c r="A464" s="9" t="s">
        <v>626</v>
      </c>
      <c r="B464" s="10">
        <v>45844</v>
      </c>
      <c r="C464" s="10">
        <v>45839</v>
      </c>
      <c r="D464" s="9" t="s">
        <v>20</v>
      </c>
      <c r="E464" s="9" t="s">
        <v>25</v>
      </c>
      <c r="F464" s="9" t="s">
        <v>160</v>
      </c>
      <c r="G464" s="9" t="s">
        <v>156</v>
      </c>
      <c r="H464" s="9" t="s">
        <v>192</v>
      </c>
      <c r="I464" s="9" t="b">
        <f>TRUE()</f>
        <v>1</v>
      </c>
      <c r="J464" s="9" t="s">
        <v>2</v>
      </c>
      <c r="K464" s="9" t="s">
        <v>153</v>
      </c>
      <c r="L464" s="10">
        <v>45849</v>
      </c>
      <c r="M464" s="10">
        <v>45857</v>
      </c>
      <c r="N464" s="10">
        <v>45883</v>
      </c>
      <c r="O464" s="10"/>
      <c r="P464" s="9" t="b">
        <f>TRUE()</f>
        <v>1</v>
      </c>
      <c r="Q464" s="11">
        <v>822.3</v>
      </c>
    </row>
    <row r="465" spans="1:17" ht="15" customHeight="1" x14ac:dyDescent="0.2">
      <c r="A465" s="9" t="s">
        <v>627</v>
      </c>
      <c r="B465" s="10">
        <v>45913</v>
      </c>
      <c r="C465" s="10">
        <v>45901</v>
      </c>
      <c r="D465" s="9" t="s">
        <v>19</v>
      </c>
      <c r="E465" s="9" t="s">
        <v>25</v>
      </c>
      <c r="F465" s="9" t="s">
        <v>160</v>
      </c>
      <c r="G465" s="9" t="s">
        <v>156</v>
      </c>
      <c r="H465" s="9" t="s">
        <v>210</v>
      </c>
      <c r="I465" s="9" t="b">
        <f>TRUE()</f>
        <v>1</v>
      </c>
      <c r="J465" s="9" t="s">
        <v>152</v>
      </c>
      <c r="K465" s="9" t="s">
        <v>163</v>
      </c>
      <c r="L465" s="10"/>
      <c r="M465" s="10"/>
      <c r="N465" s="10"/>
      <c r="O465" s="10">
        <v>45930</v>
      </c>
      <c r="P465" s="9" t="b">
        <f>TRUE()</f>
        <v>1</v>
      </c>
      <c r="Q465" s="11">
        <v>577.16</v>
      </c>
    </row>
    <row r="466" spans="1:17" ht="15" customHeight="1" x14ac:dyDescent="0.2">
      <c r="A466" s="9" t="s">
        <v>628</v>
      </c>
      <c r="B466" s="10">
        <v>45892</v>
      </c>
      <c r="C466" s="10">
        <v>45870</v>
      </c>
      <c r="D466" s="9" t="s">
        <v>21</v>
      </c>
      <c r="E466" s="9" t="s">
        <v>27</v>
      </c>
      <c r="F466" s="9" t="s">
        <v>155</v>
      </c>
      <c r="G466" s="9" t="s">
        <v>156</v>
      </c>
      <c r="H466" s="9" t="s">
        <v>176</v>
      </c>
      <c r="I466" s="9" t="b">
        <f>TRUE()</f>
        <v>1</v>
      </c>
      <c r="J466" s="9" t="s">
        <v>152</v>
      </c>
      <c r="K466" s="9" t="s">
        <v>153</v>
      </c>
      <c r="L466" s="10">
        <v>45897</v>
      </c>
      <c r="M466" s="10">
        <v>45904</v>
      </c>
      <c r="N466" s="10"/>
      <c r="O466" s="10">
        <v>45913</v>
      </c>
      <c r="P466" s="9" t="b">
        <f>TRUE()</f>
        <v>1</v>
      </c>
      <c r="Q466" s="11">
        <v>657.62</v>
      </c>
    </row>
    <row r="467" spans="1:17" ht="15" customHeight="1" x14ac:dyDescent="0.2">
      <c r="A467" s="9" t="s">
        <v>629</v>
      </c>
      <c r="B467" s="10">
        <v>45814</v>
      </c>
      <c r="C467" s="10">
        <v>45809</v>
      </c>
      <c r="D467" s="9" t="s">
        <v>20</v>
      </c>
      <c r="E467" s="9" t="s">
        <v>25</v>
      </c>
      <c r="F467" s="9" t="s">
        <v>155</v>
      </c>
      <c r="G467" s="9" t="s">
        <v>156</v>
      </c>
      <c r="H467" s="9" t="s">
        <v>189</v>
      </c>
      <c r="I467" s="9" t="b">
        <f>TRUE()</f>
        <v>1</v>
      </c>
      <c r="J467" s="9" t="s">
        <v>152</v>
      </c>
      <c r="K467" s="9" t="s">
        <v>153</v>
      </c>
      <c r="L467" s="10">
        <v>45815</v>
      </c>
      <c r="M467" s="10"/>
      <c r="N467" s="10"/>
      <c r="O467" s="10">
        <v>45826</v>
      </c>
      <c r="P467" s="9" t="b">
        <f>TRUE()</f>
        <v>1</v>
      </c>
      <c r="Q467" s="11">
        <v>410.58</v>
      </c>
    </row>
    <row r="468" spans="1:17" ht="15" customHeight="1" x14ac:dyDescent="0.2">
      <c r="A468" s="9" t="s">
        <v>55</v>
      </c>
      <c r="B468" s="10">
        <v>45980</v>
      </c>
      <c r="C468" s="10">
        <v>45962</v>
      </c>
      <c r="D468" s="9" t="s">
        <v>20</v>
      </c>
      <c r="E468" s="9" t="s">
        <v>375</v>
      </c>
      <c r="F468" s="9" t="s">
        <v>160</v>
      </c>
      <c r="G468" s="9" t="s">
        <v>161</v>
      </c>
      <c r="H468" s="9" t="s">
        <v>167</v>
      </c>
      <c r="I468" s="9" t="b">
        <f>TRUE()</f>
        <v>1</v>
      </c>
      <c r="J468" s="9" t="s">
        <v>2</v>
      </c>
      <c r="K468" s="9" t="s">
        <v>153</v>
      </c>
      <c r="L468" s="10">
        <v>45983</v>
      </c>
      <c r="M468" s="10">
        <v>45998</v>
      </c>
      <c r="N468" s="10">
        <v>46025</v>
      </c>
      <c r="O468" s="10"/>
      <c r="P468" s="9" t="b">
        <f>TRUE()</f>
        <v>1</v>
      </c>
      <c r="Q468" s="11">
        <v>1889.8</v>
      </c>
    </row>
    <row r="469" spans="1:17" ht="15" customHeight="1" x14ac:dyDescent="0.2">
      <c r="A469" s="9" t="s">
        <v>630</v>
      </c>
      <c r="B469" s="10">
        <v>45908</v>
      </c>
      <c r="C469" s="10">
        <v>45901</v>
      </c>
      <c r="D469" s="9" t="s">
        <v>21</v>
      </c>
      <c r="E469" s="9" t="s">
        <v>28</v>
      </c>
      <c r="F469" s="9" t="s">
        <v>160</v>
      </c>
      <c r="G469" s="9" t="s">
        <v>150</v>
      </c>
      <c r="H469" s="9" t="s">
        <v>183</v>
      </c>
      <c r="I469" s="9" t="b">
        <f>TRUE()</f>
        <v>1</v>
      </c>
      <c r="J469" s="9" t="s">
        <v>152</v>
      </c>
      <c r="K469" s="9" t="s">
        <v>153</v>
      </c>
      <c r="L469" s="10">
        <v>45917</v>
      </c>
      <c r="M469" s="10">
        <v>45926</v>
      </c>
      <c r="N469" s="10"/>
      <c r="O469" s="10">
        <v>45937</v>
      </c>
      <c r="P469" s="9" t="b">
        <f>TRUE()</f>
        <v>1</v>
      </c>
      <c r="Q469" s="11">
        <v>7815.86</v>
      </c>
    </row>
    <row r="470" spans="1:17" ht="15" customHeight="1" x14ac:dyDescent="0.2">
      <c r="A470" s="9" t="s">
        <v>631</v>
      </c>
      <c r="B470" s="10">
        <v>45836</v>
      </c>
      <c r="C470" s="10">
        <v>45809</v>
      </c>
      <c r="D470" s="9" t="s">
        <v>21</v>
      </c>
      <c r="E470" s="9" t="s">
        <v>25</v>
      </c>
      <c r="F470" s="9" t="s">
        <v>160</v>
      </c>
      <c r="G470" s="9" t="s">
        <v>150</v>
      </c>
      <c r="H470" s="9" t="s">
        <v>162</v>
      </c>
      <c r="I470" s="9" t="b">
        <f>TRUE()</f>
        <v>1</v>
      </c>
      <c r="J470" s="9" t="s">
        <v>152</v>
      </c>
      <c r="K470" s="9" t="s">
        <v>163</v>
      </c>
      <c r="L470" s="10"/>
      <c r="M470" s="10"/>
      <c r="N470" s="10"/>
      <c r="O470" s="10">
        <v>45844</v>
      </c>
      <c r="P470" s="9" t="b">
        <f>TRUE()</f>
        <v>1</v>
      </c>
      <c r="Q470" s="11">
        <v>6907.56</v>
      </c>
    </row>
    <row r="471" spans="1:17" ht="15" customHeight="1" x14ac:dyDescent="0.2">
      <c r="A471" s="9" t="s">
        <v>632</v>
      </c>
      <c r="B471" s="10">
        <v>45892</v>
      </c>
      <c r="C471" s="10">
        <v>45870</v>
      </c>
      <c r="D471" s="9" t="s">
        <v>22</v>
      </c>
      <c r="E471" s="9" t="s">
        <v>28</v>
      </c>
      <c r="F471" s="9" t="s">
        <v>160</v>
      </c>
      <c r="G471" s="9" t="s">
        <v>156</v>
      </c>
      <c r="H471" s="9" t="s">
        <v>165</v>
      </c>
      <c r="I471" s="9" t="b">
        <f>TRUE()</f>
        <v>1</v>
      </c>
      <c r="J471" s="9" t="s">
        <v>152</v>
      </c>
      <c r="K471" s="9" t="s">
        <v>153</v>
      </c>
      <c r="L471" s="10">
        <v>45895</v>
      </c>
      <c r="M471" s="10"/>
      <c r="N471" s="10"/>
      <c r="O471" s="10">
        <v>45905</v>
      </c>
      <c r="P471" s="9" t="b">
        <f>TRUE()</f>
        <v>1</v>
      </c>
      <c r="Q471" s="11">
        <v>954.68</v>
      </c>
    </row>
    <row r="472" spans="1:17" ht="15" customHeight="1" x14ac:dyDescent="0.2">
      <c r="A472" s="9" t="s">
        <v>633</v>
      </c>
      <c r="B472" s="10">
        <v>45951</v>
      </c>
      <c r="C472" s="10">
        <v>45931</v>
      </c>
      <c r="D472" s="9" t="s">
        <v>20</v>
      </c>
      <c r="E472" s="9" t="s">
        <v>25</v>
      </c>
      <c r="F472" s="9" t="s">
        <v>186</v>
      </c>
      <c r="G472" s="9" t="s">
        <v>150</v>
      </c>
      <c r="H472" s="9" t="s">
        <v>167</v>
      </c>
      <c r="I472" s="9" t="b">
        <f>TRUE()</f>
        <v>1</v>
      </c>
      <c r="J472" s="9" t="s">
        <v>152</v>
      </c>
      <c r="K472" s="9" t="s">
        <v>153</v>
      </c>
      <c r="L472" s="10">
        <v>45958</v>
      </c>
      <c r="M472" s="10">
        <v>45972</v>
      </c>
      <c r="N472" s="10"/>
      <c r="O472" s="10">
        <v>46007</v>
      </c>
      <c r="P472" s="9" t="b">
        <f>TRUE()</f>
        <v>1</v>
      </c>
      <c r="Q472" s="11">
        <v>8050.5</v>
      </c>
    </row>
    <row r="473" spans="1:17" ht="15" customHeight="1" x14ac:dyDescent="0.2">
      <c r="A473" s="9" t="s">
        <v>634</v>
      </c>
      <c r="B473" s="10">
        <v>45850</v>
      </c>
      <c r="C473" s="10">
        <v>45839</v>
      </c>
      <c r="D473" s="9" t="s">
        <v>20</v>
      </c>
      <c r="E473" s="9" t="s">
        <v>24</v>
      </c>
      <c r="F473" s="9" t="s">
        <v>149</v>
      </c>
      <c r="G473" s="9" t="s">
        <v>161</v>
      </c>
      <c r="H473" s="9" t="s">
        <v>189</v>
      </c>
      <c r="I473" s="9" t="b">
        <f>TRUE()</f>
        <v>1</v>
      </c>
      <c r="J473" s="9" t="s">
        <v>152</v>
      </c>
      <c r="K473" s="9" t="s">
        <v>163</v>
      </c>
      <c r="L473" s="10"/>
      <c r="M473" s="10"/>
      <c r="N473" s="10"/>
      <c r="O473" s="10">
        <v>45862</v>
      </c>
      <c r="P473" s="9" t="b">
        <f>TRUE()</f>
        <v>1</v>
      </c>
      <c r="Q473" s="11">
        <v>3072.92</v>
      </c>
    </row>
    <row r="474" spans="1:17" ht="15" customHeight="1" x14ac:dyDescent="0.2">
      <c r="A474" s="9" t="s">
        <v>635</v>
      </c>
      <c r="B474" s="10">
        <v>45672</v>
      </c>
      <c r="C474" s="10">
        <v>45658</v>
      </c>
      <c r="D474" s="9" t="s">
        <v>20</v>
      </c>
      <c r="E474" s="9" t="s">
        <v>24</v>
      </c>
      <c r="F474" s="9" t="s">
        <v>149</v>
      </c>
      <c r="G474" s="9" t="s">
        <v>150</v>
      </c>
      <c r="H474" s="9" t="s">
        <v>192</v>
      </c>
      <c r="I474" s="9" t="b">
        <f>TRUE()</f>
        <v>1</v>
      </c>
      <c r="J474" s="9" t="s">
        <v>2</v>
      </c>
      <c r="K474" s="9" t="s">
        <v>153</v>
      </c>
      <c r="L474" s="10">
        <v>45680</v>
      </c>
      <c r="M474" s="10">
        <v>45692</v>
      </c>
      <c r="N474" s="10">
        <v>45720</v>
      </c>
      <c r="O474" s="10"/>
      <c r="P474" s="9" t="b">
        <f>TRUE()</f>
        <v>1</v>
      </c>
      <c r="Q474" s="11">
        <v>8251.14</v>
      </c>
    </row>
    <row r="475" spans="1:17" ht="15" customHeight="1" x14ac:dyDescent="0.2">
      <c r="A475" s="9" t="s">
        <v>636</v>
      </c>
      <c r="B475" s="10">
        <v>45689</v>
      </c>
      <c r="C475" s="10">
        <v>45689</v>
      </c>
      <c r="D475" s="9" t="s">
        <v>21</v>
      </c>
      <c r="E475" s="9" t="s">
        <v>26</v>
      </c>
      <c r="F475" s="9" t="s">
        <v>149</v>
      </c>
      <c r="G475" s="9" t="s">
        <v>156</v>
      </c>
      <c r="H475" s="9" t="s">
        <v>176</v>
      </c>
      <c r="I475" s="9" t="b">
        <f>TRUE()</f>
        <v>1</v>
      </c>
      <c r="J475" s="9" t="s">
        <v>152</v>
      </c>
      <c r="K475" s="9" t="s">
        <v>153</v>
      </c>
      <c r="L475" s="10">
        <v>45696</v>
      </c>
      <c r="M475" s="10"/>
      <c r="N475" s="10"/>
      <c r="O475" s="10">
        <v>45719</v>
      </c>
      <c r="P475" s="9" t="b">
        <f>TRUE()</f>
        <v>1</v>
      </c>
      <c r="Q475" s="11">
        <v>955.14</v>
      </c>
    </row>
    <row r="476" spans="1:17" ht="15" customHeight="1" x14ac:dyDescent="0.2">
      <c r="A476" s="9" t="s">
        <v>637</v>
      </c>
      <c r="B476" s="10">
        <v>45991</v>
      </c>
      <c r="C476" s="10">
        <v>45962</v>
      </c>
      <c r="D476" s="9" t="s">
        <v>19</v>
      </c>
      <c r="E476" s="9" t="s">
        <v>24</v>
      </c>
      <c r="F476" s="9" t="s">
        <v>186</v>
      </c>
      <c r="G476" s="9" t="s">
        <v>161</v>
      </c>
      <c r="H476" s="9" t="s">
        <v>207</v>
      </c>
      <c r="I476" s="9" t="b">
        <f>TRUE()</f>
        <v>1</v>
      </c>
      <c r="J476" s="9" t="s">
        <v>152</v>
      </c>
      <c r="K476" s="9" t="s">
        <v>163</v>
      </c>
      <c r="L476" s="10"/>
      <c r="M476" s="10"/>
      <c r="N476" s="10"/>
      <c r="O476" s="10">
        <v>46010</v>
      </c>
      <c r="P476" s="9" t="b">
        <f>TRUE()</f>
        <v>1</v>
      </c>
      <c r="Q476" s="11">
        <v>2305.0300000000002</v>
      </c>
    </row>
    <row r="477" spans="1:17" ht="15" customHeight="1" x14ac:dyDescent="0.2">
      <c r="A477" s="9" t="s">
        <v>638</v>
      </c>
      <c r="B477" s="10">
        <v>45787</v>
      </c>
      <c r="C477" s="10">
        <v>45778</v>
      </c>
      <c r="D477" s="9" t="s">
        <v>20</v>
      </c>
      <c r="E477" s="9" t="s">
        <v>26</v>
      </c>
      <c r="F477" s="9" t="s">
        <v>155</v>
      </c>
      <c r="G477" s="9" t="s">
        <v>156</v>
      </c>
      <c r="H477" s="9" t="s">
        <v>167</v>
      </c>
      <c r="I477" s="9" t="b">
        <f>TRUE()</f>
        <v>1</v>
      </c>
      <c r="J477" s="9" t="s">
        <v>152</v>
      </c>
      <c r="K477" s="9" t="s">
        <v>153</v>
      </c>
      <c r="L477" s="10">
        <v>45790</v>
      </c>
      <c r="M477" s="10">
        <v>45799</v>
      </c>
      <c r="N477" s="10"/>
      <c r="O477" s="10">
        <v>45810</v>
      </c>
      <c r="P477" s="9" t="b">
        <f>TRUE()</f>
        <v>1</v>
      </c>
      <c r="Q477" s="11">
        <v>699.35</v>
      </c>
    </row>
    <row r="478" spans="1:17" ht="15" customHeight="1" x14ac:dyDescent="0.2">
      <c r="A478" s="9" t="s">
        <v>639</v>
      </c>
      <c r="B478" s="10">
        <v>45860</v>
      </c>
      <c r="C478" s="10">
        <v>45839</v>
      </c>
      <c r="D478" s="9" t="s">
        <v>20</v>
      </c>
      <c r="E478" s="9" t="s">
        <v>25</v>
      </c>
      <c r="F478" s="9" t="s">
        <v>155</v>
      </c>
      <c r="G478" s="9" t="s">
        <v>156</v>
      </c>
      <c r="H478" s="9" t="s">
        <v>189</v>
      </c>
      <c r="I478" s="9" t="b">
        <f>TRUE()</f>
        <v>1</v>
      </c>
      <c r="J478" s="9" t="s">
        <v>2</v>
      </c>
      <c r="K478" s="9" t="s">
        <v>153</v>
      </c>
      <c r="L478" s="10">
        <v>45869</v>
      </c>
      <c r="M478" s="10">
        <v>45876</v>
      </c>
      <c r="N478" s="10">
        <v>45879</v>
      </c>
      <c r="O478" s="10"/>
      <c r="P478" s="9" t="b">
        <f>TRUE()</f>
        <v>1</v>
      </c>
      <c r="Q478" s="11">
        <v>673.11</v>
      </c>
    </row>
    <row r="479" spans="1:17" ht="15" customHeight="1" x14ac:dyDescent="0.2">
      <c r="A479" s="9" t="s">
        <v>640</v>
      </c>
      <c r="B479" s="10">
        <v>45791</v>
      </c>
      <c r="C479" s="10">
        <v>45778</v>
      </c>
      <c r="D479" s="9" t="s">
        <v>21</v>
      </c>
      <c r="E479" s="9" t="s">
        <v>28</v>
      </c>
      <c r="F479" s="9" t="s">
        <v>160</v>
      </c>
      <c r="G479" s="9" t="s">
        <v>156</v>
      </c>
      <c r="H479" s="9" t="s">
        <v>183</v>
      </c>
      <c r="I479" s="9" t="b">
        <f>TRUE()</f>
        <v>1</v>
      </c>
      <c r="J479" s="9" t="s">
        <v>152</v>
      </c>
      <c r="K479" s="9" t="s">
        <v>153</v>
      </c>
      <c r="L479" s="10">
        <v>45801</v>
      </c>
      <c r="M479" s="10">
        <v>45812</v>
      </c>
      <c r="N479" s="10"/>
      <c r="O479" s="10">
        <v>45828</v>
      </c>
      <c r="P479" s="9" t="b">
        <f>TRUE()</f>
        <v>1</v>
      </c>
      <c r="Q479" s="11">
        <v>819.69</v>
      </c>
    </row>
    <row r="480" spans="1:17" ht="15" customHeight="1" x14ac:dyDescent="0.2">
      <c r="A480" s="9" t="s">
        <v>641</v>
      </c>
      <c r="B480" s="10">
        <v>45736</v>
      </c>
      <c r="C480" s="10">
        <v>45717</v>
      </c>
      <c r="D480" s="9" t="s">
        <v>22</v>
      </c>
      <c r="E480" s="9" t="s">
        <v>25</v>
      </c>
      <c r="F480" s="9" t="s">
        <v>186</v>
      </c>
      <c r="G480" s="9" t="s">
        <v>150</v>
      </c>
      <c r="H480" s="9" t="s">
        <v>151</v>
      </c>
      <c r="I480" s="9" t="b">
        <f>TRUE()</f>
        <v>1</v>
      </c>
      <c r="J480" s="9" t="s">
        <v>152</v>
      </c>
      <c r="K480" s="9" t="s">
        <v>153</v>
      </c>
      <c r="L480" s="10">
        <v>45738</v>
      </c>
      <c r="M480" s="10">
        <v>45749</v>
      </c>
      <c r="N480" s="10"/>
      <c r="O480" s="10">
        <v>45767</v>
      </c>
      <c r="P480" s="9" t="b">
        <f>TRUE()</f>
        <v>1</v>
      </c>
      <c r="Q480" s="11">
        <v>6623.82</v>
      </c>
    </row>
    <row r="481" spans="1:17" ht="15" customHeight="1" x14ac:dyDescent="0.2">
      <c r="A481" s="9" t="s">
        <v>642</v>
      </c>
      <c r="B481" s="10">
        <v>45664</v>
      </c>
      <c r="C481" s="10">
        <v>45658</v>
      </c>
      <c r="D481" s="9" t="s">
        <v>19</v>
      </c>
      <c r="E481" s="9" t="s">
        <v>27</v>
      </c>
      <c r="F481" s="9" t="s">
        <v>155</v>
      </c>
      <c r="G481" s="9" t="s">
        <v>156</v>
      </c>
      <c r="H481" s="9" t="s">
        <v>210</v>
      </c>
      <c r="I481" s="9" t="b">
        <f>TRUE()</f>
        <v>1</v>
      </c>
      <c r="J481" s="9" t="s">
        <v>152</v>
      </c>
      <c r="K481" s="9" t="s">
        <v>153</v>
      </c>
      <c r="L481" s="10">
        <v>45673</v>
      </c>
      <c r="M481" s="10">
        <v>45681</v>
      </c>
      <c r="N481" s="10"/>
      <c r="O481" s="10">
        <v>45692</v>
      </c>
      <c r="P481" s="9" t="b">
        <f>TRUE()</f>
        <v>1</v>
      </c>
      <c r="Q481" s="11">
        <v>483.38</v>
      </c>
    </row>
    <row r="482" spans="1:17" ht="15" customHeight="1" x14ac:dyDescent="0.2">
      <c r="A482" s="9" t="s">
        <v>643</v>
      </c>
      <c r="B482" s="10">
        <v>45790</v>
      </c>
      <c r="C482" s="10">
        <v>45778</v>
      </c>
      <c r="D482" s="9" t="s">
        <v>18</v>
      </c>
      <c r="E482" s="9" t="s">
        <v>24</v>
      </c>
      <c r="F482" s="9" t="s">
        <v>149</v>
      </c>
      <c r="G482" s="9" t="s">
        <v>156</v>
      </c>
      <c r="H482" s="9" t="s">
        <v>201</v>
      </c>
      <c r="I482" s="9" t="b">
        <f>TRUE()</f>
        <v>1</v>
      </c>
      <c r="J482" s="9" t="s">
        <v>152</v>
      </c>
      <c r="K482" s="9" t="s">
        <v>163</v>
      </c>
      <c r="L482" s="10"/>
      <c r="M482" s="10"/>
      <c r="N482" s="10"/>
      <c r="O482" s="10">
        <v>45797</v>
      </c>
      <c r="P482" s="9" t="b">
        <f>TRUE()</f>
        <v>1</v>
      </c>
      <c r="Q482" s="11">
        <v>937.33</v>
      </c>
    </row>
    <row r="483" spans="1:17" ht="15" customHeight="1" x14ac:dyDescent="0.2">
      <c r="A483" s="9" t="s">
        <v>644</v>
      </c>
      <c r="B483" s="10">
        <v>45891</v>
      </c>
      <c r="C483" s="10">
        <v>45870</v>
      </c>
      <c r="D483" s="9" t="s">
        <v>22</v>
      </c>
      <c r="E483" s="9" t="s">
        <v>24</v>
      </c>
      <c r="F483" s="9" t="s">
        <v>149</v>
      </c>
      <c r="G483" s="9" t="s">
        <v>156</v>
      </c>
      <c r="H483" s="9" t="s">
        <v>151</v>
      </c>
      <c r="I483" s="9" t="b">
        <f>TRUE()</f>
        <v>1</v>
      </c>
      <c r="J483" s="9" t="s">
        <v>152</v>
      </c>
      <c r="K483" s="9" t="s">
        <v>163</v>
      </c>
      <c r="L483" s="10"/>
      <c r="M483" s="10"/>
      <c r="N483" s="10"/>
      <c r="O483" s="10">
        <v>45906</v>
      </c>
      <c r="P483" s="9" t="b">
        <f>TRUE()</f>
        <v>1</v>
      </c>
      <c r="Q483" s="11">
        <v>910.46</v>
      </c>
    </row>
    <row r="484" spans="1:17" ht="15" customHeight="1" x14ac:dyDescent="0.2">
      <c r="A484" s="9" t="s">
        <v>645</v>
      </c>
      <c r="B484" s="10">
        <v>45673</v>
      </c>
      <c r="C484" s="10">
        <v>45658</v>
      </c>
      <c r="D484" s="9" t="s">
        <v>18</v>
      </c>
      <c r="E484" s="9" t="s">
        <v>24</v>
      </c>
      <c r="F484" s="9" t="s">
        <v>149</v>
      </c>
      <c r="G484" s="9" t="s">
        <v>161</v>
      </c>
      <c r="H484" s="9" t="s">
        <v>251</v>
      </c>
      <c r="I484" s="9" t="b">
        <f>TRUE()</f>
        <v>1</v>
      </c>
      <c r="J484" s="9" t="s">
        <v>2</v>
      </c>
      <c r="K484" s="9" t="s">
        <v>153</v>
      </c>
      <c r="L484" s="10">
        <v>45683</v>
      </c>
      <c r="M484" s="10">
        <v>45685</v>
      </c>
      <c r="N484" s="10">
        <v>45688</v>
      </c>
      <c r="O484" s="10"/>
      <c r="P484" s="9" t="b">
        <f>TRUE()</f>
        <v>1</v>
      </c>
      <c r="Q484" s="11">
        <v>2163.86</v>
      </c>
    </row>
    <row r="485" spans="1:17" ht="15" customHeight="1" x14ac:dyDescent="0.2">
      <c r="A485" s="9" t="s">
        <v>646</v>
      </c>
      <c r="B485" s="10">
        <v>45896</v>
      </c>
      <c r="C485" s="10">
        <v>45870</v>
      </c>
      <c r="D485" s="9" t="s">
        <v>22</v>
      </c>
      <c r="E485" s="9" t="s">
        <v>25</v>
      </c>
      <c r="F485" s="9" t="s">
        <v>155</v>
      </c>
      <c r="G485" s="9" t="s">
        <v>161</v>
      </c>
      <c r="H485" s="9" t="s">
        <v>151</v>
      </c>
      <c r="I485" s="9" t="b">
        <f>TRUE()</f>
        <v>1</v>
      </c>
      <c r="J485" s="9" t="s">
        <v>152</v>
      </c>
      <c r="K485" s="9" t="s">
        <v>153</v>
      </c>
      <c r="L485" s="10">
        <v>45897</v>
      </c>
      <c r="M485" s="10">
        <v>45904</v>
      </c>
      <c r="N485" s="10"/>
      <c r="O485" s="10">
        <v>45937</v>
      </c>
      <c r="P485" s="9" t="b">
        <f>TRUE()</f>
        <v>1</v>
      </c>
      <c r="Q485" s="11">
        <v>1524.38</v>
      </c>
    </row>
    <row r="486" spans="1:17" ht="15" customHeight="1" x14ac:dyDescent="0.2">
      <c r="A486" s="9" t="s">
        <v>647</v>
      </c>
      <c r="B486" s="10">
        <v>45678</v>
      </c>
      <c r="C486" s="10">
        <v>45658</v>
      </c>
      <c r="D486" s="9" t="s">
        <v>21</v>
      </c>
      <c r="E486" s="9" t="s">
        <v>24</v>
      </c>
      <c r="F486" s="9" t="s">
        <v>186</v>
      </c>
      <c r="G486" s="9" t="s">
        <v>156</v>
      </c>
      <c r="H486" s="9" t="s">
        <v>183</v>
      </c>
      <c r="I486" s="9" t="b">
        <f>TRUE()</f>
        <v>1</v>
      </c>
      <c r="J486" s="9" t="s">
        <v>152</v>
      </c>
      <c r="K486" s="9" t="s">
        <v>163</v>
      </c>
      <c r="L486" s="10"/>
      <c r="M486" s="10"/>
      <c r="N486" s="10"/>
      <c r="O486" s="10">
        <v>45686</v>
      </c>
      <c r="P486" s="9" t="b">
        <f>TRUE()</f>
        <v>1</v>
      </c>
      <c r="Q486" s="11">
        <v>474.64</v>
      </c>
    </row>
    <row r="487" spans="1:17" ht="15" customHeight="1" x14ac:dyDescent="0.2">
      <c r="A487" s="9" t="s">
        <v>648</v>
      </c>
      <c r="B487" s="10">
        <v>45713</v>
      </c>
      <c r="C487" s="10">
        <v>45689</v>
      </c>
      <c r="D487" s="9" t="s">
        <v>22</v>
      </c>
      <c r="E487" s="9" t="s">
        <v>25</v>
      </c>
      <c r="F487" s="9" t="s">
        <v>149</v>
      </c>
      <c r="G487" s="9" t="s">
        <v>156</v>
      </c>
      <c r="H487" s="9" t="s">
        <v>165</v>
      </c>
      <c r="I487" s="9" t="b">
        <f>TRUE()</f>
        <v>1</v>
      </c>
      <c r="J487" s="9" t="s">
        <v>152</v>
      </c>
      <c r="K487" s="9" t="s">
        <v>153</v>
      </c>
      <c r="L487" s="10">
        <v>45722</v>
      </c>
      <c r="M487" s="10"/>
      <c r="N487" s="10"/>
      <c r="O487" s="10">
        <v>45736</v>
      </c>
      <c r="P487" s="9" t="b">
        <f>TRUE()</f>
        <v>1</v>
      </c>
      <c r="Q487" s="11">
        <v>1115.27</v>
      </c>
    </row>
    <row r="488" spans="1:17" ht="15" customHeight="1" x14ac:dyDescent="0.2">
      <c r="A488" s="9" t="s">
        <v>649</v>
      </c>
      <c r="B488" s="10">
        <v>45942</v>
      </c>
      <c r="C488" s="10">
        <v>45931</v>
      </c>
      <c r="D488" s="9" t="s">
        <v>22</v>
      </c>
      <c r="E488" s="9" t="s">
        <v>28</v>
      </c>
      <c r="F488" s="9" t="s">
        <v>149</v>
      </c>
      <c r="G488" s="9" t="s">
        <v>156</v>
      </c>
      <c r="H488" s="9" t="s">
        <v>165</v>
      </c>
      <c r="I488" s="9" t="b">
        <f>TRUE()</f>
        <v>1</v>
      </c>
      <c r="J488" s="9" t="s">
        <v>152</v>
      </c>
      <c r="K488" s="9" t="s">
        <v>153</v>
      </c>
      <c r="L488" s="10">
        <v>45943</v>
      </c>
      <c r="M488" s="10"/>
      <c r="N488" s="10"/>
      <c r="O488" s="10">
        <v>45951</v>
      </c>
      <c r="P488" s="9" t="b">
        <f>TRUE()</f>
        <v>1</v>
      </c>
      <c r="Q488" s="11">
        <v>747.75</v>
      </c>
    </row>
    <row r="489" spans="1:17" ht="15" customHeight="1" x14ac:dyDescent="0.2">
      <c r="A489" s="9" t="s">
        <v>650</v>
      </c>
      <c r="B489" s="10">
        <v>45733</v>
      </c>
      <c r="C489" s="10">
        <v>45717</v>
      </c>
      <c r="D489" s="9" t="s">
        <v>18</v>
      </c>
      <c r="E489" s="9" t="s">
        <v>24</v>
      </c>
      <c r="F489" s="9" t="s">
        <v>149</v>
      </c>
      <c r="G489" s="9" t="s">
        <v>156</v>
      </c>
      <c r="H489" s="9" t="s">
        <v>157</v>
      </c>
      <c r="I489" s="9" t="b">
        <f>TRUE()</f>
        <v>1</v>
      </c>
      <c r="J489" s="9" t="s">
        <v>152</v>
      </c>
      <c r="K489" s="9" t="s">
        <v>153</v>
      </c>
      <c r="L489" s="10">
        <v>45742</v>
      </c>
      <c r="M489" s="10">
        <v>45752</v>
      </c>
      <c r="N489" s="10"/>
      <c r="O489" s="10">
        <v>45766</v>
      </c>
      <c r="P489" s="9" t="b">
        <f>TRUE()</f>
        <v>1</v>
      </c>
      <c r="Q489" s="11">
        <v>752.83</v>
      </c>
    </row>
    <row r="490" spans="1:17" ht="15" customHeight="1" x14ac:dyDescent="0.2">
      <c r="A490" s="9" t="s">
        <v>651</v>
      </c>
      <c r="B490" s="10">
        <v>45788</v>
      </c>
      <c r="C490" s="10">
        <v>45778</v>
      </c>
      <c r="D490" s="9" t="s">
        <v>20</v>
      </c>
      <c r="E490" s="9" t="s">
        <v>27</v>
      </c>
      <c r="F490" s="9" t="s">
        <v>149</v>
      </c>
      <c r="G490" s="9" t="s">
        <v>161</v>
      </c>
      <c r="H490" s="9" t="s">
        <v>192</v>
      </c>
      <c r="I490" s="9" t="b">
        <f>TRUE()</f>
        <v>1</v>
      </c>
      <c r="J490" s="9" t="s">
        <v>152</v>
      </c>
      <c r="K490" s="9" t="s">
        <v>153</v>
      </c>
      <c r="L490" s="10">
        <v>45792</v>
      </c>
      <c r="M490" s="10">
        <v>45799</v>
      </c>
      <c r="N490" s="10"/>
      <c r="O490" s="10">
        <v>45829</v>
      </c>
      <c r="P490" s="9" t="b">
        <f>TRUE()</f>
        <v>1</v>
      </c>
      <c r="Q490" s="11">
        <v>2417.48</v>
      </c>
    </row>
    <row r="491" spans="1:17" ht="15" customHeight="1" x14ac:dyDescent="0.2">
      <c r="A491" s="9" t="s">
        <v>652</v>
      </c>
      <c r="B491" s="10">
        <v>45921</v>
      </c>
      <c r="C491" s="10">
        <v>45901</v>
      </c>
      <c r="D491" s="9" t="s">
        <v>22</v>
      </c>
      <c r="E491" s="9" t="s">
        <v>24</v>
      </c>
      <c r="F491" s="9" t="s">
        <v>155</v>
      </c>
      <c r="G491" s="9" t="s">
        <v>156</v>
      </c>
      <c r="H491" s="9" t="s">
        <v>151</v>
      </c>
      <c r="I491" s="9" t="b">
        <f>TRUE()</f>
        <v>1</v>
      </c>
      <c r="J491" s="9" t="s">
        <v>152</v>
      </c>
      <c r="K491" s="9" t="s">
        <v>163</v>
      </c>
      <c r="L491" s="10"/>
      <c r="M491" s="10"/>
      <c r="N491" s="10"/>
      <c r="O491" s="10">
        <v>45940</v>
      </c>
      <c r="P491" s="9" t="b">
        <f>TRUE()</f>
        <v>1</v>
      </c>
      <c r="Q491" s="11">
        <v>400.64</v>
      </c>
    </row>
    <row r="492" spans="1:17" ht="15" customHeight="1" x14ac:dyDescent="0.2">
      <c r="A492" s="9" t="s">
        <v>653</v>
      </c>
      <c r="B492" s="10">
        <v>45880</v>
      </c>
      <c r="C492" s="10">
        <v>45870</v>
      </c>
      <c r="D492" s="9" t="s">
        <v>22</v>
      </c>
      <c r="E492" s="9" t="s">
        <v>24</v>
      </c>
      <c r="F492" s="9" t="s">
        <v>149</v>
      </c>
      <c r="G492" s="9" t="s">
        <v>161</v>
      </c>
      <c r="H492" s="9" t="s">
        <v>165</v>
      </c>
      <c r="I492" s="9" t="b">
        <f>TRUE()</f>
        <v>1</v>
      </c>
      <c r="J492" s="9" t="s">
        <v>2</v>
      </c>
      <c r="K492" s="9" t="s">
        <v>153</v>
      </c>
      <c r="L492" s="10">
        <v>45885</v>
      </c>
      <c r="M492" s="10">
        <v>45887</v>
      </c>
      <c r="N492" s="10">
        <v>45896</v>
      </c>
      <c r="O492" s="10"/>
      <c r="P492" s="9" t="b">
        <f>TRUE()</f>
        <v>1</v>
      </c>
      <c r="Q492" s="11">
        <v>3086.02</v>
      </c>
    </row>
    <row r="493" spans="1:17" ht="15" customHeight="1" x14ac:dyDescent="0.2">
      <c r="A493" s="9" t="s">
        <v>654</v>
      </c>
      <c r="B493" s="10">
        <v>45833</v>
      </c>
      <c r="C493" s="10">
        <v>45809</v>
      </c>
      <c r="D493" s="9" t="s">
        <v>22</v>
      </c>
      <c r="E493" s="9" t="s">
        <v>27</v>
      </c>
      <c r="F493" s="9" t="s">
        <v>160</v>
      </c>
      <c r="G493" s="9" t="s">
        <v>156</v>
      </c>
      <c r="H493" s="9" t="s">
        <v>170</v>
      </c>
      <c r="I493" s="9" t="b">
        <f>TRUE()</f>
        <v>1</v>
      </c>
      <c r="J493" s="9" t="s">
        <v>152</v>
      </c>
      <c r="K493" s="9" t="s">
        <v>163</v>
      </c>
      <c r="L493" s="10"/>
      <c r="M493" s="10"/>
      <c r="N493" s="10"/>
      <c r="O493" s="10">
        <v>45846</v>
      </c>
      <c r="P493" s="9" t="b">
        <f>TRUE()</f>
        <v>1</v>
      </c>
      <c r="Q493" s="11">
        <v>539.38</v>
      </c>
    </row>
    <row r="494" spans="1:17" ht="15" customHeight="1" x14ac:dyDescent="0.2">
      <c r="A494" s="9" t="s">
        <v>655</v>
      </c>
      <c r="B494" s="10">
        <v>45815</v>
      </c>
      <c r="C494" s="10">
        <v>45809</v>
      </c>
      <c r="D494" s="9" t="s">
        <v>22</v>
      </c>
      <c r="E494" s="9" t="s">
        <v>26</v>
      </c>
      <c r="F494" s="9" t="s">
        <v>160</v>
      </c>
      <c r="G494" s="9" t="s">
        <v>156</v>
      </c>
      <c r="H494" s="9" t="s">
        <v>151</v>
      </c>
      <c r="I494" s="9" t="b">
        <f>TRUE()</f>
        <v>1</v>
      </c>
      <c r="J494" s="9" t="s">
        <v>2</v>
      </c>
      <c r="K494" s="9" t="s">
        <v>153</v>
      </c>
      <c r="L494" s="10">
        <v>45818</v>
      </c>
      <c r="M494" s="10">
        <v>45831</v>
      </c>
      <c r="N494" s="10">
        <v>45856</v>
      </c>
      <c r="O494" s="10"/>
      <c r="P494" s="9" t="b">
        <f>TRUE()</f>
        <v>1</v>
      </c>
      <c r="Q494" s="11">
        <v>846.03</v>
      </c>
    </row>
    <row r="495" spans="1:17" ht="15" customHeight="1" x14ac:dyDescent="0.2">
      <c r="A495" s="9" t="s">
        <v>56</v>
      </c>
      <c r="B495" s="10">
        <v>45952</v>
      </c>
      <c r="C495" s="10">
        <v>45931</v>
      </c>
      <c r="D495" s="9" t="s">
        <v>21</v>
      </c>
      <c r="E495" s="9" t="s">
        <v>375</v>
      </c>
      <c r="F495" s="9" t="s">
        <v>149</v>
      </c>
      <c r="G495" s="9" t="s">
        <v>156</v>
      </c>
      <c r="H495" s="9" t="s">
        <v>183</v>
      </c>
      <c r="I495" s="9" t="b">
        <f>TRUE()</f>
        <v>1</v>
      </c>
      <c r="J495" s="9" t="s">
        <v>152</v>
      </c>
      <c r="K495" s="9" t="s">
        <v>163</v>
      </c>
      <c r="L495" s="10"/>
      <c r="M495" s="10"/>
      <c r="N495" s="10"/>
      <c r="O495" s="10">
        <v>45967</v>
      </c>
      <c r="P495" s="9" t="b">
        <f>TRUE()</f>
        <v>1</v>
      </c>
      <c r="Q495" s="11">
        <v>740.32</v>
      </c>
    </row>
    <row r="496" spans="1:17" ht="15" customHeight="1" x14ac:dyDescent="0.2">
      <c r="A496" s="9" t="s">
        <v>656</v>
      </c>
      <c r="B496" s="10">
        <v>45840</v>
      </c>
      <c r="C496" s="10">
        <v>45839</v>
      </c>
      <c r="D496" s="9" t="s">
        <v>20</v>
      </c>
      <c r="E496" s="9" t="s">
        <v>24</v>
      </c>
      <c r="F496" s="9" t="s">
        <v>160</v>
      </c>
      <c r="G496" s="9" t="s">
        <v>156</v>
      </c>
      <c r="H496" s="9" t="s">
        <v>189</v>
      </c>
      <c r="I496" s="9" t="b">
        <f>TRUE()</f>
        <v>1</v>
      </c>
      <c r="J496" s="9" t="s">
        <v>152</v>
      </c>
      <c r="K496" s="9" t="s">
        <v>153</v>
      </c>
      <c r="L496" s="10">
        <v>45843</v>
      </c>
      <c r="M496" s="10">
        <v>45857</v>
      </c>
      <c r="N496" s="10"/>
      <c r="O496" s="10">
        <v>45874</v>
      </c>
      <c r="P496" s="9" t="b">
        <f>TRUE()</f>
        <v>1</v>
      </c>
      <c r="Q496" s="11">
        <v>617.53</v>
      </c>
    </row>
    <row r="497" spans="1:17" ht="15" customHeight="1" x14ac:dyDescent="0.2">
      <c r="A497" s="9" t="s">
        <v>657</v>
      </c>
      <c r="B497" s="10">
        <v>45774</v>
      </c>
      <c r="C497" s="10">
        <v>45748</v>
      </c>
      <c r="D497" s="9" t="s">
        <v>20</v>
      </c>
      <c r="E497" s="9" t="s">
        <v>25</v>
      </c>
      <c r="F497" s="9" t="s">
        <v>160</v>
      </c>
      <c r="G497" s="9" t="s">
        <v>161</v>
      </c>
      <c r="H497" s="9" t="s">
        <v>192</v>
      </c>
      <c r="I497" s="9" t="b">
        <f>TRUE()</f>
        <v>1</v>
      </c>
      <c r="J497" s="9" t="s">
        <v>152</v>
      </c>
      <c r="K497" s="9" t="s">
        <v>153</v>
      </c>
      <c r="L497" s="10">
        <v>45775</v>
      </c>
      <c r="M497" s="10">
        <v>45785</v>
      </c>
      <c r="N497" s="10"/>
      <c r="O497" s="10">
        <v>45797</v>
      </c>
      <c r="P497" s="9" t="b">
        <f>TRUE()</f>
        <v>1</v>
      </c>
      <c r="Q497" s="11">
        <v>2355.5500000000002</v>
      </c>
    </row>
    <row r="498" spans="1:17" ht="15" customHeight="1" x14ac:dyDescent="0.2">
      <c r="A498" s="9" t="s">
        <v>69</v>
      </c>
      <c r="B498" s="10">
        <v>45717</v>
      </c>
      <c r="C498" s="10">
        <v>45717</v>
      </c>
      <c r="D498" s="9" t="s">
        <v>22</v>
      </c>
      <c r="E498" s="9" t="s">
        <v>27</v>
      </c>
      <c r="F498" s="9" t="s">
        <v>160</v>
      </c>
      <c r="G498" s="9" t="s">
        <v>156</v>
      </c>
      <c r="H498" s="9" t="s">
        <v>170</v>
      </c>
      <c r="I498" s="9" t="b">
        <f>TRUE()</f>
        <v>1</v>
      </c>
      <c r="J498" s="9" t="s">
        <v>2</v>
      </c>
      <c r="K498" s="9" t="s">
        <v>153</v>
      </c>
      <c r="L498" s="10">
        <v>45723</v>
      </c>
      <c r="M498" s="10">
        <v>45734</v>
      </c>
      <c r="N498" s="10">
        <v>45712</v>
      </c>
      <c r="O498" s="10"/>
      <c r="P498" s="9" t="b">
        <f>FALSE()</f>
        <v>0</v>
      </c>
      <c r="Q498" s="11">
        <v>918.35</v>
      </c>
    </row>
    <row r="499" spans="1:17" ht="15" customHeight="1" x14ac:dyDescent="0.2">
      <c r="A499" s="9" t="s">
        <v>658</v>
      </c>
      <c r="B499" s="10">
        <v>45798</v>
      </c>
      <c r="C499" s="10">
        <v>45778</v>
      </c>
      <c r="D499" s="9" t="s">
        <v>21</v>
      </c>
      <c r="E499" s="9" t="s">
        <v>28</v>
      </c>
      <c r="F499" s="9" t="s">
        <v>149</v>
      </c>
      <c r="G499" s="9" t="s">
        <v>156</v>
      </c>
      <c r="H499" s="9" t="s">
        <v>162</v>
      </c>
      <c r="I499" s="9" t="b">
        <f>TRUE()</f>
        <v>1</v>
      </c>
      <c r="J499" s="9" t="s">
        <v>152</v>
      </c>
      <c r="K499" s="9" t="s">
        <v>153</v>
      </c>
      <c r="L499" s="10">
        <v>45801</v>
      </c>
      <c r="M499" s="10">
        <v>45804</v>
      </c>
      <c r="N499" s="10"/>
      <c r="O499" s="10">
        <v>45823</v>
      </c>
      <c r="P499" s="9" t="b">
        <f>TRUE()</f>
        <v>1</v>
      </c>
      <c r="Q499" s="11">
        <v>834.69</v>
      </c>
    </row>
    <row r="500" spans="1:17" ht="15" customHeight="1" x14ac:dyDescent="0.2">
      <c r="A500" s="9" t="s">
        <v>659</v>
      </c>
      <c r="B500" s="10">
        <v>45974</v>
      </c>
      <c r="C500" s="10">
        <v>45962</v>
      </c>
      <c r="D500" s="9" t="s">
        <v>20</v>
      </c>
      <c r="E500" s="9" t="s">
        <v>28</v>
      </c>
      <c r="F500" s="9" t="s">
        <v>149</v>
      </c>
      <c r="G500" s="9" t="s">
        <v>161</v>
      </c>
      <c r="H500" s="9" t="s">
        <v>167</v>
      </c>
      <c r="I500" s="9" t="b">
        <f>TRUE()</f>
        <v>1</v>
      </c>
      <c r="J500" s="9" t="s">
        <v>152</v>
      </c>
      <c r="K500" s="9" t="s">
        <v>163</v>
      </c>
      <c r="L500" s="10"/>
      <c r="M500" s="10"/>
      <c r="N500" s="10"/>
      <c r="O500" s="10">
        <v>45988</v>
      </c>
      <c r="P500" s="9" t="b">
        <f>TRUE()</f>
        <v>1</v>
      </c>
      <c r="Q500" s="11">
        <v>2310.2600000000002</v>
      </c>
    </row>
    <row r="501" spans="1:17" ht="15" customHeight="1" x14ac:dyDescent="0.2">
      <c r="A501" s="9" t="s">
        <v>660</v>
      </c>
      <c r="B501" s="10">
        <v>45886</v>
      </c>
      <c r="C501" s="10">
        <v>45870</v>
      </c>
      <c r="D501" s="9" t="s">
        <v>20</v>
      </c>
      <c r="E501" s="9" t="s">
        <v>28</v>
      </c>
      <c r="F501" s="9" t="s">
        <v>155</v>
      </c>
      <c r="G501" s="9" t="s">
        <v>150</v>
      </c>
      <c r="H501" s="9" t="s">
        <v>189</v>
      </c>
      <c r="I501" s="9" t="b">
        <f>TRUE()</f>
        <v>1</v>
      </c>
      <c r="J501" s="9" t="s">
        <v>152</v>
      </c>
      <c r="K501" s="9" t="s">
        <v>163</v>
      </c>
      <c r="L501" s="10"/>
      <c r="M501" s="10"/>
      <c r="N501" s="10"/>
      <c r="O501" s="10">
        <v>45897</v>
      </c>
      <c r="P501" s="9" t="b">
        <f>TRUE()</f>
        <v>1</v>
      </c>
      <c r="Q501" s="11">
        <v>4811.5200000000004</v>
      </c>
    </row>
    <row r="502" spans="1:17" ht="15" customHeight="1" x14ac:dyDescent="0.2">
      <c r="A502" s="9" t="s">
        <v>661</v>
      </c>
      <c r="B502" s="10">
        <v>45965</v>
      </c>
      <c r="C502" s="10">
        <v>45962</v>
      </c>
      <c r="D502" s="9" t="s">
        <v>22</v>
      </c>
      <c r="E502" s="9" t="s">
        <v>27</v>
      </c>
      <c r="F502" s="9" t="s">
        <v>186</v>
      </c>
      <c r="G502" s="9" t="s">
        <v>150</v>
      </c>
      <c r="H502" s="9" t="s">
        <v>170</v>
      </c>
      <c r="I502" s="9" t="b">
        <f>TRUE()</f>
        <v>1</v>
      </c>
      <c r="J502" s="9" t="s">
        <v>152</v>
      </c>
      <c r="K502" s="9" t="s">
        <v>153</v>
      </c>
      <c r="L502" s="10">
        <v>45972</v>
      </c>
      <c r="M502" s="10">
        <v>45986</v>
      </c>
      <c r="N502" s="10"/>
      <c r="O502" s="10">
        <v>46008</v>
      </c>
      <c r="P502" s="9" t="b">
        <f>TRUE()</f>
        <v>1</v>
      </c>
      <c r="Q502" s="11">
        <v>7174.48</v>
      </c>
    </row>
    <row r="503" spans="1:17" ht="15" customHeight="1" x14ac:dyDescent="0.2">
      <c r="A503" s="9" t="s">
        <v>662</v>
      </c>
      <c r="B503" s="10">
        <v>45876</v>
      </c>
      <c r="C503" s="10">
        <v>45870</v>
      </c>
      <c r="D503" s="9" t="s">
        <v>18</v>
      </c>
      <c r="E503" s="9" t="s">
        <v>25</v>
      </c>
      <c r="F503" s="9" t="s">
        <v>160</v>
      </c>
      <c r="G503" s="9" t="s">
        <v>156</v>
      </c>
      <c r="H503" s="9" t="s">
        <v>251</v>
      </c>
      <c r="I503" s="9" t="b">
        <f>TRUE()</f>
        <v>1</v>
      </c>
      <c r="J503" s="9" t="s">
        <v>152</v>
      </c>
      <c r="K503" s="9" t="s">
        <v>153</v>
      </c>
      <c r="L503" s="10">
        <v>45884</v>
      </c>
      <c r="M503" s="10">
        <v>45891</v>
      </c>
      <c r="N503" s="10"/>
      <c r="O503" s="10">
        <v>45921</v>
      </c>
      <c r="P503" s="9" t="b">
        <f>TRUE()</f>
        <v>1</v>
      </c>
      <c r="Q503" s="11">
        <v>893.92</v>
      </c>
    </row>
    <row r="504" spans="1:17" ht="15" customHeight="1" x14ac:dyDescent="0.2">
      <c r="A504" s="9" t="s">
        <v>663</v>
      </c>
      <c r="B504" s="10">
        <v>45709</v>
      </c>
      <c r="C504" s="10">
        <v>45689</v>
      </c>
      <c r="D504" s="9" t="s">
        <v>20</v>
      </c>
      <c r="E504" s="9" t="s">
        <v>27</v>
      </c>
      <c r="F504" s="9" t="s">
        <v>149</v>
      </c>
      <c r="G504" s="9" t="s">
        <v>156</v>
      </c>
      <c r="H504" s="9" t="s">
        <v>192</v>
      </c>
      <c r="I504" s="9" t="b">
        <f>TRUE()</f>
        <v>1</v>
      </c>
      <c r="J504" s="9" t="s">
        <v>152</v>
      </c>
      <c r="K504" s="9" t="s">
        <v>153</v>
      </c>
      <c r="L504" s="10">
        <v>45711</v>
      </c>
      <c r="M504" s="10">
        <v>45723</v>
      </c>
      <c r="N504" s="10"/>
      <c r="O504" s="10">
        <v>45736</v>
      </c>
      <c r="P504" s="9" t="b">
        <f>TRUE()</f>
        <v>1</v>
      </c>
      <c r="Q504" s="11">
        <v>618.27</v>
      </c>
    </row>
    <row r="505" spans="1:17" ht="15" customHeight="1" x14ac:dyDescent="0.2">
      <c r="A505" s="9" t="s">
        <v>664</v>
      </c>
      <c r="B505" s="10">
        <v>45760</v>
      </c>
      <c r="C505" s="10">
        <v>45748</v>
      </c>
      <c r="D505" s="9" t="s">
        <v>20</v>
      </c>
      <c r="E505" s="9" t="s">
        <v>26</v>
      </c>
      <c r="F505" s="9" t="s">
        <v>149</v>
      </c>
      <c r="G505" s="9" t="s">
        <v>161</v>
      </c>
      <c r="H505" s="9" t="s">
        <v>167</v>
      </c>
      <c r="I505" s="9" t="b">
        <f>TRUE()</f>
        <v>1</v>
      </c>
      <c r="J505" s="9" t="s">
        <v>2</v>
      </c>
      <c r="K505" s="9" t="s">
        <v>153</v>
      </c>
      <c r="L505" s="10">
        <v>45770</v>
      </c>
      <c r="M505" s="10">
        <v>45777</v>
      </c>
      <c r="N505" s="10">
        <v>45782</v>
      </c>
      <c r="O505" s="10"/>
      <c r="P505" s="9" t="b">
        <f>TRUE()</f>
        <v>1</v>
      </c>
      <c r="Q505" s="11">
        <v>3027.87</v>
      </c>
    </row>
    <row r="506" spans="1:17" ht="15" customHeight="1" x14ac:dyDescent="0.2">
      <c r="A506" s="9" t="s">
        <v>665</v>
      </c>
      <c r="B506" s="10">
        <v>45883</v>
      </c>
      <c r="C506" s="10">
        <v>45870</v>
      </c>
      <c r="D506" s="9" t="s">
        <v>22</v>
      </c>
      <c r="E506" s="9" t="s">
        <v>25</v>
      </c>
      <c r="F506" s="9" t="s">
        <v>186</v>
      </c>
      <c r="G506" s="9" t="s">
        <v>156</v>
      </c>
      <c r="H506" s="9" t="s">
        <v>165</v>
      </c>
      <c r="I506" s="9" t="b">
        <f>TRUE()</f>
        <v>1</v>
      </c>
      <c r="J506" s="9" t="s">
        <v>2</v>
      </c>
      <c r="K506" s="9" t="s">
        <v>153</v>
      </c>
      <c r="L506" s="10">
        <v>45891</v>
      </c>
      <c r="M506" s="10">
        <v>45894</v>
      </c>
      <c r="N506" s="10">
        <v>45920</v>
      </c>
      <c r="O506" s="10"/>
      <c r="P506" s="9" t="b">
        <f>TRUE()</f>
        <v>1</v>
      </c>
      <c r="Q506" s="11">
        <v>590.99</v>
      </c>
    </row>
    <row r="507" spans="1:17" ht="15" customHeight="1" x14ac:dyDescent="0.2">
      <c r="A507" s="9" t="s">
        <v>666</v>
      </c>
      <c r="B507" s="10">
        <v>45676</v>
      </c>
      <c r="C507" s="10">
        <v>45658</v>
      </c>
      <c r="D507" s="9" t="s">
        <v>18</v>
      </c>
      <c r="E507" s="9" t="s">
        <v>25</v>
      </c>
      <c r="F507" s="9" t="s">
        <v>149</v>
      </c>
      <c r="G507" s="9" t="s">
        <v>161</v>
      </c>
      <c r="H507" s="9" t="s">
        <v>157</v>
      </c>
      <c r="I507" s="9" t="b">
        <f>TRUE()</f>
        <v>1</v>
      </c>
      <c r="J507" s="9" t="s">
        <v>152</v>
      </c>
      <c r="K507" s="9" t="s">
        <v>153</v>
      </c>
      <c r="L507" s="10">
        <v>45683</v>
      </c>
      <c r="M507" s="10">
        <v>45687</v>
      </c>
      <c r="N507" s="10"/>
      <c r="O507" s="10">
        <v>45702</v>
      </c>
      <c r="P507" s="9" t="b">
        <f>TRUE()</f>
        <v>1</v>
      </c>
      <c r="Q507" s="11">
        <v>2870.03</v>
      </c>
    </row>
    <row r="508" spans="1:17" ht="15" customHeight="1" x14ac:dyDescent="0.2">
      <c r="A508" s="9" t="s">
        <v>667</v>
      </c>
      <c r="B508" s="10">
        <v>45820</v>
      </c>
      <c r="C508" s="10">
        <v>45809</v>
      </c>
      <c r="D508" s="9" t="s">
        <v>20</v>
      </c>
      <c r="E508" s="9" t="s">
        <v>26</v>
      </c>
      <c r="F508" s="9" t="s">
        <v>155</v>
      </c>
      <c r="G508" s="9" t="s">
        <v>156</v>
      </c>
      <c r="H508" s="9" t="s">
        <v>192</v>
      </c>
      <c r="I508" s="9" t="b">
        <f>TRUE()</f>
        <v>1</v>
      </c>
      <c r="J508" s="9" t="s">
        <v>152</v>
      </c>
      <c r="K508" s="9" t="s">
        <v>153</v>
      </c>
      <c r="L508" s="10">
        <v>45821</v>
      </c>
      <c r="M508" s="10">
        <v>45822</v>
      </c>
      <c r="N508" s="10"/>
      <c r="O508" s="10">
        <v>45834</v>
      </c>
      <c r="P508" s="9" t="b">
        <f>TRUE()</f>
        <v>1</v>
      </c>
      <c r="Q508" s="11">
        <v>394.44</v>
      </c>
    </row>
    <row r="509" spans="1:17" ht="15" customHeight="1" x14ac:dyDescent="0.2">
      <c r="A509" s="9" t="s">
        <v>668</v>
      </c>
      <c r="B509" s="10">
        <v>45993</v>
      </c>
      <c r="C509" s="10">
        <v>45992</v>
      </c>
      <c r="D509" s="9" t="s">
        <v>19</v>
      </c>
      <c r="E509" s="9" t="s">
        <v>24</v>
      </c>
      <c r="F509" s="9" t="s">
        <v>149</v>
      </c>
      <c r="G509" s="9" t="s">
        <v>156</v>
      </c>
      <c r="H509" s="9" t="s">
        <v>210</v>
      </c>
      <c r="I509" s="9" t="b">
        <f>TRUE()</f>
        <v>1</v>
      </c>
      <c r="J509" s="9" t="s">
        <v>15</v>
      </c>
      <c r="K509" s="9" t="s">
        <v>153</v>
      </c>
      <c r="L509" s="10">
        <v>45995</v>
      </c>
      <c r="M509" s="10"/>
      <c r="N509" s="10"/>
      <c r="O509" s="10"/>
      <c r="P509" s="9" t="b">
        <f>TRUE()</f>
        <v>1</v>
      </c>
      <c r="Q509" s="11">
        <v>1114.72</v>
      </c>
    </row>
    <row r="510" spans="1:17" ht="15" customHeight="1" x14ac:dyDescent="0.2">
      <c r="A510" s="9" t="s">
        <v>669</v>
      </c>
      <c r="B510" s="10">
        <v>45881</v>
      </c>
      <c r="C510" s="10">
        <v>45870</v>
      </c>
      <c r="D510" s="9" t="s">
        <v>18</v>
      </c>
      <c r="E510" s="9" t="s">
        <v>24</v>
      </c>
      <c r="F510" s="9" t="s">
        <v>149</v>
      </c>
      <c r="G510" s="9" t="s">
        <v>161</v>
      </c>
      <c r="H510" s="9" t="s">
        <v>251</v>
      </c>
      <c r="I510" s="9" t="b">
        <f>TRUE()</f>
        <v>1</v>
      </c>
      <c r="J510" s="9" t="s">
        <v>152</v>
      </c>
      <c r="K510" s="9" t="s">
        <v>153</v>
      </c>
      <c r="L510" s="10">
        <v>45883</v>
      </c>
      <c r="M510" s="10">
        <v>45891</v>
      </c>
      <c r="N510" s="10"/>
      <c r="O510" s="10">
        <v>45916</v>
      </c>
      <c r="P510" s="9" t="b">
        <f>TRUE()</f>
        <v>1</v>
      </c>
      <c r="Q510" s="11">
        <v>3028.63</v>
      </c>
    </row>
    <row r="511" spans="1:17" ht="15" customHeight="1" x14ac:dyDescent="0.2">
      <c r="A511" s="9" t="s">
        <v>670</v>
      </c>
      <c r="B511" s="10">
        <v>45702</v>
      </c>
      <c r="C511" s="10">
        <v>45689</v>
      </c>
      <c r="D511" s="9" t="s">
        <v>22</v>
      </c>
      <c r="E511" s="9" t="s">
        <v>24</v>
      </c>
      <c r="F511" s="9" t="s">
        <v>149</v>
      </c>
      <c r="G511" s="9" t="s">
        <v>161</v>
      </c>
      <c r="H511" s="9" t="s">
        <v>151</v>
      </c>
      <c r="I511" s="9" t="b">
        <f>TRUE()</f>
        <v>1</v>
      </c>
      <c r="J511" s="9" t="s">
        <v>152</v>
      </c>
      <c r="K511" s="9" t="s">
        <v>153</v>
      </c>
      <c r="L511" s="10">
        <v>45703</v>
      </c>
      <c r="M511" s="10">
        <v>45710</v>
      </c>
      <c r="N511" s="10"/>
      <c r="O511" s="10">
        <v>45724</v>
      </c>
      <c r="P511" s="9" t="b">
        <f>TRUE()</f>
        <v>1</v>
      </c>
      <c r="Q511" s="11">
        <v>3064.74</v>
      </c>
    </row>
    <row r="512" spans="1:17" ht="15" customHeight="1" x14ac:dyDescent="0.2">
      <c r="A512" s="9" t="s">
        <v>671</v>
      </c>
      <c r="B512" s="10">
        <v>45798</v>
      </c>
      <c r="C512" s="10">
        <v>45778</v>
      </c>
      <c r="D512" s="9" t="s">
        <v>21</v>
      </c>
      <c r="E512" s="9" t="s">
        <v>24</v>
      </c>
      <c r="F512" s="9" t="s">
        <v>186</v>
      </c>
      <c r="G512" s="9" t="s">
        <v>156</v>
      </c>
      <c r="H512" s="9" t="s">
        <v>176</v>
      </c>
      <c r="I512" s="9" t="b">
        <f>TRUE()</f>
        <v>1</v>
      </c>
      <c r="J512" s="9" t="s">
        <v>152</v>
      </c>
      <c r="K512" s="9" t="s">
        <v>163</v>
      </c>
      <c r="L512" s="10"/>
      <c r="M512" s="10"/>
      <c r="N512" s="10"/>
      <c r="O512" s="10">
        <v>45811</v>
      </c>
      <c r="P512" s="9" t="b">
        <f>TRUE()</f>
        <v>1</v>
      </c>
      <c r="Q512" s="11">
        <v>523.94000000000005</v>
      </c>
    </row>
    <row r="513" spans="1:17" ht="15" customHeight="1" x14ac:dyDescent="0.2">
      <c r="A513" s="9" t="s">
        <v>672</v>
      </c>
      <c r="B513" s="10">
        <v>45951</v>
      </c>
      <c r="C513" s="10">
        <v>45931</v>
      </c>
      <c r="D513" s="9" t="s">
        <v>22</v>
      </c>
      <c r="E513" s="9" t="s">
        <v>26</v>
      </c>
      <c r="F513" s="9" t="s">
        <v>186</v>
      </c>
      <c r="G513" s="9" t="s">
        <v>150</v>
      </c>
      <c r="H513" s="9" t="s">
        <v>170</v>
      </c>
      <c r="I513" s="9" t="b">
        <f>TRUE()</f>
        <v>1</v>
      </c>
      <c r="J513" s="9" t="s">
        <v>2</v>
      </c>
      <c r="K513" s="9" t="s">
        <v>153</v>
      </c>
      <c r="L513" s="10">
        <v>45953</v>
      </c>
      <c r="M513" s="10">
        <v>45958</v>
      </c>
      <c r="N513" s="10">
        <v>45965</v>
      </c>
      <c r="O513" s="10"/>
      <c r="P513" s="9" t="b">
        <f>TRUE()</f>
        <v>1</v>
      </c>
      <c r="Q513" s="11">
        <v>6825.3</v>
      </c>
    </row>
    <row r="514" spans="1:17" ht="15" customHeight="1" x14ac:dyDescent="0.2">
      <c r="A514" s="9" t="s">
        <v>673</v>
      </c>
      <c r="B514" s="10">
        <v>45794</v>
      </c>
      <c r="C514" s="10">
        <v>45778</v>
      </c>
      <c r="D514" s="9" t="s">
        <v>18</v>
      </c>
      <c r="E514" s="9" t="s">
        <v>24</v>
      </c>
      <c r="F514" s="9" t="s">
        <v>149</v>
      </c>
      <c r="G514" s="9" t="s">
        <v>150</v>
      </c>
      <c r="H514" s="9" t="s">
        <v>157</v>
      </c>
      <c r="I514" s="9" t="b">
        <f>TRUE()</f>
        <v>1</v>
      </c>
      <c r="J514" s="9" t="s">
        <v>152</v>
      </c>
      <c r="K514" s="9" t="s">
        <v>163</v>
      </c>
      <c r="L514" s="10"/>
      <c r="M514" s="10"/>
      <c r="N514" s="10"/>
      <c r="O514" s="10">
        <v>45801</v>
      </c>
      <c r="P514" s="9" t="b">
        <f>TRUE()</f>
        <v>1</v>
      </c>
      <c r="Q514" s="11">
        <v>5979.16</v>
      </c>
    </row>
    <row r="515" spans="1:17" ht="15" customHeight="1" x14ac:dyDescent="0.2">
      <c r="A515" s="9" t="s">
        <v>674</v>
      </c>
      <c r="B515" s="10">
        <v>45796</v>
      </c>
      <c r="C515" s="10">
        <v>45778</v>
      </c>
      <c r="D515" s="9" t="s">
        <v>19</v>
      </c>
      <c r="E515" s="9" t="s">
        <v>25</v>
      </c>
      <c r="F515" s="9" t="s">
        <v>186</v>
      </c>
      <c r="G515" s="9" t="s">
        <v>156</v>
      </c>
      <c r="H515" s="9" t="s">
        <v>210</v>
      </c>
      <c r="I515" s="9" t="b">
        <f>TRUE()</f>
        <v>1</v>
      </c>
      <c r="J515" s="9" t="s">
        <v>2</v>
      </c>
      <c r="K515" s="9" t="s">
        <v>153</v>
      </c>
      <c r="L515" s="10">
        <v>45801</v>
      </c>
      <c r="M515" s="10">
        <v>45806</v>
      </c>
      <c r="N515" s="10">
        <v>45810</v>
      </c>
      <c r="O515" s="10"/>
      <c r="P515" s="9" t="b">
        <f>TRUE()</f>
        <v>1</v>
      </c>
      <c r="Q515" s="11">
        <v>687.3</v>
      </c>
    </row>
    <row r="516" spans="1:17" ht="15" customHeight="1" x14ac:dyDescent="0.2">
      <c r="A516" s="9" t="s">
        <v>675</v>
      </c>
      <c r="B516" s="10">
        <v>45915</v>
      </c>
      <c r="C516" s="10">
        <v>45901</v>
      </c>
      <c r="D516" s="9" t="s">
        <v>19</v>
      </c>
      <c r="E516" s="9" t="s">
        <v>24</v>
      </c>
      <c r="F516" s="9" t="s">
        <v>149</v>
      </c>
      <c r="G516" s="9" t="s">
        <v>156</v>
      </c>
      <c r="H516" s="9" t="s">
        <v>179</v>
      </c>
      <c r="I516" s="9" t="b">
        <f>TRUE()</f>
        <v>1</v>
      </c>
      <c r="J516" s="9" t="s">
        <v>152</v>
      </c>
      <c r="K516" s="9" t="s">
        <v>153</v>
      </c>
      <c r="L516" s="10">
        <v>45922</v>
      </c>
      <c r="M516" s="10"/>
      <c r="N516" s="10"/>
      <c r="O516" s="10">
        <v>45930</v>
      </c>
      <c r="P516" s="9" t="b">
        <f>TRUE()</f>
        <v>1</v>
      </c>
      <c r="Q516" s="11">
        <v>661.52</v>
      </c>
    </row>
    <row r="517" spans="1:17" ht="15" customHeight="1" x14ac:dyDescent="0.2">
      <c r="A517" s="9" t="s">
        <v>676</v>
      </c>
      <c r="B517" s="10">
        <v>45829</v>
      </c>
      <c r="C517" s="10">
        <v>45809</v>
      </c>
      <c r="D517" s="9" t="s">
        <v>22</v>
      </c>
      <c r="E517" s="9" t="s">
        <v>25</v>
      </c>
      <c r="F517" s="9" t="s">
        <v>186</v>
      </c>
      <c r="G517" s="9" t="s">
        <v>156</v>
      </c>
      <c r="H517" s="9" t="s">
        <v>170</v>
      </c>
      <c r="I517" s="9" t="b">
        <f>TRUE()</f>
        <v>1</v>
      </c>
      <c r="J517" s="9" t="s">
        <v>152</v>
      </c>
      <c r="K517" s="9" t="s">
        <v>153</v>
      </c>
      <c r="L517" s="10">
        <v>45838</v>
      </c>
      <c r="M517" s="10"/>
      <c r="N517" s="10"/>
      <c r="O517" s="10">
        <v>45850</v>
      </c>
      <c r="P517" s="9" t="b">
        <f>TRUE()</f>
        <v>1</v>
      </c>
      <c r="Q517" s="11">
        <v>614.39</v>
      </c>
    </row>
    <row r="518" spans="1:17" ht="15" customHeight="1" x14ac:dyDescent="0.2">
      <c r="A518" s="9" t="s">
        <v>677</v>
      </c>
      <c r="B518" s="10">
        <v>45678</v>
      </c>
      <c r="C518" s="10">
        <v>45658</v>
      </c>
      <c r="D518" s="9" t="s">
        <v>22</v>
      </c>
      <c r="E518" s="9" t="s">
        <v>25</v>
      </c>
      <c r="F518" s="9" t="s">
        <v>149</v>
      </c>
      <c r="G518" s="9" t="s">
        <v>156</v>
      </c>
      <c r="H518" s="9" t="s">
        <v>165</v>
      </c>
      <c r="I518" s="9" t="b">
        <f>TRUE()</f>
        <v>1</v>
      </c>
      <c r="J518" s="9" t="s">
        <v>152</v>
      </c>
      <c r="K518" s="9" t="s">
        <v>163</v>
      </c>
      <c r="L518" s="10"/>
      <c r="M518" s="10"/>
      <c r="N518" s="10"/>
      <c r="O518" s="10">
        <v>45694</v>
      </c>
      <c r="P518" s="9" t="b">
        <f>TRUE()</f>
        <v>1</v>
      </c>
      <c r="Q518" s="11">
        <v>1090.3399999999999</v>
      </c>
    </row>
    <row r="519" spans="1:17" ht="15" customHeight="1" x14ac:dyDescent="0.2">
      <c r="A519" s="9" t="s">
        <v>678</v>
      </c>
      <c r="B519" s="10">
        <v>45997</v>
      </c>
      <c r="C519" s="10">
        <v>45992</v>
      </c>
      <c r="D519" s="9" t="s">
        <v>19</v>
      </c>
      <c r="E519" s="9" t="s">
        <v>24</v>
      </c>
      <c r="F519" s="9" t="s">
        <v>160</v>
      </c>
      <c r="G519" s="9" t="s">
        <v>156</v>
      </c>
      <c r="H519" s="9" t="s">
        <v>210</v>
      </c>
      <c r="I519" s="9" t="b">
        <f>TRUE()</f>
        <v>1</v>
      </c>
      <c r="J519" s="9" t="s">
        <v>152</v>
      </c>
      <c r="K519" s="9" t="s">
        <v>163</v>
      </c>
      <c r="L519" s="10"/>
      <c r="M519" s="10"/>
      <c r="N519" s="10"/>
      <c r="O519" s="10">
        <v>46003</v>
      </c>
      <c r="P519" s="9" t="b">
        <f>TRUE()</f>
        <v>1</v>
      </c>
      <c r="Q519" s="11">
        <v>768.91</v>
      </c>
    </row>
    <row r="520" spans="1:17" ht="15" customHeight="1" x14ac:dyDescent="0.2">
      <c r="A520" s="9" t="s">
        <v>679</v>
      </c>
      <c r="B520" s="10">
        <v>45874</v>
      </c>
      <c r="C520" s="10">
        <v>45870</v>
      </c>
      <c r="D520" s="9" t="s">
        <v>18</v>
      </c>
      <c r="E520" s="9" t="s">
        <v>26</v>
      </c>
      <c r="F520" s="9" t="s">
        <v>160</v>
      </c>
      <c r="G520" s="9" t="s">
        <v>150</v>
      </c>
      <c r="H520" s="9" t="s">
        <v>157</v>
      </c>
      <c r="I520" s="9" t="b">
        <f>TRUE()</f>
        <v>1</v>
      </c>
      <c r="J520" s="9" t="s">
        <v>2</v>
      </c>
      <c r="K520" s="9" t="s">
        <v>153</v>
      </c>
      <c r="L520" s="10">
        <v>45882</v>
      </c>
      <c r="M520" s="10">
        <v>45884</v>
      </c>
      <c r="N520" s="10">
        <v>45899</v>
      </c>
      <c r="O520" s="10"/>
      <c r="P520" s="9" t="b">
        <f>TRUE()</f>
        <v>1</v>
      </c>
      <c r="Q520" s="11">
        <v>5691.94</v>
      </c>
    </row>
    <row r="521" spans="1:17" ht="15" customHeight="1" x14ac:dyDescent="0.2">
      <c r="A521" s="9" t="s">
        <v>680</v>
      </c>
      <c r="B521" s="10">
        <v>45991</v>
      </c>
      <c r="C521" s="10">
        <v>45962</v>
      </c>
      <c r="D521" s="9" t="s">
        <v>22</v>
      </c>
      <c r="E521" s="9" t="s">
        <v>28</v>
      </c>
      <c r="F521" s="9" t="s">
        <v>149</v>
      </c>
      <c r="G521" s="9" t="s">
        <v>150</v>
      </c>
      <c r="H521" s="9" t="s">
        <v>170</v>
      </c>
      <c r="I521" s="9" t="b">
        <f>TRUE()</f>
        <v>1</v>
      </c>
      <c r="J521" s="9" t="s">
        <v>15</v>
      </c>
      <c r="K521" s="9" t="s">
        <v>153</v>
      </c>
      <c r="L521" s="10">
        <v>45998</v>
      </c>
      <c r="M521" s="10"/>
      <c r="N521" s="10"/>
      <c r="O521" s="10"/>
      <c r="P521" s="9" t="b">
        <f>TRUE()</f>
        <v>1</v>
      </c>
      <c r="Q521" s="11">
        <v>7794.54</v>
      </c>
    </row>
    <row r="522" spans="1:17" ht="15" customHeight="1" x14ac:dyDescent="0.2">
      <c r="A522" s="9" t="s">
        <v>681</v>
      </c>
      <c r="B522" s="10">
        <v>45678</v>
      </c>
      <c r="C522" s="10">
        <v>45658</v>
      </c>
      <c r="D522" s="9" t="s">
        <v>19</v>
      </c>
      <c r="E522" s="9" t="s">
        <v>26</v>
      </c>
      <c r="F522" s="9" t="s">
        <v>186</v>
      </c>
      <c r="G522" s="9" t="s">
        <v>161</v>
      </c>
      <c r="H522" s="9" t="s">
        <v>207</v>
      </c>
      <c r="I522" s="9" t="b">
        <f>TRUE()</f>
        <v>1</v>
      </c>
      <c r="J522" s="9" t="s">
        <v>152</v>
      </c>
      <c r="K522" s="9" t="s">
        <v>153</v>
      </c>
      <c r="L522" s="10">
        <v>45684</v>
      </c>
      <c r="M522" s="10">
        <v>45696</v>
      </c>
      <c r="N522" s="10"/>
      <c r="O522" s="10">
        <v>45731</v>
      </c>
      <c r="P522" s="9" t="b">
        <f>TRUE()</f>
        <v>1</v>
      </c>
      <c r="Q522" s="11">
        <v>1705.41</v>
      </c>
    </row>
    <row r="523" spans="1:17" ht="15" customHeight="1" x14ac:dyDescent="0.2">
      <c r="A523" s="9" t="s">
        <v>682</v>
      </c>
      <c r="B523" s="10">
        <v>45955</v>
      </c>
      <c r="C523" s="10">
        <v>45931</v>
      </c>
      <c r="D523" s="9" t="s">
        <v>22</v>
      </c>
      <c r="E523" s="9" t="s">
        <v>25</v>
      </c>
      <c r="F523" s="9" t="s">
        <v>149</v>
      </c>
      <c r="G523" s="9" t="s">
        <v>156</v>
      </c>
      <c r="H523" s="9" t="s">
        <v>165</v>
      </c>
      <c r="I523" s="9" t="b">
        <f>TRUE()</f>
        <v>1</v>
      </c>
      <c r="J523" s="9" t="s">
        <v>2</v>
      </c>
      <c r="K523" s="9" t="s">
        <v>153</v>
      </c>
      <c r="L523" s="10">
        <v>45957</v>
      </c>
      <c r="M523" s="10">
        <v>45960</v>
      </c>
      <c r="N523" s="10">
        <v>45968</v>
      </c>
      <c r="O523" s="10"/>
      <c r="P523" s="9" t="b">
        <f>TRUE()</f>
        <v>1</v>
      </c>
      <c r="Q523" s="11">
        <v>799.37</v>
      </c>
    </row>
    <row r="524" spans="1:17" ht="15" customHeight="1" x14ac:dyDescent="0.2">
      <c r="A524" s="9" t="s">
        <v>683</v>
      </c>
      <c r="B524" s="10">
        <v>45741</v>
      </c>
      <c r="C524" s="10">
        <v>45717</v>
      </c>
      <c r="D524" s="9" t="s">
        <v>19</v>
      </c>
      <c r="E524" s="9" t="s">
        <v>26</v>
      </c>
      <c r="F524" s="9" t="s">
        <v>149</v>
      </c>
      <c r="G524" s="9" t="s">
        <v>161</v>
      </c>
      <c r="H524" s="9" t="s">
        <v>179</v>
      </c>
      <c r="I524" s="9" t="b">
        <f>TRUE()</f>
        <v>1</v>
      </c>
      <c r="J524" s="9" t="s">
        <v>152</v>
      </c>
      <c r="K524" s="9" t="s">
        <v>163</v>
      </c>
      <c r="L524" s="10"/>
      <c r="M524" s="10"/>
      <c r="N524" s="10"/>
      <c r="O524" s="10">
        <v>45750</v>
      </c>
      <c r="P524" s="9" t="b">
        <f>TRUE()</f>
        <v>1</v>
      </c>
      <c r="Q524" s="11">
        <v>2169</v>
      </c>
    </row>
    <row r="525" spans="1:17" ht="15" customHeight="1" x14ac:dyDescent="0.2">
      <c r="A525" s="9" t="s">
        <v>684</v>
      </c>
      <c r="B525" s="10">
        <v>45991</v>
      </c>
      <c r="C525" s="10">
        <v>45962</v>
      </c>
      <c r="D525" s="9" t="s">
        <v>22</v>
      </c>
      <c r="E525" s="9" t="s">
        <v>24</v>
      </c>
      <c r="F525" s="9" t="s">
        <v>149</v>
      </c>
      <c r="G525" s="9" t="s">
        <v>156</v>
      </c>
      <c r="H525" s="9" t="s">
        <v>151</v>
      </c>
      <c r="I525" s="9" t="b">
        <f>TRUE()</f>
        <v>1</v>
      </c>
      <c r="J525" s="9" t="s">
        <v>152</v>
      </c>
      <c r="K525" s="9" t="s">
        <v>163</v>
      </c>
      <c r="L525" s="10"/>
      <c r="M525" s="10"/>
      <c r="N525" s="10"/>
      <c r="O525" s="10">
        <v>46011</v>
      </c>
      <c r="P525" s="9" t="b">
        <f>TRUE()</f>
        <v>1</v>
      </c>
      <c r="Q525" s="11">
        <v>896.87</v>
      </c>
    </row>
    <row r="526" spans="1:17" ht="15" customHeight="1" x14ac:dyDescent="0.2">
      <c r="A526" s="9" t="s">
        <v>685</v>
      </c>
      <c r="B526" s="10">
        <v>45687</v>
      </c>
      <c r="C526" s="10">
        <v>45658</v>
      </c>
      <c r="D526" s="9" t="s">
        <v>22</v>
      </c>
      <c r="E526" s="9" t="s">
        <v>27</v>
      </c>
      <c r="F526" s="9" t="s">
        <v>149</v>
      </c>
      <c r="G526" s="9" t="s">
        <v>161</v>
      </c>
      <c r="H526" s="9" t="s">
        <v>170</v>
      </c>
      <c r="I526" s="9" t="b">
        <f>TRUE()</f>
        <v>1</v>
      </c>
      <c r="J526" s="9" t="s">
        <v>2</v>
      </c>
      <c r="K526" s="9" t="s">
        <v>153</v>
      </c>
      <c r="L526" s="10">
        <v>45695</v>
      </c>
      <c r="M526" s="10">
        <v>45709</v>
      </c>
      <c r="N526" s="10">
        <v>45715</v>
      </c>
      <c r="O526" s="10"/>
      <c r="P526" s="9" t="b">
        <f>TRUE()</f>
        <v>1</v>
      </c>
      <c r="Q526" s="11">
        <v>2684.85</v>
      </c>
    </row>
    <row r="527" spans="1:17" ht="15" customHeight="1" x14ac:dyDescent="0.2">
      <c r="A527" s="9" t="s">
        <v>686</v>
      </c>
      <c r="B527" s="10">
        <v>45934</v>
      </c>
      <c r="C527" s="10">
        <v>45931</v>
      </c>
      <c r="D527" s="9" t="s">
        <v>22</v>
      </c>
      <c r="E527" s="9" t="s">
        <v>25</v>
      </c>
      <c r="F527" s="9" t="s">
        <v>149</v>
      </c>
      <c r="G527" s="9" t="s">
        <v>156</v>
      </c>
      <c r="H527" s="9" t="s">
        <v>165</v>
      </c>
      <c r="I527" s="9" t="b">
        <f>TRUE()</f>
        <v>1</v>
      </c>
      <c r="J527" s="9" t="s">
        <v>2</v>
      </c>
      <c r="K527" s="9" t="s">
        <v>153</v>
      </c>
      <c r="L527" s="10">
        <v>45941</v>
      </c>
      <c r="M527" s="10">
        <v>45945</v>
      </c>
      <c r="N527" s="10">
        <v>45960</v>
      </c>
      <c r="O527" s="10"/>
      <c r="P527" s="9" t="b">
        <f>TRUE()</f>
        <v>1</v>
      </c>
      <c r="Q527" s="11">
        <v>609.73</v>
      </c>
    </row>
    <row r="528" spans="1:17" ht="15" customHeight="1" x14ac:dyDescent="0.2">
      <c r="A528" s="9" t="s">
        <v>687</v>
      </c>
      <c r="B528" s="10">
        <v>45748</v>
      </c>
      <c r="C528" s="10">
        <v>45748</v>
      </c>
      <c r="D528" s="9" t="s">
        <v>20</v>
      </c>
      <c r="E528" s="9" t="s">
        <v>28</v>
      </c>
      <c r="F528" s="9" t="s">
        <v>155</v>
      </c>
      <c r="G528" s="9" t="s">
        <v>161</v>
      </c>
      <c r="H528" s="9" t="s">
        <v>189</v>
      </c>
      <c r="I528" s="9" t="b">
        <f>TRUE()</f>
        <v>1</v>
      </c>
      <c r="J528" s="9" t="s">
        <v>2</v>
      </c>
      <c r="K528" s="9" t="s">
        <v>153</v>
      </c>
      <c r="L528" s="10">
        <v>45758</v>
      </c>
      <c r="M528" s="10">
        <v>45767</v>
      </c>
      <c r="N528" s="10">
        <v>45779</v>
      </c>
      <c r="O528" s="10"/>
      <c r="P528" s="9" t="b">
        <f>TRUE()</f>
        <v>1</v>
      </c>
      <c r="Q528" s="11">
        <v>1328.09</v>
      </c>
    </row>
    <row r="529" spans="1:17" ht="15" customHeight="1" x14ac:dyDescent="0.2">
      <c r="A529" s="9" t="s">
        <v>688</v>
      </c>
      <c r="B529" s="10">
        <v>45696</v>
      </c>
      <c r="C529" s="10">
        <v>45689</v>
      </c>
      <c r="D529" s="9" t="s">
        <v>20</v>
      </c>
      <c r="E529" s="9" t="s">
        <v>25</v>
      </c>
      <c r="F529" s="9" t="s">
        <v>160</v>
      </c>
      <c r="G529" s="9" t="s">
        <v>161</v>
      </c>
      <c r="H529" s="9" t="s">
        <v>189</v>
      </c>
      <c r="I529" s="9" t="b">
        <f>TRUE()</f>
        <v>1</v>
      </c>
      <c r="J529" s="9" t="s">
        <v>152</v>
      </c>
      <c r="K529" s="9" t="s">
        <v>163</v>
      </c>
      <c r="L529" s="10"/>
      <c r="M529" s="10"/>
      <c r="N529" s="10"/>
      <c r="O529" s="10">
        <v>45704</v>
      </c>
      <c r="P529" s="9" t="b">
        <f>TRUE()</f>
        <v>1</v>
      </c>
      <c r="Q529" s="11">
        <v>2754.47</v>
      </c>
    </row>
    <row r="530" spans="1:17" ht="15" customHeight="1" x14ac:dyDescent="0.2">
      <c r="A530" s="9" t="s">
        <v>689</v>
      </c>
      <c r="B530" s="10">
        <v>46018</v>
      </c>
      <c r="C530" s="10">
        <v>45992</v>
      </c>
      <c r="D530" s="9" t="s">
        <v>20</v>
      </c>
      <c r="E530" s="9" t="s">
        <v>28</v>
      </c>
      <c r="F530" s="9" t="s">
        <v>155</v>
      </c>
      <c r="G530" s="9" t="s">
        <v>161</v>
      </c>
      <c r="H530" s="9" t="s">
        <v>167</v>
      </c>
      <c r="I530" s="9" t="b">
        <f>TRUE()</f>
        <v>1</v>
      </c>
      <c r="J530" s="9" t="s">
        <v>190</v>
      </c>
      <c r="K530" s="9" t="s">
        <v>163</v>
      </c>
      <c r="L530" s="10"/>
      <c r="M530" s="10"/>
      <c r="N530" s="10"/>
      <c r="O530" s="10"/>
      <c r="P530" s="9" t="b">
        <f>TRUE()</f>
        <v>1</v>
      </c>
      <c r="Q530" s="11">
        <v>1716.32</v>
      </c>
    </row>
    <row r="531" spans="1:17" ht="15" customHeight="1" x14ac:dyDescent="0.2">
      <c r="A531" s="9" t="s">
        <v>690</v>
      </c>
      <c r="B531" s="10">
        <v>45781</v>
      </c>
      <c r="C531" s="10">
        <v>45778</v>
      </c>
      <c r="D531" s="9" t="s">
        <v>19</v>
      </c>
      <c r="E531" s="9" t="s">
        <v>24</v>
      </c>
      <c r="F531" s="9" t="s">
        <v>149</v>
      </c>
      <c r="G531" s="9" t="s">
        <v>161</v>
      </c>
      <c r="H531" s="9" t="s">
        <v>210</v>
      </c>
      <c r="I531" s="9" t="b">
        <f>TRUE()</f>
        <v>1</v>
      </c>
      <c r="J531" s="9" t="s">
        <v>152</v>
      </c>
      <c r="K531" s="9" t="s">
        <v>153</v>
      </c>
      <c r="L531" s="10">
        <v>45787</v>
      </c>
      <c r="M531" s="10"/>
      <c r="N531" s="10"/>
      <c r="O531" s="10">
        <v>45792</v>
      </c>
      <c r="P531" s="9" t="b">
        <f>TRUE()</f>
        <v>1</v>
      </c>
      <c r="Q531" s="11">
        <v>2608.25</v>
      </c>
    </row>
    <row r="532" spans="1:17" ht="15" customHeight="1" x14ac:dyDescent="0.2">
      <c r="A532" s="9" t="s">
        <v>691</v>
      </c>
      <c r="B532" s="10">
        <v>45859</v>
      </c>
      <c r="C532" s="10">
        <v>45839</v>
      </c>
      <c r="D532" s="9" t="s">
        <v>20</v>
      </c>
      <c r="E532" s="9" t="s">
        <v>24</v>
      </c>
      <c r="F532" s="9" t="s">
        <v>155</v>
      </c>
      <c r="G532" s="9" t="s">
        <v>156</v>
      </c>
      <c r="H532" s="9" t="s">
        <v>167</v>
      </c>
      <c r="I532" s="9" t="b">
        <f>TRUE()</f>
        <v>1</v>
      </c>
      <c r="J532" s="9" t="s">
        <v>152</v>
      </c>
      <c r="K532" s="9" t="s">
        <v>153</v>
      </c>
      <c r="L532" s="10">
        <v>45867</v>
      </c>
      <c r="M532" s="10">
        <v>45869</v>
      </c>
      <c r="N532" s="10"/>
      <c r="O532" s="10">
        <v>45894</v>
      </c>
      <c r="P532" s="9" t="b">
        <f>TRUE()</f>
        <v>1</v>
      </c>
      <c r="Q532" s="11">
        <v>489.1</v>
      </c>
    </row>
    <row r="533" spans="1:17" ht="15" customHeight="1" x14ac:dyDescent="0.2">
      <c r="A533" s="9" t="s">
        <v>692</v>
      </c>
      <c r="B533" s="10">
        <v>45962</v>
      </c>
      <c r="C533" s="10">
        <v>45962</v>
      </c>
      <c r="D533" s="9" t="s">
        <v>19</v>
      </c>
      <c r="E533" s="9" t="s">
        <v>28</v>
      </c>
      <c r="F533" s="9" t="s">
        <v>160</v>
      </c>
      <c r="G533" s="9" t="s">
        <v>156</v>
      </c>
      <c r="H533" s="9" t="s">
        <v>210</v>
      </c>
      <c r="I533" s="9" t="b">
        <f>TRUE()</f>
        <v>1</v>
      </c>
      <c r="J533" s="9" t="s">
        <v>152</v>
      </c>
      <c r="K533" s="9" t="s">
        <v>153</v>
      </c>
      <c r="L533" s="10">
        <v>45963</v>
      </c>
      <c r="M533" s="10">
        <v>45975</v>
      </c>
      <c r="N533" s="10"/>
      <c r="O533" s="10">
        <v>46001</v>
      </c>
      <c r="P533" s="9" t="b">
        <f>TRUE()</f>
        <v>1</v>
      </c>
      <c r="Q533" s="11">
        <v>583.66</v>
      </c>
    </row>
    <row r="534" spans="1:17" ht="15" customHeight="1" x14ac:dyDescent="0.2">
      <c r="A534" s="9" t="s">
        <v>693</v>
      </c>
      <c r="B534" s="10">
        <v>45905</v>
      </c>
      <c r="C534" s="10">
        <v>45901</v>
      </c>
      <c r="D534" s="9" t="s">
        <v>21</v>
      </c>
      <c r="E534" s="9" t="s">
        <v>25</v>
      </c>
      <c r="F534" s="9" t="s">
        <v>149</v>
      </c>
      <c r="G534" s="9" t="s">
        <v>150</v>
      </c>
      <c r="H534" s="9" t="s">
        <v>162</v>
      </c>
      <c r="I534" s="9" t="b">
        <f>TRUE()</f>
        <v>1</v>
      </c>
      <c r="J534" s="9" t="s">
        <v>152</v>
      </c>
      <c r="K534" s="9" t="s">
        <v>153</v>
      </c>
      <c r="L534" s="10">
        <v>45908</v>
      </c>
      <c r="M534" s="10">
        <v>45922</v>
      </c>
      <c r="N534" s="10"/>
      <c r="O534" s="10">
        <v>45938</v>
      </c>
      <c r="P534" s="9" t="b">
        <f>TRUE()</f>
        <v>1</v>
      </c>
      <c r="Q534" s="11">
        <v>8514.7099999999991</v>
      </c>
    </row>
    <row r="535" spans="1:17" ht="15" customHeight="1" x14ac:dyDescent="0.2">
      <c r="A535" s="9" t="s">
        <v>694</v>
      </c>
      <c r="B535" s="10">
        <v>45925</v>
      </c>
      <c r="C535" s="10">
        <v>45901</v>
      </c>
      <c r="D535" s="9" t="s">
        <v>19</v>
      </c>
      <c r="E535" s="9" t="s">
        <v>26</v>
      </c>
      <c r="F535" s="9" t="s">
        <v>186</v>
      </c>
      <c r="G535" s="9" t="s">
        <v>156</v>
      </c>
      <c r="H535" s="9" t="s">
        <v>207</v>
      </c>
      <c r="I535" s="9" t="b">
        <f>TRUE()</f>
        <v>1</v>
      </c>
      <c r="J535" s="9" t="s">
        <v>152</v>
      </c>
      <c r="K535" s="9" t="s">
        <v>153</v>
      </c>
      <c r="L535" s="10">
        <v>45935</v>
      </c>
      <c r="M535" s="10"/>
      <c r="N535" s="10"/>
      <c r="O535" s="10">
        <v>45952</v>
      </c>
      <c r="P535" s="9" t="b">
        <f>TRUE()</f>
        <v>1</v>
      </c>
      <c r="Q535" s="11">
        <v>570.89</v>
      </c>
    </row>
    <row r="536" spans="1:17" ht="15" customHeight="1" x14ac:dyDescent="0.2">
      <c r="A536" s="9" t="s">
        <v>695</v>
      </c>
      <c r="B536" s="10">
        <v>45682</v>
      </c>
      <c r="C536" s="10">
        <v>45658</v>
      </c>
      <c r="D536" s="9" t="s">
        <v>20</v>
      </c>
      <c r="E536" s="9" t="s">
        <v>25</v>
      </c>
      <c r="F536" s="9" t="s">
        <v>186</v>
      </c>
      <c r="G536" s="9" t="s">
        <v>161</v>
      </c>
      <c r="H536" s="9" t="s">
        <v>167</v>
      </c>
      <c r="I536" s="9" t="b">
        <f>TRUE()</f>
        <v>1</v>
      </c>
      <c r="J536" s="9" t="s">
        <v>152</v>
      </c>
      <c r="K536" s="9" t="s">
        <v>153</v>
      </c>
      <c r="L536" s="10">
        <v>45688</v>
      </c>
      <c r="M536" s="10"/>
      <c r="N536" s="10"/>
      <c r="O536" s="10">
        <v>45699</v>
      </c>
      <c r="P536" s="9" t="b">
        <f>TRUE()</f>
        <v>1</v>
      </c>
      <c r="Q536" s="11">
        <v>1965.22</v>
      </c>
    </row>
    <row r="537" spans="1:17" ht="15" customHeight="1" x14ac:dyDescent="0.2">
      <c r="A537" s="9" t="s">
        <v>696</v>
      </c>
      <c r="B537" s="10">
        <v>45660</v>
      </c>
      <c r="C537" s="10">
        <v>45658</v>
      </c>
      <c r="D537" s="9" t="s">
        <v>20</v>
      </c>
      <c r="E537" s="9" t="s">
        <v>27</v>
      </c>
      <c r="F537" s="9" t="s">
        <v>160</v>
      </c>
      <c r="G537" s="9" t="s">
        <v>150</v>
      </c>
      <c r="H537" s="9" t="s">
        <v>167</v>
      </c>
      <c r="I537" s="9" t="b">
        <f>TRUE()</f>
        <v>1</v>
      </c>
      <c r="J537" s="9" t="s">
        <v>2</v>
      </c>
      <c r="K537" s="9" t="s">
        <v>153</v>
      </c>
      <c r="L537" s="10">
        <v>45667</v>
      </c>
      <c r="M537" s="10">
        <v>45672</v>
      </c>
      <c r="N537" s="10">
        <v>45693</v>
      </c>
      <c r="O537" s="10"/>
      <c r="P537" s="9" t="b">
        <f>TRUE()</f>
        <v>1</v>
      </c>
      <c r="Q537" s="11">
        <v>9137.25</v>
      </c>
    </row>
    <row r="538" spans="1:17" ht="15" customHeight="1" x14ac:dyDescent="0.2">
      <c r="A538" s="9" t="s">
        <v>697</v>
      </c>
      <c r="B538" s="10">
        <v>45975</v>
      </c>
      <c r="C538" s="10">
        <v>45962</v>
      </c>
      <c r="D538" s="9" t="s">
        <v>21</v>
      </c>
      <c r="E538" s="9" t="s">
        <v>26</v>
      </c>
      <c r="F538" s="9" t="s">
        <v>149</v>
      </c>
      <c r="G538" s="9" t="s">
        <v>156</v>
      </c>
      <c r="H538" s="9" t="s">
        <v>183</v>
      </c>
      <c r="I538" s="9" t="b">
        <f>TRUE()</f>
        <v>1</v>
      </c>
      <c r="J538" s="9" t="s">
        <v>152</v>
      </c>
      <c r="K538" s="9" t="s">
        <v>153</v>
      </c>
      <c r="L538" s="10">
        <v>45985</v>
      </c>
      <c r="M538" s="10"/>
      <c r="N538" s="10"/>
      <c r="O538" s="10">
        <v>46002</v>
      </c>
      <c r="P538" s="9" t="b">
        <f>TRUE()</f>
        <v>1</v>
      </c>
      <c r="Q538" s="11">
        <v>810.14</v>
      </c>
    </row>
    <row r="539" spans="1:17" ht="15" customHeight="1" x14ac:dyDescent="0.2">
      <c r="A539" s="9" t="s">
        <v>698</v>
      </c>
      <c r="B539" s="10">
        <v>45682</v>
      </c>
      <c r="C539" s="10">
        <v>45658</v>
      </c>
      <c r="D539" s="9" t="s">
        <v>21</v>
      </c>
      <c r="E539" s="9" t="s">
        <v>25</v>
      </c>
      <c r="F539" s="9" t="s">
        <v>160</v>
      </c>
      <c r="G539" s="9" t="s">
        <v>156</v>
      </c>
      <c r="H539" s="9" t="s">
        <v>183</v>
      </c>
      <c r="I539" s="9" t="b">
        <f>TRUE()</f>
        <v>1</v>
      </c>
      <c r="J539" s="9" t="s">
        <v>152</v>
      </c>
      <c r="K539" s="9" t="s">
        <v>153</v>
      </c>
      <c r="L539" s="10">
        <v>45688</v>
      </c>
      <c r="M539" s="10">
        <v>45700</v>
      </c>
      <c r="N539" s="10"/>
      <c r="O539" s="10">
        <v>45711</v>
      </c>
      <c r="P539" s="9" t="b">
        <f>TRUE()</f>
        <v>1</v>
      </c>
      <c r="Q539" s="11">
        <v>982.64</v>
      </c>
    </row>
    <row r="540" spans="1:17" ht="15" customHeight="1" x14ac:dyDescent="0.2">
      <c r="A540" s="9" t="s">
        <v>699</v>
      </c>
      <c r="B540" s="10">
        <v>45907</v>
      </c>
      <c r="C540" s="10">
        <v>45901</v>
      </c>
      <c r="D540" s="9" t="s">
        <v>19</v>
      </c>
      <c r="E540" s="9" t="s">
        <v>25</v>
      </c>
      <c r="F540" s="9" t="s">
        <v>155</v>
      </c>
      <c r="G540" s="9" t="s">
        <v>161</v>
      </c>
      <c r="H540" s="9" t="s">
        <v>179</v>
      </c>
      <c r="I540" s="9" t="b">
        <f>TRUE()</f>
        <v>1</v>
      </c>
      <c r="J540" s="9" t="s">
        <v>152</v>
      </c>
      <c r="K540" s="9" t="s">
        <v>163</v>
      </c>
      <c r="L540" s="10"/>
      <c r="M540" s="10"/>
      <c r="N540" s="10"/>
      <c r="O540" s="10">
        <v>45923</v>
      </c>
      <c r="P540" s="9" t="b">
        <f>TRUE()</f>
        <v>1</v>
      </c>
      <c r="Q540" s="11">
        <v>1896.07</v>
      </c>
    </row>
    <row r="541" spans="1:17" ht="15" customHeight="1" x14ac:dyDescent="0.2">
      <c r="A541" s="9" t="s">
        <v>700</v>
      </c>
      <c r="B541" s="10">
        <v>45818</v>
      </c>
      <c r="C541" s="10">
        <v>45809</v>
      </c>
      <c r="D541" s="9" t="s">
        <v>22</v>
      </c>
      <c r="E541" s="9" t="s">
        <v>28</v>
      </c>
      <c r="F541" s="9" t="s">
        <v>149</v>
      </c>
      <c r="G541" s="9" t="s">
        <v>156</v>
      </c>
      <c r="H541" s="9" t="s">
        <v>151</v>
      </c>
      <c r="I541" s="9" t="b">
        <f>TRUE()</f>
        <v>1</v>
      </c>
      <c r="J541" s="9" t="s">
        <v>152</v>
      </c>
      <c r="K541" s="9" t="s">
        <v>153</v>
      </c>
      <c r="L541" s="10">
        <v>45822</v>
      </c>
      <c r="M541" s="10"/>
      <c r="N541" s="10"/>
      <c r="O541" s="10">
        <v>45831</v>
      </c>
      <c r="P541" s="9" t="b">
        <f>TRUE()</f>
        <v>1</v>
      </c>
      <c r="Q541" s="11">
        <v>758.84</v>
      </c>
    </row>
    <row r="542" spans="1:17" ht="15" customHeight="1" x14ac:dyDescent="0.2">
      <c r="A542" s="9" t="s">
        <v>701</v>
      </c>
      <c r="B542" s="10">
        <v>45860</v>
      </c>
      <c r="C542" s="10">
        <v>45839</v>
      </c>
      <c r="D542" s="9" t="s">
        <v>18</v>
      </c>
      <c r="E542" s="9" t="s">
        <v>24</v>
      </c>
      <c r="F542" s="9" t="s">
        <v>149</v>
      </c>
      <c r="G542" s="9" t="s">
        <v>156</v>
      </c>
      <c r="H542" s="9" t="s">
        <v>251</v>
      </c>
      <c r="I542" s="9" t="b">
        <f>TRUE()</f>
        <v>1</v>
      </c>
      <c r="J542" s="9" t="s">
        <v>152</v>
      </c>
      <c r="K542" s="9" t="s">
        <v>153</v>
      </c>
      <c r="L542" s="10">
        <v>45865</v>
      </c>
      <c r="M542" s="10">
        <v>45874</v>
      </c>
      <c r="N542" s="10"/>
      <c r="O542" s="10">
        <v>45898</v>
      </c>
      <c r="P542" s="9" t="b">
        <f>TRUE()</f>
        <v>1</v>
      </c>
      <c r="Q542" s="11">
        <v>1036.24</v>
      </c>
    </row>
    <row r="543" spans="1:17" ht="15" customHeight="1" x14ac:dyDescent="0.2">
      <c r="A543" s="9" t="s">
        <v>702</v>
      </c>
      <c r="B543" s="10">
        <v>45799</v>
      </c>
      <c r="C543" s="10">
        <v>45778</v>
      </c>
      <c r="D543" s="9" t="s">
        <v>22</v>
      </c>
      <c r="E543" s="9" t="s">
        <v>24</v>
      </c>
      <c r="F543" s="9" t="s">
        <v>155</v>
      </c>
      <c r="G543" s="9" t="s">
        <v>156</v>
      </c>
      <c r="H543" s="9" t="s">
        <v>151</v>
      </c>
      <c r="I543" s="9" t="b">
        <f>TRUE()</f>
        <v>1</v>
      </c>
      <c r="J543" s="9" t="s">
        <v>152</v>
      </c>
      <c r="K543" s="9" t="s">
        <v>163</v>
      </c>
      <c r="L543" s="10"/>
      <c r="M543" s="10"/>
      <c r="N543" s="10"/>
      <c r="O543" s="10">
        <v>45808</v>
      </c>
      <c r="P543" s="9" t="b">
        <f>TRUE()</f>
        <v>1</v>
      </c>
      <c r="Q543" s="11">
        <v>437.86</v>
      </c>
    </row>
    <row r="544" spans="1:17" ht="15" customHeight="1" x14ac:dyDescent="0.2">
      <c r="A544" s="9" t="s">
        <v>703</v>
      </c>
      <c r="B544" s="10">
        <v>46004</v>
      </c>
      <c r="C544" s="10">
        <v>45992</v>
      </c>
      <c r="D544" s="9" t="s">
        <v>19</v>
      </c>
      <c r="E544" s="9" t="s">
        <v>26</v>
      </c>
      <c r="F544" s="9" t="s">
        <v>155</v>
      </c>
      <c r="G544" s="9" t="s">
        <v>156</v>
      </c>
      <c r="H544" s="9" t="s">
        <v>179</v>
      </c>
      <c r="I544" s="9" t="b">
        <f>TRUE()</f>
        <v>1</v>
      </c>
      <c r="J544" s="9" t="s">
        <v>158</v>
      </c>
      <c r="K544" s="9" t="s">
        <v>153</v>
      </c>
      <c r="L544" s="10">
        <v>46013</v>
      </c>
      <c r="M544" s="10">
        <v>46023</v>
      </c>
      <c r="N544" s="10"/>
      <c r="O544" s="10"/>
      <c r="P544" s="9" t="b">
        <f>TRUE()</f>
        <v>1</v>
      </c>
      <c r="Q544" s="11">
        <v>566.63</v>
      </c>
    </row>
    <row r="545" spans="1:17" ht="15" customHeight="1" x14ac:dyDescent="0.2">
      <c r="A545" s="9" t="s">
        <v>704</v>
      </c>
      <c r="B545" s="10">
        <v>45984</v>
      </c>
      <c r="C545" s="10">
        <v>45962</v>
      </c>
      <c r="D545" s="9" t="s">
        <v>21</v>
      </c>
      <c r="E545" s="9" t="s">
        <v>24</v>
      </c>
      <c r="F545" s="9" t="s">
        <v>149</v>
      </c>
      <c r="G545" s="9" t="s">
        <v>161</v>
      </c>
      <c r="H545" s="9" t="s">
        <v>176</v>
      </c>
      <c r="I545" s="9" t="b">
        <f>TRUE()</f>
        <v>1</v>
      </c>
      <c r="J545" s="9" t="s">
        <v>152</v>
      </c>
      <c r="K545" s="9" t="s">
        <v>153</v>
      </c>
      <c r="L545" s="10">
        <v>45992</v>
      </c>
      <c r="M545" s="10">
        <v>46002</v>
      </c>
      <c r="N545" s="10"/>
      <c r="O545" s="10">
        <v>46014</v>
      </c>
      <c r="P545" s="9" t="b">
        <f>TRUE()</f>
        <v>1</v>
      </c>
      <c r="Q545" s="11">
        <v>2478.6799999999998</v>
      </c>
    </row>
    <row r="546" spans="1:17" ht="15" customHeight="1" x14ac:dyDescent="0.2">
      <c r="A546" s="9" t="s">
        <v>705</v>
      </c>
      <c r="B546" s="10">
        <v>45961</v>
      </c>
      <c r="C546" s="10">
        <v>45931</v>
      </c>
      <c r="D546" s="9" t="s">
        <v>22</v>
      </c>
      <c r="E546" s="9" t="s">
        <v>24</v>
      </c>
      <c r="F546" s="9" t="s">
        <v>149</v>
      </c>
      <c r="G546" s="9" t="s">
        <v>156</v>
      </c>
      <c r="H546" s="9" t="s">
        <v>170</v>
      </c>
      <c r="I546" s="9" t="b">
        <f>TRUE()</f>
        <v>1</v>
      </c>
      <c r="J546" s="9" t="s">
        <v>152</v>
      </c>
      <c r="K546" s="9" t="s">
        <v>163</v>
      </c>
      <c r="L546" s="10"/>
      <c r="M546" s="10"/>
      <c r="N546" s="10"/>
      <c r="O546" s="10">
        <v>45968</v>
      </c>
      <c r="P546" s="9" t="b">
        <f>TRUE()</f>
        <v>1</v>
      </c>
      <c r="Q546" s="11">
        <v>1062.6199999999999</v>
      </c>
    </row>
    <row r="547" spans="1:17" ht="15" customHeight="1" x14ac:dyDescent="0.2">
      <c r="A547" s="9" t="s">
        <v>706</v>
      </c>
      <c r="B547" s="10">
        <v>45835</v>
      </c>
      <c r="C547" s="10">
        <v>45809</v>
      </c>
      <c r="D547" s="9" t="s">
        <v>20</v>
      </c>
      <c r="E547" s="9" t="s">
        <v>25</v>
      </c>
      <c r="F547" s="9" t="s">
        <v>155</v>
      </c>
      <c r="G547" s="9" t="s">
        <v>161</v>
      </c>
      <c r="H547" s="9" t="s">
        <v>189</v>
      </c>
      <c r="I547" s="9" t="b">
        <f>TRUE()</f>
        <v>1</v>
      </c>
      <c r="J547" s="9" t="s">
        <v>152</v>
      </c>
      <c r="K547" s="9" t="s">
        <v>163</v>
      </c>
      <c r="L547" s="10"/>
      <c r="M547" s="10"/>
      <c r="N547" s="10"/>
      <c r="O547" s="10">
        <v>45849</v>
      </c>
      <c r="P547" s="9" t="b">
        <f>TRUE()</f>
        <v>1</v>
      </c>
      <c r="Q547" s="11">
        <v>2030.94</v>
      </c>
    </row>
    <row r="548" spans="1:17" ht="15" customHeight="1" x14ac:dyDescent="0.2">
      <c r="A548" s="9" t="s">
        <v>707</v>
      </c>
      <c r="B548" s="10">
        <v>45790</v>
      </c>
      <c r="C548" s="10">
        <v>45778</v>
      </c>
      <c r="D548" s="9" t="s">
        <v>21</v>
      </c>
      <c r="E548" s="9" t="s">
        <v>25</v>
      </c>
      <c r="F548" s="9" t="s">
        <v>155</v>
      </c>
      <c r="G548" s="9" t="s">
        <v>156</v>
      </c>
      <c r="H548" s="9" t="s">
        <v>162</v>
      </c>
      <c r="I548" s="9" t="b">
        <f>TRUE()</f>
        <v>1</v>
      </c>
      <c r="J548" s="9" t="s">
        <v>152</v>
      </c>
      <c r="K548" s="9" t="s">
        <v>153</v>
      </c>
      <c r="L548" s="10">
        <v>45797</v>
      </c>
      <c r="M548" s="10"/>
      <c r="N548" s="10"/>
      <c r="O548" s="10">
        <v>45806</v>
      </c>
      <c r="P548" s="9" t="b">
        <f>TRUE()</f>
        <v>1</v>
      </c>
      <c r="Q548" s="11">
        <v>537.45000000000005</v>
      </c>
    </row>
    <row r="549" spans="1:17" ht="15" customHeight="1" x14ac:dyDescent="0.2">
      <c r="A549" s="9" t="s">
        <v>708</v>
      </c>
      <c r="B549" s="10">
        <v>45745</v>
      </c>
      <c r="C549" s="10">
        <v>45717</v>
      </c>
      <c r="D549" s="9" t="s">
        <v>22</v>
      </c>
      <c r="E549" s="9" t="s">
        <v>25</v>
      </c>
      <c r="F549" s="9" t="s">
        <v>155</v>
      </c>
      <c r="G549" s="9" t="s">
        <v>161</v>
      </c>
      <c r="H549" s="9" t="s">
        <v>165</v>
      </c>
      <c r="I549" s="9" t="b">
        <f>TRUE()</f>
        <v>1</v>
      </c>
      <c r="J549" s="9" t="s">
        <v>152</v>
      </c>
      <c r="K549" s="9" t="s">
        <v>163</v>
      </c>
      <c r="L549" s="10"/>
      <c r="M549" s="10"/>
      <c r="N549" s="10"/>
      <c r="O549" s="10">
        <v>45762</v>
      </c>
      <c r="P549" s="9" t="b">
        <f>TRUE()</f>
        <v>1</v>
      </c>
      <c r="Q549" s="11">
        <v>1219.5999999999999</v>
      </c>
    </row>
    <row r="550" spans="1:17" ht="15" customHeight="1" x14ac:dyDescent="0.2">
      <c r="A550" s="9" t="s">
        <v>709</v>
      </c>
      <c r="B550" s="10">
        <v>45713</v>
      </c>
      <c r="C550" s="10">
        <v>45689</v>
      </c>
      <c r="D550" s="9" t="s">
        <v>20</v>
      </c>
      <c r="E550" s="9" t="s">
        <v>28</v>
      </c>
      <c r="F550" s="9" t="s">
        <v>149</v>
      </c>
      <c r="G550" s="9" t="s">
        <v>161</v>
      </c>
      <c r="H550" s="9" t="s">
        <v>189</v>
      </c>
      <c r="I550" s="9" t="b">
        <f>TRUE()</f>
        <v>1</v>
      </c>
      <c r="J550" s="9" t="s">
        <v>152</v>
      </c>
      <c r="K550" s="9" t="s">
        <v>153</v>
      </c>
      <c r="L550" s="10">
        <v>45721</v>
      </c>
      <c r="M550" s="10"/>
      <c r="N550" s="10"/>
      <c r="O550" s="10">
        <v>45727</v>
      </c>
      <c r="P550" s="9" t="b">
        <f>TRUE()</f>
        <v>1</v>
      </c>
      <c r="Q550" s="11">
        <v>1918.19</v>
      </c>
    </row>
    <row r="551" spans="1:17" ht="15" customHeight="1" x14ac:dyDescent="0.2">
      <c r="A551" s="9" t="s">
        <v>710</v>
      </c>
      <c r="B551" s="10">
        <v>45787</v>
      </c>
      <c r="C551" s="10">
        <v>45778</v>
      </c>
      <c r="D551" s="9" t="s">
        <v>18</v>
      </c>
      <c r="E551" s="9" t="s">
        <v>24</v>
      </c>
      <c r="F551" s="9" t="s">
        <v>160</v>
      </c>
      <c r="G551" s="9" t="s">
        <v>156</v>
      </c>
      <c r="H551" s="9" t="s">
        <v>201</v>
      </c>
      <c r="I551" s="9" t="b">
        <f>TRUE()</f>
        <v>1</v>
      </c>
      <c r="J551" s="9" t="s">
        <v>152</v>
      </c>
      <c r="K551" s="9" t="s">
        <v>163</v>
      </c>
      <c r="L551" s="10"/>
      <c r="M551" s="10"/>
      <c r="N551" s="10"/>
      <c r="O551" s="10">
        <v>45791</v>
      </c>
      <c r="P551" s="9" t="b">
        <f>TRUE()</f>
        <v>1</v>
      </c>
      <c r="Q551" s="11">
        <v>844.47</v>
      </c>
    </row>
    <row r="552" spans="1:17" ht="15" customHeight="1" x14ac:dyDescent="0.2">
      <c r="A552" s="9" t="s">
        <v>711</v>
      </c>
      <c r="B552" s="10">
        <v>45764</v>
      </c>
      <c r="C552" s="10">
        <v>45748</v>
      </c>
      <c r="D552" s="9" t="s">
        <v>19</v>
      </c>
      <c r="E552" s="9" t="s">
        <v>26</v>
      </c>
      <c r="F552" s="9" t="s">
        <v>186</v>
      </c>
      <c r="G552" s="9" t="s">
        <v>150</v>
      </c>
      <c r="H552" s="9" t="s">
        <v>179</v>
      </c>
      <c r="I552" s="9" t="b">
        <f>TRUE()</f>
        <v>1</v>
      </c>
      <c r="J552" s="9" t="s">
        <v>2</v>
      </c>
      <c r="K552" s="9" t="s">
        <v>153</v>
      </c>
      <c r="L552" s="10">
        <v>45771</v>
      </c>
      <c r="M552" s="10">
        <v>45772</v>
      </c>
      <c r="N552" s="10">
        <v>45785</v>
      </c>
      <c r="O552" s="10"/>
      <c r="P552" s="9" t="b">
        <f>TRUE()</f>
        <v>1</v>
      </c>
      <c r="Q552" s="11">
        <v>8612.4599999999991</v>
      </c>
    </row>
    <row r="553" spans="1:17" ht="15" customHeight="1" x14ac:dyDescent="0.2">
      <c r="A553" s="9" t="s">
        <v>712</v>
      </c>
      <c r="B553" s="10">
        <v>45748</v>
      </c>
      <c r="C553" s="10">
        <v>45748</v>
      </c>
      <c r="D553" s="9" t="s">
        <v>20</v>
      </c>
      <c r="E553" s="9" t="s">
        <v>27</v>
      </c>
      <c r="F553" s="9" t="s">
        <v>160</v>
      </c>
      <c r="G553" s="9" t="s">
        <v>156</v>
      </c>
      <c r="H553" s="9" t="s">
        <v>167</v>
      </c>
      <c r="I553" s="9" t="b">
        <f>TRUE()</f>
        <v>1</v>
      </c>
      <c r="J553" s="9" t="s">
        <v>152</v>
      </c>
      <c r="K553" s="9" t="s">
        <v>163</v>
      </c>
      <c r="L553" s="10"/>
      <c r="M553" s="10"/>
      <c r="N553" s="10"/>
      <c r="O553" s="10">
        <v>45765</v>
      </c>
      <c r="P553" s="9" t="b">
        <f>TRUE()</f>
        <v>1</v>
      </c>
      <c r="Q553" s="11">
        <v>950.31</v>
      </c>
    </row>
    <row r="554" spans="1:17" ht="15" customHeight="1" x14ac:dyDescent="0.2">
      <c r="A554" s="9" t="s">
        <v>713</v>
      </c>
      <c r="B554" s="10">
        <v>46001</v>
      </c>
      <c r="C554" s="10">
        <v>45992</v>
      </c>
      <c r="D554" s="9" t="s">
        <v>19</v>
      </c>
      <c r="E554" s="9" t="s">
        <v>26</v>
      </c>
      <c r="F554" s="9" t="s">
        <v>160</v>
      </c>
      <c r="G554" s="9" t="s">
        <v>161</v>
      </c>
      <c r="H554" s="9" t="s">
        <v>207</v>
      </c>
      <c r="I554" s="9" t="b">
        <f>TRUE()</f>
        <v>1</v>
      </c>
      <c r="J554" s="9" t="s">
        <v>15</v>
      </c>
      <c r="K554" s="9" t="s">
        <v>153</v>
      </c>
      <c r="L554" s="10">
        <v>46008</v>
      </c>
      <c r="M554" s="10"/>
      <c r="N554" s="10"/>
      <c r="O554" s="10"/>
      <c r="P554" s="9" t="b">
        <f>TRUE()</f>
        <v>1</v>
      </c>
      <c r="Q554" s="11">
        <v>2661.01</v>
      </c>
    </row>
    <row r="555" spans="1:17" ht="15" customHeight="1" x14ac:dyDescent="0.2">
      <c r="A555" s="9" t="s">
        <v>714</v>
      </c>
      <c r="B555" s="10">
        <v>45832</v>
      </c>
      <c r="C555" s="10">
        <v>45809</v>
      </c>
      <c r="D555" s="9" t="s">
        <v>20</v>
      </c>
      <c r="E555" s="9" t="s">
        <v>27</v>
      </c>
      <c r="F555" s="9" t="s">
        <v>186</v>
      </c>
      <c r="G555" s="9" t="s">
        <v>156</v>
      </c>
      <c r="H555" s="9" t="s">
        <v>189</v>
      </c>
      <c r="I555" s="9" t="b">
        <f>TRUE()</f>
        <v>1</v>
      </c>
      <c r="J555" s="9" t="s">
        <v>152</v>
      </c>
      <c r="K555" s="9" t="s">
        <v>153</v>
      </c>
      <c r="L555" s="10">
        <v>45842</v>
      </c>
      <c r="M555" s="10">
        <v>45850</v>
      </c>
      <c r="N555" s="10"/>
      <c r="O555" s="10">
        <v>45873</v>
      </c>
      <c r="P555" s="9" t="b">
        <f>TRUE()</f>
        <v>1</v>
      </c>
      <c r="Q555" s="11">
        <v>767.33</v>
      </c>
    </row>
    <row r="556" spans="1:17" ht="15" customHeight="1" x14ac:dyDescent="0.2">
      <c r="A556" s="9" t="s">
        <v>715</v>
      </c>
      <c r="B556" s="10">
        <v>45829</v>
      </c>
      <c r="C556" s="10">
        <v>45809</v>
      </c>
      <c r="D556" s="9" t="s">
        <v>22</v>
      </c>
      <c r="E556" s="9" t="s">
        <v>27</v>
      </c>
      <c r="F556" s="9" t="s">
        <v>155</v>
      </c>
      <c r="G556" s="9" t="s">
        <v>161</v>
      </c>
      <c r="H556" s="9" t="s">
        <v>165</v>
      </c>
      <c r="I556" s="9" t="b">
        <f>TRUE()</f>
        <v>1</v>
      </c>
      <c r="J556" s="9" t="s">
        <v>152</v>
      </c>
      <c r="K556" s="9" t="s">
        <v>153</v>
      </c>
      <c r="L556" s="10">
        <v>45839</v>
      </c>
      <c r="M556" s="10"/>
      <c r="N556" s="10"/>
      <c r="O556" s="10">
        <v>45845</v>
      </c>
      <c r="P556" s="9" t="b">
        <f>TRUE()</f>
        <v>1</v>
      </c>
      <c r="Q556" s="11">
        <v>1228.25</v>
      </c>
    </row>
    <row r="557" spans="1:17" ht="15" customHeight="1" x14ac:dyDescent="0.2">
      <c r="A557" s="9" t="s">
        <v>716</v>
      </c>
      <c r="B557" s="10">
        <v>45912</v>
      </c>
      <c r="C557" s="10">
        <v>45901</v>
      </c>
      <c r="D557" s="9" t="s">
        <v>21</v>
      </c>
      <c r="E557" s="9" t="s">
        <v>24</v>
      </c>
      <c r="F557" s="9" t="s">
        <v>149</v>
      </c>
      <c r="G557" s="9" t="s">
        <v>161</v>
      </c>
      <c r="H557" s="9" t="s">
        <v>183</v>
      </c>
      <c r="I557" s="9" t="b">
        <f>TRUE()</f>
        <v>1</v>
      </c>
      <c r="J557" s="9" t="s">
        <v>152</v>
      </c>
      <c r="K557" s="9" t="s">
        <v>163</v>
      </c>
      <c r="L557" s="10"/>
      <c r="M557" s="10"/>
      <c r="N557" s="10"/>
      <c r="O557" s="10">
        <v>45914</v>
      </c>
      <c r="P557" s="9" t="b">
        <f>TRUE()</f>
        <v>1</v>
      </c>
      <c r="Q557" s="11">
        <v>3264.47</v>
      </c>
    </row>
    <row r="558" spans="1:17" ht="15" customHeight="1" x14ac:dyDescent="0.2">
      <c r="A558" s="9" t="s">
        <v>717</v>
      </c>
      <c r="B558" s="10">
        <v>45730</v>
      </c>
      <c r="C558" s="10">
        <v>45717</v>
      </c>
      <c r="D558" s="9" t="s">
        <v>20</v>
      </c>
      <c r="E558" s="9" t="s">
        <v>26</v>
      </c>
      <c r="F558" s="9" t="s">
        <v>149</v>
      </c>
      <c r="G558" s="9" t="s">
        <v>156</v>
      </c>
      <c r="H558" s="9" t="s">
        <v>189</v>
      </c>
      <c r="I558" s="9" t="b">
        <f>TRUE()</f>
        <v>1</v>
      </c>
      <c r="J558" s="9" t="s">
        <v>152</v>
      </c>
      <c r="K558" s="9" t="s">
        <v>163</v>
      </c>
      <c r="L558" s="10"/>
      <c r="M558" s="10"/>
      <c r="N558" s="10"/>
      <c r="O558" s="10">
        <v>45739</v>
      </c>
      <c r="P558" s="9" t="b">
        <f>TRUE()</f>
        <v>1</v>
      </c>
      <c r="Q558" s="11">
        <v>1006.78</v>
      </c>
    </row>
    <row r="559" spans="1:17" ht="15" customHeight="1" x14ac:dyDescent="0.2">
      <c r="A559" s="9" t="s">
        <v>718</v>
      </c>
      <c r="B559" s="10">
        <v>45999</v>
      </c>
      <c r="C559" s="10">
        <v>45992</v>
      </c>
      <c r="D559" s="9" t="s">
        <v>18</v>
      </c>
      <c r="E559" s="9" t="s">
        <v>26</v>
      </c>
      <c r="F559" s="9" t="s">
        <v>160</v>
      </c>
      <c r="G559" s="9" t="s">
        <v>156</v>
      </c>
      <c r="H559" s="9" t="s">
        <v>201</v>
      </c>
      <c r="I559" s="9" t="b">
        <f>TRUE()</f>
        <v>1</v>
      </c>
      <c r="J559" s="9" t="s">
        <v>2</v>
      </c>
      <c r="K559" s="9" t="s">
        <v>153</v>
      </c>
      <c r="L559" s="10">
        <v>46005</v>
      </c>
      <c r="M559" s="10">
        <v>46015</v>
      </c>
      <c r="N559" s="10">
        <v>46037</v>
      </c>
      <c r="O559" s="10"/>
      <c r="P559" s="9" t="b">
        <f>TRUE()</f>
        <v>1</v>
      </c>
      <c r="Q559" s="11">
        <v>627.35</v>
      </c>
    </row>
    <row r="560" spans="1:17" ht="15" customHeight="1" x14ac:dyDescent="0.2">
      <c r="A560" s="9" t="s">
        <v>719</v>
      </c>
      <c r="B560" s="10">
        <v>45942</v>
      </c>
      <c r="C560" s="10">
        <v>45931</v>
      </c>
      <c r="D560" s="9" t="s">
        <v>22</v>
      </c>
      <c r="E560" s="9" t="s">
        <v>25</v>
      </c>
      <c r="F560" s="9" t="s">
        <v>160</v>
      </c>
      <c r="G560" s="9" t="s">
        <v>161</v>
      </c>
      <c r="H560" s="9" t="s">
        <v>170</v>
      </c>
      <c r="I560" s="9" t="b">
        <f>TRUE()</f>
        <v>1</v>
      </c>
      <c r="J560" s="9" t="s">
        <v>152</v>
      </c>
      <c r="K560" s="9" t="s">
        <v>163</v>
      </c>
      <c r="L560" s="10"/>
      <c r="M560" s="10"/>
      <c r="N560" s="10"/>
      <c r="O560" s="10">
        <v>45947</v>
      </c>
      <c r="P560" s="9" t="b">
        <f>TRUE()</f>
        <v>1</v>
      </c>
      <c r="Q560" s="11">
        <v>3169.82</v>
      </c>
    </row>
    <row r="561" spans="1:17" ht="15" customHeight="1" x14ac:dyDescent="0.2">
      <c r="A561" s="9" t="s">
        <v>720</v>
      </c>
      <c r="B561" s="10">
        <v>45707</v>
      </c>
      <c r="C561" s="10">
        <v>45689</v>
      </c>
      <c r="D561" s="9" t="s">
        <v>20</v>
      </c>
      <c r="E561" s="9" t="s">
        <v>25</v>
      </c>
      <c r="F561" s="9" t="s">
        <v>186</v>
      </c>
      <c r="G561" s="9" t="s">
        <v>156</v>
      </c>
      <c r="H561" s="9" t="s">
        <v>192</v>
      </c>
      <c r="I561" s="9" t="b">
        <f>TRUE()</f>
        <v>1</v>
      </c>
      <c r="J561" s="9" t="s">
        <v>2</v>
      </c>
      <c r="K561" s="9" t="s">
        <v>153</v>
      </c>
      <c r="L561" s="10">
        <v>45709</v>
      </c>
      <c r="M561" s="10">
        <v>45720</v>
      </c>
      <c r="N561" s="10">
        <v>45724</v>
      </c>
      <c r="O561" s="10"/>
      <c r="P561" s="9" t="b">
        <f>TRUE()</f>
        <v>1</v>
      </c>
      <c r="Q561" s="11">
        <v>673.59</v>
      </c>
    </row>
    <row r="562" spans="1:17" ht="15" customHeight="1" x14ac:dyDescent="0.2">
      <c r="A562" s="9" t="s">
        <v>721</v>
      </c>
      <c r="B562" s="10">
        <v>45831</v>
      </c>
      <c r="C562" s="10">
        <v>45809</v>
      </c>
      <c r="D562" s="9" t="s">
        <v>20</v>
      </c>
      <c r="E562" s="9" t="s">
        <v>25</v>
      </c>
      <c r="F562" s="9" t="s">
        <v>155</v>
      </c>
      <c r="G562" s="9" t="s">
        <v>156</v>
      </c>
      <c r="H562" s="9" t="s">
        <v>167</v>
      </c>
      <c r="I562" s="9" t="b">
        <f>TRUE()</f>
        <v>1</v>
      </c>
      <c r="J562" s="9" t="s">
        <v>2</v>
      </c>
      <c r="K562" s="9" t="s">
        <v>153</v>
      </c>
      <c r="L562" s="10">
        <v>45834</v>
      </c>
      <c r="M562" s="10">
        <v>45843</v>
      </c>
      <c r="N562" s="10">
        <v>45859</v>
      </c>
      <c r="O562" s="10"/>
      <c r="P562" s="9" t="b">
        <f>TRUE()</f>
        <v>1</v>
      </c>
      <c r="Q562" s="11">
        <v>657.93</v>
      </c>
    </row>
    <row r="563" spans="1:17" ht="15" customHeight="1" x14ac:dyDescent="0.2">
      <c r="A563" s="9" t="s">
        <v>722</v>
      </c>
      <c r="B563" s="10">
        <v>45865</v>
      </c>
      <c r="C563" s="10">
        <v>45839</v>
      </c>
      <c r="D563" s="9" t="s">
        <v>19</v>
      </c>
      <c r="E563" s="9" t="s">
        <v>27</v>
      </c>
      <c r="F563" s="9" t="s">
        <v>149</v>
      </c>
      <c r="G563" s="9" t="s">
        <v>156</v>
      </c>
      <c r="H563" s="9" t="s">
        <v>210</v>
      </c>
      <c r="I563" s="9" t="b">
        <f>TRUE()</f>
        <v>1</v>
      </c>
      <c r="J563" s="9" t="s">
        <v>152</v>
      </c>
      <c r="K563" s="9" t="s">
        <v>153</v>
      </c>
      <c r="L563" s="10">
        <v>45869</v>
      </c>
      <c r="M563" s="10">
        <v>45882</v>
      </c>
      <c r="N563" s="10"/>
      <c r="O563" s="10">
        <v>45899</v>
      </c>
      <c r="P563" s="9" t="b">
        <f>TRUE()</f>
        <v>1</v>
      </c>
      <c r="Q563" s="11">
        <v>1086.55</v>
      </c>
    </row>
    <row r="564" spans="1:17" ht="15" customHeight="1" x14ac:dyDescent="0.2">
      <c r="A564" s="9" t="s">
        <v>723</v>
      </c>
      <c r="B564" s="10">
        <v>45977</v>
      </c>
      <c r="C564" s="10">
        <v>45962</v>
      </c>
      <c r="D564" s="9" t="s">
        <v>22</v>
      </c>
      <c r="E564" s="9" t="s">
        <v>27</v>
      </c>
      <c r="F564" s="9" t="s">
        <v>186</v>
      </c>
      <c r="G564" s="9" t="s">
        <v>156</v>
      </c>
      <c r="H564" s="9" t="s">
        <v>165</v>
      </c>
      <c r="I564" s="9" t="b">
        <f>TRUE()</f>
        <v>1</v>
      </c>
      <c r="J564" s="9" t="s">
        <v>2</v>
      </c>
      <c r="K564" s="9" t="s">
        <v>153</v>
      </c>
      <c r="L564" s="10">
        <v>45982</v>
      </c>
      <c r="M564" s="10">
        <v>45985</v>
      </c>
      <c r="N564" s="10">
        <v>46011</v>
      </c>
      <c r="O564" s="10"/>
      <c r="P564" s="9" t="b">
        <f>TRUE()</f>
        <v>1</v>
      </c>
      <c r="Q564" s="11">
        <v>849.15</v>
      </c>
    </row>
    <row r="565" spans="1:17" ht="15" customHeight="1" x14ac:dyDescent="0.2">
      <c r="A565" s="9" t="s">
        <v>724</v>
      </c>
      <c r="B565" s="10">
        <v>45793</v>
      </c>
      <c r="C565" s="10">
        <v>45778</v>
      </c>
      <c r="D565" s="9" t="s">
        <v>22</v>
      </c>
      <c r="E565" s="9" t="s">
        <v>28</v>
      </c>
      <c r="F565" s="9" t="s">
        <v>149</v>
      </c>
      <c r="G565" s="9" t="s">
        <v>156</v>
      </c>
      <c r="H565" s="9" t="s">
        <v>151</v>
      </c>
      <c r="I565" s="9" t="b">
        <f>TRUE()</f>
        <v>1</v>
      </c>
      <c r="J565" s="9" t="s">
        <v>152</v>
      </c>
      <c r="K565" s="9" t="s">
        <v>163</v>
      </c>
      <c r="L565" s="10"/>
      <c r="M565" s="10"/>
      <c r="N565" s="10"/>
      <c r="O565" s="10">
        <v>45805</v>
      </c>
      <c r="P565" s="9" t="b">
        <f>TRUE()</f>
        <v>1</v>
      </c>
      <c r="Q565" s="11">
        <v>972.87</v>
      </c>
    </row>
    <row r="566" spans="1:17" ht="15" customHeight="1" x14ac:dyDescent="0.2">
      <c r="A566" s="9" t="s">
        <v>725</v>
      </c>
      <c r="B566" s="10">
        <v>45679</v>
      </c>
      <c r="C566" s="10">
        <v>45658</v>
      </c>
      <c r="D566" s="9" t="s">
        <v>19</v>
      </c>
      <c r="E566" s="9" t="s">
        <v>27</v>
      </c>
      <c r="F566" s="9" t="s">
        <v>155</v>
      </c>
      <c r="G566" s="9" t="s">
        <v>156</v>
      </c>
      <c r="H566" s="9" t="s">
        <v>179</v>
      </c>
      <c r="I566" s="9" t="b">
        <f>TRUE()</f>
        <v>1</v>
      </c>
      <c r="J566" s="9" t="s">
        <v>152</v>
      </c>
      <c r="K566" s="9" t="s">
        <v>163</v>
      </c>
      <c r="L566" s="10"/>
      <c r="M566" s="10"/>
      <c r="N566" s="10"/>
      <c r="O566" s="10">
        <v>45683</v>
      </c>
      <c r="P566" s="9" t="b">
        <f>TRUE()</f>
        <v>1</v>
      </c>
      <c r="Q566" s="11">
        <v>393.17</v>
      </c>
    </row>
    <row r="567" spans="1:17" ht="15" customHeight="1" x14ac:dyDescent="0.2">
      <c r="A567" s="9" t="s">
        <v>726</v>
      </c>
      <c r="B567" s="10">
        <v>46020</v>
      </c>
      <c r="C567" s="10">
        <v>45992</v>
      </c>
      <c r="D567" s="9" t="s">
        <v>21</v>
      </c>
      <c r="E567" s="9" t="s">
        <v>27</v>
      </c>
      <c r="F567" s="9" t="s">
        <v>160</v>
      </c>
      <c r="G567" s="9" t="s">
        <v>156</v>
      </c>
      <c r="H567" s="9" t="s">
        <v>183</v>
      </c>
      <c r="I567" s="9" t="b">
        <f>TRUE()</f>
        <v>1</v>
      </c>
      <c r="J567" s="9" t="s">
        <v>15</v>
      </c>
      <c r="K567" s="9" t="s">
        <v>153</v>
      </c>
      <c r="L567" s="10">
        <v>46024</v>
      </c>
      <c r="M567" s="10"/>
      <c r="N567" s="10"/>
      <c r="O567" s="10"/>
      <c r="P567" s="9" t="b">
        <f>TRUE()</f>
        <v>1</v>
      </c>
      <c r="Q567" s="11">
        <v>908.67</v>
      </c>
    </row>
    <row r="568" spans="1:17" ht="15" customHeight="1" x14ac:dyDescent="0.2">
      <c r="A568" s="9" t="s">
        <v>727</v>
      </c>
      <c r="B568" s="10">
        <v>45946</v>
      </c>
      <c r="C568" s="10">
        <v>45931</v>
      </c>
      <c r="D568" s="9" t="s">
        <v>22</v>
      </c>
      <c r="E568" s="9" t="s">
        <v>26</v>
      </c>
      <c r="F568" s="9" t="s">
        <v>149</v>
      </c>
      <c r="G568" s="9" t="s">
        <v>156</v>
      </c>
      <c r="H568" s="9" t="s">
        <v>165</v>
      </c>
      <c r="I568" s="9" t="b">
        <f>TRUE()</f>
        <v>1</v>
      </c>
      <c r="J568" s="9" t="s">
        <v>152</v>
      </c>
      <c r="K568" s="9" t="s">
        <v>153</v>
      </c>
      <c r="L568" s="10">
        <v>45952</v>
      </c>
      <c r="M568" s="10"/>
      <c r="N568" s="10"/>
      <c r="O568" s="10">
        <v>45961</v>
      </c>
      <c r="P568" s="9" t="b">
        <f>TRUE()</f>
        <v>1</v>
      </c>
      <c r="Q568" s="11">
        <v>706.5</v>
      </c>
    </row>
    <row r="569" spans="1:17" ht="15" customHeight="1" x14ac:dyDescent="0.2">
      <c r="A569" s="9" t="s">
        <v>728</v>
      </c>
      <c r="B569" s="10">
        <v>45702</v>
      </c>
      <c r="C569" s="10">
        <v>45689</v>
      </c>
      <c r="D569" s="9" t="s">
        <v>20</v>
      </c>
      <c r="E569" s="9" t="s">
        <v>28</v>
      </c>
      <c r="F569" s="9" t="s">
        <v>149</v>
      </c>
      <c r="G569" s="9" t="s">
        <v>161</v>
      </c>
      <c r="H569" s="9" t="s">
        <v>189</v>
      </c>
      <c r="I569" s="9" t="b">
        <f>TRUE()</f>
        <v>1</v>
      </c>
      <c r="J569" s="9" t="s">
        <v>152</v>
      </c>
      <c r="K569" s="9" t="s">
        <v>153</v>
      </c>
      <c r="L569" s="10">
        <v>45712</v>
      </c>
      <c r="M569" s="10">
        <v>45723</v>
      </c>
      <c r="N569" s="10"/>
      <c r="O569" s="10">
        <v>45750</v>
      </c>
      <c r="P569" s="9" t="b">
        <f>TRUE()</f>
        <v>1</v>
      </c>
      <c r="Q569" s="11">
        <v>1910.46</v>
      </c>
    </row>
    <row r="570" spans="1:17" ht="15" customHeight="1" x14ac:dyDescent="0.2">
      <c r="A570" s="9" t="s">
        <v>729</v>
      </c>
      <c r="B570" s="10">
        <v>45912</v>
      </c>
      <c r="C570" s="10">
        <v>45901</v>
      </c>
      <c r="D570" s="9" t="s">
        <v>19</v>
      </c>
      <c r="E570" s="9" t="s">
        <v>28</v>
      </c>
      <c r="F570" s="9" t="s">
        <v>149</v>
      </c>
      <c r="G570" s="9" t="s">
        <v>156</v>
      </c>
      <c r="H570" s="9" t="s">
        <v>207</v>
      </c>
      <c r="I570" s="9" t="b">
        <f>TRUE()</f>
        <v>1</v>
      </c>
      <c r="J570" s="9" t="s">
        <v>152</v>
      </c>
      <c r="K570" s="9" t="s">
        <v>153</v>
      </c>
      <c r="L570" s="10">
        <v>45915</v>
      </c>
      <c r="M570" s="10">
        <v>45928</v>
      </c>
      <c r="N570" s="10"/>
      <c r="O570" s="10">
        <v>45951</v>
      </c>
      <c r="P570" s="9" t="b">
        <f>TRUE()</f>
        <v>1</v>
      </c>
      <c r="Q570" s="11">
        <v>825.19</v>
      </c>
    </row>
    <row r="571" spans="1:17" ht="15" customHeight="1" x14ac:dyDescent="0.2">
      <c r="A571" s="9" t="s">
        <v>730</v>
      </c>
      <c r="B571" s="10">
        <v>45682</v>
      </c>
      <c r="C571" s="10">
        <v>45658</v>
      </c>
      <c r="D571" s="9" t="s">
        <v>18</v>
      </c>
      <c r="E571" s="9" t="s">
        <v>25</v>
      </c>
      <c r="F571" s="9" t="s">
        <v>186</v>
      </c>
      <c r="G571" s="9" t="s">
        <v>156</v>
      </c>
      <c r="H571" s="9" t="s">
        <v>201</v>
      </c>
      <c r="I571" s="9" t="b">
        <f>TRUE()</f>
        <v>1</v>
      </c>
      <c r="J571" s="9" t="s">
        <v>152</v>
      </c>
      <c r="K571" s="9" t="s">
        <v>153</v>
      </c>
      <c r="L571" s="10">
        <v>45688</v>
      </c>
      <c r="M571" s="10"/>
      <c r="N571" s="10"/>
      <c r="O571" s="10">
        <v>45695</v>
      </c>
      <c r="P571" s="9" t="b">
        <f>TRUE()</f>
        <v>1</v>
      </c>
      <c r="Q571" s="11">
        <v>853.28</v>
      </c>
    </row>
    <row r="572" spans="1:17" ht="15" customHeight="1" x14ac:dyDescent="0.2">
      <c r="A572" s="9" t="s">
        <v>731</v>
      </c>
      <c r="B572" s="10">
        <v>45755</v>
      </c>
      <c r="C572" s="10">
        <v>45748</v>
      </c>
      <c r="D572" s="9" t="s">
        <v>18</v>
      </c>
      <c r="E572" s="9" t="s">
        <v>26</v>
      </c>
      <c r="F572" s="9" t="s">
        <v>155</v>
      </c>
      <c r="G572" s="9" t="s">
        <v>156</v>
      </c>
      <c r="H572" s="9" t="s">
        <v>157</v>
      </c>
      <c r="I572" s="9" t="b">
        <f>TRUE()</f>
        <v>1</v>
      </c>
      <c r="J572" s="9" t="s">
        <v>152</v>
      </c>
      <c r="K572" s="9" t="s">
        <v>163</v>
      </c>
      <c r="L572" s="10"/>
      <c r="M572" s="10"/>
      <c r="N572" s="10"/>
      <c r="O572" s="10">
        <v>45771</v>
      </c>
      <c r="P572" s="9" t="b">
        <f>TRUE()</f>
        <v>1</v>
      </c>
      <c r="Q572" s="11">
        <v>423.77</v>
      </c>
    </row>
    <row r="573" spans="1:17" ht="15" customHeight="1" x14ac:dyDescent="0.2">
      <c r="A573" s="9" t="s">
        <v>732</v>
      </c>
      <c r="B573" s="10">
        <v>45990</v>
      </c>
      <c r="C573" s="10">
        <v>45962</v>
      </c>
      <c r="D573" s="9" t="s">
        <v>20</v>
      </c>
      <c r="E573" s="9" t="s">
        <v>26</v>
      </c>
      <c r="F573" s="9" t="s">
        <v>155</v>
      </c>
      <c r="G573" s="9" t="s">
        <v>156</v>
      </c>
      <c r="H573" s="9" t="s">
        <v>192</v>
      </c>
      <c r="I573" s="9" t="b">
        <f>TRUE()</f>
        <v>1</v>
      </c>
      <c r="J573" s="9" t="s">
        <v>15</v>
      </c>
      <c r="K573" s="9" t="s">
        <v>153</v>
      </c>
      <c r="L573" s="10">
        <v>45992</v>
      </c>
      <c r="M573" s="10"/>
      <c r="N573" s="10"/>
      <c r="O573" s="10"/>
      <c r="P573" s="9" t="b">
        <f>TRUE()</f>
        <v>1</v>
      </c>
      <c r="Q573" s="11">
        <v>476.79</v>
      </c>
    </row>
    <row r="574" spans="1:17" ht="15" customHeight="1" x14ac:dyDescent="0.2">
      <c r="A574" s="9" t="s">
        <v>733</v>
      </c>
      <c r="B574" s="10">
        <v>46022</v>
      </c>
      <c r="C574" s="10">
        <v>45992</v>
      </c>
      <c r="D574" s="9" t="s">
        <v>21</v>
      </c>
      <c r="E574" s="9" t="s">
        <v>25</v>
      </c>
      <c r="F574" s="9" t="s">
        <v>186</v>
      </c>
      <c r="G574" s="9" t="s">
        <v>156</v>
      </c>
      <c r="H574" s="9" t="s">
        <v>162</v>
      </c>
      <c r="I574" s="9" t="b">
        <f>TRUE()</f>
        <v>1</v>
      </c>
      <c r="J574" s="9" t="s">
        <v>158</v>
      </c>
      <c r="K574" s="9" t="s">
        <v>153</v>
      </c>
      <c r="L574" s="10">
        <v>46030</v>
      </c>
      <c r="M574" s="10">
        <v>46033</v>
      </c>
      <c r="N574" s="10"/>
      <c r="O574" s="10"/>
      <c r="P574" s="9" t="b">
        <f>TRUE()</f>
        <v>1</v>
      </c>
      <c r="Q574" s="11">
        <v>687.46</v>
      </c>
    </row>
    <row r="575" spans="1:17" ht="15" customHeight="1" x14ac:dyDescent="0.2">
      <c r="A575" s="9" t="s">
        <v>734</v>
      </c>
      <c r="B575" s="10">
        <v>45759</v>
      </c>
      <c r="C575" s="10">
        <v>45748</v>
      </c>
      <c r="D575" s="9" t="s">
        <v>20</v>
      </c>
      <c r="E575" s="9" t="s">
        <v>26</v>
      </c>
      <c r="F575" s="9" t="s">
        <v>149</v>
      </c>
      <c r="G575" s="9" t="s">
        <v>150</v>
      </c>
      <c r="H575" s="9" t="s">
        <v>189</v>
      </c>
      <c r="I575" s="9" t="b">
        <f>TRUE()</f>
        <v>1</v>
      </c>
      <c r="J575" s="9" t="s">
        <v>152</v>
      </c>
      <c r="K575" s="9" t="s">
        <v>163</v>
      </c>
      <c r="L575" s="10"/>
      <c r="M575" s="10"/>
      <c r="N575" s="10"/>
      <c r="O575" s="10">
        <v>45776</v>
      </c>
      <c r="P575" s="9" t="b">
        <f>TRUE()</f>
        <v>1</v>
      </c>
      <c r="Q575" s="11">
        <v>6486.89</v>
      </c>
    </row>
    <row r="576" spans="1:17" ht="15" customHeight="1" x14ac:dyDescent="0.2">
      <c r="A576" s="9" t="s">
        <v>735</v>
      </c>
      <c r="B576" s="10">
        <v>45796</v>
      </c>
      <c r="C576" s="10">
        <v>45778</v>
      </c>
      <c r="D576" s="9" t="s">
        <v>20</v>
      </c>
      <c r="E576" s="9" t="s">
        <v>25</v>
      </c>
      <c r="F576" s="9" t="s">
        <v>186</v>
      </c>
      <c r="G576" s="9" t="s">
        <v>161</v>
      </c>
      <c r="H576" s="9" t="s">
        <v>189</v>
      </c>
      <c r="I576" s="9" t="b">
        <f>TRUE()</f>
        <v>1</v>
      </c>
      <c r="J576" s="9" t="s">
        <v>2</v>
      </c>
      <c r="K576" s="9" t="s">
        <v>153</v>
      </c>
      <c r="L576" s="10">
        <v>45800</v>
      </c>
      <c r="M576" s="10">
        <v>45801</v>
      </c>
      <c r="N576" s="10">
        <v>45810</v>
      </c>
      <c r="O576" s="10"/>
      <c r="P576" s="9" t="b">
        <f>TRUE()</f>
        <v>1</v>
      </c>
      <c r="Q576" s="11">
        <v>2736.44</v>
      </c>
    </row>
    <row r="577" spans="1:17" ht="15" customHeight="1" x14ac:dyDescent="0.2">
      <c r="A577" s="9" t="s">
        <v>736</v>
      </c>
      <c r="B577" s="10">
        <v>45794</v>
      </c>
      <c r="C577" s="10">
        <v>45778</v>
      </c>
      <c r="D577" s="9" t="s">
        <v>21</v>
      </c>
      <c r="E577" s="9" t="s">
        <v>25</v>
      </c>
      <c r="F577" s="9" t="s">
        <v>160</v>
      </c>
      <c r="G577" s="9" t="s">
        <v>161</v>
      </c>
      <c r="H577" s="9" t="s">
        <v>183</v>
      </c>
      <c r="I577" s="9" t="b">
        <f>TRUE()</f>
        <v>1</v>
      </c>
      <c r="J577" s="9" t="s">
        <v>2</v>
      </c>
      <c r="K577" s="9" t="s">
        <v>153</v>
      </c>
      <c r="L577" s="10">
        <v>45797</v>
      </c>
      <c r="M577" s="10">
        <v>45801</v>
      </c>
      <c r="N577" s="10">
        <v>45826</v>
      </c>
      <c r="O577" s="10"/>
      <c r="P577" s="9" t="b">
        <f>TRUE()</f>
        <v>1</v>
      </c>
      <c r="Q577" s="11">
        <v>1713.99</v>
      </c>
    </row>
    <row r="578" spans="1:17" ht="15" customHeight="1" x14ac:dyDescent="0.2">
      <c r="A578" s="9" t="s">
        <v>737</v>
      </c>
      <c r="B578" s="10">
        <v>45898</v>
      </c>
      <c r="C578" s="10">
        <v>45870</v>
      </c>
      <c r="D578" s="9" t="s">
        <v>22</v>
      </c>
      <c r="E578" s="9" t="s">
        <v>28</v>
      </c>
      <c r="F578" s="9" t="s">
        <v>155</v>
      </c>
      <c r="G578" s="9" t="s">
        <v>156</v>
      </c>
      <c r="H578" s="9" t="s">
        <v>170</v>
      </c>
      <c r="I578" s="9" t="b">
        <f>TRUE()</f>
        <v>1</v>
      </c>
      <c r="J578" s="9" t="s">
        <v>152</v>
      </c>
      <c r="K578" s="9" t="s">
        <v>163</v>
      </c>
      <c r="L578" s="10"/>
      <c r="M578" s="10"/>
      <c r="N578" s="10"/>
      <c r="O578" s="10">
        <v>45917</v>
      </c>
      <c r="P578" s="9" t="b">
        <f>TRUE()</f>
        <v>1</v>
      </c>
      <c r="Q578" s="11">
        <v>619.33000000000004</v>
      </c>
    </row>
    <row r="579" spans="1:17" ht="15" customHeight="1" x14ac:dyDescent="0.2">
      <c r="A579" s="9" t="s">
        <v>738</v>
      </c>
      <c r="B579" s="10">
        <v>45889</v>
      </c>
      <c r="C579" s="10">
        <v>45870</v>
      </c>
      <c r="D579" s="9" t="s">
        <v>19</v>
      </c>
      <c r="E579" s="9" t="s">
        <v>27</v>
      </c>
      <c r="F579" s="9" t="s">
        <v>186</v>
      </c>
      <c r="G579" s="9" t="s">
        <v>156</v>
      </c>
      <c r="H579" s="9" t="s">
        <v>210</v>
      </c>
      <c r="I579" s="9" t="b">
        <f>TRUE()</f>
        <v>1</v>
      </c>
      <c r="J579" s="9" t="s">
        <v>152</v>
      </c>
      <c r="K579" s="9" t="s">
        <v>153</v>
      </c>
      <c r="L579" s="10">
        <v>45891</v>
      </c>
      <c r="M579" s="10"/>
      <c r="N579" s="10"/>
      <c r="O579" s="10">
        <v>45899</v>
      </c>
      <c r="P579" s="9" t="b">
        <f>TRUE()</f>
        <v>1</v>
      </c>
      <c r="Q579" s="11">
        <v>546.11</v>
      </c>
    </row>
    <row r="580" spans="1:17" ht="15" customHeight="1" x14ac:dyDescent="0.2">
      <c r="A580" s="9" t="s">
        <v>739</v>
      </c>
      <c r="B580" s="10">
        <v>45710</v>
      </c>
      <c r="C580" s="10">
        <v>45689</v>
      </c>
      <c r="D580" s="9" t="s">
        <v>19</v>
      </c>
      <c r="E580" s="9" t="s">
        <v>28</v>
      </c>
      <c r="F580" s="9" t="s">
        <v>160</v>
      </c>
      <c r="G580" s="9" t="s">
        <v>156</v>
      </c>
      <c r="H580" s="9" t="s">
        <v>179</v>
      </c>
      <c r="I580" s="9" t="b">
        <f>TRUE()</f>
        <v>1</v>
      </c>
      <c r="J580" s="9" t="s">
        <v>152</v>
      </c>
      <c r="K580" s="9" t="s">
        <v>163</v>
      </c>
      <c r="L580" s="10"/>
      <c r="M580" s="10"/>
      <c r="N580" s="10"/>
      <c r="O580" s="10">
        <v>45715</v>
      </c>
      <c r="P580" s="9" t="b">
        <f>TRUE()</f>
        <v>1</v>
      </c>
      <c r="Q580" s="11">
        <v>778.84</v>
      </c>
    </row>
    <row r="581" spans="1:17" ht="15" customHeight="1" x14ac:dyDescent="0.2">
      <c r="A581" s="9" t="s">
        <v>740</v>
      </c>
      <c r="B581" s="10">
        <v>46019</v>
      </c>
      <c r="C581" s="10">
        <v>45992</v>
      </c>
      <c r="D581" s="9" t="s">
        <v>22</v>
      </c>
      <c r="E581" s="9" t="s">
        <v>25</v>
      </c>
      <c r="F581" s="9" t="s">
        <v>149</v>
      </c>
      <c r="G581" s="9" t="s">
        <v>156</v>
      </c>
      <c r="H581" s="9" t="s">
        <v>165</v>
      </c>
      <c r="I581" s="9" t="b">
        <f>TRUE()</f>
        <v>1</v>
      </c>
      <c r="J581" s="9" t="s">
        <v>158</v>
      </c>
      <c r="K581" s="9" t="s">
        <v>153</v>
      </c>
      <c r="L581" s="10">
        <v>46023</v>
      </c>
      <c r="M581" s="10">
        <v>46033</v>
      </c>
      <c r="N581" s="10"/>
      <c r="O581" s="10"/>
      <c r="P581" s="9" t="b">
        <f>TRUE()</f>
        <v>1</v>
      </c>
      <c r="Q581" s="11">
        <v>721.31</v>
      </c>
    </row>
    <row r="582" spans="1:17" ht="15" customHeight="1" x14ac:dyDescent="0.2">
      <c r="A582" s="9" t="s">
        <v>741</v>
      </c>
      <c r="B582" s="10">
        <v>45978</v>
      </c>
      <c r="C582" s="10">
        <v>45962</v>
      </c>
      <c r="D582" s="9" t="s">
        <v>20</v>
      </c>
      <c r="E582" s="9" t="s">
        <v>27</v>
      </c>
      <c r="F582" s="9" t="s">
        <v>149</v>
      </c>
      <c r="G582" s="9" t="s">
        <v>156</v>
      </c>
      <c r="H582" s="9" t="s">
        <v>192</v>
      </c>
      <c r="I582" s="9" t="b">
        <f>TRUE()</f>
        <v>1</v>
      </c>
      <c r="J582" s="9" t="s">
        <v>152</v>
      </c>
      <c r="K582" s="9" t="s">
        <v>153</v>
      </c>
      <c r="L582" s="10">
        <v>45987</v>
      </c>
      <c r="M582" s="10">
        <v>45994</v>
      </c>
      <c r="N582" s="10"/>
      <c r="O582" s="10">
        <v>46000</v>
      </c>
      <c r="P582" s="9" t="b">
        <f>TRUE()</f>
        <v>1</v>
      </c>
      <c r="Q582" s="11">
        <v>1131.93</v>
      </c>
    </row>
    <row r="583" spans="1:17" ht="15" customHeight="1" x14ac:dyDescent="0.2">
      <c r="A583" s="9" t="s">
        <v>57</v>
      </c>
      <c r="B583" s="10">
        <v>45740</v>
      </c>
      <c r="C583" s="10">
        <v>45717</v>
      </c>
      <c r="D583" s="9" t="s">
        <v>20</v>
      </c>
      <c r="E583" s="9" t="s">
        <v>375</v>
      </c>
      <c r="F583" s="9" t="s">
        <v>149</v>
      </c>
      <c r="G583" s="9" t="s">
        <v>161</v>
      </c>
      <c r="H583" s="9" t="s">
        <v>192</v>
      </c>
      <c r="I583" s="9" t="b">
        <f>TRUE()</f>
        <v>1</v>
      </c>
      <c r="J583" s="9" t="s">
        <v>2</v>
      </c>
      <c r="K583" s="9" t="s">
        <v>153</v>
      </c>
      <c r="L583" s="10">
        <v>45744</v>
      </c>
      <c r="M583" s="10">
        <v>45759</v>
      </c>
      <c r="N583" s="10">
        <v>45762</v>
      </c>
      <c r="O583" s="10"/>
      <c r="P583" s="9" t="b">
        <f>TRUE()</f>
        <v>1</v>
      </c>
      <c r="Q583" s="11">
        <v>1958.34</v>
      </c>
    </row>
    <row r="584" spans="1:17" ht="15" customHeight="1" x14ac:dyDescent="0.2">
      <c r="A584" s="9" t="s">
        <v>742</v>
      </c>
      <c r="B584" s="10">
        <v>46018</v>
      </c>
      <c r="C584" s="10">
        <v>45992</v>
      </c>
      <c r="D584" s="9" t="s">
        <v>18</v>
      </c>
      <c r="E584" s="9" t="s">
        <v>26</v>
      </c>
      <c r="F584" s="9" t="s">
        <v>155</v>
      </c>
      <c r="G584" s="9" t="s">
        <v>156</v>
      </c>
      <c r="H584" s="9" t="s">
        <v>157</v>
      </c>
      <c r="I584" s="9" t="b">
        <f>TRUE()</f>
        <v>1</v>
      </c>
      <c r="J584" s="9" t="s">
        <v>2</v>
      </c>
      <c r="K584" s="9" t="s">
        <v>153</v>
      </c>
      <c r="L584" s="10">
        <v>46024</v>
      </c>
      <c r="M584" s="10">
        <v>46026</v>
      </c>
      <c r="N584" s="10">
        <v>46035</v>
      </c>
      <c r="O584" s="10"/>
      <c r="P584" s="9" t="b">
        <f>TRUE()</f>
        <v>1</v>
      </c>
      <c r="Q584" s="11">
        <v>605.41</v>
      </c>
    </row>
    <row r="585" spans="1:17" ht="15" customHeight="1" x14ac:dyDescent="0.2">
      <c r="A585" s="9" t="s">
        <v>743</v>
      </c>
      <c r="B585" s="10">
        <v>45986</v>
      </c>
      <c r="C585" s="10">
        <v>45962</v>
      </c>
      <c r="D585" s="9" t="s">
        <v>22</v>
      </c>
      <c r="E585" s="9" t="s">
        <v>25</v>
      </c>
      <c r="F585" s="9" t="s">
        <v>149</v>
      </c>
      <c r="G585" s="9" t="s">
        <v>156</v>
      </c>
      <c r="H585" s="9" t="s">
        <v>165</v>
      </c>
      <c r="I585" s="9" t="b">
        <f>TRUE()</f>
        <v>1</v>
      </c>
      <c r="J585" s="9" t="s">
        <v>152</v>
      </c>
      <c r="K585" s="9" t="s">
        <v>163</v>
      </c>
      <c r="L585" s="10"/>
      <c r="M585" s="10"/>
      <c r="N585" s="10"/>
      <c r="O585" s="10">
        <v>46004</v>
      </c>
      <c r="P585" s="9" t="b">
        <f>TRUE()</f>
        <v>1</v>
      </c>
      <c r="Q585" s="11">
        <v>644.42999999999995</v>
      </c>
    </row>
    <row r="586" spans="1:17" ht="15" customHeight="1" x14ac:dyDescent="0.2">
      <c r="A586" s="9" t="s">
        <v>744</v>
      </c>
      <c r="B586" s="10">
        <v>45950</v>
      </c>
      <c r="C586" s="10">
        <v>45931</v>
      </c>
      <c r="D586" s="9" t="s">
        <v>18</v>
      </c>
      <c r="E586" s="9" t="s">
        <v>24</v>
      </c>
      <c r="F586" s="9" t="s">
        <v>155</v>
      </c>
      <c r="G586" s="9" t="s">
        <v>161</v>
      </c>
      <c r="H586" s="9" t="s">
        <v>201</v>
      </c>
      <c r="I586" s="9" t="b">
        <f>TRUE()</f>
        <v>1</v>
      </c>
      <c r="J586" s="9" t="s">
        <v>152</v>
      </c>
      <c r="K586" s="9" t="s">
        <v>163</v>
      </c>
      <c r="L586" s="10"/>
      <c r="M586" s="10"/>
      <c r="N586" s="10"/>
      <c r="O586" s="10">
        <v>45964</v>
      </c>
      <c r="P586" s="9" t="b">
        <f>TRUE()</f>
        <v>1</v>
      </c>
      <c r="Q586" s="11">
        <v>1415.94</v>
      </c>
    </row>
    <row r="587" spans="1:17" ht="15" customHeight="1" x14ac:dyDescent="0.2">
      <c r="A587" s="9" t="s">
        <v>745</v>
      </c>
      <c r="B587" s="10">
        <v>45981</v>
      </c>
      <c r="C587" s="10">
        <v>45962</v>
      </c>
      <c r="D587" s="9" t="s">
        <v>22</v>
      </c>
      <c r="E587" s="9" t="s">
        <v>25</v>
      </c>
      <c r="F587" s="9" t="s">
        <v>160</v>
      </c>
      <c r="G587" s="9" t="s">
        <v>156</v>
      </c>
      <c r="H587" s="9" t="s">
        <v>165</v>
      </c>
      <c r="I587" s="9" t="b">
        <f>TRUE()</f>
        <v>1</v>
      </c>
      <c r="J587" s="9" t="s">
        <v>152</v>
      </c>
      <c r="K587" s="9" t="s">
        <v>153</v>
      </c>
      <c r="L587" s="10">
        <v>45987</v>
      </c>
      <c r="M587" s="10">
        <v>45990</v>
      </c>
      <c r="N587" s="10"/>
      <c r="O587" s="10">
        <v>46011</v>
      </c>
      <c r="P587" s="9" t="b">
        <f>TRUE()</f>
        <v>1</v>
      </c>
      <c r="Q587" s="11">
        <v>778.33</v>
      </c>
    </row>
    <row r="588" spans="1:17" ht="15" customHeight="1" x14ac:dyDescent="0.2">
      <c r="A588" s="9" t="s">
        <v>746</v>
      </c>
      <c r="B588" s="10">
        <v>45869</v>
      </c>
      <c r="C588" s="10">
        <v>45839</v>
      </c>
      <c r="D588" s="9" t="s">
        <v>21</v>
      </c>
      <c r="E588" s="9" t="s">
        <v>25</v>
      </c>
      <c r="F588" s="9" t="s">
        <v>149</v>
      </c>
      <c r="G588" s="9" t="s">
        <v>156</v>
      </c>
      <c r="H588" s="9" t="s">
        <v>176</v>
      </c>
      <c r="I588" s="9" t="b">
        <f>TRUE()</f>
        <v>1</v>
      </c>
      <c r="J588" s="9" t="s">
        <v>2</v>
      </c>
      <c r="K588" s="9" t="s">
        <v>153</v>
      </c>
      <c r="L588" s="10">
        <v>45870</v>
      </c>
      <c r="M588" s="10">
        <v>45885</v>
      </c>
      <c r="N588" s="10">
        <v>45912</v>
      </c>
      <c r="O588" s="10"/>
      <c r="P588" s="9" t="b">
        <f>TRUE()</f>
        <v>1</v>
      </c>
      <c r="Q588" s="11">
        <v>776.55</v>
      </c>
    </row>
    <row r="589" spans="1:17" ht="15" customHeight="1" x14ac:dyDescent="0.2">
      <c r="A589" s="9" t="s">
        <v>747</v>
      </c>
      <c r="B589" s="10">
        <v>45990</v>
      </c>
      <c r="C589" s="10">
        <v>45962</v>
      </c>
      <c r="D589" s="9" t="s">
        <v>18</v>
      </c>
      <c r="E589" s="9" t="s">
        <v>26</v>
      </c>
      <c r="F589" s="9" t="s">
        <v>149</v>
      </c>
      <c r="G589" s="9" t="s">
        <v>156</v>
      </c>
      <c r="H589" s="9" t="s">
        <v>201</v>
      </c>
      <c r="I589" s="9" t="b">
        <f>TRUE()</f>
        <v>1</v>
      </c>
      <c r="J589" s="9" t="s">
        <v>152</v>
      </c>
      <c r="K589" s="9" t="s">
        <v>163</v>
      </c>
      <c r="L589" s="10"/>
      <c r="M589" s="10"/>
      <c r="N589" s="10"/>
      <c r="O589" s="10">
        <v>46010</v>
      </c>
      <c r="P589" s="9" t="b">
        <f>TRUE()</f>
        <v>1</v>
      </c>
      <c r="Q589" s="11">
        <v>692.45</v>
      </c>
    </row>
    <row r="590" spans="1:17" ht="15" customHeight="1" x14ac:dyDescent="0.2">
      <c r="A590" s="9" t="s">
        <v>748</v>
      </c>
      <c r="B590" s="10">
        <v>45880</v>
      </c>
      <c r="C590" s="10">
        <v>45870</v>
      </c>
      <c r="D590" s="9" t="s">
        <v>21</v>
      </c>
      <c r="E590" s="9" t="s">
        <v>28</v>
      </c>
      <c r="F590" s="9" t="s">
        <v>186</v>
      </c>
      <c r="G590" s="9" t="s">
        <v>156</v>
      </c>
      <c r="H590" s="9" t="s">
        <v>183</v>
      </c>
      <c r="I590" s="9" t="b">
        <f>TRUE()</f>
        <v>1</v>
      </c>
      <c r="J590" s="9" t="s">
        <v>152</v>
      </c>
      <c r="K590" s="9" t="s">
        <v>153</v>
      </c>
      <c r="L590" s="10">
        <v>45887</v>
      </c>
      <c r="M590" s="10"/>
      <c r="N590" s="10"/>
      <c r="O590" s="10">
        <v>45896</v>
      </c>
      <c r="P590" s="9" t="b">
        <f>TRUE()</f>
        <v>1</v>
      </c>
      <c r="Q590" s="11">
        <v>611.19000000000005</v>
      </c>
    </row>
    <row r="591" spans="1:17" ht="15" customHeight="1" x14ac:dyDescent="0.2">
      <c r="A591" s="9" t="s">
        <v>749</v>
      </c>
      <c r="B591" s="10">
        <v>46018</v>
      </c>
      <c r="C591" s="10">
        <v>45992</v>
      </c>
      <c r="D591" s="9" t="s">
        <v>20</v>
      </c>
      <c r="E591" s="9" t="s">
        <v>28</v>
      </c>
      <c r="F591" s="9" t="s">
        <v>149</v>
      </c>
      <c r="G591" s="9" t="s">
        <v>156</v>
      </c>
      <c r="H591" s="9" t="s">
        <v>189</v>
      </c>
      <c r="I591" s="9" t="b">
        <f>TRUE()</f>
        <v>1</v>
      </c>
      <c r="J591" s="9" t="s">
        <v>158</v>
      </c>
      <c r="K591" s="9" t="s">
        <v>153</v>
      </c>
      <c r="L591" s="10">
        <v>46021</v>
      </c>
      <c r="M591" s="10">
        <v>46033</v>
      </c>
      <c r="N591" s="10"/>
      <c r="O591" s="10"/>
      <c r="P591" s="9" t="b">
        <f>TRUE()</f>
        <v>1</v>
      </c>
      <c r="Q591" s="11">
        <v>995.23</v>
      </c>
    </row>
    <row r="592" spans="1:17" ht="15" customHeight="1" x14ac:dyDescent="0.2">
      <c r="A592" s="9" t="s">
        <v>750</v>
      </c>
      <c r="B592" s="10">
        <v>45958</v>
      </c>
      <c r="C592" s="10">
        <v>45931</v>
      </c>
      <c r="D592" s="9" t="s">
        <v>20</v>
      </c>
      <c r="E592" s="9" t="s">
        <v>24</v>
      </c>
      <c r="F592" s="9" t="s">
        <v>149</v>
      </c>
      <c r="G592" s="9" t="s">
        <v>150</v>
      </c>
      <c r="H592" s="9" t="s">
        <v>192</v>
      </c>
      <c r="I592" s="9" t="b">
        <f>TRUE()</f>
        <v>1</v>
      </c>
      <c r="J592" s="9" t="s">
        <v>2</v>
      </c>
      <c r="K592" s="9" t="s">
        <v>153</v>
      </c>
      <c r="L592" s="10">
        <v>45966</v>
      </c>
      <c r="M592" s="10">
        <v>45980</v>
      </c>
      <c r="N592" s="10">
        <v>45997</v>
      </c>
      <c r="O592" s="10"/>
      <c r="P592" s="9" t="b">
        <f>TRUE()</f>
        <v>1</v>
      </c>
      <c r="Q592" s="11">
        <v>10577.12</v>
      </c>
    </row>
    <row r="593" spans="1:17" ht="15" customHeight="1" x14ac:dyDescent="0.2">
      <c r="A593" s="9" t="s">
        <v>751</v>
      </c>
      <c r="B593" s="10">
        <v>45768</v>
      </c>
      <c r="C593" s="10">
        <v>45748</v>
      </c>
      <c r="D593" s="9" t="s">
        <v>20</v>
      </c>
      <c r="E593" s="9" t="s">
        <v>26</v>
      </c>
      <c r="F593" s="9" t="s">
        <v>149</v>
      </c>
      <c r="G593" s="9" t="s">
        <v>161</v>
      </c>
      <c r="H593" s="9" t="s">
        <v>167</v>
      </c>
      <c r="I593" s="9" t="b">
        <f>TRUE()</f>
        <v>1</v>
      </c>
      <c r="J593" s="9" t="s">
        <v>152</v>
      </c>
      <c r="K593" s="9" t="s">
        <v>153</v>
      </c>
      <c r="L593" s="10">
        <v>45772</v>
      </c>
      <c r="M593" s="10">
        <v>45784</v>
      </c>
      <c r="N593" s="10"/>
      <c r="O593" s="10">
        <v>45815</v>
      </c>
      <c r="P593" s="9" t="b">
        <f>TRUE()</f>
        <v>1</v>
      </c>
      <c r="Q593" s="11">
        <v>3322.04</v>
      </c>
    </row>
    <row r="594" spans="1:17" ht="15" customHeight="1" x14ac:dyDescent="0.2">
      <c r="A594" s="9" t="s">
        <v>752</v>
      </c>
      <c r="B594" s="10">
        <v>46006</v>
      </c>
      <c r="C594" s="10">
        <v>45992</v>
      </c>
      <c r="D594" s="9" t="s">
        <v>21</v>
      </c>
      <c r="E594" s="9" t="s">
        <v>28</v>
      </c>
      <c r="F594" s="9" t="s">
        <v>155</v>
      </c>
      <c r="G594" s="9" t="s">
        <v>161</v>
      </c>
      <c r="H594" s="9" t="s">
        <v>176</v>
      </c>
      <c r="I594" s="9" t="b">
        <f>TRUE()</f>
        <v>1</v>
      </c>
      <c r="J594" s="9" t="s">
        <v>190</v>
      </c>
      <c r="K594" s="9" t="s">
        <v>163</v>
      </c>
      <c r="L594" s="10"/>
      <c r="M594" s="10"/>
      <c r="N594" s="10"/>
      <c r="O594" s="10"/>
      <c r="P594" s="9" t="b">
        <f>TRUE()</f>
        <v>1</v>
      </c>
      <c r="Q594" s="11">
        <v>1767.73</v>
      </c>
    </row>
    <row r="595" spans="1:17" ht="15" customHeight="1" x14ac:dyDescent="0.2">
      <c r="A595" s="9" t="s">
        <v>753</v>
      </c>
      <c r="B595" s="10">
        <v>45761</v>
      </c>
      <c r="C595" s="10">
        <v>45748</v>
      </c>
      <c r="D595" s="9" t="s">
        <v>19</v>
      </c>
      <c r="E595" s="9" t="s">
        <v>27</v>
      </c>
      <c r="F595" s="9" t="s">
        <v>149</v>
      </c>
      <c r="G595" s="9" t="s">
        <v>150</v>
      </c>
      <c r="H595" s="9" t="s">
        <v>210</v>
      </c>
      <c r="I595" s="9" t="b">
        <f>TRUE()</f>
        <v>1</v>
      </c>
      <c r="J595" s="9" t="s">
        <v>152</v>
      </c>
      <c r="K595" s="9" t="s">
        <v>153</v>
      </c>
      <c r="L595" s="10">
        <v>45770</v>
      </c>
      <c r="M595" s="10">
        <v>45775</v>
      </c>
      <c r="N595" s="10"/>
      <c r="O595" s="10">
        <v>45787</v>
      </c>
      <c r="P595" s="9" t="b">
        <f>TRUE()</f>
        <v>1</v>
      </c>
      <c r="Q595" s="11">
        <v>11047.93</v>
      </c>
    </row>
    <row r="596" spans="1:17" ht="15" customHeight="1" x14ac:dyDescent="0.2">
      <c r="A596" s="9" t="s">
        <v>754</v>
      </c>
      <c r="B596" s="10">
        <v>45990</v>
      </c>
      <c r="C596" s="10">
        <v>45962</v>
      </c>
      <c r="D596" s="9" t="s">
        <v>22</v>
      </c>
      <c r="E596" s="9" t="s">
        <v>24</v>
      </c>
      <c r="F596" s="9" t="s">
        <v>160</v>
      </c>
      <c r="G596" s="9" t="s">
        <v>156</v>
      </c>
      <c r="H596" s="9" t="s">
        <v>165</v>
      </c>
      <c r="I596" s="9" t="b">
        <f>TRUE()</f>
        <v>1</v>
      </c>
      <c r="J596" s="9" t="s">
        <v>2</v>
      </c>
      <c r="K596" s="9" t="s">
        <v>153</v>
      </c>
      <c r="L596" s="10">
        <v>45996</v>
      </c>
      <c r="M596" s="10">
        <v>46008</v>
      </c>
      <c r="N596" s="10">
        <v>46033</v>
      </c>
      <c r="O596" s="10"/>
      <c r="P596" s="9" t="b">
        <f>TRUE()</f>
        <v>1</v>
      </c>
      <c r="Q596" s="11">
        <v>553.88</v>
      </c>
    </row>
    <row r="597" spans="1:17" ht="15" customHeight="1" x14ac:dyDescent="0.2">
      <c r="A597" s="9" t="s">
        <v>755</v>
      </c>
      <c r="B597" s="10">
        <v>45892</v>
      </c>
      <c r="C597" s="10">
        <v>45870</v>
      </c>
      <c r="D597" s="9" t="s">
        <v>20</v>
      </c>
      <c r="E597" s="9" t="s">
        <v>27</v>
      </c>
      <c r="F597" s="9" t="s">
        <v>186</v>
      </c>
      <c r="G597" s="9" t="s">
        <v>156</v>
      </c>
      <c r="H597" s="9" t="s">
        <v>167</v>
      </c>
      <c r="I597" s="9" t="b">
        <f>TRUE()</f>
        <v>1</v>
      </c>
      <c r="J597" s="9" t="s">
        <v>152</v>
      </c>
      <c r="K597" s="9" t="s">
        <v>153</v>
      </c>
      <c r="L597" s="10">
        <v>45895</v>
      </c>
      <c r="M597" s="10"/>
      <c r="N597" s="10"/>
      <c r="O597" s="10">
        <v>45912</v>
      </c>
      <c r="P597" s="9" t="b">
        <f>TRUE()</f>
        <v>1</v>
      </c>
      <c r="Q597" s="11">
        <v>526.91</v>
      </c>
    </row>
    <row r="598" spans="1:17" ht="15" customHeight="1" x14ac:dyDescent="0.2">
      <c r="A598" s="9" t="s">
        <v>756</v>
      </c>
      <c r="B598" s="10">
        <v>45978</v>
      </c>
      <c r="C598" s="10">
        <v>45962</v>
      </c>
      <c r="D598" s="9" t="s">
        <v>22</v>
      </c>
      <c r="E598" s="9" t="s">
        <v>24</v>
      </c>
      <c r="F598" s="9" t="s">
        <v>160</v>
      </c>
      <c r="G598" s="9" t="s">
        <v>156</v>
      </c>
      <c r="H598" s="9" t="s">
        <v>151</v>
      </c>
      <c r="I598" s="9" t="b">
        <f>TRUE()</f>
        <v>1</v>
      </c>
      <c r="J598" s="9" t="s">
        <v>152</v>
      </c>
      <c r="K598" s="9" t="s">
        <v>163</v>
      </c>
      <c r="L598" s="10"/>
      <c r="M598" s="10"/>
      <c r="N598" s="10"/>
      <c r="O598" s="10">
        <v>45996</v>
      </c>
      <c r="P598" s="9" t="b">
        <f>TRUE()</f>
        <v>1</v>
      </c>
      <c r="Q598" s="11">
        <v>872.24</v>
      </c>
    </row>
    <row r="599" spans="1:17" ht="15" customHeight="1" x14ac:dyDescent="0.2">
      <c r="A599" s="9" t="s">
        <v>757</v>
      </c>
      <c r="B599" s="10">
        <v>45908</v>
      </c>
      <c r="C599" s="10">
        <v>45901</v>
      </c>
      <c r="D599" s="9" t="s">
        <v>21</v>
      </c>
      <c r="E599" s="9" t="s">
        <v>26</v>
      </c>
      <c r="F599" s="9" t="s">
        <v>149</v>
      </c>
      <c r="G599" s="9" t="s">
        <v>161</v>
      </c>
      <c r="H599" s="9" t="s">
        <v>162</v>
      </c>
      <c r="I599" s="9" t="b">
        <f>TRUE()</f>
        <v>1</v>
      </c>
      <c r="J599" s="9" t="s">
        <v>152</v>
      </c>
      <c r="K599" s="9" t="s">
        <v>163</v>
      </c>
      <c r="L599" s="10"/>
      <c r="M599" s="10"/>
      <c r="N599" s="10"/>
      <c r="O599" s="10">
        <v>45910</v>
      </c>
      <c r="P599" s="9" t="b">
        <f>TRUE()</f>
        <v>1</v>
      </c>
      <c r="Q599" s="11">
        <v>2957.02</v>
      </c>
    </row>
    <row r="600" spans="1:17" ht="15" customHeight="1" x14ac:dyDescent="0.2">
      <c r="A600" s="9" t="s">
        <v>758</v>
      </c>
      <c r="B600" s="10">
        <v>45804</v>
      </c>
      <c r="C600" s="10">
        <v>45778</v>
      </c>
      <c r="D600" s="9" t="s">
        <v>19</v>
      </c>
      <c r="E600" s="9" t="s">
        <v>24</v>
      </c>
      <c r="F600" s="9" t="s">
        <v>155</v>
      </c>
      <c r="G600" s="9" t="s">
        <v>161</v>
      </c>
      <c r="H600" s="9" t="s">
        <v>210</v>
      </c>
      <c r="I600" s="9" t="b">
        <f>TRUE()</f>
        <v>1</v>
      </c>
      <c r="J600" s="9" t="s">
        <v>152</v>
      </c>
      <c r="K600" s="9" t="s">
        <v>153</v>
      </c>
      <c r="L600" s="10">
        <v>45811</v>
      </c>
      <c r="M600" s="10">
        <v>45813</v>
      </c>
      <c r="N600" s="10"/>
      <c r="O600" s="10">
        <v>45847</v>
      </c>
      <c r="P600" s="9" t="b">
        <f>TRUE()</f>
        <v>1</v>
      </c>
      <c r="Q600" s="11">
        <v>1371.17</v>
      </c>
    </row>
    <row r="601" spans="1:17" ht="15" customHeight="1" x14ac:dyDescent="0.2">
      <c r="A601" s="9" t="s">
        <v>759</v>
      </c>
      <c r="B601" s="10">
        <v>45941</v>
      </c>
      <c r="C601" s="10">
        <v>45931</v>
      </c>
      <c r="D601" s="9" t="s">
        <v>22</v>
      </c>
      <c r="E601" s="9" t="s">
        <v>24</v>
      </c>
      <c r="F601" s="9" t="s">
        <v>160</v>
      </c>
      <c r="G601" s="9" t="s">
        <v>150</v>
      </c>
      <c r="H601" s="9" t="s">
        <v>170</v>
      </c>
      <c r="I601" s="9" t="b">
        <f>TRUE()</f>
        <v>1</v>
      </c>
      <c r="J601" s="9" t="s">
        <v>152</v>
      </c>
      <c r="K601" s="9" t="s">
        <v>153</v>
      </c>
      <c r="L601" s="10">
        <v>45949</v>
      </c>
      <c r="M601" s="10">
        <v>45950</v>
      </c>
      <c r="N601" s="10"/>
      <c r="O601" s="10">
        <v>45976</v>
      </c>
      <c r="P601" s="9" t="b">
        <f>TRUE()</f>
        <v>1</v>
      </c>
      <c r="Q601" s="11">
        <v>7651.3</v>
      </c>
    </row>
    <row r="602" spans="1:17" ht="15" customHeight="1" x14ac:dyDescent="0.2">
      <c r="A602" s="9" t="s">
        <v>760</v>
      </c>
      <c r="B602" s="10">
        <v>45883</v>
      </c>
      <c r="C602" s="10">
        <v>45870</v>
      </c>
      <c r="D602" s="9" t="s">
        <v>21</v>
      </c>
      <c r="E602" s="9" t="s">
        <v>25</v>
      </c>
      <c r="F602" s="9" t="s">
        <v>149</v>
      </c>
      <c r="G602" s="9" t="s">
        <v>156</v>
      </c>
      <c r="H602" s="9" t="s">
        <v>176</v>
      </c>
      <c r="I602" s="9" t="b">
        <f>TRUE()</f>
        <v>1</v>
      </c>
      <c r="J602" s="9" t="s">
        <v>2</v>
      </c>
      <c r="K602" s="9" t="s">
        <v>153</v>
      </c>
      <c r="L602" s="10">
        <v>45892</v>
      </c>
      <c r="M602" s="10">
        <v>45896</v>
      </c>
      <c r="N602" s="10">
        <v>45918</v>
      </c>
      <c r="O602" s="10"/>
      <c r="P602" s="9" t="b">
        <f>TRUE()</f>
        <v>1</v>
      </c>
      <c r="Q602" s="11">
        <v>794.5</v>
      </c>
    </row>
    <row r="603" spans="1:17" ht="15" customHeight="1" x14ac:dyDescent="0.2">
      <c r="A603" s="9" t="s">
        <v>761</v>
      </c>
      <c r="B603" s="10">
        <v>45769</v>
      </c>
      <c r="C603" s="10">
        <v>45748</v>
      </c>
      <c r="D603" s="9" t="s">
        <v>20</v>
      </c>
      <c r="E603" s="9" t="s">
        <v>25</v>
      </c>
      <c r="F603" s="9" t="s">
        <v>149</v>
      </c>
      <c r="G603" s="9" t="s">
        <v>156</v>
      </c>
      <c r="H603" s="9" t="s">
        <v>192</v>
      </c>
      <c r="I603" s="9" t="b">
        <f>TRUE()</f>
        <v>1</v>
      </c>
      <c r="J603" s="9" t="s">
        <v>152</v>
      </c>
      <c r="K603" s="9" t="s">
        <v>153</v>
      </c>
      <c r="L603" s="10">
        <v>45778</v>
      </c>
      <c r="M603" s="10"/>
      <c r="N603" s="10"/>
      <c r="O603" s="10">
        <v>45790</v>
      </c>
      <c r="P603" s="9" t="b">
        <f>TRUE()</f>
        <v>1</v>
      </c>
      <c r="Q603" s="11">
        <v>928.67</v>
      </c>
    </row>
    <row r="604" spans="1:17" ht="15" customHeight="1" x14ac:dyDescent="0.2">
      <c r="A604" s="9" t="s">
        <v>762</v>
      </c>
      <c r="B604" s="10">
        <v>45978</v>
      </c>
      <c r="C604" s="10">
        <v>45962</v>
      </c>
      <c r="D604" s="9" t="s">
        <v>20</v>
      </c>
      <c r="E604" s="9" t="s">
        <v>26</v>
      </c>
      <c r="F604" s="9" t="s">
        <v>160</v>
      </c>
      <c r="G604" s="9" t="s">
        <v>161</v>
      </c>
      <c r="H604" s="9" t="s">
        <v>189</v>
      </c>
      <c r="I604" s="9" t="b">
        <f>TRUE()</f>
        <v>1</v>
      </c>
      <c r="J604" s="9" t="s">
        <v>152</v>
      </c>
      <c r="K604" s="9" t="s">
        <v>153</v>
      </c>
      <c r="L604" s="10">
        <v>45983</v>
      </c>
      <c r="M604" s="10"/>
      <c r="N604" s="10"/>
      <c r="O604" s="10">
        <v>45993</v>
      </c>
      <c r="P604" s="9" t="b">
        <f>TRUE()</f>
        <v>1</v>
      </c>
      <c r="Q604" s="11">
        <v>2106.75</v>
      </c>
    </row>
    <row r="605" spans="1:17" ht="15" customHeight="1" x14ac:dyDescent="0.2">
      <c r="A605" s="9" t="s">
        <v>763</v>
      </c>
      <c r="B605" s="10">
        <v>45818</v>
      </c>
      <c r="C605" s="10">
        <v>45809</v>
      </c>
      <c r="D605" s="9" t="s">
        <v>22</v>
      </c>
      <c r="E605" s="9" t="s">
        <v>25</v>
      </c>
      <c r="F605" s="9" t="s">
        <v>186</v>
      </c>
      <c r="G605" s="9" t="s">
        <v>156</v>
      </c>
      <c r="H605" s="9" t="s">
        <v>165</v>
      </c>
      <c r="I605" s="9" t="b">
        <f>TRUE()</f>
        <v>1</v>
      </c>
      <c r="J605" s="9" t="s">
        <v>152</v>
      </c>
      <c r="K605" s="9" t="s">
        <v>153</v>
      </c>
      <c r="L605" s="10">
        <v>45827</v>
      </c>
      <c r="M605" s="10">
        <v>45839</v>
      </c>
      <c r="N605" s="10"/>
      <c r="O605" s="10">
        <v>45851</v>
      </c>
      <c r="P605" s="9" t="b">
        <f>TRUE()</f>
        <v>1</v>
      </c>
      <c r="Q605" s="11">
        <v>565.51</v>
      </c>
    </row>
    <row r="606" spans="1:17" ht="15" customHeight="1" x14ac:dyDescent="0.2">
      <c r="A606" s="9" t="s">
        <v>764</v>
      </c>
      <c r="B606" s="10">
        <v>46000</v>
      </c>
      <c r="C606" s="10">
        <v>45992</v>
      </c>
      <c r="D606" s="9" t="s">
        <v>19</v>
      </c>
      <c r="E606" s="9" t="s">
        <v>26</v>
      </c>
      <c r="F606" s="9" t="s">
        <v>160</v>
      </c>
      <c r="G606" s="9" t="s">
        <v>156</v>
      </c>
      <c r="H606" s="9" t="s">
        <v>210</v>
      </c>
      <c r="I606" s="9" t="b">
        <f>TRUE()</f>
        <v>1</v>
      </c>
      <c r="J606" s="9" t="s">
        <v>158</v>
      </c>
      <c r="K606" s="9" t="s">
        <v>153</v>
      </c>
      <c r="L606" s="10">
        <v>46010</v>
      </c>
      <c r="M606" s="10">
        <v>46014</v>
      </c>
      <c r="N606" s="10"/>
      <c r="O606" s="10"/>
      <c r="P606" s="9" t="b">
        <f>TRUE()</f>
        <v>1</v>
      </c>
      <c r="Q606" s="11">
        <v>575.29</v>
      </c>
    </row>
    <row r="607" spans="1:17" ht="15" customHeight="1" x14ac:dyDescent="0.2">
      <c r="A607" s="9" t="s">
        <v>765</v>
      </c>
      <c r="B607" s="10">
        <v>45998</v>
      </c>
      <c r="C607" s="10">
        <v>45992</v>
      </c>
      <c r="D607" s="9" t="s">
        <v>21</v>
      </c>
      <c r="E607" s="9" t="s">
        <v>24</v>
      </c>
      <c r="F607" s="9" t="s">
        <v>155</v>
      </c>
      <c r="G607" s="9" t="s">
        <v>150</v>
      </c>
      <c r="H607" s="9" t="s">
        <v>183</v>
      </c>
      <c r="I607" s="9" t="b">
        <f>TRUE()</f>
        <v>1</v>
      </c>
      <c r="J607" s="9" t="s">
        <v>158</v>
      </c>
      <c r="K607" s="9" t="s">
        <v>153</v>
      </c>
      <c r="L607" s="10">
        <v>46008</v>
      </c>
      <c r="M607" s="10">
        <v>46020</v>
      </c>
      <c r="N607" s="10"/>
      <c r="O607" s="10"/>
      <c r="P607" s="9" t="b">
        <f>TRUE()</f>
        <v>1</v>
      </c>
      <c r="Q607" s="11">
        <v>6291.82</v>
      </c>
    </row>
    <row r="608" spans="1:17" ht="15" customHeight="1" x14ac:dyDescent="0.2">
      <c r="A608" s="9" t="s">
        <v>766</v>
      </c>
      <c r="B608" s="10">
        <v>45835</v>
      </c>
      <c r="C608" s="10">
        <v>45809</v>
      </c>
      <c r="D608" s="9" t="s">
        <v>21</v>
      </c>
      <c r="E608" s="9" t="s">
        <v>24</v>
      </c>
      <c r="F608" s="9" t="s">
        <v>149</v>
      </c>
      <c r="G608" s="9" t="s">
        <v>156</v>
      </c>
      <c r="H608" s="9" t="s">
        <v>176</v>
      </c>
      <c r="I608" s="9" t="b">
        <f>TRUE()</f>
        <v>1</v>
      </c>
      <c r="J608" s="9" t="s">
        <v>152</v>
      </c>
      <c r="K608" s="9" t="s">
        <v>163</v>
      </c>
      <c r="L608" s="10"/>
      <c r="M608" s="10"/>
      <c r="N608" s="10"/>
      <c r="O608" s="10">
        <v>45843</v>
      </c>
      <c r="P608" s="9" t="b">
        <f>TRUE()</f>
        <v>1</v>
      </c>
      <c r="Q608" s="11">
        <v>824.89</v>
      </c>
    </row>
    <row r="609" spans="1:17" ht="15" customHeight="1" x14ac:dyDescent="0.2">
      <c r="A609" s="9" t="s">
        <v>767</v>
      </c>
      <c r="B609" s="10">
        <v>45861</v>
      </c>
      <c r="C609" s="10">
        <v>45839</v>
      </c>
      <c r="D609" s="9" t="s">
        <v>19</v>
      </c>
      <c r="E609" s="9" t="s">
        <v>26</v>
      </c>
      <c r="F609" s="9" t="s">
        <v>160</v>
      </c>
      <c r="G609" s="9" t="s">
        <v>156</v>
      </c>
      <c r="H609" s="9" t="s">
        <v>207</v>
      </c>
      <c r="I609" s="9" t="b">
        <f>TRUE()</f>
        <v>1</v>
      </c>
      <c r="J609" s="9" t="s">
        <v>152</v>
      </c>
      <c r="K609" s="9" t="s">
        <v>153</v>
      </c>
      <c r="L609" s="10">
        <v>45862</v>
      </c>
      <c r="M609" s="10"/>
      <c r="N609" s="10"/>
      <c r="O609" s="10">
        <v>45873</v>
      </c>
      <c r="P609" s="9" t="b">
        <f>TRUE()</f>
        <v>1</v>
      </c>
      <c r="Q609" s="11">
        <v>624.65</v>
      </c>
    </row>
    <row r="610" spans="1:17" ht="15" customHeight="1" x14ac:dyDescent="0.2">
      <c r="A610" s="9" t="s">
        <v>768</v>
      </c>
      <c r="B610" s="10">
        <v>45763</v>
      </c>
      <c r="C610" s="10">
        <v>45748</v>
      </c>
      <c r="D610" s="9" t="s">
        <v>19</v>
      </c>
      <c r="E610" s="9" t="s">
        <v>26</v>
      </c>
      <c r="F610" s="9" t="s">
        <v>149</v>
      </c>
      <c r="G610" s="9" t="s">
        <v>150</v>
      </c>
      <c r="H610" s="9" t="s">
        <v>207</v>
      </c>
      <c r="I610" s="9" t="b">
        <f>TRUE()</f>
        <v>1</v>
      </c>
      <c r="J610" s="9" t="s">
        <v>152</v>
      </c>
      <c r="K610" s="9" t="s">
        <v>153</v>
      </c>
      <c r="L610" s="10">
        <v>45769</v>
      </c>
      <c r="M610" s="10">
        <v>45773</v>
      </c>
      <c r="N610" s="10"/>
      <c r="O610" s="10">
        <v>45803</v>
      </c>
      <c r="P610" s="9" t="b">
        <f>TRUE()</f>
        <v>1</v>
      </c>
      <c r="Q610" s="11">
        <v>10623.52</v>
      </c>
    </row>
    <row r="611" spans="1:17" ht="15" customHeight="1" x14ac:dyDescent="0.2">
      <c r="A611" s="9" t="s">
        <v>769</v>
      </c>
      <c r="B611" s="10">
        <v>45947</v>
      </c>
      <c r="C611" s="10">
        <v>45931</v>
      </c>
      <c r="D611" s="9" t="s">
        <v>18</v>
      </c>
      <c r="E611" s="9" t="s">
        <v>28</v>
      </c>
      <c r="F611" s="9" t="s">
        <v>186</v>
      </c>
      <c r="G611" s="9" t="s">
        <v>150</v>
      </c>
      <c r="H611" s="9" t="s">
        <v>251</v>
      </c>
      <c r="I611" s="9" t="b">
        <f>TRUE()</f>
        <v>1</v>
      </c>
      <c r="J611" s="9" t="s">
        <v>2</v>
      </c>
      <c r="K611" s="9" t="s">
        <v>153</v>
      </c>
      <c r="L611" s="10">
        <v>45948</v>
      </c>
      <c r="M611" s="10">
        <v>45958</v>
      </c>
      <c r="N611" s="10">
        <v>45968</v>
      </c>
      <c r="O611" s="10"/>
      <c r="P611" s="9" t="b">
        <f>TRUE()</f>
        <v>1</v>
      </c>
      <c r="Q611" s="11">
        <v>5268.6</v>
      </c>
    </row>
    <row r="612" spans="1:17" ht="15" customHeight="1" x14ac:dyDescent="0.2">
      <c r="A612" s="9" t="s">
        <v>770</v>
      </c>
      <c r="B612" s="10">
        <v>45660</v>
      </c>
      <c r="C612" s="10">
        <v>45658</v>
      </c>
      <c r="D612" s="9" t="s">
        <v>20</v>
      </c>
      <c r="E612" s="9" t="s">
        <v>24</v>
      </c>
      <c r="F612" s="9" t="s">
        <v>160</v>
      </c>
      <c r="G612" s="9" t="s">
        <v>161</v>
      </c>
      <c r="H612" s="9" t="s">
        <v>167</v>
      </c>
      <c r="I612" s="9" t="b">
        <f>TRUE()</f>
        <v>1</v>
      </c>
      <c r="J612" s="9" t="s">
        <v>152</v>
      </c>
      <c r="K612" s="9" t="s">
        <v>153</v>
      </c>
      <c r="L612" s="10">
        <v>45666</v>
      </c>
      <c r="M612" s="10"/>
      <c r="N612" s="10"/>
      <c r="O612" s="10">
        <v>45675</v>
      </c>
      <c r="P612" s="9" t="b">
        <f>TRUE()</f>
        <v>1</v>
      </c>
      <c r="Q612" s="11">
        <v>2862.48</v>
      </c>
    </row>
    <row r="613" spans="1:17" ht="15" customHeight="1" x14ac:dyDescent="0.2">
      <c r="A613" s="9" t="s">
        <v>771</v>
      </c>
      <c r="B613" s="10">
        <v>45703</v>
      </c>
      <c r="C613" s="10">
        <v>45689</v>
      </c>
      <c r="D613" s="9" t="s">
        <v>22</v>
      </c>
      <c r="E613" s="9" t="s">
        <v>28</v>
      </c>
      <c r="F613" s="9" t="s">
        <v>149</v>
      </c>
      <c r="G613" s="9" t="s">
        <v>156</v>
      </c>
      <c r="H613" s="9" t="s">
        <v>165</v>
      </c>
      <c r="I613" s="9" t="b">
        <f>TRUE()</f>
        <v>1</v>
      </c>
      <c r="J613" s="9" t="s">
        <v>152</v>
      </c>
      <c r="K613" s="9" t="s">
        <v>163</v>
      </c>
      <c r="L613" s="10"/>
      <c r="M613" s="10"/>
      <c r="N613" s="10"/>
      <c r="O613" s="10">
        <v>45710</v>
      </c>
      <c r="P613" s="9" t="b">
        <f>TRUE()</f>
        <v>1</v>
      </c>
      <c r="Q613" s="11">
        <v>846.51</v>
      </c>
    </row>
    <row r="614" spans="1:17" ht="15" customHeight="1" x14ac:dyDescent="0.2">
      <c r="A614" s="9" t="s">
        <v>772</v>
      </c>
      <c r="B614" s="10">
        <v>45663</v>
      </c>
      <c r="C614" s="10">
        <v>45658</v>
      </c>
      <c r="D614" s="9" t="s">
        <v>21</v>
      </c>
      <c r="E614" s="9" t="s">
        <v>26</v>
      </c>
      <c r="F614" s="9" t="s">
        <v>160</v>
      </c>
      <c r="G614" s="9" t="s">
        <v>156</v>
      </c>
      <c r="H614" s="9" t="s">
        <v>162</v>
      </c>
      <c r="I614" s="9" t="b">
        <f>TRUE()</f>
        <v>1</v>
      </c>
      <c r="J614" s="9" t="s">
        <v>152</v>
      </c>
      <c r="K614" s="9" t="s">
        <v>153</v>
      </c>
      <c r="L614" s="10">
        <v>45673</v>
      </c>
      <c r="M614" s="10">
        <v>45675</v>
      </c>
      <c r="N614" s="10"/>
      <c r="O614" s="10">
        <v>45693</v>
      </c>
      <c r="P614" s="9" t="b">
        <f>TRUE()</f>
        <v>1</v>
      </c>
      <c r="Q614" s="11">
        <v>599.32000000000005</v>
      </c>
    </row>
    <row r="615" spans="1:17" ht="15" customHeight="1" x14ac:dyDescent="0.2">
      <c r="A615" s="9" t="s">
        <v>773</v>
      </c>
      <c r="B615" s="10">
        <v>45709</v>
      </c>
      <c r="C615" s="10">
        <v>45689</v>
      </c>
      <c r="D615" s="9" t="s">
        <v>18</v>
      </c>
      <c r="E615" s="9" t="s">
        <v>25</v>
      </c>
      <c r="F615" s="9" t="s">
        <v>160</v>
      </c>
      <c r="G615" s="9" t="s">
        <v>161</v>
      </c>
      <c r="H615" s="9" t="s">
        <v>201</v>
      </c>
      <c r="I615" s="9" t="b">
        <f>TRUE()</f>
        <v>1</v>
      </c>
      <c r="J615" s="9" t="s">
        <v>152</v>
      </c>
      <c r="K615" s="9" t="s">
        <v>163</v>
      </c>
      <c r="L615" s="10"/>
      <c r="M615" s="10"/>
      <c r="N615" s="10"/>
      <c r="O615" s="10">
        <v>45713</v>
      </c>
      <c r="P615" s="9" t="b">
        <f>TRUE()</f>
        <v>1</v>
      </c>
      <c r="Q615" s="11">
        <v>2791</v>
      </c>
    </row>
    <row r="616" spans="1:17" ht="15" customHeight="1" x14ac:dyDescent="0.2">
      <c r="A616" s="9" t="s">
        <v>774</v>
      </c>
      <c r="B616" s="10">
        <v>45816</v>
      </c>
      <c r="C616" s="10">
        <v>45809</v>
      </c>
      <c r="D616" s="9" t="s">
        <v>18</v>
      </c>
      <c r="E616" s="9" t="s">
        <v>25</v>
      </c>
      <c r="F616" s="9" t="s">
        <v>155</v>
      </c>
      <c r="G616" s="9" t="s">
        <v>150</v>
      </c>
      <c r="H616" s="9" t="s">
        <v>251</v>
      </c>
      <c r="I616" s="9" t="b">
        <f>TRUE()</f>
        <v>1</v>
      </c>
      <c r="J616" s="9" t="s">
        <v>2</v>
      </c>
      <c r="K616" s="9" t="s">
        <v>153</v>
      </c>
      <c r="L616" s="10">
        <v>45818</v>
      </c>
      <c r="M616" s="10">
        <v>45824</v>
      </c>
      <c r="N616" s="10">
        <v>45828</v>
      </c>
      <c r="O616" s="10"/>
      <c r="P616" s="9" t="b">
        <f>TRUE()</f>
        <v>1</v>
      </c>
      <c r="Q616" s="11">
        <v>6559.39</v>
      </c>
    </row>
    <row r="617" spans="1:17" ht="15" customHeight="1" x14ac:dyDescent="0.2">
      <c r="A617" s="9" t="s">
        <v>775</v>
      </c>
      <c r="B617" s="10">
        <v>45873</v>
      </c>
      <c r="C617" s="10">
        <v>45870</v>
      </c>
      <c r="D617" s="9" t="s">
        <v>22</v>
      </c>
      <c r="E617" s="9" t="s">
        <v>25</v>
      </c>
      <c r="F617" s="9" t="s">
        <v>155</v>
      </c>
      <c r="G617" s="9" t="s">
        <v>156</v>
      </c>
      <c r="H617" s="9" t="s">
        <v>151</v>
      </c>
      <c r="I617" s="9" t="b">
        <f>TRUE()</f>
        <v>1</v>
      </c>
      <c r="J617" s="9" t="s">
        <v>152</v>
      </c>
      <c r="K617" s="9" t="s">
        <v>153</v>
      </c>
      <c r="L617" s="10">
        <v>45879</v>
      </c>
      <c r="M617" s="10">
        <v>45889</v>
      </c>
      <c r="N617" s="10"/>
      <c r="O617" s="10">
        <v>45903</v>
      </c>
      <c r="P617" s="9" t="b">
        <f>TRUE()</f>
        <v>1</v>
      </c>
      <c r="Q617" s="11">
        <v>412.05</v>
      </c>
    </row>
    <row r="618" spans="1:17" ht="15" customHeight="1" x14ac:dyDescent="0.2">
      <c r="A618" s="9" t="s">
        <v>776</v>
      </c>
      <c r="B618" s="10">
        <v>45939</v>
      </c>
      <c r="C618" s="10">
        <v>45931</v>
      </c>
      <c r="D618" s="9" t="s">
        <v>21</v>
      </c>
      <c r="E618" s="9" t="s">
        <v>25</v>
      </c>
      <c r="F618" s="9" t="s">
        <v>149</v>
      </c>
      <c r="G618" s="9" t="s">
        <v>156</v>
      </c>
      <c r="H618" s="9" t="s">
        <v>176</v>
      </c>
      <c r="I618" s="9" t="b">
        <f>TRUE()</f>
        <v>1</v>
      </c>
      <c r="J618" s="9" t="s">
        <v>2</v>
      </c>
      <c r="K618" s="9" t="s">
        <v>153</v>
      </c>
      <c r="L618" s="10">
        <v>45944</v>
      </c>
      <c r="M618" s="10">
        <v>45959</v>
      </c>
      <c r="N618" s="10">
        <v>45970</v>
      </c>
      <c r="O618" s="10"/>
      <c r="P618" s="9" t="b">
        <f>TRUE()</f>
        <v>1</v>
      </c>
      <c r="Q618" s="11">
        <v>733.94</v>
      </c>
    </row>
    <row r="619" spans="1:17" ht="15" customHeight="1" x14ac:dyDescent="0.2">
      <c r="A619" s="9" t="s">
        <v>777</v>
      </c>
      <c r="B619" s="10">
        <v>45800</v>
      </c>
      <c r="C619" s="10">
        <v>45778</v>
      </c>
      <c r="D619" s="9" t="s">
        <v>19</v>
      </c>
      <c r="E619" s="9" t="s">
        <v>24</v>
      </c>
      <c r="F619" s="9" t="s">
        <v>155</v>
      </c>
      <c r="G619" s="9" t="s">
        <v>156</v>
      </c>
      <c r="H619" s="9" t="s">
        <v>210</v>
      </c>
      <c r="I619" s="9" t="b">
        <f>TRUE()</f>
        <v>1</v>
      </c>
      <c r="J619" s="9" t="s">
        <v>152</v>
      </c>
      <c r="K619" s="9" t="s">
        <v>163</v>
      </c>
      <c r="L619" s="10"/>
      <c r="M619" s="10"/>
      <c r="N619" s="10"/>
      <c r="O619" s="10">
        <v>45811</v>
      </c>
      <c r="P619" s="9" t="b">
        <f>TRUE()</f>
        <v>1</v>
      </c>
      <c r="Q619" s="11">
        <v>389.59</v>
      </c>
    </row>
    <row r="620" spans="1:17" ht="15" customHeight="1" x14ac:dyDescent="0.2">
      <c r="A620" s="9" t="s">
        <v>778</v>
      </c>
      <c r="B620" s="10">
        <v>45907</v>
      </c>
      <c r="C620" s="10">
        <v>45901</v>
      </c>
      <c r="D620" s="9" t="s">
        <v>20</v>
      </c>
      <c r="E620" s="9" t="s">
        <v>25</v>
      </c>
      <c r="F620" s="9" t="s">
        <v>149</v>
      </c>
      <c r="G620" s="9" t="s">
        <v>156</v>
      </c>
      <c r="H620" s="9" t="s">
        <v>192</v>
      </c>
      <c r="I620" s="9" t="b">
        <f>TRUE()</f>
        <v>1</v>
      </c>
      <c r="J620" s="9" t="s">
        <v>152</v>
      </c>
      <c r="K620" s="9" t="s">
        <v>153</v>
      </c>
      <c r="L620" s="10">
        <v>45910</v>
      </c>
      <c r="M620" s="10">
        <v>45923</v>
      </c>
      <c r="N620" s="10"/>
      <c r="O620" s="10">
        <v>45952</v>
      </c>
      <c r="P620" s="9" t="b">
        <f>TRUE()</f>
        <v>1</v>
      </c>
      <c r="Q620" s="11">
        <v>1034.79</v>
      </c>
    </row>
    <row r="621" spans="1:17" ht="15" customHeight="1" x14ac:dyDescent="0.2">
      <c r="A621" s="9" t="s">
        <v>779</v>
      </c>
      <c r="B621" s="10">
        <v>45970</v>
      </c>
      <c r="C621" s="10">
        <v>45962</v>
      </c>
      <c r="D621" s="9" t="s">
        <v>20</v>
      </c>
      <c r="E621" s="9" t="s">
        <v>25</v>
      </c>
      <c r="F621" s="9" t="s">
        <v>149</v>
      </c>
      <c r="G621" s="9" t="s">
        <v>161</v>
      </c>
      <c r="H621" s="9" t="s">
        <v>192</v>
      </c>
      <c r="I621" s="9" t="b">
        <f>TRUE()</f>
        <v>1</v>
      </c>
      <c r="J621" s="9" t="s">
        <v>2</v>
      </c>
      <c r="K621" s="9" t="s">
        <v>153</v>
      </c>
      <c r="L621" s="10">
        <v>45974</v>
      </c>
      <c r="M621" s="10">
        <v>45986</v>
      </c>
      <c r="N621" s="10">
        <v>46005</v>
      </c>
      <c r="O621" s="10"/>
      <c r="P621" s="9" t="b">
        <f>TRUE()</f>
        <v>1</v>
      </c>
      <c r="Q621" s="11">
        <v>2171.0100000000002</v>
      </c>
    </row>
    <row r="622" spans="1:17" ht="15" customHeight="1" x14ac:dyDescent="0.2">
      <c r="A622" s="9" t="s">
        <v>780</v>
      </c>
      <c r="B622" s="10">
        <v>45689</v>
      </c>
      <c r="C622" s="10">
        <v>45689</v>
      </c>
      <c r="D622" s="9" t="s">
        <v>19</v>
      </c>
      <c r="E622" s="9" t="s">
        <v>26</v>
      </c>
      <c r="F622" s="9" t="s">
        <v>149</v>
      </c>
      <c r="G622" s="9" t="s">
        <v>161</v>
      </c>
      <c r="H622" s="9" t="s">
        <v>207</v>
      </c>
      <c r="I622" s="9" t="b">
        <f>TRUE()</f>
        <v>1</v>
      </c>
      <c r="J622" s="9" t="s">
        <v>152</v>
      </c>
      <c r="K622" s="9" t="s">
        <v>163</v>
      </c>
      <c r="L622" s="10"/>
      <c r="M622" s="10"/>
      <c r="N622" s="10"/>
      <c r="O622" s="10">
        <v>45694</v>
      </c>
      <c r="P622" s="9" t="b">
        <f>TRUE()</f>
        <v>1</v>
      </c>
      <c r="Q622" s="11">
        <v>2595.9699999999998</v>
      </c>
    </row>
    <row r="623" spans="1:17" ht="15" customHeight="1" x14ac:dyDescent="0.2">
      <c r="A623" s="9" t="s">
        <v>781</v>
      </c>
      <c r="B623" s="10">
        <v>45857</v>
      </c>
      <c r="C623" s="10">
        <v>45839</v>
      </c>
      <c r="D623" s="9" t="s">
        <v>20</v>
      </c>
      <c r="E623" s="9" t="s">
        <v>24</v>
      </c>
      <c r="F623" s="9" t="s">
        <v>149</v>
      </c>
      <c r="G623" s="9" t="s">
        <v>156</v>
      </c>
      <c r="H623" s="9" t="s">
        <v>192</v>
      </c>
      <c r="I623" s="9" t="b">
        <f>TRUE()</f>
        <v>1</v>
      </c>
      <c r="J623" s="9" t="s">
        <v>152</v>
      </c>
      <c r="K623" s="9" t="s">
        <v>153</v>
      </c>
      <c r="L623" s="10">
        <v>45865</v>
      </c>
      <c r="M623" s="10">
        <v>45866</v>
      </c>
      <c r="N623" s="10"/>
      <c r="O623" s="10">
        <v>45891</v>
      </c>
      <c r="P623" s="9" t="b">
        <f>TRUE()</f>
        <v>1</v>
      </c>
      <c r="Q623" s="11">
        <v>789.55</v>
      </c>
    </row>
    <row r="624" spans="1:17" ht="15" customHeight="1" x14ac:dyDescent="0.2">
      <c r="A624" s="9" t="s">
        <v>782</v>
      </c>
      <c r="B624" s="10">
        <v>45661</v>
      </c>
      <c r="C624" s="10">
        <v>45658</v>
      </c>
      <c r="D624" s="9" t="s">
        <v>21</v>
      </c>
      <c r="E624" s="9" t="s">
        <v>24</v>
      </c>
      <c r="F624" s="9" t="s">
        <v>149</v>
      </c>
      <c r="G624" s="9" t="s">
        <v>156</v>
      </c>
      <c r="H624" s="9" t="s">
        <v>162</v>
      </c>
      <c r="I624" s="9" t="b">
        <f>TRUE()</f>
        <v>1</v>
      </c>
      <c r="J624" s="9" t="s">
        <v>152</v>
      </c>
      <c r="K624" s="9" t="s">
        <v>153</v>
      </c>
      <c r="L624" s="10">
        <v>45665</v>
      </c>
      <c r="M624" s="10"/>
      <c r="N624" s="10"/>
      <c r="O624" s="10">
        <v>45685</v>
      </c>
      <c r="P624" s="9" t="b">
        <f>TRUE()</f>
        <v>1</v>
      </c>
      <c r="Q624" s="11">
        <v>627.11</v>
      </c>
    </row>
    <row r="625" spans="1:17" ht="15" customHeight="1" x14ac:dyDescent="0.2">
      <c r="A625" s="9" t="s">
        <v>783</v>
      </c>
      <c r="B625" s="10">
        <v>45879</v>
      </c>
      <c r="C625" s="10">
        <v>45870</v>
      </c>
      <c r="D625" s="9" t="s">
        <v>19</v>
      </c>
      <c r="E625" s="9" t="s">
        <v>28</v>
      </c>
      <c r="F625" s="9" t="s">
        <v>160</v>
      </c>
      <c r="G625" s="9" t="s">
        <v>150</v>
      </c>
      <c r="H625" s="9" t="s">
        <v>179</v>
      </c>
      <c r="I625" s="9" t="b">
        <f>TRUE()</f>
        <v>1</v>
      </c>
      <c r="J625" s="9" t="s">
        <v>152</v>
      </c>
      <c r="K625" s="9" t="s">
        <v>163</v>
      </c>
      <c r="L625" s="10"/>
      <c r="M625" s="10"/>
      <c r="N625" s="10"/>
      <c r="O625" s="10">
        <v>45890</v>
      </c>
      <c r="P625" s="9" t="b">
        <f>TRUE()</f>
        <v>1</v>
      </c>
      <c r="Q625" s="11">
        <v>9033.2999999999993</v>
      </c>
    </row>
    <row r="626" spans="1:17" ht="15" customHeight="1" x14ac:dyDescent="0.2">
      <c r="A626" s="9" t="s">
        <v>784</v>
      </c>
      <c r="B626" s="10">
        <v>45929</v>
      </c>
      <c r="C626" s="10">
        <v>45901</v>
      </c>
      <c r="D626" s="9" t="s">
        <v>22</v>
      </c>
      <c r="E626" s="9" t="s">
        <v>26</v>
      </c>
      <c r="F626" s="9" t="s">
        <v>149</v>
      </c>
      <c r="G626" s="9" t="s">
        <v>161</v>
      </c>
      <c r="H626" s="9" t="s">
        <v>151</v>
      </c>
      <c r="I626" s="9" t="b">
        <f>TRUE()</f>
        <v>1</v>
      </c>
      <c r="J626" s="9" t="s">
        <v>2</v>
      </c>
      <c r="K626" s="9" t="s">
        <v>153</v>
      </c>
      <c r="L626" s="10">
        <v>45938</v>
      </c>
      <c r="M626" s="10">
        <v>45942</v>
      </c>
      <c r="N626" s="10">
        <v>45959</v>
      </c>
      <c r="O626" s="10"/>
      <c r="P626" s="9" t="b">
        <f>TRUE()</f>
        <v>1</v>
      </c>
      <c r="Q626" s="11">
        <v>2212.92</v>
      </c>
    </row>
    <row r="627" spans="1:17" ht="15" customHeight="1" x14ac:dyDescent="0.2">
      <c r="A627" s="9" t="s">
        <v>785</v>
      </c>
      <c r="B627" s="10">
        <v>46015</v>
      </c>
      <c r="C627" s="10">
        <v>45992</v>
      </c>
      <c r="D627" s="9" t="s">
        <v>20</v>
      </c>
      <c r="E627" s="9" t="s">
        <v>27</v>
      </c>
      <c r="F627" s="9" t="s">
        <v>149</v>
      </c>
      <c r="G627" s="9" t="s">
        <v>156</v>
      </c>
      <c r="H627" s="9" t="s">
        <v>167</v>
      </c>
      <c r="I627" s="9" t="b">
        <f>TRUE()</f>
        <v>1</v>
      </c>
      <c r="J627" s="9" t="s">
        <v>158</v>
      </c>
      <c r="K627" s="9" t="s">
        <v>153</v>
      </c>
      <c r="L627" s="10">
        <v>46023</v>
      </c>
      <c r="M627" s="10">
        <v>46035</v>
      </c>
      <c r="N627" s="10"/>
      <c r="O627" s="10"/>
      <c r="P627" s="9" t="b">
        <f>TRUE()</f>
        <v>1</v>
      </c>
      <c r="Q627" s="11">
        <v>1001.45</v>
      </c>
    </row>
    <row r="628" spans="1:17" ht="15" customHeight="1" x14ac:dyDescent="0.2">
      <c r="A628" s="9" t="s">
        <v>786</v>
      </c>
      <c r="B628" s="10">
        <v>45755</v>
      </c>
      <c r="C628" s="10">
        <v>45748</v>
      </c>
      <c r="D628" s="9" t="s">
        <v>19</v>
      </c>
      <c r="E628" s="9" t="s">
        <v>24</v>
      </c>
      <c r="F628" s="9" t="s">
        <v>160</v>
      </c>
      <c r="G628" s="9" t="s">
        <v>156</v>
      </c>
      <c r="H628" s="9" t="s">
        <v>207</v>
      </c>
      <c r="I628" s="9" t="b">
        <f>TRUE()</f>
        <v>1</v>
      </c>
      <c r="J628" s="9" t="s">
        <v>152</v>
      </c>
      <c r="K628" s="9" t="s">
        <v>163</v>
      </c>
      <c r="L628" s="10"/>
      <c r="M628" s="10"/>
      <c r="N628" s="10"/>
      <c r="O628" s="10">
        <v>45769</v>
      </c>
      <c r="P628" s="9" t="b">
        <f>TRUE()</f>
        <v>1</v>
      </c>
      <c r="Q628" s="11">
        <v>608.72</v>
      </c>
    </row>
    <row r="629" spans="1:17" ht="15" customHeight="1" x14ac:dyDescent="0.2">
      <c r="A629" s="9" t="s">
        <v>787</v>
      </c>
      <c r="B629" s="10">
        <v>45760</v>
      </c>
      <c r="C629" s="10">
        <v>45748</v>
      </c>
      <c r="D629" s="9" t="s">
        <v>18</v>
      </c>
      <c r="E629" s="9" t="s">
        <v>24</v>
      </c>
      <c r="F629" s="9" t="s">
        <v>149</v>
      </c>
      <c r="G629" s="9" t="s">
        <v>156</v>
      </c>
      <c r="H629" s="9" t="s">
        <v>251</v>
      </c>
      <c r="I629" s="9" t="b">
        <f>TRUE()</f>
        <v>1</v>
      </c>
      <c r="J629" s="9" t="s">
        <v>152</v>
      </c>
      <c r="K629" s="9" t="s">
        <v>153</v>
      </c>
      <c r="L629" s="10">
        <v>45762</v>
      </c>
      <c r="M629" s="10">
        <v>45772</v>
      </c>
      <c r="N629" s="10"/>
      <c r="O629" s="10">
        <v>45804</v>
      </c>
      <c r="P629" s="9" t="b">
        <f>TRUE()</f>
        <v>1</v>
      </c>
      <c r="Q629" s="11">
        <v>620.82000000000005</v>
      </c>
    </row>
    <row r="630" spans="1:17" ht="15" customHeight="1" x14ac:dyDescent="0.2">
      <c r="A630" s="9" t="s">
        <v>788</v>
      </c>
      <c r="B630" s="10">
        <v>45905</v>
      </c>
      <c r="C630" s="10">
        <v>45901</v>
      </c>
      <c r="D630" s="9" t="s">
        <v>22</v>
      </c>
      <c r="E630" s="9" t="s">
        <v>28</v>
      </c>
      <c r="F630" s="9" t="s">
        <v>186</v>
      </c>
      <c r="G630" s="9" t="s">
        <v>156</v>
      </c>
      <c r="H630" s="9" t="s">
        <v>170</v>
      </c>
      <c r="I630" s="9" t="b">
        <f>TRUE()</f>
        <v>1</v>
      </c>
      <c r="J630" s="9" t="s">
        <v>152</v>
      </c>
      <c r="K630" s="9" t="s">
        <v>153</v>
      </c>
      <c r="L630" s="10">
        <v>45910</v>
      </c>
      <c r="M630" s="10">
        <v>45914</v>
      </c>
      <c r="N630" s="10"/>
      <c r="O630" s="10">
        <v>45920</v>
      </c>
      <c r="P630" s="9" t="b">
        <f>TRUE()</f>
        <v>1</v>
      </c>
      <c r="Q630" s="11">
        <v>845.07</v>
      </c>
    </row>
    <row r="631" spans="1:17" ht="15" customHeight="1" x14ac:dyDescent="0.2">
      <c r="A631" s="9" t="s">
        <v>789</v>
      </c>
      <c r="B631" s="10">
        <v>45881</v>
      </c>
      <c r="C631" s="10">
        <v>45870</v>
      </c>
      <c r="D631" s="9" t="s">
        <v>21</v>
      </c>
      <c r="E631" s="9" t="s">
        <v>26</v>
      </c>
      <c r="F631" s="9" t="s">
        <v>149</v>
      </c>
      <c r="G631" s="9" t="s">
        <v>161</v>
      </c>
      <c r="H631" s="9" t="s">
        <v>183</v>
      </c>
      <c r="I631" s="9" t="b">
        <f>TRUE()</f>
        <v>1</v>
      </c>
      <c r="J631" s="9" t="s">
        <v>2</v>
      </c>
      <c r="K631" s="9" t="s">
        <v>153</v>
      </c>
      <c r="L631" s="10">
        <v>45891</v>
      </c>
      <c r="M631" s="10">
        <v>45906</v>
      </c>
      <c r="N631" s="10">
        <v>45934</v>
      </c>
      <c r="O631" s="10"/>
      <c r="P631" s="9" t="b">
        <f>TRUE()</f>
        <v>1</v>
      </c>
      <c r="Q631" s="11">
        <v>2878.06</v>
      </c>
    </row>
    <row r="632" spans="1:17" ht="15" customHeight="1" x14ac:dyDescent="0.2">
      <c r="A632" s="9" t="s">
        <v>790</v>
      </c>
      <c r="B632" s="10">
        <v>45845</v>
      </c>
      <c r="C632" s="10">
        <v>45839</v>
      </c>
      <c r="D632" s="9" t="s">
        <v>20</v>
      </c>
      <c r="E632" s="9" t="s">
        <v>28</v>
      </c>
      <c r="F632" s="9" t="s">
        <v>160</v>
      </c>
      <c r="G632" s="9" t="s">
        <v>161</v>
      </c>
      <c r="H632" s="9" t="s">
        <v>192</v>
      </c>
      <c r="I632" s="9" t="b">
        <f>TRUE()</f>
        <v>1</v>
      </c>
      <c r="J632" s="9" t="s">
        <v>152</v>
      </c>
      <c r="K632" s="9" t="s">
        <v>153</v>
      </c>
      <c r="L632" s="10">
        <v>45847</v>
      </c>
      <c r="M632" s="10">
        <v>45852</v>
      </c>
      <c r="N632" s="10"/>
      <c r="O632" s="10">
        <v>45857</v>
      </c>
      <c r="P632" s="9" t="b">
        <f>TRUE()</f>
        <v>1</v>
      </c>
      <c r="Q632" s="11">
        <v>2294.59</v>
      </c>
    </row>
    <row r="633" spans="1:17" ht="15" customHeight="1" x14ac:dyDescent="0.2">
      <c r="A633" s="9" t="s">
        <v>791</v>
      </c>
      <c r="B633" s="10">
        <v>45998</v>
      </c>
      <c r="C633" s="10">
        <v>45992</v>
      </c>
      <c r="D633" s="9" t="s">
        <v>22</v>
      </c>
      <c r="E633" s="9" t="s">
        <v>24</v>
      </c>
      <c r="F633" s="9" t="s">
        <v>186</v>
      </c>
      <c r="G633" s="9" t="s">
        <v>161</v>
      </c>
      <c r="H633" s="9" t="s">
        <v>170</v>
      </c>
      <c r="I633" s="9" t="b">
        <f>TRUE()</f>
        <v>1</v>
      </c>
      <c r="J633" s="9" t="s">
        <v>190</v>
      </c>
      <c r="K633" s="9" t="s">
        <v>163</v>
      </c>
      <c r="L633" s="10"/>
      <c r="M633" s="10"/>
      <c r="N633" s="10"/>
      <c r="O633" s="10"/>
      <c r="P633" s="9" t="b">
        <f>TRUE()</f>
        <v>1</v>
      </c>
      <c r="Q633" s="11">
        <v>2188.75</v>
      </c>
    </row>
    <row r="634" spans="1:17" ht="15" customHeight="1" x14ac:dyDescent="0.2">
      <c r="A634" s="9" t="s">
        <v>792</v>
      </c>
      <c r="B634" s="10">
        <v>45978</v>
      </c>
      <c r="C634" s="10">
        <v>45962</v>
      </c>
      <c r="D634" s="9" t="s">
        <v>21</v>
      </c>
      <c r="E634" s="9" t="s">
        <v>26</v>
      </c>
      <c r="F634" s="9" t="s">
        <v>155</v>
      </c>
      <c r="G634" s="9" t="s">
        <v>156</v>
      </c>
      <c r="H634" s="9" t="s">
        <v>183</v>
      </c>
      <c r="I634" s="9" t="b">
        <f>TRUE()</f>
        <v>1</v>
      </c>
      <c r="J634" s="9" t="s">
        <v>152</v>
      </c>
      <c r="K634" s="9" t="s">
        <v>153</v>
      </c>
      <c r="L634" s="10">
        <v>45986</v>
      </c>
      <c r="M634" s="10">
        <v>45999</v>
      </c>
      <c r="N634" s="10"/>
      <c r="O634" s="10">
        <v>46023</v>
      </c>
      <c r="P634" s="9" t="b">
        <f>TRUE()</f>
        <v>1</v>
      </c>
      <c r="Q634" s="11">
        <v>560.04</v>
      </c>
    </row>
    <row r="635" spans="1:17" ht="15" customHeight="1" x14ac:dyDescent="0.2">
      <c r="A635" s="9" t="s">
        <v>793</v>
      </c>
      <c r="B635" s="10">
        <v>45961</v>
      </c>
      <c r="C635" s="10">
        <v>45931</v>
      </c>
      <c r="D635" s="9" t="s">
        <v>20</v>
      </c>
      <c r="E635" s="9" t="s">
        <v>26</v>
      </c>
      <c r="F635" s="9" t="s">
        <v>149</v>
      </c>
      <c r="G635" s="9" t="s">
        <v>156</v>
      </c>
      <c r="H635" s="9" t="s">
        <v>189</v>
      </c>
      <c r="I635" s="9" t="b">
        <f>TRUE()</f>
        <v>1</v>
      </c>
      <c r="J635" s="9" t="s">
        <v>152</v>
      </c>
      <c r="K635" s="9" t="s">
        <v>153</v>
      </c>
      <c r="L635" s="10">
        <v>45966</v>
      </c>
      <c r="M635" s="10"/>
      <c r="N635" s="10"/>
      <c r="O635" s="10">
        <v>45980</v>
      </c>
      <c r="P635" s="9" t="b">
        <f>TRUE()</f>
        <v>1</v>
      </c>
      <c r="Q635" s="11">
        <v>790.65</v>
      </c>
    </row>
    <row r="636" spans="1:17" ht="15" customHeight="1" x14ac:dyDescent="0.2">
      <c r="A636" s="9" t="s">
        <v>794</v>
      </c>
      <c r="B636" s="10">
        <v>45830</v>
      </c>
      <c r="C636" s="10">
        <v>45809</v>
      </c>
      <c r="D636" s="9" t="s">
        <v>22</v>
      </c>
      <c r="E636" s="9" t="s">
        <v>24</v>
      </c>
      <c r="F636" s="9" t="s">
        <v>160</v>
      </c>
      <c r="G636" s="9" t="s">
        <v>161</v>
      </c>
      <c r="H636" s="9" t="s">
        <v>151</v>
      </c>
      <c r="I636" s="9" t="b">
        <f>TRUE()</f>
        <v>1</v>
      </c>
      <c r="J636" s="9" t="s">
        <v>152</v>
      </c>
      <c r="K636" s="9" t="s">
        <v>163</v>
      </c>
      <c r="L636" s="10"/>
      <c r="M636" s="10"/>
      <c r="N636" s="10"/>
      <c r="O636" s="10">
        <v>45835</v>
      </c>
      <c r="P636" s="9" t="b">
        <f>TRUE()</f>
        <v>1</v>
      </c>
      <c r="Q636" s="11">
        <v>2613.1999999999998</v>
      </c>
    </row>
    <row r="637" spans="1:17" ht="15" customHeight="1" x14ac:dyDescent="0.2">
      <c r="A637" s="9" t="s">
        <v>795</v>
      </c>
      <c r="B637" s="10">
        <v>45976</v>
      </c>
      <c r="C637" s="10">
        <v>45962</v>
      </c>
      <c r="D637" s="9" t="s">
        <v>22</v>
      </c>
      <c r="E637" s="9" t="s">
        <v>25</v>
      </c>
      <c r="F637" s="9" t="s">
        <v>160</v>
      </c>
      <c r="G637" s="9" t="s">
        <v>156</v>
      </c>
      <c r="H637" s="9" t="s">
        <v>151</v>
      </c>
      <c r="I637" s="9" t="b">
        <f>TRUE()</f>
        <v>1</v>
      </c>
      <c r="J637" s="9" t="s">
        <v>152</v>
      </c>
      <c r="K637" s="9" t="s">
        <v>153</v>
      </c>
      <c r="L637" s="10">
        <v>45984</v>
      </c>
      <c r="M637" s="10"/>
      <c r="N637" s="10"/>
      <c r="O637" s="10">
        <v>45989</v>
      </c>
      <c r="P637" s="9" t="b">
        <f>TRUE()</f>
        <v>1</v>
      </c>
      <c r="Q637" s="11">
        <v>705.2</v>
      </c>
    </row>
    <row r="638" spans="1:17" ht="15" customHeight="1" x14ac:dyDescent="0.2">
      <c r="A638" s="9" t="s">
        <v>796</v>
      </c>
      <c r="B638" s="10">
        <v>45996</v>
      </c>
      <c r="C638" s="10">
        <v>45992</v>
      </c>
      <c r="D638" s="9" t="s">
        <v>20</v>
      </c>
      <c r="E638" s="9" t="s">
        <v>24</v>
      </c>
      <c r="F638" s="9" t="s">
        <v>149</v>
      </c>
      <c r="G638" s="9" t="s">
        <v>156</v>
      </c>
      <c r="H638" s="9" t="s">
        <v>192</v>
      </c>
      <c r="I638" s="9" t="b">
        <f>TRUE()</f>
        <v>1</v>
      </c>
      <c r="J638" s="9" t="s">
        <v>152</v>
      </c>
      <c r="K638" s="9" t="s">
        <v>163</v>
      </c>
      <c r="L638" s="10"/>
      <c r="M638" s="10"/>
      <c r="N638" s="10"/>
      <c r="O638" s="10">
        <v>46010</v>
      </c>
      <c r="P638" s="9" t="b">
        <f>TRUE()</f>
        <v>1</v>
      </c>
      <c r="Q638" s="11">
        <v>712.56</v>
      </c>
    </row>
    <row r="639" spans="1:17" ht="15" customHeight="1" x14ac:dyDescent="0.2">
      <c r="A639" s="9" t="s">
        <v>797</v>
      </c>
      <c r="B639" s="10">
        <v>45957</v>
      </c>
      <c r="C639" s="10">
        <v>45931</v>
      </c>
      <c r="D639" s="9" t="s">
        <v>18</v>
      </c>
      <c r="E639" s="9" t="s">
        <v>24</v>
      </c>
      <c r="F639" s="9" t="s">
        <v>149</v>
      </c>
      <c r="G639" s="9" t="s">
        <v>156</v>
      </c>
      <c r="H639" s="9" t="s">
        <v>251</v>
      </c>
      <c r="I639" s="9" t="b">
        <f>TRUE()</f>
        <v>1</v>
      </c>
      <c r="J639" s="9" t="s">
        <v>152</v>
      </c>
      <c r="K639" s="9" t="s">
        <v>153</v>
      </c>
      <c r="L639" s="10">
        <v>45959</v>
      </c>
      <c r="M639" s="10">
        <v>45972</v>
      </c>
      <c r="N639" s="10"/>
      <c r="O639" s="10">
        <v>45999</v>
      </c>
      <c r="P639" s="9" t="b">
        <f>TRUE()</f>
        <v>1</v>
      </c>
      <c r="Q639" s="11">
        <v>603.66999999999996</v>
      </c>
    </row>
    <row r="640" spans="1:17" ht="15" customHeight="1" x14ac:dyDescent="0.2">
      <c r="A640" s="9" t="s">
        <v>798</v>
      </c>
      <c r="B640" s="10">
        <v>45765</v>
      </c>
      <c r="C640" s="10">
        <v>45748</v>
      </c>
      <c r="D640" s="9" t="s">
        <v>19</v>
      </c>
      <c r="E640" s="9" t="s">
        <v>25</v>
      </c>
      <c r="F640" s="9" t="s">
        <v>186</v>
      </c>
      <c r="G640" s="9" t="s">
        <v>161</v>
      </c>
      <c r="H640" s="9" t="s">
        <v>207</v>
      </c>
      <c r="I640" s="9" t="b">
        <f>TRUE()</f>
        <v>1</v>
      </c>
      <c r="J640" s="9" t="s">
        <v>152</v>
      </c>
      <c r="K640" s="9" t="s">
        <v>153</v>
      </c>
      <c r="L640" s="10">
        <v>45772</v>
      </c>
      <c r="M640" s="10"/>
      <c r="N640" s="10"/>
      <c r="O640" s="10">
        <v>45789</v>
      </c>
      <c r="P640" s="9" t="b">
        <f>TRUE()</f>
        <v>1</v>
      </c>
      <c r="Q640" s="11">
        <v>2227.77</v>
      </c>
    </row>
    <row r="641" spans="1:17" ht="15" customHeight="1" x14ac:dyDescent="0.2">
      <c r="A641" s="9" t="s">
        <v>799</v>
      </c>
      <c r="B641" s="10">
        <v>45903</v>
      </c>
      <c r="C641" s="10">
        <v>45901</v>
      </c>
      <c r="D641" s="9" t="s">
        <v>19</v>
      </c>
      <c r="E641" s="9" t="s">
        <v>25</v>
      </c>
      <c r="F641" s="9" t="s">
        <v>149</v>
      </c>
      <c r="G641" s="9" t="s">
        <v>156</v>
      </c>
      <c r="H641" s="9" t="s">
        <v>179</v>
      </c>
      <c r="I641" s="9" t="b">
        <f>TRUE()</f>
        <v>1</v>
      </c>
      <c r="J641" s="9" t="s">
        <v>2</v>
      </c>
      <c r="K641" s="9" t="s">
        <v>153</v>
      </c>
      <c r="L641" s="10">
        <v>45910</v>
      </c>
      <c r="M641" s="10">
        <v>45913</v>
      </c>
      <c r="N641" s="10">
        <v>45940</v>
      </c>
      <c r="O641" s="10"/>
      <c r="P641" s="9" t="b">
        <f>TRUE()</f>
        <v>1</v>
      </c>
      <c r="Q641" s="11">
        <v>775.08</v>
      </c>
    </row>
    <row r="642" spans="1:17" ht="15" customHeight="1" x14ac:dyDescent="0.2">
      <c r="A642" s="9" t="s">
        <v>800</v>
      </c>
      <c r="B642" s="10">
        <v>45813</v>
      </c>
      <c r="C642" s="10">
        <v>45809</v>
      </c>
      <c r="D642" s="9" t="s">
        <v>20</v>
      </c>
      <c r="E642" s="9" t="s">
        <v>27</v>
      </c>
      <c r="F642" s="9" t="s">
        <v>160</v>
      </c>
      <c r="G642" s="9" t="s">
        <v>156</v>
      </c>
      <c r="H642" s="9" t="s">
        <v>167</v>
      </c>
      <c r="I642" s="9" t="b">
        <f>TRUE()</f>
        <v>1</v>
      </c>
      <c r="J642" s="9" t="s">
        <v>152</v>
      </c>
      <c r="K642" s="9" t="s">
        <v>153</v>
      </c>
      <c r="L642" s="10">
        <v>45815</v>
      </c>
      <c r="M642" s="10">
        <v>45822</v>
      </c>
      <c r="N642" s="10"/>
      <c r="O642" s="10">
        <v>45855</v>
      </c>
      <c r="P642" s="9" t="b">
        <f>TRUE()</f>
        <v>1</v>
      </c>
      <c r="Q642" s="11">
        <v>753.66</v>
      </c>
    </row>
    <row r="643" spans="1:17" ht="15" customHeight="1" x14ac:dyDescent="0.2">
      <c r="A643" s="9" t="s">
        <v>801</v>
      </c>
      <c r="B643" s="10">
        <v>45939</v>
      </c>
      <c r="C643" s="10">
        <v>45931</v>
      </c>
      <c r="D643" s="9" t="s">
        <v>19</v>
      </c>
      <c r="E643" s="9" t="s">
        <v>28</v>
      </c>
      <c r="F643" s="9" t="s">
        <v>149</v>
      </c>
      <c r="G643" s="9" t="s">
        <v>161</v>
      </c>
      <c r="H643" s="9" t="s">
        <v>179</v>
      </c>
      <c r="I643" s="9" t="b">
        <f>TRUE()</f>
        <v>1</v>
      </c>
      <c r="J643" s="9" t="s">
        <v>152</v>
      </c>
      <c r="K643" s="9" t="s">
        <v>163</v>
      </c>
      <c r="L643" s="10"/>
      <c r="M643" s="10"/>
      <c r="N643" s="10"/>
      <c r="O643" s="10">
        <v>45943</v>
      </c>
      <c r="P643" s="9" t="b">
        <f>TRUE()</f>
        <v>1</v>
      </c>
      <c r="Q643" s="11">
        <v>2376.5700000000002</v>
      </c>
    </row>
    <row r="644" spans="1:17" ht="15" customHeight="1" x14ac:dyDescent="0.2">
      <c r="A644" s="9" t="s">
        <v>802</v>
      </c>
      <c r="B644" s="10">
        <v>45844</v>
      </c>
      <c r="C644" s="10">
        <v>45839</v>
      </c>
      <c r="D644" s="9" t="s">
        <v>21</v>
      </c>
      <c r="E644" s="9" t="s">
        <v>26</v>
      </c>
      <c r="F644" s="9" t="s">
        <v>186</v>
      </c>
      <c r="G644" s="9" t="s">
        <v>156</v>
      </c>
      <c r="H644" s="9" t="s">
        <v>162</v>
      </c>
      <c r="I644" s="9" t="b">
        <f>TRUE()</f>
        <v>1</v>
      </c>
      <c r="J644" s="9" t="s">
        <v>152</v>
      </c>
      <c r="K644" s="9" t="s">
        <v>163</v>
      </c>
      <c r="L644" s="10"/>
      <c r="M644" s="10"/>
      <c r="N644" s="10"/>
      <c r="O644" s="10">
        <v>45850</v>
      </c>
      <c r="P644" s="9" t="b">
        <f>TRUE()</f>
        <v>1</v>
      </c>
      <c r="Q644" s="11">
        <v>741.52</v>
      </c>
    </row>
    <row r="645" spans="1:17" ht="15" customHeight="1" x14ac:dyDescent="0.2">
      <c r="A645" s="9" t="s">
        <v>803</v>
      </c>
      <c r="B645" s="10">
        <v>45881</v>
      </c>
      <c r="C645" s="10">
        <v>45870</v>
      </c>
      <c r="D645" s="9" t="s">
        <v>19</v>
      </c>
      <c r="E645" s="9" t="s">
        <v>25</v>
      </c>
      <c r="F645" s="9" t="s">
        <v>186</v>
      </c>
      <c r="G645" s="9" t="s">
        <v>161</v>
      </c>
      <c r="H645" s="9" t="s">
        <v>207</v>
      </c>
      <c r="I645" s="9" t="b">
        <f>TRUE()</f>
        <v>1</v>
      </c>
      <c r="J645" s="9" t="s">
        <v>152</v>
      </c>
      <c r="K645" s="9" t="s">
        <v>163</v>
      </c>
      <c r="L645" s="10"/>
      <c r="M645" s="10"/>
      <c r="N645" s="10"/>
      <c r="O645" s="10">
        <v>45901</v>
      </c>
      <c r="P645" s="9" t="b">
        <f>TRUE()</f>
        <v>1</v>
      </c>
      <c r="Q645" s="11">
        <v>2401.84</v>
      </c>
    </row>
    <row r="646" spans="1:17" ht="15" customHeight="1" x14ac:dyDescent="0.2">
      <c r="A646" s="9" t="s">
        <v>804</v>
      </c>
      <c r="B646" s="10">
        <v>45856</v>
      </c>
      <c r="C646" s="10">
        <v>45839</v>
      </c>
      <c r="D646" s="9" t="s">
        <v>21</v>
      </c>
      <c r="E646" s="9" t="s">
        <v>24</v>
      </c>
      <c r="F646" s="9" t="s">
        <v>155</v>
      </c>
      <c r="G646" s="9" t="s">
        <v>161</v>
      </c>
      <c r="H646" s="9" t="s">
        <v>176</v>
      </c>
      <c r="I646" s="9" t="b">
        <f>TRUE()</f>
        <v>1</v>
      </c>
      <c r="J646" s="9" t="s">
        <v>152</v>
      </c>
      <c r="K646" s="9" t="s">
        <v>163</v>
      </c>
      <c r="L646" s="10"/>
      <c r="M646" s="10"/>
      <c r="N646" s="10"/>
      <c r="O646" s="10">
        <v>45862</v>
      </c>
      <c r="P646" s="9" t="b">
        <f>TRUE()</f>
        <v>1</v>
      </c>
      <c r="Q646" s="11">
        <v>1368.93</v>
      </c>
    </row>
    <row r="647" spans="1:17" ht="15" customHeight="1" x14ac:dyDescent="0.2">
      <c r="A647" s="9" t="s">
        <v>805</v>
      </c>
      <c r="B647" s="10">
        <v>45663</v>
      </c>
      <c r="C647" s="10">
        <v>45658</v>
      </c>
      <c r="D647" s="9" t="s">
        <v>20</v>
      </c>
      <c r="E647" s="9" t="s">
        <v>26</v>
      </c>
      <c r="F647" s="9" t="s">
        <v>160</v>
      </c>
      <c r="G647" s="9" t="s">
        <v>161</v>
      </c>
      <c r="H647" s="9" t="s">
        <v>192</v>
      </c>
      <c r="I647" s="9" t="b">
        <f>TRUE()</f>
        <v>1</v>
      </c>
      <c r="J647" s="9" t="s">
        <v>152</v>
      </c>
      <c r="K647" s="9" t="s">
        <v>153</v>
      </c>
      <c r="L647" s="10">
        <v>45671</v>
      </c>
      <c r="M647" s="10">
        <v>45679</v>
      </c>
      <c r="N647" s="10"/>
      <c r="O647" s="10">
        <v>45687</v>
      </c>
      <c r="P647" s="9" t="b">
        <f>TRUE()</f>
        <v>1</v>
      </c>
      <c r="Q647" s="11">
        <v>2152.0100000000002</v>
      </c>
    </row>
    <row r="648" spans="1:17" ht="15" customHeight="1" x14ac:dyDescent="0.2">
      <c r="A648" s="9" t="s">
        <v>806</v>
      </c>
      <c r="B648" s="10">
        <v>45670</v>
      </c>
      <c r="C648" s="10">
        <v>45658</v>
      </c>
      <c r="D648" s="9" t="s">
        <v>20</v>
      </c>
      <c r="E648" s="9" t="s">
        <v>25</v>
      </c>
      <c r="F648" s="9" t="s">
        <v>186</v>
      </c>
      <c r="G648" s="9" t="s">
        <v>156</v>
      </c>
      <c r="H648" s="9" t="s">
        <v>192</v>
      </c>
      <c r="I648" s="9" t="b">
        <f>TRUE()</f>
        <v>1</v>
      </c>
      <c r="J648" s="9" t="s">
        <v>152</v>
      </c>
      <c r="K648" s="9" t="s">
        <v>153</v>
      </c>
      <c r="L648" s="10">
        <v>45677</v>
      </c>
      <c r="M648" s="10"/>
      <c r="N648" s="10"/>
      <c r="O648" s="10">
        <v>45689</v>
      </c>
      <c r="P648" s="9" t="b">
        <f>TRUE()</f>
        <v>1</v>
      </c>
      <c r="Q648" s="11">
        <v>650.73</v>
      </c>
    </row>
    <row r="649" spans="1:17" ht="15" customHeight="1" x14ac:dyDescent="0.2">
      <c r="A649" s="9" t="s">
        <v>807</v>
      </c>
      <c r="B649" s="10">
        <v>45703</v>
      </c>
      <c r="C649" s="10">
        <v>45689</v>
      </c>
      <c r="D649" s="9" t="s">
        <v>20</v>
      </c>
      <c r="E649" s="9" t="s">
        <v>26</v>
      </c>
      <c r="F649" s="9" t="s">
        <v>149</v>
      </c>
      <c r="G649" s="9" t="s">
        <v>156</v>
      </c>
      <c r="H649" s="9" t="s">
        <v>189</v>
      </c>
      <c r="I649" s="9" t="b">
        <f>TRUE()</f>
        <v>1</v>
      </c>
      <c r="J649" s="9" t="s">
        <v>2</v>
      </c>
      <c r="K649" s="9" t="s">
        <v>153</v>
      </c>
      <c r="L649" s="10">
        <v>45709</v>
      </c>
      <c r="M649" s="10">
        <v>45712</v>
      </c>
      <c r="N649" s="10">
        <v>45726</v>
      </c>
      <c r="O649" s="10"/>
      <c r="P649" s="9" t="b">
        <f>TRUE()</f>
        <v>1</v>
      </c>
      <c r="Q649" s="11">
        <v>604.07000000000005</v>
      </c>
    </row>
    <row r="650" spans="1:17" ht="15" customHeight="1" x14ac:dyDescent="0.2">
      <c r="A650" s="9" t="s">
        <v>808</v>
      </c>
      <c r="B650" s="10">
        <v>46009</v>
      </c>
      <c r="C650" s="10">
        <v>45992</v>
      </c>
      <c r="D650" s="9" t="s">
        <v>20</v>
      </c>
      <c r="E650" s="9" t="s">
        <v>25</v>
      </c>
      <c r="F650" s="9" t="s">
        <v>160</v>
      </c>
      <c r="G650" s="9" t="s">
        <v>161</v>
      </c>
      <c r="H650" s="9" t="s">
        <v>167</v>
      </c>
      <c r="I650" s="9" t="b">
        <f>TRUE()</f>
        <v>1</v>
      </c>
      <c r="J650" s="9" t="s">
        <v>158</v>
      </c>
      <c r="K650" s="9" t="s">
        <v>153</v>
      </c>
      <c r="L650" s="10">
        <v>46010</v>
      </c>
      <c r="M650" s="10">
        <v>46023</v>
      </c>
      <c r="N650" s="10"/>
      <c r="O650" s="10"/>
      <c r="P650" s="9" t="b">
        <f>TRUE()</f>
        <v>1</v>
      </c>
      <c r="Q650" s="11">
        <v>2870.38</v>
      </c>
    </row>
    <row r="651" spans="1:17" ht="15" customHeight="1" x14ac:dyDescent="0.2">
      <c r="A651" s="9" t="s">
        <v>809</v>
      </c>
      <c r="B651" s="10">
        <v>45884</v>
      </c>
      <c r="C651" s="10">
        <v>45870</v>
      </c>
      <c r="D651" s="9" t="s">
        <v>20</v>
      </c>
      <c r="E651" s="9" t="s">
        <v>24</v>
      </c>
      <c r="F651" s="9" t="s">
        <v>149</v>
      </c>
      <c r="G651" s="9" t="s">
        <v>150</v>
      </c>
      <c r="H651" s="9" t="s">
        <v>167</v>
      </c>
      <c r="I651" s="9" t="b">
        <f>TRUE()</f>
        <v>1</v>
      </c>
      <c r="J651" s="9" t="s">
        <v>152</v>
      </c>
      <c r="K651" s="9" t="s">
        <v>153</v>
      </c>
      <c r="L651" s="10">
        <v>45889</v>
      </c>
      <c r="M651" s="10">
        <v>45903</v>
      </c>
      <c r="N651" s="10"/>
      <c r="O651" s="10">
        <v>45929</v>
      </c>
      <c r="P651" s="9" t="b">
        <f>TRUE()</f>
        <v>1</v>
      </c>
      <c r="Q651" s="11">
        <v>8501.91</v>
      </c>
    </row>
    <row r="652" spans="1:17" ht="15" customHeight="1" x14ac:dyDescent="0.2">
      <c r="A652" s="9" t="s">
        <v>810</v>
      </c>
      <c r="B652" s="10">
        <v>45788</v>
      </c>
      <c r="C652" s="10">
        <v>45778</v>
      </c>
      <c r="D652" s="9" t="s">
        <v>21</v>
      </c>
      <c r="E652" s="9" t="s">
        <v>26</v>
      </c>
      <c r="F652" s="9" t="s">
        <v>160</v>
      </c>
      <c r="G652" s="9" t="s">
        <v>156</v>
      </c>
      <c r="H652" s="9" t="s">
        <v>162</v>
      </c>
      <c r="I652" s="9" t="b">
        <f>TRUE()</f>
        <v>1</v>
      </c>
      <c r="J652" s="9" t="s">
        <v>2</v>
      </c>
      <c r="K652" s="9" t="s">
        <v>153</v>
      </c>
      <c r="L652" s="10">
        <v>45794</v>
      </c>
      <c r="M652" s="10">
        <v>45796</v>
      </c>
      <c r="N652" s="10">
        <v>45812</v>
      </c>
      <c r="O652" s="10"/>
      <c r="P652" s="9" t="b">
        <f>TRUE()</f>
        <v>1</v>
      </c>
      <c r="Q652" s="11">
        <v>955.93</v>
      </c>
    </row>
    <row r="653" spans="1:17" ht="15" customHeight="1" x14ac:dyDescent="0.2">
      <c r="A653" s="9" t="s">
        <v>811</v>
      </c>
      <c r="B653" s="10">
        <v>46015</v>
      </c>
      <c r="C653" s="10">
        <v>45992</v>
      </c>
      <c r="D653" s="9" t="s">
        <v>22</v>
      </c>
      <c r="E653" s="9" t="s">
        <v>25</v>
      </c>
      <c r="F653" s="9" t="s">
        <v>149</v>
      </c>
      <c r="G653" s="9" t="s">
        <v>156</v>
      </c>
      <c r="H653" s="9" t="s">
        <v>170</v>
      </c>
      <c r="I653" s="9" t="b">
        <f>TRUE()</f>
        <v>1</v>
      </c>
      <c r="J653" s="9" t="s">
        <v>190</v>
      </c>
      <c r="K653" s="9" t="s">
        <v>163</v>
      </c>
      <c r="L653" s="10"/>
      <c r="M653" s="10"/>
      <c r="N653" s="10"/>
      <c r="O653" s="10"/>
      <c r="P653" s="9" t="b">
        <f>TRUE()</f>
        <v>1</v>
      </c>
      <c r="Q653" s="11">
        <v>879.38</v>
      </c>
    </row>
    <row r="654" spans="1:17" ht="15" customHeight="1" x14ac:dyDescent="0.2">
      <c r="A654" s="9" t="s">
        <v>812</v>
      </c>
      <c r="B654" s="10">
        <v>45886</v>
      </c>
      <c r="C654" s="10">
        <v>45870</v>
      </c>
      <c r="D654" s="9" t="s">
        <v>19</v>
      </c>
      <c r="E654" s="9" t="s">
        <v>28</v>
      </c>
      <c r="F654" s="9" t="s">
        <v>149</v>
      </c>
      <c r="G654" s="9" t="s">
        <v>161</v>
      </c>
      <c r="H654" s="9" t="s">
        <v>210</v>
      </c>
      <c r="I654" s="9" t="b">
        <f>TRUE()</f>
        <v>1</v>
      </c>
      <c r="J654" s="9" t="s">
        <v>152</v>
      </c>
      <c r="K654" s="9" t="s">
        <v>163</v>
      </c>
      <c r="L654" s="10"/>
      <c r="M654" s="10"/>
      <c r="N654" s="10"/>
      <c r="O654" s="10">
        <v>45899</v>
      </c>
      <c r="P654" s="9" t="b">
        <f>TRUE()</f>
        <v>1</v>
      </c>
      <c r="Q654" s="11">
        <v>2179.7399999999998</v>
      </c>
    </row>
    <row r="655" spans="1:17" ht="15" customHeight="1" x14ac:dyDescent="0.2">
      <c r="A655" s="9" t="s">
        <v>813</v>
      </c>
      <c r="B655" s="10">
        <v>45983</v>
      </c>
      <c r="C655" s="10">
        <v>45962</v>
      </c>
      <c r="D655" s="9" t="s">
        <v>20</v>
      </c>
      <c r="E655" s="9" t="s">
        <v>25</v>
      </c>
      <c r="F655" s="9" t="s">
        <v>149</v>
      </c>
      <c r="G655" s="9" t="s">
        <v>156</v>
      </c>
      <c r="H655" s="9" t="s">
        <v>192</v>
      </c>
      <c r="I655" s="9" t="b">
        <f>TRUE()</f>
        <v>1</v>
      </c>
      <c r="J655" s="9" t="s">
        <v>2</v>
      </c>
      <c r="K655" s="9" t="s">
        <v>153</v>
      </c>
      <c r="L655" s="10">
        <v>45993</v>
      </c>
      <c r="M655" s="10">
        <v>45998</v>
      </c>
      <c r="N655" s="10">
        <v>46003</v>
      </c>
      <c r="O655" s="10"/>
      <c r="P655" s="9" t="b">
        <f>TRUE()</f>
        <v>1</v>
      </c>
      <c r="Q655" s="11">
        <v>783.14</v>
      </c>
    </row>
    <row r="656" spans="1:17" ht="15" customHeight="1" x14ac:dyDescent="0.2">
      <c r="A656" s="9" t="s">
        <v>814</v>
      </c>
      <c r="B656" s="10">
        <v>45981</v>
      </c>
      <c r="C656" s="10">
        <v>45962</v>
      </c>
      <c r="D656" s="9" t="s">
        <v>22</v>
      </c>
      <c r="E656" s="9" t="s">
        <v>24</v>
      </c>
      <c r="F656" s="9" t="s">
        <v>186</v>
      </c>
      <c r="G656" s="9" t="s">
        <v>156</v>
      </c>
      <c r="H656" s="9" t="s">
        <v>165</v>
      </c>
      <c r="I656" s="9" t="b">
        <f>TRUE()</f>
        <v>1</v>
      </c>
      <c r="J656" s="9" t="s">
        <v>152</v>
      </c>
      <c r="K656" s="9" t="s">
        <v>153</v>
      </c>
      <c r="L656" s="10">
        <v>45991</v>
      </c>
      <c r="M656" s="10"/>
      <c r="N656" s="10"/>
      <c r="O656" s="10">
        <v>45998</v>
      </c>
      <c r="P656" s="9" t="b">
        <f>TRUE()</f>
        <v>1</v>
      </c>
      <c r="Q656" s="11">
        <v>872.33</v>
      </c>
    </row>
    <row r="657" spans="1:17" ht="15" customHeight="1" x14ac:dyDescent="0.2">
      <c r="A657" s="9" t="s">
        <v>815</v>
      </c>
      <c r="B657" s="10">
        <v>45752</v>
      </c>
      <c r="C657" s="10">
        <v>45748</v>
      </c>
      <c r="D657" s="9" t="s">
        <v>22</v>
      </c>
      <c r="E657" s="9" t="s">
        <v>25</v>
      </c>
      <c r="F657" s="9" t="s">
        <v>160</v>
      </c>
      <c r="G657" s="9" t="s">
        <v>156</v>
      </c>
      <c r="H657" s="9" t="s">
        <v>165</v>
      </c>
      <c r="I657" s="9" t="b">
        <f>TRUE()</f>
        <v>1</v>
      </c>
      <c r="J657" s="9" t="s">
        <v>152</v>
      </c>
      <c r="K657" s="9" t="s">
        <v>163</v>
      </c>
      <c r="L657" s="10"/>
      <c r="M657" s="10"/>
      <c r="N657" s="10"/>
      <c r="O657" s="10">
        <v>45761</v>
      </c>
      <c r="P657" s="9" t="b">
        <f>TRUE()</f>
        <v>1</v>
      </c>
      <c r="Q657" s="11">
        <v>632.6</v>
      </c>
    </row>
    <row r="658" spans="1:17" ht="15" customHeight="1" x14ac:dyDescent="0.2">
      <c r="A658" s="9" t="s">
        <v>816</v>
      </c>
      <c r="B658" s="10">
        <v>45850</v>
      </c>
      <c r="C658" s="10">
        <v>45839</v>
      </c>
      <c r="D658" s="9" t="s">
        <v>21</v>
      </c>
      <c r="E658" s="9" t="s">
        <v>28</v>
      </c>
      <c r="F658" s="9" t="s">
        <v>160</v>
      </c>
      <c r="G658" s="9" t="s">
        <v>161</v>
      </c>
      <c r="H658" s="9" t="s">
        <v>176</v>
      </c>
      <c r="I658" s="9" t="b">
        <f>TRUE()</f>
        <v>1</v>
      </c>
      <c r="J658" s="9" t="s">
        <v>152</v>
      </c>
      <c r="K658" s="9" t="s">
        <v>153</v>
      </c>
      <c r="L658" s="10">
        <v>45853</v>
      </c>
      <c r="M658" s="10"/>
      <c r="N658" s="10"/>
      <c r="O658" s="10">
        <v>45874</v>
      </c>
      <c r="P658" s="9" t="b">
        <f>TRUE()</f>
        <v>1</v>
      </c>
      <c r="Q658" s="11">
        <v>2306.46</v>
      </c>
    </row>
    <row r="659" spans="1:17" ht="15" customHeight="1" x14ac:dyDescent="0.2">
      <c r="A659" s="9" t="s">
        <v>817</v>
      </c>
      <c r="B659" s="10">
        <v>45949</v>
      </c>
      <c r="C659" s="10">
        <v>45931</v>
      </c>
      <c r="D659" s="9" t="s">
        <v>22</v>
      </c>
      <c r="E659" s="9" t="s">
        <v>26</v>
      </c>
      <c r="F659" s="9" t="s">
        <v>149</v>
      </c>
      <c r="G659" s="9" t="s">
        <v>156</v>
      </c>
      <c r="H659" s="9" t="s">
        <v>151</v>
      </c>
      <c r="I659" s="9" t="b">
        <f>TRUE()</f>
        <v>1</v>
      </c>
      <c r="J659" s="9" t="s">
        <v>152</v>
      </c>
      <c r="K659" s="9" t="s">
        <v>163</v>
      </c>
      <c r="L659" s="10"/>
      <c r="M659" s="10"/>
      <c r="N659" s="10"/>
      <c r="O659" s="10">
        <v>45954</v>
      </c>
      <c r="P659" s="9" t="b">
        <f>TRUE()</f>
        <v>1</v>
      </c>
      <c r="Q659" s="11">
        <v>627.41999999999996</v>
      </c>
    </row>
    <row r="660" spans="1:17" ht="15" customHeight="1" x14ac:dyDescent="0.2">
      <c r="A660" s="9" t="s">
        <v>818</v>
      </c>
      <c r="B660" s="10">
        <v>45976</v>
      </c>
      <c r="C660" s="10">
        <v>45962</v>
      </c>
      <c r="D660" s="9" t="s">
        <v>22</v>
      </c>
      <c r="E660" s="9" t="s">
        <v>24</v>
      </c>
      <c r="F660" s="9" t="s">
        <v>149</v>
      </c>
      <c r="G660" s="9" t="s">
        <v>156</v>
      </c>
      <c r="H660" s="9" t="s">
        <v>170</v>
      </c>
      <c r="I660" s="9" t="b">
        <f>TRUE()</f>
        <v>1</v>
      </c>
      <c r="J660" s="9" t="s">
        <v>152</v>
      </c>
      <c r="K660" s="9" t="s">
        <v>153</v>
      </c>
      <c r="L660" s="10">
        <v>45979</v>
      </c>
      <c r="M660" s="10"/>
      <c r="N660" s="10"/>
      <c r="O660" s="10">
        <v>45991</v>
      </c>
      <c r="P660" s="9" t="b">
        <f>TRUE()</f>
        <v>1</v>
      </c>
      <c r="Q660" s="11">
        <v>1126.04</v>
      </c>
    </row>
    <row r="661" spans="1:17" ht="15" customHeight="1" x14ac:dyDescent="0.2">
      <c r="A661" s="9" t="s">
        <v>819</v>
      </c>
      <c r="B661" s="10">
        <v>45857</v>
      </c>
      <c r="C661" s="10">
        <v>45839</v>
      </c>
      <c r="D661" s="9" t="s">
        <v>22</v>
      </c>
      <c r="E661" s="9" t="s">
        <v>25</v>
      </c>
      <c r="F661" s="9" t="s">
        <v>149</v>
      </c>
      <c r="G661" s="9" t="s">
        <v>161</v>
      </c>
      <c r="H661" s="9" t="s">
        <v>151</v>
      </c>
      <c r="I661" s="9" t="b">
        <f>TRUE()</f>
        <v>1</v>
      </c>
      <c r="J661" s="9" t="s">
        <v>152</v>
      </c>
      <c r="K661" s="9" t="s">
        <v>153</v>
      </c>
      <c r="L661" s="10">
        <v>45863</v>
      </c>
      <c r="M661" s="10"/>
      <c r="N661" s="10"/>
      <c r="O661" s="10">
        <v>45870</v>
      </c>
      <c r="P661" s="9" t="b">
        <f>TRUE()</f>
        <v>1</v>
      </c>
      <c r="Q661" s="11">
        <v>2127.66</v>
      </c>
    </row>
    <row r="662" spans="1:17" ht="15" customHeight="1" x14ac:dyDescent="0.2">
      <c r="A662" s="9" t="s">
        <v>820</v>
      </c>
      <c r="B662" s="10">
        <v>45959</v>
      </c>
      <c r="C662" s="10">
        <v>45931</v>
      </c>
      <c r="D662" s="9" t="s">
        <v>22</v>
      </c>
      <c r="E662" s="9" t="s">
        <v>28</v>
      </c>
      <c r="F662" s="9" t="s">
        <v>155</v>
      </c>
      <c r="G662" s="9" t="s">
        <v>156</v>
      </c>
      <c r="H662" s="9" t="s">
        <v>151</v>
      </c>
      <c r="I662" s="9" t="b">
        <f>TRUE()</f>
        <v>1</v>
      </c>
      <c r="J662" s="9" t="s">
        <v>2</v>
      </c>
      <c r="K662" s="9" t="s">
        <v>153</v>
      </c>
      <c r="L662" s="10">
        <v>45969</v>
      </c>
      <c r="M662" s="10">
        <v>45976</v>
      </c>
      <c r="N662" s="10">
        <v>45990</v>
      </c>
      <c r="O662" s="10"/>
      <c r="P662" s="9" t="b">
        <f>TRUE()</f>
        <v>1</v>
      </c>
      <c r="Q662" s="11">
        <v>385</v>
      </c>
    </row>
    <row r="663" spans="1:17" ht="15" customHeight="1" x14ac:dyDescent="0.2">
      <c r="A663" s="9" t="s">
        <v>821</v>
      </c>
      <c r="B663" s="10">
        <v>45987</v>
      </c>
      <c r="C663" s="10">
        <v>45962</v>
      </c>
      <c r="D663" s="9" t="s">
        <v>22</v>
      </c>
      <c r="E663" s="9" t="s">
        <v>25</v>
      </c>
      <c r="F663" s="9" t="s">
        <v>155</v>
      </c>
      <c r="G663" s="9" t="s">
        <v>161</v>
      </c>
      <c r="H663" s="9" t="s">
        <v>170</v>
      </c>
      <c r="I663" s="9" t="b">
        <f>TRUE()</f>
        <v>1</v>
      </c>
      <c r="J663" s="9" t="s">
        <v>152</v>
      </c>
      <c r="K663" s="9" t="s">
        <v>163</v>
      </c>
      <c r="L663" s="10"/>
      <c r="M663" s="10"/>
      <c r="N663" s="10"/>
      <c r="O663" s="10">
        <v>45989</v>
      </c>
      <c r="P663" s="9" t="b">
        <f>TRUE()</f>
        <v>1</v>
      </c>
      <c r="Q663" s="11">
        <v>2020.92</v>
      </c>
    </row>
    <row r="664" spans="1:17" ht="15" customHeight="1" x14ac:dyDescent="0.2">
      <c r="A664" s="9" t="s">
        <v>822</v>
      </c>
      <c r="B664" s="10">
        <v>45881</v>
      </c>
      <c r="C664" s="10">
        <v>45870</v>
      </c>
      <c r="D664" s="9" t="s">
        <v>18</v>
      </c>
      <c r="E664" s="9" t="s">
        <v>26</v>
      </c>
      <c r="F664" s="9" t="s">
        <v>186</v>
      </c>
      <c r="G664" s="9" t="s">
        <v>150</v>
      </c>
      <c r="H664" s="9" t="s">
        <v>251</v>
      </c>
      <c r="I664" s="9" t="b">
        <f>TRUE()</f>
        <v>1</v>
      </c>
      <c r="J664" s="9" t="s">
        <v>2</v>
      </c>
      <c r="K664" s="9" t="s">
        <v>153</v>
      </c>
      <c r="L664" s="10">
        <v>45882</v>
      </c>
      <c r="M664" s="10">
        <v>45897</v>
      </c>
      <c r="N664" s="10">
        <v>45914</v>
      </c>
      <c r="O664" s="10"/>
      <c r="P664" s="9" t="b">
        <f>TRUE()</f>
        <v>1</v>
      </c>
      <c r="Q664" s="11">
        <v>8147.72</v>
      </c>
    </row>
    <row r="665" spans="1:17" ht="15" customHeight="1" x14ac:dyDescent="0.2">
      <c r="A665" s="9" t="s">
        <v>823</v>
      </c>
      <c r="B665" s="10">
        <v>45924</v>
      </c>
      <c r="C665" s="10">
        <v>45901</v>
      </c>
      <c r="D665" s="9" t="s">
        <v>18</v>
      </c>
      <c r="E665" s="9" t="s">
        <v>25</v>
      </c>
      <c r="F665" s="9" t="s">
        <v>155</v>
      </c>
      <c r="G665" s="9" t="s">
        <v>161</v>
      </c>
      <c r="H665" s="9" t="s">
        <v>251</v>
      </c>
      <c r="I665" s="9" t="b">
        <f>TRUE()</f>
        <v>1</v>
      </c>
      <c r="J665" s="9" t="s">
        <v>152</v>
      </c>
      <c r="K665" s="9" t="s">
        <v>153</v>
      </c>
      <c r="L665" s="10">
        <v>45925</v>
      </c>
      <c r="M665" s="10">
        <v>45937</v>
      </c>
      <c r="N665" s="10"/>
      <c r="O665" s="10">
        <v>45968</v>
      </c>
      <c r="P665" s="9" t="b">
        <f>TRUE()</f>
        <v>1</v>
      </c>
      <c r="Q665" s="11">
        <v>1438.48</v>
      </c>
    </row>
    <row r="666" spans="1:17" ht="15" customHeight="1" x14ac:dyDescent="0.2">
      <c r="A666" s="9" t="s">
        <v>824</v>
      </c>
      <c r="B666" s="10">
        <v>46019</v>
      </c>
      <c r="C666" s="10">
        <v>45992</v>
      </c>
      <c r="D666" s="9" t="s">
        <v>18</v>
      </c>
      <c r="E666" s="9" t="s">
        <v>26</v>
      </c>
      <c r="F666" s="9" t="s">
        <v>160</v>
      </c>
      <c r="G666" s="9" t="s">
        <v>161</v>
      </c>
      <c r="H666" s="9" t="s">
        <v>157</v>
      </c>
      <c r="I666" s="9" t="b">
        <f>TRUE()</f>
        <v>1</v>
      </c>
      <c r="J666" s="9" t="s">
        <v>2</v>
      </c>
      <c r="K666" s="9" t="s">
        <v>153</v>
      </c>
      <c r="L666" s="10">
        <v>46027</v>
      </c>
      <c r="M666" s="10">
        <v>46039</v>
      </c>
      <c r="N666" s="10">
        <v>46042</v>
      </c>
      <c r="O666" s="10"/>
      <c r="P666" s="9" t="b">
        <f>TRUE()</f>
        <v>1</v>
      </c>
      <c r="Q666" s="11">
        <v>1970.71</v>
      </c>
    </row>
    <row r="667" spans="1:17" ht="15" customHeight="1" x14ac:dyDescent="0.2">
      <c r="A667" s="9" t="s">
        <v>825</v>
      </c>
      <c r="B667" s="10">
        <v>45840</v>
      </c>
      <c r="C667" s="10">
        <v>45839</v>
      </c>
      <c r="D667" s="9" t="s">
        <v>20</v>
      </c>
      <c r="E667" s="9" t="s">
        <v>24</v>
      </c>
      <c r="F667" s="9" t="s">
        <v>155</v>
      </c>
      <c r="G667" s="9" t="s">
        <v>150</v>
      </c>
      <c r="H667" s="9" t="s">
        <v>167</v>
      </c>
      <c r="I667" s="9" t="b">
        <f>TRUE()</f>
        <v>1</v>
      </c>
      <c r="J667" s="9" t="s">
        <v>152</v>
      </c>
      <c r="K667" s="9" t="s">
        <v>163</v>
      </c>
      <c r="L667" s="10"/>
      <c r="M667" s="10"/>
      <c r="N667" s="10"/>
      <c r="O667" s="10">
        <v>45851</v>
      </c>
      <c r="P667" s="9" t="b">
        <f>TRUE()</f>
        <v>1</v>
      </c>
      <c r="Q667" s="11">
        <v>6009.35</v>
      </c>
    </row>
    <row r="668" spans="1:17" ht="15" customHeight="1" x14ac:dyDescent="0.2">
      <c r="A668" s="9" t="s">
        <v>826</v>
      </c>
      <c r="B668" s="10">
        <v>46000</v>
      </c>
      <c r="C668" s="10">
        <v>45992</v>
      </c>
      <c r="D668" s="9" t="s">
        <v>20</v>
      </c>
      <c r="E668" s="9" t="s">
        <v>24</v>
      </c>
      <c r="F668" s="9" t="s">
        <v>149</v>
      </c>
      <c r="G668" s="9" t="s">
        <v>156</v>
      </c>
      <c r="H668" s="9" t="s">
        <v>189</v>
      </c>
      <c r="I668" s="9" t="b">
        <f>TRUE()</f>
        <v>1</v>
      </c>
      <c r="J668" s="9" t="s">
        <v>15</v>
      </c>
      <c r="K668" s="9" t="s">
        <v>153</v>
      </c>
      <c r="L668" s="10">
        <v>46002</v>
      </c>
      <c r="M668" s="10"/>
      <c r="N668" s="10"/>
      <c r="O668" s="10"/>
      <c r="P668" s="9" t="b">
        <f>TRUE()</f>
        <v>1</v>
      </c>
      <c r="Q668" s="11">
        <v>871.54</v>
      </c>
    </row>
    <row r="669" spans="1:17" ht="15" customHeight="1" x14ac:dyDescent="0.2">
      <c r="A669" s="9" t="s">
        <v>827</v>
      </c>
      <c r="B669" s="10">
        <v>45832</v>
      </c>
      <c r="C669" s="10">
        <v>45809</v>
      </c>
      <c r="D669" s="9" t="s">
        <v>20</v>
      </c>
      <c r="E669" s="9" t="s">
        <v>25</v>
      </c>
      <c r="F669" s="9" t="s">
        <v>160</v>
      </c>
      <c r="G669" s="9" t="s">
        <v>161</v>
      </c>
      <c r="H669" s="9" t="s">
        <v>192</v>
      </c>
      <c r="I669" s="9" t="b">
        <f>TRUE()</f>
        <v>1</v>
      </c>
      <c r="J669" s="9" t="s">
        <v>152</v>
      </c>
      <c r="K669" s="9" t="s">
        <v>153</v>
      </c>
      <c r="L669" s="10">
        <v>45840</v>
      </c>
      <c r="M669" s="10">
        <v>45846</v>
      </c>
      <c r="N669" s="10"/>
      <c r="O669" s="10">
        <v>45855</v>
      </c>
      <c r="P669" s="9" t="b">
        <f>TRUE()</f>
        <v>1</v>
      </c>
      <c r="Q669" s="11">
        <v>1805.38</v>
      </c>
    </row>
    <row r="670" spans="1:17" ht="15" customHeight="1" x14ac:dyDescent="0.2">
      <c r="A670" s="9" t="s">
        <v>828</v>
      </c>
      <c r="B670" s="10">
        <v>45868</v>
      </c>
      <c r="C670" s="10">
        <v>45839</v>
      </c>
      <c r="D670" s="9" t="s">
        <v>19</v>
      </c>
      <c r="E670" s="9" t="s">
        <v>27</v>
      </c>
      <c r="F670" s="9" t="s">
        <v>160</v>
      </c>
      <c r="G670" s="9" t="s">
        <v>161</v>
      </c>
      <c r="H670" s="9" t="s">
        <v>207</v>
      </c>
      <c r="I670" s="9" t="b">
        <f>TRUE()</f>
        <v>1</v>
      </c>
      <c r="J670" s="9" t="s">
        <v>152</v>
      </c>
      <c r="K670" s="9" t="s">
        <v>153</v>
      </c>
      <c r="L670" s="10">
        <v>45873</v>
      </c>
      <c r="M670" s="10">
        <v>45879</v>
      </c>
      <c r="N670" s="10"/>
      <c r="O670" s="10">
        <v>45887</v>
      </c>
      <c r="P670" s="9" t="b">
        <f>TRUE()</f>
        <v>1</v>
      </c>
      <c r="Q670" s="11">
        <v>1815.27</v>
      </c>
    </row>
    <row r="671" spans="1:17" ht="15" customHeight="1" x14ac:dyDescent="0.2">
      <c r="A671" s="9" t="s">
        <v>829</v>
      </c>
      <c r="B671" s="10">
        <v>45901</v>
      </c>
      <c r="C671" s="10">
        <v>45901</v>
      </c>
      <c r="D671" s="9" t="s">
        <v>21</v>
      </c>
      <c r="E671" s="9" t="s">
        <v>25</v>
      </c>
      <c r="F671" s="9" t="s">
        <v>160</v>
      </c>
      <c r="G671" s="9" t="s">
        <v>161</v>
      </c>
      <c r="H671" s="9" t="s">
        <v>162</v>
      </c>
      <c r="I671" s="9" t="b">
        <f>TRUE()</f>
        <v>1</v>
      </c>
      <c r="J671" s="9" t="s">
        <v>152</v>
      </c>
      <c r="K671" s="9" t="s">
        <v>153</v>
      </c>
      <c r="L671" s="10">
        <v>45906</v>
      </c>
      <c r="M671" s="10"/>
      <c r="N671" s="10"/>
      <c r="O671" s="10">
        <v>45929</v>
      </c>
      <c r="P671" s="9" t="b">
        <f>TRUE()</f>
        <v>1</v>
      </c>
      <c r="Q671" s="11">
        <v>1694.16</v>
      </c>
    </row>
    <row r="672" spans="1:17" ht="15" customHeight="1" x14ac:dyDescent="0.2">
      <c r="A672" s="9" t="s">
        <v>830</v>
      </c>
      <c r="B672" s="10">
        <v>45792</v>
      </c>
      <c r="C672" s="10">
        <v>45778</v>
      </c>
      <c r="D672" s="9" t="s">
        <v>21</v>
      </c>
      <c r="E672" s="9" t="s">
        <v>27</v>
      </c>
      <c r="F672" s="9" t="s">
        <v>155</v>
      </c>
      <c r="G672" s="9" t="s">
        <v>156</v>
      </c>
      <c r="H672" s="9" t="s">
        <v>162</v>
      </c>
      <c r="I672" s="9" t="b">
        <f>TRUE()</f>
        <v>1</v>
      </c>
      <c r="J672" s="9" t="s">
        <v>152</v>
      </c>
      <c r="K672" s="9" t="s">
        <v>163</v>
      </c>
      <c r="L672" s="10"/>
      <c r="M672" s="10"/>
      <c r="N672" s="10"/>
      <c r="O672" s="10">
        <v>45800</v>
      </c>
      <c r="P672" s="9" t="b">
        <f>TRUE()</f>
        <v>1</v>
      </c>
      <c r="Q672" s="11">
        <v>406.37</v>
      </c>
    </row>
    <row r="673" spans="1:17" ht="15" customHeight="1" x14ac:dyDescent="0.2">
      <c r="A673" s="9" t="s">
        <v>831</v>
      </c>
      <c r="B673" s="10">
        <v>45950</v>
      </c>
      <c r="C673" s="10">
        <v>45931</v>
      </c>
      <c r="D673" s="9" t="s">
        <v>22</v>
      </c>
      <c r="E673" s="9" t="s">
        <v>28</v>
      </c>
      <c r="F673" s="9" t="s">
        <v>155</v>
      </c>
      <c r="G673" s="9" t="s">
        <v>161</v>
      </c>
      <c r="H673" s="9" t="s">
        <v>165</v>
      </c>
      <c r="I673" s="9" t="b">
        <f>TRUE()</f>
        <v>1</v>
      </c>
      <c r="J673" s="9" t="s">
        <v>2</v>
      </c>
      <c r="K673" s="9" t="s">
        <v>153</v>
      </c>
      <c r="L673" s="10">
        <v>45953</v>
      </c>
      <c r="M673" s="10">
        <v>45965</v>
      </c>
      <c r="N673" s="10">
        <v>45983</v>
      </c>
      <c r="O673" s="10"/>
      <c r="P673" s="9" t="b">
        <f>TRUE()</f>
        <v>1</v>
      </c>
      <c r="Q673" s="11">
        <v>1999.69</v>
      </c>
    </row>
    <row r="674" spans="1:17" ht="15" customHeight="1" x14ac:dyDescent="0.2">
      <c r="A674" s="9" t="s">
        <v>832</v>
      </c>
      <c r="B674" s="10">
        <v>45988</v>
      </c>
      <c r="C674" s="10">
        <v>45962</v>
      </c>
      <c r="D674" s="9" t="s">
        <v>20</v>
      </c>
      <c r="E674" s="9" t="s">
        <v>25</v>
      </c>
      <c r="F674" s="9" t="s">
        <v>186</v>
      </c>
      <c r="G674" s="9" t="s">
        <v>156</v>
      </c>
      <c r="H674" s="9" t="s">
        <v>189</v>
      </c>
      <c r="I674" s="9" t="b">
        <f>TRUE()</f>
        <v>1</v>
      </c>
      <c r="J674" s="9" t="s">
        <v>2</v>
      </c>
      <c r="K674" s="9" t="s">
        <v>153</v>
      </c>
      <c r="L674" s="10">
        <v>45998</v>
      </c>
      <c r="M674" s="10">
        <v>46003</v>
      </c>
      <c r="N674" s="10">
        <v>46029</v>
      </c>
      <c r="O674" s="10"/>
      <c r="P674" s="9" t="b">
        <f>TRUE()</f>
        <v>1</v>
      </c>
      <c r="Q674" s="11">
        <v>886.41</v>
      </c>
    </row>
    <row r="675" spans="1:17" ht="15" customHeight="1" x14ac:dyDescent="0.2">
      <c r="A675" s="9" t="s">
        <v>833</v>
      </c>
      <c r="B675" s="10">
        <v>45838</v>
      </c>
      <c r="C675" s="10">
        <v>45809</v>
      </c>
      <c r="D675" s="9" t="s">
        <v>18</v>
      </c>
      <c r="E675" s="9" t="s">
        <v>25</v>
      </c>
      <c r="F675" s="9" t="s">
        <v>186</v>
      </c>
      <c r="G675" s="9" t="s">
        <v>156</v>
      </c>
      <c r="H675" s="9" t="s">
        <v>157</v>
      </c>
      <c r="I675" s="9" t="b">
        <f>TRUE()</f>
        <v>1</v>
      </c>
      <c r="J675" s="9" t="s">
        <v>152</v>
      </c>
      <c r="K675" s="9" t="s">
        <v>153</v>
      </c>
      <c r="L675" s="10">
        <v>45839</v>
      </c>
      <c r="M675" s="10">
        <v>45847</v>
      </c>
      <c r="N675" s="10"/>
      <c r="O675" s="10">
        <v>45871</v>
      </c>
      <c r="P675" s="9" t="b">
        <f>TRUE()</f>
        <v>1</v>
      </c>
      <c r="Q675" s="11">
        <v>586.27</v>
      </c>
    </row>
    <row r="676" spans="1:17" ht="15" customHeight="1" x14ac:dyDescent="0.2">
      <c r="A676" s="9" t="s">
        <v>834</v>
      </c>
      <c r="B676" s="10">
        <v>45716</v>
      </c>
      <c r="C676" s="10">
        <v>45689</v>
      </c>
      <c r="D676" s="9" t="s">
        <v>21</v>
      </c>
      <c r="E676" s="9" t="s">
        <v>25</v>
      </c>
      <c r="F676" s="9" t="s">
        <v>160</v>
      </c>
      <c r="G676" s="9" t="s">
        <v>156</v>
      </c>
      <c r="H676" s="9" t="s">
        <v>176</v>
      </c>
      <c r="I676" s="9" t="b">
        <f>TRUE()</f>
        <v>1</v>
      </c>
      <c r="J676" s="9" t="s">
        <v>152</v>
      </c>
      <c r="K676" s="9" t="s">
        <v>163</v>
      </c>
      <c r="L676" s="10"/>
      <c r="M676" s="10"/>
      <c r="N676" s="10"/>
      <c r="O676" s="10">
        <v>45735</v>
      </c>
      <c r="P676" s="9" t="b">
        <f>TRUE()</f>
        <v>1</v>
      </c>
      <c r="Q676" s="11">
        <v>615.48</v>
      </c>
    </row>
    <row r="677" spans="1:17" ht="15" customHeight="1" x14ac:dyDescent="0.2">
      <c r="A677" s="9" t="s">
        <v>835</v>
      </c>
      <c r="B677" s="10">
        <v>45725</v>
      </c>
      <c r="C677" s="10">
        <v>45717</v>
      </c>
      <c r="D677" s="9" t="s">
        <v>21</v>
      </c>
      <c r="E677" s="9" t="s">
        <v>25</v>
      </c>
      <c r="F677" s="9" t="s">
        <v>149</v>
      </c>
      <c r="G677" s="9" t="s">
        <v>156</v>
      </c>
      <c r="H677" s="9" t="s">
        <v>183</v>
      </c>
      <c r="I677" s="9" t="b">
        <f>TRUE()</f>
        <v>1</v>
      </c>
      <c r="J677" s="9" t="s">
        <v>152</v>
      </c>
      <c r="K677" s="9" t="s">
        <v>153</v>
      </c>
      <c r="L677" s="10">
        <v>45734</v>
      </c>
      <c r="M677" s="10"/>
      <c r="N677" s="10"/>
      <c r="O677" s="10">
        <v>45743</v>
      </c>
      <c r="P677" s="9" t="b">
        <f>TRUE()</f>
        <v>1</v>
      </c>
      <c r="Q677" s="11">
        <v>599.74</v>
      </c>
    </row>
    <row r="678" spans="1:17" ht="15" customHeight="1" x14ac:dyDescent="0.2">
      <c r="A678" s="9" t="s">
        <v>836</v>
      </c>
      <c r="B678" s="10">
        <v>45988</v>
      </c>
      <c r="C678" s="10">
        <v>45962</v>
      </c>
      <c r="D678" s="9" t="s">
        <v>18</v>
      </c>
      <c r="E678" s="9" t="s">
        <v>25</v>
      </c>
      <c r="F678" s="9" t="s">
        <v>149</v>
      </c>
      <c r="G678" s="9" t="s">
        <v>156</v>
      </c>
      <c r="H678" s="9" t="s">
        <v>157</v>
      </c>
      <c r="I678" s="9" t="b">
        <f>TRUE()</f>
        <v>1</v>
      </c>
      <c r="J678" s="9" t="s">
        <v>152</v>
      </c>
      <c r="K678" s="9" t="s">
        <v>153</v>
      </c>
      <c r="L678" s="10">
        <v>45992</v>
      </c>
      <c r="M678" s="10">
        <v>45996</v>
      </c>
      <c r="N678" s="10"/>
      <c r="O678" s="10">
        <v>46011</v>
      </c>
      <c r="P678" s="9" t="b">
        <f>TRUE()</f>
        <v>1</v>
      </c>
      <c r="Q678" s="11">
        <v>1085.55</v>
      </c>
    </row>
    <row r="679" spans="1:17" ht="15" customHeight="1" x14ac:dyDescent="0.2">
      <c r="A679" s="9" t="s">
        <v>837</v>
      </c>
      <c r="B679" s="10">
        <v>45860</v>
      </c>
      <c r="C679" s="10">
        <v>45839</v>
      </c>
      <c r="D679" s="9" t="s">
        <v>21</v>
      </c>
      <c r="E679" s="9" t="s">
        <v>24</v>
      </c>
      <c r="F679" s="9" t="s">
        <v>160</v>
      </c>
      <c r="G679" s="9" t="s">
        <v>156</v>
      </c>
      <c r="H679" s="9" t="s">
        <v>176</v>
      </c>
      <c r="I679" s="9" t="b">
        <f>TRUE()</f>
        <v>1</v>
      </c>
      <c r="J679" s="9" t="s">
        <v>152</v>
      </c>
      <c r="K679" s="9" t="s">
        <v>153</v>
      </c>
      <c r="L679" s="10">
        <v>45864</v>
      </c>
      <c r="M679" s="10">
        <v>45865</v>
      </c>
      <c r="N679" s="10"/>
      <c r="O679" s="10">
        <v>45872</v>
      </c>
      <c r="P679" s="9" t="b">
        <f>TRUE()</f>
        <v>1</v>
      </c>
      <c r="Q679" s="11">
        <v>898.07</v>
      </c>
    </row>
    <row r="680" spans="1:17" ht="15" customHeight="1" x14ac:dyDescent="0.2">
      <c r="A680" s="9" t="s">
        <v>838</v>
      </c>
      <c r="B680" s="10">
        <v>45728</v>
      </c>
      <c r="C680" s="10">
        <v>45717</v>
      </c>
      <c r="D680" s="9" t="s">
        <v>19</v>
      </c>
      <c r="E680" s="9" t="s">
        <v>25</v>
      </c>
      <c r="F680" s="9" t="s">
        <v>149</v>
      </c>
      <c r="G680" s="9" t="s">
        <v>161</v>
      </c>
      <c r="H680" s="9" t="s">
        <v>179</v>
      </c>
      <c r="I680" s="9" t="b">
        <f>TRUE()</f>
        <v>1</v>
      </c>
      <c r="J680" s="9" t="s">
        <v>152</v>
      </c>
      <c r="K680" s="9" t="s">
        <v>153</v>
      </c>
      <c r="L680" s="10">
        <v>45731</v>
      </c>
      <c r="M680" s="10">
        <v>45737</v>
      </c>
      <c r="N680" s="10"/>
      <c r="O680" s="10">
        <v>45755</v>
      </c>
      <c r="P680" s="9" t="b">
        <f>TRUE()</f>
        <v>1</v>
      </c>
      <c r="Q680" s="11">
        <v>3490.83</v>
      </c>
    </row>
    <row r="681" spans="1:17" ht="15" customHeight="1" x14ac:dyDescent="0.2">
      <c r="A681" s="9" t="s">
        <v>839</v>
      </c>
      <c r="B681" s="10">
        <v>45728</v>
      </c>
      <c r="C681" s="10">
        <v>45717</v>
      </c>
      <c r="D681" s="9" t="s">
        <v>22</v>
      </c>
      <c r="E681" s="9" t="s">
        <v>25</v>
      </c>
      <c r="F681" s="9" t="s">
        <v>155</v>
      </c>
      <c r="G681" s="9" t="s">
        <v>161</v>
      </c>
      <c r="H681" s="9" t="s">
        <v>151</v>
      </c>
      <c r="I681" s="9" t="b">
        <f>TRUE()</f>
        <v>1</v>
      </c>
      <c r="J681" s="9" t="s">
        <v>2</v>
      </c>
      <c r="K681" s="9" t="s">
        <v>153</v>
      </c>
      <c r="L681" s="10">
        <v>45730</v>
      </c>
      <c r="M681" s="10">
        <v>45744</v>
      </c>
      <c r="N681" s="10">
        <v>45757</v>
      </c>
      <c r="O681" s="10"/>
      <c r="P681" s="9" t="b">
        <f>TRUE()</f>
        <v>1</v>
      </c>
      <c r="Q681" s="11">
        <v>1873.77</v>
      </c>
    </row>
    <row r="682" spans="1:17" ht="15" customHeight="1" x14ac:dyDescent="0.2">
      <c r="A682" s="9" t="s">
        <v>840</v>
      </c>
      <c r="B682" s="10">
        <v>45993</v>
      </c>
      <c r="C682" s="10">
        <v>45992</v>
      </c>
      <c r="D682" s="9" t="s">
        <v>21</v>
      </c>
      <c r="E682" s="9" t="s">
        <v>24</v>
      </c>
      <c r="F682" s="9" t="s">
        <v>186</v>
      </c>
      <c r="G682" s="9" t="s">
        <v>156</v>
      </c>
      <c r="H682" s="9" t="s">
        <v>176</v>
      </c>
      <c r="I682" s="9" t="b">
        <f>TRUE()</f>
        <v>1</v>
      </c>
      <c r="J682" s="9" t="s">
        <v>152</v>
      </c>
      <c r="K682" s="9" t="s">
        <v>163</v>
      </c>
      <c r="L682" s="10"/>
      <c r="M682" s="10"/>
      <c r="N682" s="10"/>
      <c r="O682" s="10">
        <v>46002</v>
      </c>
      <c r="P682" s="9" t="b">
        <f>TRUE()</f>
        <v>1</v>
      </c>
      <c r="Q682" s="11">
        <v>615</v>
      </c>
    </row>
    <row r="683" spans="1:17" ht="15" customHeight="1" x14ac:dyDescent="0.2">
      <c r="A683" s="9" t="s">
        <v>841</v>
      </c>
      <c r="B683" s="10">
        <v>45669</v>
      </c>
      <c r="C683" s="10">
        <v>45658</v>
      </c>
      <c r="D683" s="9" t="s">
        <v>19</v>
      </c>
      <c r="E683" s="9" t="s">
        <v>25</v>
      </c>
      <c r="F683" s="9" t="s">
        <v>186</v>
      </c>
      <c r="G683" s="9" t="s">
        <v>150</v>
      </c>
      <c r="H683" s="9" t="s">
        <v>210</v>
      </c>
      <c r="I683" s="9" t="b">
        <f>TRUE()</f>
        <v>1</v>
      </c>
      <c r="J683" s="9" t="s">
        <v>2</v>
      </c>
      <c r="K683" s="9" t="s">
        <v>153</v>
      </c>
      <c r="L683" s="10">
        <v>45671</v>
      </c>
      <c r="M683" s="10">
        <v>45684</v>
      </c>
      <c r="N683" s="10">
        <v>45699</v>
      </c>
      <c r="O683" s="10"/>
      <c r="P683" s="9" t="b">
        <f>TRUE()</f>
        <v>1</v>
      </c>
      <c r="Q683" s="11">
        <v>5649.33</v>
      </c>
    </row>
    <row r="684" spans="1:17" ht="15" customHeight="1" x14ac:dyDescent="0.2">
      <c r="A684" s="9" t="s">
        <v>842</v>
      </c>
      <c r="B684" s="10">
        <v>45881</v>
      </c>
      <c r="C684" s="10">
        <v>45870</v>
      </c>
      <c r="D684" s="9" t="s">
        <v>18</v>
      </c>
      <c r="E684" s="9" t="s">
        <v>26</v>
      </c>
      <c r="F684" s="9" t="s">
        <v>149</v>
      </c>
      <c r="G684" s="9" t="s">
        <v>150</v>
      </c>
      <c r="H684" s="9" t="s">
        <v>157</v>
      </c>
      <c r="I684" s="9" t="b">
        <f>TRUE()</f>
        <v>1</v>
      </c>
      <c r="J684" s="9" t="s">
        <v>152</v>
      </c>
      <c r="K684" s="9" t="s">
        <v>163</v>
      </c>
      <c r="L684" s="10"/>
      <c r="M684" s="10"/>
      <c r="N684" s="10"/>
      <c r="O684" s="10">
        <v>45891</v>
      </c>
      <c r="P684" s="9" t="b">
        <f>TRUE()</f>
        <v>1</v>
      </c>
      <c r="Q684" s="11">
        <v>9676.94</v>
      </c>
    </row>
    <row r="685" spans="1:17" ht="15" customHeight="1" x14ac:dyDescent="0.2">
      <c r="A685" s="9" t="s">
        <v>843</v>
      </c>
      <c r="B685" s="10">
        <v>45856</v>
      </c>
      <c r="C685" s="10">
        <v>45839</v>
      </c>
      <c r="D685" s="9" t="s">
        <v>22</v>
      </c>
      <c r="E685" s="9" t="s">
        <v>25</v>
      </c>
      <c r="F685" s="9" t="s">
        <v>160</v>
      </c>
      <c r="G685" s="9" t="s">
        <v>156</v>
      </c>
      <c r="H685" s="9" t="s">
        <v>151</v>
      </c>
      <c r="I685" s="9" t="b">
        <f>TRUE()</f>
        <v>1</v>
      </c>
      <c r="J685" s="9" t="s">
        <v>152</v>
      </c>
      <c r="K685" s="9" t="s">
        <v>153</v>
      </c>
      <c r="L685" s="10">
        <v>45863</v>
      </c>
      <c r="M685" s="10"/>
      <c r="N685" s="10"/>
      <c r="O685" s="10">
        <v>45875</v>
      </c>
      <c r="P685" s="9" t="b">
        <f>TRUE()</f>
        <v>1</v>
      </c>
      <c r="Q685" s="11">
        <v>882.77</v>
      </c>
    </row>
    <row r="686" spans="1:17" ht="15" customHeight="1" x14ac:dyDescent="0.2">
      <c r="A686" s="9" t="s">
        <v>844</v>
      </c>
      <c r="B686" s="10">
        <v>45769</v>
      </c>
      <c r="C686" s="10">
        <v>45748</v>
      </c>
      <c r="D686" s="9" t="s">
        <v>22</v>
      </c>
      <c r="E686" s="9" t="s">
        <v>28</v>
      </c>
      <c r="F686" s="9" t="s">
        <v>155</v>
      </c>
      <c r="G686" s="9" t="s">
        <v>156</v>
      </c>
      <c r="H686" s="9" t="s">
        <v>165</v>
      </c>
      <c r="I686" s="9" t="b">
        <f>TRUE()</f>
        <v>1</v>
      </c>
      <c r="J686" s="9" t="s">
        <v>152</v>
      </c>
      <c r="K686" s="9" t="s">
        <v>163</v>
      </c>
      <c r="L686" s="10"/>
      <c r="M686" s="10"/>
      <c r="N686" s="10"/>
      <c r="O686" s="10">
        <v>45788</v>
      </c>
      <c r="P686" s="9" t="b">
        <f>TRUE()</f>
        <v>1</v>
      </c>
      <c r="Q686" s="11">
        <v>586.49</v>
      </c>
    </row>
    <row r="687" spans="1:17" ht="15" customHeight="1" x14ac:dyDescent="0.2">
      <c r="A687" s="9" t="s">
        <v>845</v>
      </c>
      <c r="B687" s="10">
        <v>45814</v>
      </c>
      <c r="C687" s="10">
        <v>45809</v>
      </c>
      <c r="D687" s="9" t="s">
        <v>21</v>
      </c>
      <c r="E687" s="9" t="s">
        <v>28</v>
      </c>
      <c r="F687" s="9" t="s">
        <v>149</v>
      </c>
      <c r="G687" s="9" t="s">
        <v>150</v>
      </c>
      <c r="H687" s="9" t="s">
        <v>176</v>
      </c>
      <c r="I687" s="9" t="b">
        <f>TRUE()</f>
        <v>1</v>
      </c>
      <c r="J687" s="9" t="s">
        <v>152</v>
      </c>
      <c r="K687" s="9" t="s">
        <v>163</v>
      </c>
      <c r="L687" s="10"/>
      <c r="M687" s="10"/>
      <c r="N687" s="10"/>
      <c r="O687" s="10">
        <v>45833</v>
      </c>
      <c r="P687" s="9" t="b">
        <f>TRUE()</f>
        <v>1</v>
      </c>
      <c r="Q687" s="11">
        <v>8675.4599999999991</v>
      </c>
    </row>
    <row r="688" spans="1:17" ht="15" customHeight="1" x14ac:dyDescent="0.2">
      <c r="A688" s="9" t="s">
        <v>846</v>
      </c>
      <c r="B688" s="10">
        <v>45717</v>
      </c>
      <c r="C688" s="10">
        <v>45717</v>
      </c>
      <c r="D688" s="9" t="s">
        <v>22</v>
      </c>
      <c r="E688" s="9" t="s">
        <v>27</v>
      </c>
      <c r="F688" s="9" t="s">
        <v>160</v>
      </c>
      <c r="G688" s="9" t="s">
        <v>156</v>
      </c>
      <c r="H688" s="9" t="s">
        <v>151</v>
      </c>
      <c r="I688" s="9" t="b">
        <f>TRUE()</f>
        <v>1</v>
      </c>
      <c r="J688" s="9" t="s">
        <v>152</v>
      </c>
      <c r="K688" s="9" t="s">
        <v>153</v>
      </c>
      <c r="L688" s="10">
        <v>45727</v>
      </c>
      <c r="M688" s="10"/>
      <c r="N688" s="10"/>
      <c r="O688" s="10">
        <v>45739</v>
      </c>
      <c r="P688" s="9" t="b">
        <f>TRUE()</f>
        <v>1</v>
      </c>
      <c r="Q688" s="11">
        <v>809.07</v>
      </c>
    </row>
    <row r="689" spans="1:17" ht="15" customHeight="1" x14ac:dyDescent="0.2">
      <c r="A689" s="9" t="s">
        <v>847</v>
      </c>
      <c r="B689" s="10">
        <v>45795</v>
      </c>
      <c r="C689" s="10">
        <v>45778</v>
      </c>
      <c r="D689" s="9" t="s">
        <v>22</v>
      </c>
      <c r="E689" s="9" t="s">
        <v>25</v>
      </c>
      <c r="F689" s="9" t="s">
        <v>149</v>
      </c>
      <c r="G689" s="9" t="s">
        <v>156</v>
      </c>
      <c r="H689" s="9" t="s">
        <v>151</v>
      </c>
      <c r="I689" s="9" t="b">
        <f>TRUE()</f>
        <v>1</v>
      </c>
      <c r="J689" s="9" t="s">
        <v>2</v>
      </c>
      <c r="K689" s="9" t="s">
        <v>153</v>
      </c>
      <c r="L689" s="10">
        <v>45800</v>
      </c>
      <c r="M689" s="10">
        <v>45808</v>
      </c>
      <c r="N689" s="10">
        <v>45817</v>
      </c>
      <c r="O689" s="10"/>
      <c r="P689" s="9" t="b">
        <f>TRUE()</f>
        <v>1</v>
      </c>
      <c r="Q689" s="11">
        <v>823.24</v>
      </c>
    </row>
    <row r="690" spans="1:17" ht="15" customHeight="1" x14ac:dyDescent="0.2">
      <c r="A690" s="9" t="s">
        <v>848</v>
      </c>
      <c r="B690" s="10">
        <v>46017</v>
      </c>
      <c r="C690" s="10">
        <v>45992</v>
      </c>
      <c r="D690" s="9" t="s">
        <v>22</v>
      </c>
      <c r="E690" s="9" t="s">
        <v>25</v>
      </c>
      <c r="F690" s="9" t="s">
        <v>160</v>
      </c>
      <c r="G690" s="9" t="s">
        <v>161</v>
      </c>
      <c r="H690" s="9" t="s">
        <v>170</v>
      </c>
      <c r="I690" s="9" t="b">
        <f>TRUE()</f>
        <v>1</v>
      </c>
      <c r="J690" s="9" t="s">
        <v>2</v>
      </c>
      <c r="K690" s="9" t="s">
        <v>153</v>
      </c>
      <c r="L690" s="10">
        <v>46027</v>
      </c>
      <c r="M690" s="10">
        <v>46029</v>
      </c>
      <c r="N690" s="10">
        <v>46051</v>
      </c>
      <c r="O690" s="10"/>
      <c r="P690" s="9" t="b">
        <f>TRUE()</f>
        <v>1</v>
      </c>
      <c r="Q690" s="11">
        <v>2599.6799999999998</v>
      </c>
    </row>
    <row r="691" spans="1:17" ht="15" customHeight="1" x14ac:dyDescent="0.2">
      <c r="A691" s="9" t="s">
        <v>849</v>
      </c>
      <c r="B691" s="10">
        <v>45776</v>
      </c>
      <c r="C691" s="10">
        <v>45748</v>
      </c>
      <c r="D691" s="9" t="s">
        <v>19</v>
      </c>
      <c r="E691" s="9" t="s">
        <v>25</v>
      </c>
      <c r="F691" s="9" t="s">
        <v>186</v>
      </c>
      <c r="G691" s="9" t="s">
        <v>156</v>
      </c>
      <c r="H691" s="9" t="s">
        <v>210</v>
      </c>
      <c r="I691" s="9" t="b">
        <f>TRUE()</f>
        <v>1</v>
      </c>
      <c r="J691" s="9" t="s">
        <v>152</v>
      </c>
      <c r="K691" s="9" t="s">
        <v>153</v>
      </c>
      <c r="L691" s="10">
        <v>45781</v>
      </c>
      <c r="M691" s="10">
        <v>45790</v>
      </c>
      <c r="N691" s="10"/>
      <c r="O691" s="10">
        <v>45818</v>
      </c>
      <c r="P691" s="9" t="b">
        <f>TRUE()</f>
        <v>1</v>
      </c>
      <c r="Q691" s="11">
        <v>789.78</v>
      </c>
    </row>
    <row r="692" spans="1:17" ht="15" customHeight="1" x14ac:dyDescent="0.2">
      <c r="A692" s="9" t="s">
        <v>850</v>
      </c>
      <c r="B692" s="10">
        <v>45693</v>
      </c>
      <c r="C692" s="10">
        <v>45689</v>
      </c>
      <c r="D692" s="9" t="s">
        <v>20</v>
      </c>
      <c r="E692" s="9" t="s">
        <v>24</v>
      </c>
      <c r="F692" s="9" t="s">
        <v>149</v>
      </c>
      <c r="G692" s="9" t="s">
        <v>161</v>
      </c>
      <c r="H692" s="9" t="s">
        <v>189</v>
      </c>
      <c r="I692" s="9" t="b">
        <f>TRUE()</f>
        <v>1</v>
      </c>
      <c r="J692" s="9" t="s">
        <v>152</v>
      </c>
      <c r="K692" s="9" t="s">
        <v>163</v>
      </c>
      <c r="L692" s="10"/>
      <c r="M692" s="10"/>
      <c r="N692" s="10"/>
      <c r="O692" s="10">
        <v>45703</v>
      </c>
      <c r="P692" s="9" t="b">
        <f>TRUE()</f>
        <v>1</v>
      </c>
      <c r="Q692" s="11">
        <v>1862.8</v>
      </c>
    </row>
    <row r="693" spans="1:17" ht="15" customHeight="1" x14ac:dyDescent="0.2">
      <c r="A693" s="9" t="s">
        <v>851</v>
      </c>
      <c r="B693" s="10">
        <v>46014</v>
      </c>
      <c r="C693" s="10">
        <v>45992</v>
      </c>
      <c r="D693" s="9" t="s">
        <v>21</v>
      </c>
      <c r="E693" s="9" t="s">
        <v>26</v>
      </c>
      <c r="F693" s="9" t="s">
        <v>160</v>
      </c>
      <c r="G693" s="9" t="s">
        <v>156</v>
      </c>
      <c r="H693" s="9" t="s">
        <v>183</v>
      </c>
      <c r="I693" s="9" t="b">
        <f>TRUE()</f>
        <v>1</v>
      </c>
      <c r="J693" s="9" t="s">
        <v>158</v>
      </c>
      <c r="K693" s="9" t="s">
        <v>153</v>
      </c>
      <c r="L693" s="10">
        <v>46023</v>
      </c>
      <c r="M693" s="10">
        <v>46037</v>
      </c>
      <c r="N693" s="10"/>
      <c r="O693" s="10"/>
      <c r="P693" s="9" t="b">
        <f>TRUE()</f>
        <v>1</v>
      </c>
      <c r="Q693" s="11">
        <v>816.83</v>
      </c>
    </row>
    <row r="694" spans="1:17" ht="15" customHeight="1" x14ac:dyDescent="0.2">
      <c r="A694" s="9" t="s">
        <v>852</v>
      </c>
      <c r="B694" s="10">
        <v>45992</v>
      </c>
      <c r="C694" s="10">
        <v>45992</v>
      </c>
      <c r="D694" s="9" t="s">
        <v>20</v>
      </c>
      <c r="E694" s="9" t="s">
        <v>25</v>
      </c>
      <c r="F694" s="9" t="s">
        <v>186</v>
      </c>
      <c r="G694" s="9" t="s">
        <v>161</v>
      </c>
      <c r="H694" s="9" t="s">
        <v>189</v>
      </c>
      <c r="I694" s="9" t="b">
        <f>TRUE()</f>
        <v>1</v>
      </c>
      <c r="J694" s="9" t="s">
        <v>152</v>
      </c>
      <c r="K694" s="9" t="s">
        <v>163</v>
      </c>
      <c r="L694" s="10"/>
      <c r="M694" s="10"/>
      <c r="N694" s="10"/>
      <c r="O694" s="10">
        <v>46006</v>
      </c>
      <c r="P694" s="9" t="b">
        <f>TRUE()</f>
        <v>1</v>
      </c>
      <c r="Q694" s="11">
        <v>1880.04</v>
      </c>
    </row>
    <row r="695" spans="1:17" ht="15" customHeight="1" x14ac:dyDescent="0.2">
      <c r="A695" s="9" t="s">
        <v>853</v>
      </c>
      <c r="B695" s="10">
        <v>45997</v>
      </c>
      <c r="C695" s="10">
        <v>45992</v>
      </c>
      <c r="D695" s="9" t="s">
        <v>21</v>
      </c>
      <c r="E695" s="9" t="s">
        <v>24</v>
      </c>
      <c r="F695" s="9" t="s">
        <v>155</v>
      </c>
      <c r="G695" s="9" t="s">
        <v>156</v>
      </c>
      <c r="H695" s="9" t="s">
        <v>162</v>
      </c>
      <c r="I695" s="9" t="b">
        <f>TRUE()</f>
        <v>1</v>
      </c>
      <c r="J695" s="9" t="s">
        <v>158</v>
      </c>
      <c r="K695" s="9" t="s">
        <v>153</v>
      </c>
      <c r="L695" s="10">
        <v>46007</v>
      </c>
      <c r="M695" s="10">
        <v>46014</v>
      </c>
      <c r="N695" s="10"/>
      <c r="O695" s="10"/>
      <c r="P695" s="9" t="b">
        <f>TRUE()</f>
        <v>1</v>
      </c>
      <c r="Q695" s="11">
        <v>533.75</v>
      </c>
    </row>
    <row r="696" spans="1:17" ht="15" customHeight="1" x14ac:dyDescent="0.2">
      <c r="A696" s="9" t="s">
        <v>854</v>
      </c>
      <c r="B696" s="10">
        <v>45889</v>
      </c>
      <c r="C696" s="10">
        <v>45870</v>
      </c>
      <c r="D696" s="9" t="s">
        <v>20</v>
      </c>
      <c r="E696" s="9" t="s">
        <v>26</v>
      </c>
      <c r="F696" s="9" t="s">
        <v>149</v>
      </c>
      <c r="G696" s="9" t="s">
        <v>150</v>
      </c>
      <c r="H696" s="9" t="s">
        <v>167</v>
      </c>
      <c r="I696" s="9" t="b">
        <f>TRUE()</f>
        <v>1</v>
      </c>
      <c r="J696" s="9" t="s">
        <v>152</v>
      </c>
      <c r="K696" s="9" t="s">
        <v>163</v>
      </c>
      <c r="L696" s="10"/>
      <c r="M696" s="10"/>
      <c r="N696" s="10"/>
      <c r="O696" s="10">
        <v>45896</v>
      </c>
      <c r="P696" s="9" t="b">
        <f>TRUE()</f>
        <v>1</v>
      </c>
      <c r="Q696" s="11">
        <v>8748.7999999999993</v>
      </c>
    </row>
    <row r="697" spans="1:17" ht="15" customHeight="1" x14ac:dyDescent="0.2">
      <c r="A697" s="9" t="s">
        <v>855</v>
      </c>
      <c r="B697" s="10">
        <v>45820</v>
      </c>
      <c r="C697" s="10">
        <v>45809</v>
      </c>
      <c r="D697" s="9" t="s">
        <v>20</v>
      </c>
      <c r="E697" s="9" t="s">
        <v>26</v>
      </c>
      <c r="F697" s="9" t="s">
        <v>149</v>
      </c>
      <c r="G697" s="9" t="s">
        <v>156</v>
      </c>
      <c r="H697" s="9" t="s">
        <v>167</v>
      </c>
      <c r="I697" s="9" t="b">
        <f>TRUE()</f>
        <v>1</v>
      </c>
      <c r="J697" s="9" t="s">
        <v>152</v>
      </c>
      <c r="K697" s="9" t="s">
        <v>153</v>
      </c>
      <c r="L697" s="10">
        <v>45823</v>
      </c>
      <c r="M697" s="10">
        <v>45831</v>
      </c>
      <c r="N697" s="10"/>
      <c r="O697" s="10">
        <v>45859</v>
      </c>
      <c r="P697" s="9" t="b">
        <f>TRUE()</f>
        <v>1</v>
      </c>
      <c r="Q697" s="11">
        <v>830.47</v>
      </c>
    </row>
    <row r="698" spans="1:17" ht="15" customHeight="1" x14ac:dyDescent="0.2">
      <c r="A698" s="9" t="s">
        <v>856</v>
      </c>
      <c r="B698" s="10">
        <v>45828</v>
      </c>
      <c r="C698" s="10">
        <v>45809</v>
      </c>
      <c r="D698" s="9" t="s">
        <v>19</v>
      </c>
      <c r="E698" s="9" t="s">
        <v>24</v>
      </c>
      <c r="F698" s="9" t="s">
        <v>149</v>
      </c>
      <c r="G698" s="9" t="s">
        <v>161</v>
      </c>
      <c r="H698" s="9" t="s">
        <v>179</v>
      </c>
      <c r="I698" s="9" t="b">
        <f>TRUE()</f>
        <v>1</v>
      </c>
      <c r="J698" s="9" t="s">
        <v>152</v>
      </c>
      <c r="K698" s="9" t="s">
        <v>163</v>
      </c>
      <c r="L698" s="10"/>
      <c r="M698" s="10"/>
      <c r="N698" s="10"/>
      <c r="O698" s="10">
        <v>45832</v>
      </c>
      <c r="P698" s="9" t="b">
        <f>TRUE()</f>
        <v>1</v>
      </c>
      <c r="Q698" s="11">
        <v>2643.11</v>
      </c>
    </row>
    <row r="699" spans="1:17" ht="15" customHeight="1" x14ac:dyDescent="0.2">
      <c r="A699" s="9" t="s">
        <v>857</v>
      </c>
      <c r="B699" s="10">
        <v>45964</v>
      </c>
      <c r="C699" s="10">
        <v>45962</v>
      </c>
      <c r="D699" s="9" t="s">
        <v>22</v>
      </c>
      <c r="E699" s="9" t="s">
        <v>24</v>
      </c>
      <c r="F699" s="9" t="s">
        <v>160</v>
      </c>
      <c r="G699" s="9" t="s">
        <v>161</v>
      </c>
      <c r="H699" s="9" t="s">
        <v>170</v>
      </c>
      <c r="I699" s="9" t="b">
        <f>TRUE()</f>
        <v>1</v>
      </c>
      <c r="J699" s="9" t="s">
        <v>152</v>
      </c>
      <c r="K699" s="9" t="s">
        <v>153</v>
      </c>
      <c r="L699" s="10">
        <v>45967</v>
      </c>
      <c r="M699" s="10">
        <v>45973</v>
      </c>
      <c r="N699" s="10"/>
      <c r="O699" s="10">
        <v>45983</v>
      </c>
      <c r="P699" s="9" t="b">
        <f>TRUE()</f>
        <v>1</v>
      </c>
      <c r="Q699" s="11">
        <v>2003.2</v>
      </c>
    </row>
    <row r="700" spans="1:17" ht="15" customHeight="1" x14ac:dyDescent="0.2">
      <c r="A700" s="9" t="s">
        <v>858</v>
      </c>
      <c r="B700" s="10">
        <v>45831</v>
      </c>
      <c r="C700" s="10">
        <v>45809</v>
      </c>
      <c r="D700" s="9" t="s">
        <v>20</v>
      </c>
      <c r="E700" s="9" t="s">
        <v>24</v>
      </c>
      <c r="F700" s="9" t="s">
        <v>186</v>
      </c>
      <c r="G700" s="9" t="s">
        <v>161</v>
      </c>
      <c r="H700" s="9" t="s">
        <v>192</v>
      </c>
      <c r="I700" s="9" t="b">
        <f>TRUE()</f>
        <v>1</v>
      </c>
      <c r="J700" s="9" t="s">
        <v>152</v>
      </c>
      <c r="K700" s="9" t="s">
        <v>153</v>
      </c>
      <c r="L700" s="10">
        <v>45836</v>
      </c>
      <c r="M700" s="10">
        <v>45847</v>
      </c>
      <c r="N700" s="10"/>
      <c r="O700" s="10">
        <v>45856</v>
      </c>
      <c r="P700" s="9" t="b">
        <f>TRUE()</f>
        <v>1</v>
      </c>
      <c r="Q700" s="11">
        <v>1830.98</v>
      </c>
    </row>
    <row r="701" spans="1:17" ht="15" customHeight="1" x14ac:dyDescent="0.2">
      <c r="A701" s="9" t="s">
        <v>859</v>
      </c>
      <c r="B701" s="10">
        <v>45788</v>
      </c>
      <c r="C701" s="10">
        <v>45778</v>
      </c>
      <c r="D701" s="9" t="s">
        <v>20</v>
      </c>
      <c r="E701" s="9" t="s">
        <v>25</v>
      </c>
      <c r="F701" s="9" t="s">
        <v>149</v>
      </c>
      <c r="G701" s="9" t="s">
        <v>161</v>
      </c>
      <c r="H701" s="9" t="s">
        <v>189</v>
      </c>
      <c r="I701" s="9" t="b">
        <f>TRUE()</f>
        <v>1</v>
      </c>
      <c r="J701" s="9" t="s">
        <v>152</v>
      </c>
      <c r="K701" s="9" t="s">
        <v>153</v>
      </c>
      <c r="L701" s="10">
        <v>45789</v>
      </c>
      <c r="M701" s="10">
        <v>45792</v>
      </c>
      <c r="N701" s="10"/>
      <c r="O701" s="10">
        <v>45805</v>
      </c>
      <c r="P701" s="9" t="b">
        <f>TRUE()</f>
        <v>1</v>
      </c>
      <c r="Q701" s="11">
        <v>3256.84</v>
      </c>
    </row>
    <row r="702" spans="1:17" ht="15" customHeight="1" x14ac:dyDescent="0.2">
      <c r="A702" s="9" t="s">
        <v>860</v>
      </c>
      <c r="B702" s="10">
        <v>45893</v>
      </c>
      <c r="C702" s="10">
        <v>45870</v>
      </c>
      <c r="D702" s="9" t="s">
        <v>19</v>
      </c>
      <c r="E702" s="9" t="s">
        <v>28</v>
      </c>
      <c r="F702" s="9" t="s">
        <v>160</v>
      </c>
      <c r="G702" s="9" t="s">
        <v>161</v>
      </c>
      <c r="H702" s="9" t="s">
        <v>210</v>
      </c>
      <c r="I702" s="9" t="b">
        <f>TRUE()</f>
        <v>1</v>
      </c>
      <c r="J702" s="9" t="s">
        <v>152</v>
      </c>
      <c r="K702" s="9" t="s">
        <v>153</v>
      </c>
      <c r="L702" s="10">
        <v>45895</v>
      </c>
      <c r="M702" s="10"/>
      <c r="N702" s="10"/>
      <c r="O702" s="10">
        <v>45920</v>
      </c>
      <c r="P702" s="9" t="b">
        <f>TRUE()</f>
        <v>1</v>
      </c>
      <c r="Q702" s="11">
        <v>2470.77</v>
      </c>
    </row>
    <row r="703" spans="1:17" ht="15" customHeight="1" x14ac:dyDescent="0.2">
      <c r="A703" s="9" t="s">
        <v>861</v>
      </c>
      <c r="B703" s="10">
        <v>45693</v>
      </c>
      <c r="C703" s="10">
        <v>45689</v>
      </c>
      <c r="D703" s="9" t="s">
        <v>19</v>
      </c>
      <c r="E703" s="9" t="s">
        <v>26</v>
      </c>
      <c r="F703" s="9" t="s">
        <v>149</v>
      </c>
      <c r="G703" s="9" t="s">
        <v>150</v>
      </c>
      <c r="H703" s="9" t="s">
        <v>207</v>
      </c>
      <c r="I703" s="9" t="b">
        <f>TRUE()</f>
        <v>1</v>
      </c>
      <c r="J703" s="9" t="s">
        <v>152</v>
      </c>
      <c r="K703" s="9" t="s">
        <v>153</v>
      </c>
      <c r="L703" s="10">
        <v>45698</v>
      </c>
      <c r="M703" s="10">
        <v>45711</v>
      </c>
      <c r="N703" s="10"/>
      <c r="O703" s="10">
        <v>45739</v>
      </c>
      <c r="P703" s="9" t="b">
        <f>TRUE()</f>
        <v>1</v>
      </c>
      <c r="Q703" s="11">
        <v>11126.21</v>
      </c>
    </row>
    <row r="704" spans="1:17" ht="15" customHeight="1" x14ac:dyDescent="0.2">
      <c r="A704" s="9" t="s">
        <v>862</v>
      </c>
      <c r="B704" s="10">
        <v>45940</v>
      </c>
      <c r="C704" s="10">
        <v>45931</v>
      </c>
      <c r="D704" s="9" t="s">
        <v>20</v>
      </c>
      <c r="E704" s="9" t="s">
        <v>24</v>
      </c>
      <c r="F704" s="9" t="s">
        <v>160</v>
      </c>
      <c r="G704" s="9" t="s">
        <v>156</v>
      </c>
      <c r="H704" s="9" t="s">
        <v>167</v>
      </c>
      <c r="I704" s="9" t="b">
        <f>TRUE()</f>
        <v>1</v>
      </c>
      <c r="J704" s="9" t="s">
        <v>152</v>
      </c>
      <c r="K704" s="9" t="s">
        <v>163</v>
      </c>
      <c r="L704" s="10"/>
      <c r="M704" s="10"/>
      <c r="N704" s="10"/>
      <c r="O704" s="10">
        <v>45944</v>
      </c>
      <c r="P704" s="9" t="b">
        <f>TRUE()</f>
        <v>1</v>
      </c>
      <c r="Q704" s="11">
        <v>1009.37</v>
      </c>
    </row>
    <row r="705" spans="1:17" ht="15" customHeight="1" x14ac:dyDescent="0.2">
      <c r="A705" s="9" t="s">
        <v>863</v>
      </c>
      <c r="B705" s="10">
        <v>45885</v>
      </c>
      <c r="C705" s="10">
        <v>45870</v>
      </c>
      <c r="D705" s="9" t="s">
        <v>22</v>
      </c>
      <c r="E705" s="9" t="s">
        <v>26</v>
      </c>
      <c r="F705" s="9" t="s">
        <v>186</v>
      </c>
      <c r="G705" s="9" t="s">
        <v>156</v>
      </c>
      <c r="H705" s="9" t="s">
        <v>151</v>
      </c>
      <c r="I705" s="9" t="b">
        <f>TRUE()</f>
        <v>1</v>
      </c>
      <c r="J705" s="9" t="s">
        <v>152</v>
      </c>
      <c r="K705" s="9" t="s">
        <v>153</v>
      </c>
      <c r="L705" s="10">
        <v>45891</v>
      </c>
      <c r="M705" s="10">
        <v>45902</v>
      </c>
      <c r="N705" s="10"/>
      <c r="O705" s="10">
        <v>45914</v>
      </c>
      <c r="P705" s="9" t="b">
        <f>TRUE()</f>
        <v>1</v>
      </c>
      <c r="Q705" s="11">
        <v>533.51</v>
      </c>
    </row>
    <row r="706" spans="1:17" ht="15" customHeight="1" x14ac:dyDescent="0.2">
      <c r="A706" s="9" t="s">
        <v>71</v>
      </c>
      <c r="B706" s="10">
        <v>45996</v>
      </c>
      <c r="C706" s="10">
        <v>45992</v>
      </c>
      <c r="D706" s="9" t="s">
        <v>19</v>
      </c>
      <c r="E706" s="9" t="s">
        <v>28</v>
      </c>
      <c r="F706" s="9" t="s">
        <v>155</v>
      </c>
      <c r="G706" s="9" t="s">
        <v>161</v>
      </c>
      <c r="H706" s="9" t="s">
        <v>179</v>
      </c>
      <c r="I706" s="9" t="b">
        <f>TRUE()</f>
        <v>1</v>
      </c>
      <c r="J706" s="9" t="s">
        <v>15</v>
      </c>
      <c r="K706" s="9" t="s">
        <v>153</v>
      </c>
      <c r="L706" s="10">
        <v>46004</v>
      </c>
      <c r="M706" s="10"/>
      <c r="N706" s="10"/>
      <c r="O706" s="10"/>
      <c r="P706" s="9" t="b">
        <f>TRUE()</f>
        <v>1</v>
      </c>
      <c r="Q706" s="11">
        <v>1362.72</v>
      </c>
    </row>
    <row r="707" spans="1:17" ht="15" customHeight="1" x14ac:dyDescent="0.2">
      <c r="A707" s="9" t="s">
        <v>864</v>
      </c>
      <c r="B707" s="10">
        <v>45996</v>
      </c>
      <c r="C707" s="10">
        <v>45992</v>
      </c>
      <c r="D707" s="9" t="s">
        <v>20</v>
      </c>
      <c r="E707" s="9" t="s">
        <v>26</v>
      </c>
      <c r="F707" s="9" t="s">
        <v>149</v>
      </c>
      <c r="G707" s="9" t="s">
        <v>150</v>
      </c>
      <c r="H707" s="9" t="s">
        <v>167</v>
      </c>
      <c r="I707" s="9" t="b">
        <f>TRUE()</f>
        <v>1</v>
      </c>
      <c r="J707" s="9" t="s">
        <v>158</v>
      </c>
      <c r="K707" s="9" t="s">
        <v>153</v>
      </c>
      <c r="L707" s="10">
        <v>46004</v>
      </c>
      <c r="M707" s="10">
        <v>46015</v>
      </c>
      <c r="N707" s="10"/>
      <c r="O707" s="10"/>
      <c r="P707" s="9" t="b">
        <f>TRUE()</f>
        <v>1</v>
      </c>
      <c r="Q707" s="11">
        <v>7659.07</v>
      </c>
    </row>
    <row r="708" spans="1:17" ht="15" customHeight="1" x14ac:dyDescent="0.2">
      <c r="A708" s="9" t="s">
        <v>865</v>
      </c>
      <c r="B708" s="10">
        <v>45966</v>
      </c>
      <c r="C708" s="10">
        <v>45962</v>
      </c>
      <c r="D708" s="9" t="s">
        <v>21</v>
      </c>
      <c r="E708" s="9" t="s">
        <v>25</v>
      </c>
      <c r="F708" s="9" t="s">
        <v>186</v>
      </c>
      <c r="G708" s="9" t="s">
        <v>161</v>
      </c>
      <c r="H708" s="9" t="s">
        <v>162</v>
      </c>
      <c r="I708" s="9" t="b">
        <f>TRUE()</f>
        <v>1</v>
      </c>
      <c r="J708" s="9" t="s">
        <v>152</v>
      </c>
      <c r="K708" s="9" t="s">
        <v>153</v>
      </c>
      <c r="L708" s="10">
        <v>45972</v>
      </c>
      <c r="M708" s="10"/>
      <c r="N708" s="10"/>
      <c r="O708" s="10">
        <v>45988</v>
      </c>
      <c r="P708" s="9" t="b">
        <f>TRUE()</f>
        <v>1</v>
      </c>
      <c r="Q708" s="11">
        <v>1934.6</v>
      </c>
    </row>
    <row r="709" spans="1:17" ht="15" customHeight="1" x14ac:dyDescent="0.2">
      <c r="A709" s="9" t="s">
        <v>866</v>
      </c>
      <c r="B709" s="10">
        <v>45828</v>
      </c>
      <c r="C709" s="10">
        <v>45809</v>
      </c>
      <c r="D709" s="9" t="s">
        <v>22</v>
      </c>
      <c r="E709" s="9" t="s">
        <v>28</v>
      </c>
      <c r="F709" s="9" t="s">
        <v>149</v>
      </c>
      <c r="G709" s="9" t="s">
        <v>156</v>
      </c>
      <c r="H709" s="9" t="s">
        <v>165</v>
      </c>
      <c r="I709" s="9" t="b">
        <f>TRUE()</f>
        <v>1</v>
      </c>
      <c r="J709" s="9" t="s">
        <v>152</v>
      </c>
      <c r="K709" s="9" t="s">
        <v>153</v>
      </c>
      <c r="L709" s="10">
        <v>45834</v>
      </c>
      <c r="M709" s="10"/>
      <c r="N709" s="10"/>
      <c r="O709" s="10">
        <v>45851</v>
      </c>
      <c r="P709" s="9" t="b">
        <f>TRUE()</f>
        <v>1</v>
      </c>
      <c r="Q709" s="11">
        <v>824.48</v>
      </c>
    </row>
    <row r="710" spans="1:17" ht="15" customHeight="1" x14ac:dyDescent="0.2">
      <c r="A710" s="9" t="s">
        <v>867</v>
      </c>
      <c r="B710" s="10">
        <v>46019</v>
      </c>
      <c r="C710" s="10">
        <v>45992</v>
      </c>
      <c r="D710" s="9" t="s">
        <v>20</v>
      </c>
      <c r="E710" s="9" t="s">
        <v>26</v>
      </c>
      <c r="F710" s="9" t="s">
        <v>186</v>
      </c>
      <c r="G710" s="9" t="s">
        <v>156</v>
      </c>
      <c r="H710" s="9" t="s">
        <v>192</v>
      </c>
      <c r="I710" s="9" t="b">
        <f>TRUE()</f>
        <v>1</v>
      </c>
      <c r="J710" s="9" t="s">
        <v>158</v>
      </c>
      <c r="K710" s="9" t="s">
        <v>153</v>
      </c>
      <c r="L710" s="10">
        <v>46026</v>
      </c>
      <c r="M710" s="10">
        <v>46040</v>
      </c>
      <c r="N710" s="10"/>
      <c r="O710" s="10"/>
      <c r="P710" s="9" t="b">
        <f>TRUE()</f>
        <v>1</v>
      </c>
      <c r="Q710" s="11">
        <v>725.8</v>
      </c>
    </row>
    <row r="711" spans="1:17" ht="15" customHeight="1" x14ac:dyDescent="0.2">
      <c r="A711" s="9" t="s">
        <v>868</v>
      </c>
      <c r="B711" s="10">
        <v>45899</v>
      </c>
      <c r="C711" s="10">
        <v>45870</v>
      </c>
      <c r="D711" s="9" t="s">
        <v>22</v>
      </c>
      <c r="E711" s="9" t="s">
        <v>25</v>
      </c>
      <c r="F711" s="9" t="s">
        <v>149</v>
      </c>
      <c r="G711" s="9" t="s">
        <v>156</v>
      </c>
      <c r="H711" s="9" t="s">
        <v>151</v>
      </c>
      <c r="I711" s="9" t="b">
        <f>TRUE()</f>
        <v>1</v>
      </c>
      <c r="J711" s="9" t="s">
        <v>152</v>
      </c>
      <c r="K711" s="9" t="s">
        <v>153</v>
      </c>
      <c r="L711" s="10">
        <v>45903</v>
      </c>
      <c r="M711" s="10"/>
      <c r="N711" s="10"/>
      <c r="O711" s="10">
        <v>45908</v>
      </c>
      <c r="P711" s="9" t="b">
        <f>TRUE()</f>
        <v>1</v>
      </c>
      <c r="Q711" s="11">
        <v>849.12</v>
      </c>
    </row>
    <row r="712" spans="1:17" ht="15" customHeight="1" x14ac:dyDescent="0.2">
      <c r="A712" s="9" t="s">
        <v>869</v>
      </c>
      <c r="B712" s="10">
        <v>45765</v>
      </c>
      <c r="C712" s="10">
        <v>45748</v>
      </c>
      <c r="D712" s="9" t="s">
        <v>20</v>
      </c>
      <c r="E712" s="9" t="s">
        <v>25</v>
      </c>
      <c r="F712" s="9" t="s">
        <v>149</v>
      </c>
      <c r="G712" s="9" t="s">
        <v>161</v>
      </c>
      <c r="H712" s="9" t="s">
        <v>192</v>
      </c>
      <c r="I712" s="9" t="b">
        <f>TRUE()</f>
        <v>1</v>
      </c>
      <c r="J712" s="9" t="s">
        <v>152</v>
      </c>
      <c r="K712" s="9" t="s">
        <v>153</v>
      </c>
      <c r="L712" s="10">
        <v>45771</v>
      </c>
      <c r="M712" s="10"/>
      <c r="N712" s="10"/>
      <c r="O712" s="10">
        <v>45779</v>
      </c>
      <c r="P712" s="9" t="b">
        <f>TRUE()</f>
        <v>1</v>
      </c>
      <c r="Q712" s="11">
        <v>3340.2</v>
      </c>
    </row>
    <row r="713" spans="1:17" ht="15" customHeight="1" x14ac:dyDescent="0.2">
      <c r="A713" s="9" t="s">
        <v>870</v>
      </c>
      <c r="B713" s="10">
        <v>45963</v>
      </c>
      <c r="C713" s="10">
        <v>45962</v>
      </c>
      <c r="D713" s="9" t="s">
        <v>21</v>
      </c>
      <c r="E713" s="9" t="s">
        <v>28</v>
      </c>
      <c r="F713" s="9" t="s">
        <v>149</v>
      </c>
      <c r="G713" s="9" t="s">
        <v>156</v>
      </c>
      <c r="H713" s="9" t="s">
        <v>162</v>
      </c>
      <c r="I713" s="9" t="b">
        <f>TRUE()</f>
        <v>1</v>
      </c>
      <c r="J713" s="9" t="s">
        <v>2</v>
      </c>
      <c r="K713" s="9" t="s">
        <v>153</v>
      </c>
      <c r="L713" s="10">
        <v>45968</v>
      </c>
      <c r="M713" s="10">
        <v>45975</v>
      </c>
      <c r="N713" s="10">
        <v>46005</v>
      </c>
      <c r="O713" s="10"/>
      <c r="P713" s="9" t="b">
        <f>TRUE()</f>
        <v>1</v>
      </c>
      <c r="Q713" s="11">
        <v>638.5</v>
      </c>
    </row>
    <row r="714" spans="1:17" ht="15" customHeight="1" x14ac:dyDescent="0.2">
      <c r="A714" s="9" t="s">
        <v>871</v>
      </c>
      <c r="B714" s="10">
        <v>45893</v>
      </c>
      <c r="C714" s="10">
        <v>45870</v>
      </c>
      <c r="D714" s="9" t="s">
        <v>22</v>
      </c>
      <c r="E714" s="9" t="s">
        <v>24</v>
      </c>
      <c r="F714" s="9" t="s">
        <v>160</v>
      </c>
      <c r="G714" s="9" t="s">
        <v>156</v>
      </c>
      <c r="H714" s="9" t="s">
        <v>151</v>
      </c>
      <c r="I714" s="9" t="b">
        <f>TRUE()</f>
        <v>1</v>
      </c>
      <c r="J714" s="9" t="s">
        <v>152</v>
      </c>
      <c r="K714" s="9" t="s">
        <v>153</v>
      </c>
      <c r="L714" s="10">
        <v>45899</v>
      </c>
      <c r="M714" s="10">
        <v>45908</v>
      </c>
      <c r="N714" s="10"/>
      <c r="O714" s="10">
        <v>45936</v>
      </c>
      <c r="P714" s="9" t="b">
        <f>TRUE()</f>
        <v>1</v>
      </c>
      <c r="Q714" s="11">
        <v>939.6</v>
      </c>
    </row>
    <row r="715" spans="1:17" ht="15" customHeight="1" x14ac:dyDescent="0.2">
      <c r="A715" s="9" t="s">
        <v>872</v>
      </c>
      <c r="B715" s="10">
        <v>45945</v>
      </c>
      <c r="C715" s="10">
        <v>45931</v>
      </c>
      <c r="D715" s="9" t="s">
        <v>21</v>
      </c>
      <c r="E715" s="9" t="s">
        <v>24</v>
      </c>
      <c r="F715" s="9" t="s">
        <v>155</v>
      </c>
      <c r="G715" s="9" t="s">
        <v>156</v>
      </c>
      <c r="H715" s="9" t="s">
        <v>162</v>
      </c>
      <c r="I715" s="9" t="b">
        <f>TRUE()</f>
        <v>1</v>
      </c>
      <c r="J715" s="9" t="s">
        <v>152</v>
      </c>
      <c r="K715" s="9" t="s">
        <v>163</v>
      </c>
      <c r="L715" s="10"/>
      <c r="M715" s="10"/>
      <c r="N715" s="10"/>
      <c r="O715" s="10">
        <v>45957</v>
      </c>
      <c r="P715" s="9" t="b">
        <f>TRUE()</f>
        <v>1</v>
      </c>
      <c r="Q715" s="11">
        <v>541.11</v>
      </c>
    </row>
    <row r="716" spans="1:17" ht="15" customHeight="1" x14ac:dyDescent="0.2">
      <c r="A716" s="9" t="s">
        <v>873</v>
      </c>
      <c r="B716" s="10">
        <v>45915</v>
      </c>
      <c r="C716" s="10">
        <v>45901</v>
      </c>
      <c r="D716" s="9" t="s">
        <v>20</v>
      </c>
      <c r="E716" s="9" t="s">
        <v>26</v>
      </c>
      <c r="F716" s="9" t="s">
        <v>149</v>
      </c>
      <c r="G716" s="9" t="s">
        <v>156</v>
      </c>
      <c r="H716" s="9" t="s">
        <v>192</v>
      </c>
      <c r="I716" s="9" t="b">
        <f>TRUE()</f>
        <v>1</v>
      </c>
      <c r="J716" s="9" t="s">
        <v>152</v>
      </c>
      <c r="K716" s="9" t="s">
        <v>153</v>
      </c>
      <c r="L716" s="10">
        <v>45923</v>
      </c>
      <c r="M716" s="10"/>
      <c r="N716" s="10"/>
      <c r="O716" s="10">
        <v>45933</v>
      </c>
      <c r="P716" s="9" t="b">
        <f>TRUE()</f>
        <v>1</v>
      </c>
      <c r="Q716" s="11">
        <v>903.56</v>
      </c>
    </row>
    <row r="717" spans="1:17" ht="15" customHeight="1" x14ac:dyDescent="0.2">
      <c r="A717" s="9" t="s">
        <v>874</v>
      </c>
      <c r="B717" s="10">
        <v>45903</v>
      </c>
      <c r="C717" s="10">
        <v>45901</v>
      </c>
      <c r="D717" s="9" t="s">
        <v>20</v>
      </c>
      <c r="E717" s="9" t="s">
        <v>24</v>
      </c>
      <c r="F717" s="9" t="s">
        <v>186</v>
      </c>
      <c r="G717" s="9" t="s">
        <v>161</v>
      </c>
      <c r="H717" s="9" t="s">
        <v>189</v>
      </c>
      <c r="I717" s="9" t="b">
        <f>TRUE()</f>
        <v>1</v>
      </c>
      <c r="J717" s="9" t="s">
        <v>152</v>
      </c>
      <c r="K717" s="9" t="s">
        <v>163</v>
      </c>
      <c r="L717" s="10"/>
      <c r="M717" s="10"/>
      <c r="N717" s="10"/>
      <c r="O717" s="10">
        <v>45917</v>
      </c>
      <c r="P717" s="9" t="b">
        <f>TRUE()</f>
        <v>1</v>
      </c>
      <c r="Q717" s="11">
        <v>2534.42</v>
      </c>
    </row>
    <row r="718" spans="1:17" ht="15" customHeight="1" x14ac:dyDescent="0.2">
      <c r="A718" s="9" t="s">
        <v>875</v>
      </c>
      <c r="B718" s="10">
        <v>45873</v>
      </c>
      <c r="C718" s="10">
        <v>45870</v>
      </c>
      <c r="D718" s="9" t="s">
        <v>19</v>
      </c>
      <c r="E718" s="9" t="s">
        <v>25</v>
      </c>
      <c r="F718" s="9" t="s">
        <v>155</v>
      </c>
      <c r="G718" s="9" t="s">
        <v>156</v>
      </c>
      <c r="H718" s="9" t="s">
        <v>207</v>
      </c>
      <c r="I718" s="9" t="b">
        <f>TRUE()</f>
        <v>1</v>
      </c>
      <c r="J718" s="9" t="s">
        <v>2</v>
      </c>
      <c r="K718" s="9" t="s">
        <v>153</v>
      </c>
      <c r="L718" s="10">
        <v>45879</v>
      </c>
      <c r="M718" s="10">
        <v>45887</v>
      </c>
      <c r="N718" s="10">
        <v>45903</v>
      </c>
      <c r="O718" s="10"/>
      <c r="P718" s="9" t="b">
        <f>TRUE()</f>
        <v>1</v>
      </c>
      <c r="Q718" s="11">
        <v>598.77</v>
      </c>
    </row>
    <row r="719" spans="1:17" ht="15" customHeight="1" x14ac:dyDescent="0.2">
      <c r="A719" s="9" t="s">
        <v>876</v>
      </c>
      <c r="B719" s="10">
        <v>45875</v>
      </c>
      <c r="C719" s="10">
        <v>45870</v>
      </c>
      <c r="D719" s="9" t="s">
        <v>18</v>
      </c>
      <c r="E719" s="9" t="s">
        <v>25</v>
      </c>
      <c r="F719" s="9" t="s">
        <v>186</v>
      </c>
      <c r="G719" s="9" t="s">
        <v>161</v>
      </c>
      <c r="H719" s="9" t="s">
        <v>157</v>
      </c>
      <c r="I719" s="9" t="b">
        <f>TRUE()</f>
        <v>1</v>
      </c>
      <c r="J719" s="9" t="s">
        <v>2</v>
      </c>
      <c r="K719" s="9" t="s">
        <v>153</v>
      </c>
      <c r="L719" s="10">
        <v>45885</v>
      </c>
      <c r="M719" s="10">
        <v>45891</v>
      </c>
      <c r="N719" s="10">
        <v>45915</v>
      </c>
      <c r="O719" s="10"/>
      <c r="P719" s="9" t="b">
        <f>TRUE()</f>
        <v>1</v>
      </c>
      <c r="Q719" s="11">
        <v>1511.29</v>
      </c>
    </row>
    <row r="720" spans="1:17" ht="15" customHeight="1" x14ac:dyDescent="0.2">
      <c r="A720" s="9" t="s">
        <v>877</v>
      </c>
      <c r="B720" s="10">
        <v>45910</v>
      </c>
      <c r="C720" s="10">
        <v>45901</v>
      </c>
      <c r="D720" s="9" t="s">
        <v>20</v>
      </c>
      <c r="E720" s="9" t="s">
        <v>25</v>
      </c>
      <c r="F720" s="9" t="s">
        <v>149</v>
      </c>
      <c r="G720" s="9" t="s">
        <v>161</v>
      </c>
      <c r="H720" s="9" t="s">
        <v>189</v>
      </c>
      <c r="I720" s="9" t="b">
        <f>TRUE()</f>
        <v>1</v>
      </c>
      <c r="J720" s="9" t="s">
        <v>152</v>
      </c>
      <c r="K720" s="9" t="s">
        <v>153</v>
      </c>
      <c r="L720" s="10">
        <v>45920</v>
      </c>
      <c r="M720" s="10"/>
      <c r="N720" s="10"/>
      <c r="O720" s="10">
        <v>45928</v>
      </c>
      <c r="P720" s="9" t="b">
        <f>TRUE()</f>
        <v>1</v>
      </c>
      <c r="Q720" s="11">
        <v>2044.34</v>
      </c>
    </row>
    <row r="721" spans="1:17" ht="15" customHeight="1" x14ac:dyDescent="0.2">
      <c r="A721" s="9" t="s">
        <v>72</v>
      </c>
      <c r="B721" s="10">
        <v>45996</v>
      </c>
      <c r="C721" s="10">
        <v>45992</v>
      </c>
      <c r="D721" s="9" t="s">
        <v>18</v>
      </c>
      <c r="E721" s="9" t="s">
        <v>26</v>
      </c>
      <c r="F721" s="9" t="s">
        <v>155</v>
      </c>
      <c r="G721" s="9" t="s">
        <v>156</v>
      </c>
      <c r="H721" s="9" t="s">
        <v>251</v>
      </c>
      <c r="I721" s="9" t="b">
        <f>TRUE()</f>
        <v>1</v>
      </c>
      <c r="J721" s="9" t="s">
        <v>152</v>
      </c>
      <c r="K721" s="9" t="s">
        <v>163</v>
      </c>
      <c r="L721" s="10"/>
      <c r="M721" s="10"/>
      <c r="N721" s="10"/>
      <c r="O721" s="10">
        <v>46002</v>
      </c>
      <c r="P721" s="9" t="b">
        <f>TRUE()</f>
        <v>1</v>
      </c>
      <c r="Q721" s="11">
        <v>474.89</v>
      </c>
    </row>
    <row r="722" spans="1:17" ht="15" customHeight="1" x14ac:dyDescent="0.2">
      <c r="A722" s="9" t="s">
        <v>878</v>
      </c>
      <c r="B722" s="10">
        <v>45738</v>
      </c>
      <c r="C722" s="10">
        <v>45717</v>
      </c>
      <c r="D722" s="9" t="s">
        <v>22</v>
      </c>
      <c r="E722" s="9" t="s">
        <v>24</v>
      </c>
      <c r="F722" s="9" t="s">
        <v>149</v>
      </c>
      <c r="G722" s="9" t="s">
        <v>161</v>
      </c>
      <c r="H722" s="9" t="s">
        <v>151</v>
      </c>
      <c r="I722" s="9" t="b">
        <f>TRUE()</f>
        <v>1</v>
      </c>
      <c r="J722" s="9" t="s">
        <v>152</v>
      </c>
      <c r="K722" s="9" t="s">
        <v>153</v>
      </c>
      <c r="L722" s="10">
        <v>45748</v>
      </c>
      <c r="M722" s="10"/>
      <c r="N722" s="10"/>
      <c r="O722" s="10">
        <v>45762</v>
      </c>
      <c r="P722" s="9" t="b">
        <f>TRUE()</f>
        <v>1</v>
      </c>
      <c r="Q722" s="11">
        <v>1970.87</v>
      </c>
    </row>
    <row r="723" spans="1:17" ht="15" customHeight="1" x14ac:dyDescent="0.2">
      <c r="A723" s="9" t="s">
        <v>879</v>
      </c>
      <c r="B723" s="10">
        <v>45942</v>
      </c>
      <c r="C723" s="10">
        <v>45931</v>
      </c>
      <c r="D723" s="9" t="s">
        <v>20</v>
      </c>
      <c r="E723" s="9" t="s">
        <v>26</v>
      </c>
      <c r="F723" s="9" t="s">
        <v>160</v>
      </c>
      <c r="G723" s="9" t="s">
        <v>161</v>
      </c>
      <c r="H723" s="9" t="s">
        <v>167</v>
      </c>
      <c r="I723" s="9" t="b">
        <f>TRUE()</f>
        <v>1</v>
      </c>
      <c r="J723" s="9" t="s">
        <v>2</v>
      </c>
      <c r="K723" s="9" t="s">
        <v>153</v>
      </c>
      <c r="L723" s="10">
        <v>45951</v>
      </c>
      <c r="M723" s="10">
        <v>45957</v>
      </c>
      <c r="N723" s="10">
        <v>45962</v>
      </c>
      <c r="O723" s="10"/>
      <c r="P723" s="9" t="b">
        <f>TRUE()</f>
        <v>1</v>
      </c>
      <c r="Q723" s="11">
        <v>2345.0300000000002</v>
      </c>
    </row>
    <row r="724" spans="1:17" ht="15" customHeight="1" x14ac:dyDescent="0.2">
      <c r="A724" s="9" t="s">
        <v>880</v>
      </c>
      <c r="B724" s="10">
        <v>45886</v>
      </c>
      <c r="C724" s="10">
        <v>45870</v>
      </c>
      <c r="D724" s="9" t="s">
        <v>18</v>
      </c>
      <c r="E724" s="9" t="s">
        <v>24</v>
      </c>
      <c r="F724" s="9" t="s">
        <v>160</v>
      </c>
      <c r="G724" s="9" t="s">
        <v>161</v>
      </c>
      <c r="H724" s="9" t="s">
        <v>201</v>
      </c>
      <c r="I724" s="9" t="b">
        <f>TRUE()</f>
        <v>1</v>
      </c>
      <c r="J724" s="9" t="s">
        <v>152</v>
      </c>
      <c r="K724" s="9" t="s">
        <v>163</v>
      </c>
      <c r="L724" s="10"/>
      <c r="M724" s="10"/>
      <c r="N724" s="10"/>
      <c r="O724" s="10">
        <v>45902</v>
      </c>
      <c r="P724" s="9" t="b">
        <f>TRUE()</f>
        <v>1</v>
      </c>
      <c r="Q724" s="11">
        <v>3006.93</v>
      </c>
    </row>
    <row r="725" spans="1:17" ht="15" customHeight="1" x14ac:dyDescent="0.2">
      <c r="A725" s="9" t="s">
        <v>881</v>
      </c>
      <c r="B725" s="10">
        <v>45690</v>
      </c>
      <c r="C725" s="10">
        <v>45689</v>
      </c>
      <c r="D725" s="9" t="s">
        <v>21</v>
      </c>
      <c r="E725" s="9" t="s">
        <v>28</v>
      </c>
      <c r="F725" s="9" t="s">
        <v>160</v>
      </c>
      <c r="G725" s="9" t="s">
        <v>150</v>
      </c>
      <c r="H725" s="9" t="s">
        <v>176</v>
      </c>
      <c r="I725" s="9" t="b">
        <f>TRUE()</f>
        <v>1</v>
      </c>
      <c r="J725" s="9" t="s">
        <v>152</v>
      </c>
      <c r="K725" s="9" t="s">
        <v>153</v>
      </c>
      <c r="L725" s="10">
        <v>45697</v>
      </c>
      <c r="M725" s="10">
        <v>45711</v>
      </c>
      <c r="N725" s="10"/>
      <c r="O725" s="10">
        <v>45723</v>
      </c>
      <c r="P725" s="9" t="b">
        <f>TRUE()</f>
        <v>1</v>
      </c>
      <c r="Q725" s="11">
        <v>5618.24</v>
      </c>
    </row>
    <row r="726" spans="1:17" ht="15" customHeight="1" x14ac:dyDescent="0.2">
      <c r="A726" s="9" t="s">
        <v>882</v>
      </c>
      <c r="B726" s="10">
        <v>45833</v>
      </c>
      <c r="C726" s="10">
        <v>45809</v>
      </c>
      <c r="D726" s="9" t="s">
        <v>18</v>
      </c>
      <c r="E726" s="9" t="s">
        <v>24</v>
      </c>
      <c r="F726" s="9" t="s">
        <v>149</v>
      </c>
      <c r="G726" s="9" t="s">
        <v>161</v>
      </c>
      <c r="H726" s="9" t="s">
        <v>251</v>
      </c>
      <c r="I726" s="9" t="b">
        <f>TRUE()</f>
        <v>1</v>
      </c>
      <c r="J726" s="9" t="s">
        <v>2</v>
      </c>
      <c r="K726" s="9" t="s">
        <v>153</v>
      </c>
      <c r="L726" s="10">
        <v>45838</v>
      </c>
      <c r="M726" s="10">
        <v>45842</v>
      </c>
      <c r="N726" s="10">
        <v>45862</v>
      </c>
      <c r="O726" s="10"/>
      <c r="P726" s="9" t="b">
        <f>TRUE()</f>
        <v>1</v>
      </c>
      <c r="Q726" s="11">
        <v>3160.18</v>
      </c>
    </row>
    <row r="727" spans="1:17" ht="15" customHeight="1" x14ac:dyDescent="0.2">
      <c r="A727" s="9" t="s">
        <v>883</v>
      </c>
      <c r="B727" s="10">
        <v>45769</v>
      </c>
      <c r="C727" s="10">
        <v>45748</v>
      </c>
      <c r="D727" s="9" t="s">
        <v>22</v>
      </c>
      <c r="E727" s="9" t="s">
        <v>24</v>
      </c>
      <c r="F727" s="9" t="s">
        <v>149</v>
      </c>
      <c r="G727" s="9" t="s">
        <v>150</v>
      </c>
      <c r="H727" s="9" t="s">
        <v>151</v>
      </c>
      <c r="I727" s="9" t="b">
        <f>TRUE()</f>
        <v>1</v>
      </c>
      <c r="J727" s="9" t="s">
        <v>152</v>
      </c>
      <c r="K727" s="9" t="s">
        <v>163</v>
      </c>
      <c r="L727" s="10"/>
      <c r="M727" s="10"/>
      <c r="N727" s="10"/>
      <c r="O727" s="10">
        <v>45787</v>
      </c>
      <c r="P727" s="9" t="b">
        <f>TRUE()</f>
        <v>1</v>
      </c>
      <c r="Q727" s="11">
        <v>10829.55</v>
      </c>
    </row>
    <row r="728" spans="1:17" ht="15" customHeight="1" x14ac:dyDescent="0.2">
      <c r="A728" s="9" t="s">
        <v>884</v>
      </c>
      <c r="B728" s="10">
        <v>45810</v>
      </c>
      <c r="C728" s="10">
        <v>45809</v>
      </c>
      <c r="D728" s="9" t="s">
        <v>22</v>
      </c>
      <c r="E728" s="9" t="s">
        <v>24</v>
      </c>
      <c r="F728" s="9" t="s">
        <v>160</v>
      </c>
      <c r="G728" s="9" t="s">
        <v>161</v>
      </c>
      <c r="H728" s="9" t="s">
        <v>151</v>
      </c>
      <c r="I728" s="9" t="b">
        <f>TRUE()</f>
        <v>1</v>
      </c>
      <c r="J728" s="9" t="s">
        <v>152</v>
      </c>
      <c r="K728" s="9" t="s">
        <v>153</v>
      </c>
      <c r="L728" s="10">
        <v>45818</v>
      </c>
      <c r="M728" s="10"/>
      <c r="N728" s="10"/>
      <c r="O728" s="10">
        <v>45837</v>
      </c>
      <c r="P728" s="9" t="b">
        <f>TRUE()</f>
        <v>1</v>
      </c>
      <c r="Q728" s="11">
        <v>2824.18</v>
      </c>
    </row>
    <row r="729" spans="1:17" ht="15" customHeight="1" x14ac:dyDescent="0.2">
      <c r="A729" s="9" t="s">
        <v>73</v>
      </c>
      <c r="B729" s="10">
        <v>45759</v>
      </c>
      <c r="C729" s="10">
        <v>45748</v>
      </c>
      <c r="D729" s="9" t="s">
        <v>18</v>
      </c>
      <c r="E729" s="9" t="s">
        <v>24</v>
      </c>
      <c r="F729" s="9" t="s">
        <v>149</v>
      </c>
      <c r="G729" s="9" t="s">
        <v>156</v>
      </c>
      <c r="H729" s="9" t="s">
        <v>201</v>
      </c>
      <c r="I729" s="9" t="b">
        <f>TRUE()</f>
        <v>1</v>
      </c>
      <c r="J729" s="9" t="s">
        <v>152</v>
      </c>
      <c r="K729" s="9" t="s">
        <v>153</v>
      </c>
      <c r="L729" s="10">
        <v>45761</v>
      </c>
      <c r="M729" s="10">
        <v>45771</v>
      </c>
      <c r="N729" s="10"/>
      <c r="O729" s="10">
        <v>45800</v>
      </c>
      <c r="P729" s="9" t="b">
        <f>TRUE()</f>
        <v>1</v>
      </c>
      <c r="Q729" s="11">
        <v>881.13</v>
      </c>
    </row>
    <row r="730" spans="1:17" ht="15" customHeight="1" x14ac:dyDescent="0.2">
      <c r="A730" s="9" t="s">
        <v>885</v>
      </c>
      <c r="B730" s="10">
        <v>45863</v>
      </c>
      <c r="C730" s="10">
        <v>45839</v>
      </c>
      <c r="D730" s="9" t="s">
        <v>21</v>
      </c>
      <c r="E730" s="9" t="s">
        <v>26</v>
      </c>
      <c r="F730" s="9" t="s">
        <v>149</v>
      </c>
      <c r="G730" s="9" t="s">
        <v>161</v>
      </c>
      <c r="H730" s="9" t="s">
        <v>162</v>
      </c>
      <c r="I730" s="9" t="b">
        <f>TRUE()</f>
        <v>1</v>
      </c>
      <c r="J730" s="9" t="s">
        <v>152</v>
      </c>
      <c r="K730" s="9" t="s">
        <v>163</v>
      </c>
      <c r="L730" s="10"/>
      <c r="M730" s="10"/>
      <c r="N730" s="10"/>
      <c r="O730" s="10">
        <v>45882</v>
      </c>
      <c r="P730" s="9" t="b">
        <f>TRUE()</f>
        <v>1</v>
      </c>
      <c r="Q730" s="11">
        <v>3284.24</v>
      </c>
    </row>
    <row r="731" spans="1:17" ht="15" customHeight="1" x14ac:dyDescent="0.2">
      <c r="A731" s="9" t="s">
        <v>886</v>
      </c>
      <c r="B731" s="10">
        <v>45721</v>
      </c>
      <c r="C731" s="10">
        <v>45717</v>
      </c>
      <c r="D731" s="9" t="s">
        <v>22</v>
      </c>
      <c r="E731" s="9" t="s">
        <v>28</v>
      </c>
      <c r="F731" s="9" t="s">
        <v>155</v>
      </c>
      <c r="G731" s="9" t="s">
        <v>156</v>
      </c>
      <c r="H731" s="9" t="s">
        <v>165</v>
      </c>
      <c r="I731" s="9" t="b">
        <f>TRUE()</f>
        <v>1</v>
      </c>
      <c r="J731" s="9" t="s">
        <v>2</v>
      </c>
      <c r="K731" s="9" t="s">
        <v>153</v>
      </c>
      <c r="L731" s="10">
        <v>45723</v>
      </c>
      <c r="M731" s="10">
        <v>45738</v>
      </c>
      <c r="N731" s="10">
        <v>45744</v>
      </c>
      <c r="O731" s="10"/>
      <c r="P731" s="9" t="b">
        <f>TRUE()</f>
        <v>1</v>
      </c>
      <c r="Q731" s="11">
        <v>704.68</v>
      </c>
    </row>
    <row r="732" spans="1:17" ht="15" customHeight="1" x14ac:dyDescent="0.2">
      <c r="A732" s="9" t="s">
        <v>887</v>
      </c>
      <c r="B732" s="10">
        <v>45851</v>
      </c>
      <c r="C732" s="10">
        <v>45839</v>
      </c>
      <c r="D732" s="9" t="s">
        <v>20</v>
      </c>
      <c r="E732" s="9" t="s">
        <v>25</v>
      </c>
      <c r="F732" s="9" t="s">
        <v>149</v>
      </c>
      <c r="G732" s="9" t="s">
        <v>150</v>
      </c>
      <c r="H732" s="9" t="s">
        <v>167</v>
      </c>
      <c r="I732" s="9" t="b">
        <f>TRUE()</f>
        <v>1</v>
      </c>
      <c r="J732" s="9" t="s">
        <v>2</v>
      </c>
      <c r="K732" s="9" t="s">
        <v>153</v>
      </c>
      <c r="L732" s="10">
        <v>45856</v>
      </c>
      <c r="M732" s="10">
        <v>45857</v>
      </c>
      <c r="N732" s="10">
        <v>45864</v>
      </c>
      <c r="O732" s="10"/>
      <c r="P732" s="9" t="b">
        <f>TRUE()</f>
        <v>1</v>
      </c>
      <c r="Q732" s="11">
        <v>7405.37</v>
      </c>
    </row>
    <row r="733" spans="1:17" ht="15" customHeight="1" x14ac:dyDescent="0.2">
      <c r="A733" s="9" t="s">
        <v>888</v>
      </c>
      <c r="B733" s="10">
        <v>45967</v>
      </c>
      <c r="C733" s="10">
        <v>45962</v>
      </c>
      <c r="D733" s="9" t="s">
        <v>21</v>
      </c>
      <c r="E733" s="9" t="s">
        <v>25</v>
      </c>
      <c r="F733" s="9" t="s">
        <v>160</v>
      </c>
      <c r="G733" s="9" t="s">
        <v>156</v>
      </c>
      <c r="H733" s="9" t="s">
        <v>183</v>
      </c>
      <c r="I733" s="9" t="b">
        <f>TRUE()</f>
        <v>1</v>
      </c>
      <c r="J733" s="9" t="s">
        <v>2</v>
      </c>
      <c r="K733" s="9" t="s">
        <v>153</v>
      </c>
      <c r="L733" s="10">
        <v>45969</v>
      </c>
      <c r="M733" s="10">
        <v>45977</v>
      </c>
      <c r="N733" s="10">
        <v>45984</v>
      </c>
      <c r="O733" s="10"/>
      <c r="P733" s="9" t="b">
        <f>TRUE()</f>
        <v>1</v>
      </c>
      <c r="Q733" s="11">
        <v>948.19</v>
      </c>
    </row>
    <row r="734" spans="1:17" ht="15" customHeight="1" x14ac:dyDescent="0.2">
      <c r="A734" s="9" t="s">
        <v>889</v>
      </c>
      <c r="B734" s="10">
        <v>45990</v>
      </c>
      <c r="C734" s="10">
        <v>45962</v>
      </c>
      <c r="D734" s="9" t="s">
        <v>19</v>
      </c>
      <c r="E734" s="9" t="s">
        <v>24</v>
      </c>
      <c r="F734" s="9" t="s">
        <v>160</v>
      </c>
      <c r="G734" s="9" t="s">
        <v>161</v>
      </c>
      <c r="H734" s="9" t="s">
        <v>210</v>
      </c>
      <c r="I734" s="9" t="b">
        <f>TRUE()</f>
        <v>1</v>
      </c>
      <c r="J734" s="9" t="s">
        <v>152</v>
      </c>
      <c r="K734" s="9" t="s">
        <v>163</v>
      </c>
      <c r="L734" s="10"/>
      <c r="M734" s="10"/>
      <c r="N734" s="10"/>
      <c r="O734" s="10">
        <v>46002</v>
      </c>
      <c r="P734" s="9" t="b">
        <f>TRUE()</f>
        <v>1</v>
      </c>
      <c r="Q734" s="11">
        <v>2091.25</v>
      </c>
    </row>
    <row r="735" spans="1:17" ht="15" customHeight="1" x14ac:dyDescent="0.2">
      <c r="A735" s="9" t="s">
        <v>890</v>
      </c>
      <c r="B735" s="10">
        <v>45923</v>
      </c>
      <c r="C735" s="10">
        <v>45901</v>
      </c>
      <c r="D735" s="9" t="s">
        <v>22</v>
      </c>
      <c r="E735" s="9" t="s">
        <v>28</v>
      </c>
      <c r="F735" s="9" t="s">
        <v>149</v>
      </c>
      <c r="G735" s="9" t="s">
        <v>156</v>
      </c>
      <c r="H735" s="9" t="s">
        <v>151</v>
      </c>
      <c r="I735" s="9" t="b">
        <f>TRUE()</f>
        <v>1</v>
      </c>
      <c r="J735" s="9" t="s">
        <v>152</v>
      </c>
      <c r="K735" s="9" t="s">
        <v>153</v>
      </c>
      <c r="L735" s="10">
        <v>45927</v>
      </c>
      <c r="M735" s="10">
        <v>45928</v>
      </c>
      <c r="N735" s="10"/>
      <c r="O735" s="10">
        <v>45945</v>
      </c>
      <c r="P735" s="9" t="b">
        <f>TRUE()</f>
        <v>1</v>
      </c>
      <c r="Q735" s="11">
        <v>630.41</v>
      </c>
    </row>
    <row r="736" spans="1:17" ht="15" customHeight="1" x14ac:dyDescent="0.2">
      <c r="A736" s="9" t="s">
        <v>891</v>
      </c>
      <c r="B736" s="10">
        <v>46016</v>
      </c>
      <c r="C736" s="10">
        <v>45992</v>
      </c>
      <c r="D736" s="9" t="s">
        <v>20</v>
      </c>
      <c r="E736" s="9" t="s">
        <v>25</v>
      </c>
      <c r="F736" s="9" t="s">
        <v>149</v>
      </c>
      <c r="G736" s="9" t="s">
        <v>161</v>
      </c>
      <c r="H736" s="9" t="s">
        <v>189</v>
      </c>
      <c r="I736" s="9" t="b">
        <f>TRUE()</f>
        <v>1</v>
      </c>
      <c r="J736" s="9" t="s">
        <v>190</v>
      </c>
      <c r="K736" s="9" t="s">
        <v>163</v>
      </c>
      <c r="L736" s="10"/>
      <c r="M736" s="10"/>
      <c r="N736" s="10"/>
      <c r="O736" s="10"/>
      <c r="P736" s="9" t="b">
        <f>TRUE()</f>
        <v>1</v>
      </c>
      <c r="Q736" s="11">
        <v>2687.02</v>
      </c>
    </row>
    <row r="737" spans="1:17" ht="15" customHeight="1" x14ac:dyDescent="0.2">
      <c r="A737" s="9" t="s">
        <v>892</v>
      </c>
      <c r="B737" s="10">
        <v>45773</v>
      </c>
      <c r="C737" s="10">
        <v>45748</v>
      </c>
      <c r="D737" s="9" t="s">
        <v>19</v>
      </c>
      <c r="E737" s="9" t="s">
        <v>24</v>
      </c>
      <c r="F737" s="9" t="s">
        <v>160</v>
      </c>
      <c r="G737" s="9" t="s">
        <v>150</v>
      </c>
      <c r="H737" s="9" t="s">
        <v>179</v>
      </c>
      <c r="I737" s="9" t="b">
        <f>TRUE()</f>
        <v>1</v>
      </c>
      <c r="J737" s="9" t="s">
        <v>152</v>
      </c>
      <c r="K737" s="9" t="s">
        <v>153</v>
      </c>
      <c r="L737" s="10">
        <v>45780</v>
      </c>
      <c r="M737" s="10">
        <v>45791</v>
      </c>
      <c r="N737" s="10"/>
      <c r="O737" s="10">
        <v>45816</v>
      </c>
      <c r="P737" s="9" t="b">
        <f>TRUE()</f>
        <v>1</v>
      </c>
      <c r="Q737" s="11">
        <v>10074.93</v>
      </c>
    </row>
    <row r="738" spans="1:17" ht="15" customHeight="1" x14ac:dyDescent="0.2">
      <c r="A738" s="9" t="s">
        <v>893</v>
      </c>
      <c r="B738" s="10">
        <v>45698</v>
      </c>
      <c r="C738" s="10">
        <v>45689</v>
      </c>
      <c r="D738" s="9" t="s">
        <v>20</v>
      </c>
      <c r="E738" s="9" t="s">
        <v>26</v>
      </c>
      <c r="F738" s="9" t="s">
        <v>149</v>
      </c>
      <c r="G738" s="9" t="s">
        <v>156</v>
      </c>
      <c r="H738" s="9" t="s">
        <v>167</v>
      </c>
      <c r="I738" s="9" t="b">
        <f>TRUE()</f>
        <v>1</v>
      </c>
      <c r="J738" s="9" t="s">
        <v>152</v>
      </c>
      <c r="K738" s="9" t="s">
        <v>153</v>
      </c>
      <c r="L738" s="10">
        <v>45700</v>
      </c>
      <c r="M738" s="10"/>
      <c r="N738" s="10"/>
      <c r="O738" s="10">
        <v>45711</v>
      </c>
      <c r="P738" s="9" t="b">
        <f>TRUE()</f>
        <v>1</v>
      </c>
      <c r="Q738" s="11">
        <v>905.33</v>
      </c>
    </row>
    <row r="739" spans="1:17" ht="15" customHeight="1" x14ac:dyDescent="0.2">
      <c r="A739" s="9" t="s">
        <v>894</v>
      </c>
      <c r="B739" s="10">
        <v>45708</v>
      </c>
      <c r="C739" s="10">
        <v>45689</v>
      </c>
      <c r="D739" s="9" t="s">
        <v>18</v>
      </c>
      <c r="E739" s="9" t="s">
        <v>24</v>
      </c>
      <c r="F739" s="9" t="s">
        <v>149</v>
      </c>
      <c r="G739" s="9" t="s">
        <v>156</v>
      </c>
      <c r="H739" s="9" t="s">
        <v>157</v>
      </c>
      <c r="I739" s="9" t="b">
        <f>TRUE()</f>
        <v>1</v>
      </c>
      <c r="J739" s="9" t="s">
        <v>2</v>
      </c>
      <c r="K739" s="9" t="s">
        <v>153</v>
      </c>
      <c r="L739" s="10">
        <v>45710</v>
      </c>
      <c r="M739" s="10">
        <v>45715</v>
      </c>
      <c r="N739" s="10">
        <v>45727</v>
      </c>
      <c r="O739" s="10"/>
      <c r="P739" s="9" t="b">
        <f>TRUE()</f>
        <v>1</v>
      </c>
      <c r="Q739" s="11">
        <v>615.98</v>
      </c>
    </row>
    <row r="740" spans="1:17" ht="15" customHeight="1" x14ac:dyDescent="0.2">
      <c r="A740" s="9" t="s">
        <v>895</v>
      </c>
      <c r="B740" s="10">
        <v>45822</v>
      </c>
      <c r="C740" s="10">
        <v>45809</v>
      </c>
      <c r="D740" s="9" t="s">
        <v>20</v>
      </c>
      <c r="E740" s="9" t="s">
        <v>26</v>
      </c>
      <c r="F740" s="9" t="s">
        <v>149</v>
      </c>
      <c r="G740" s="9" t="s">
        <v>161</v>
      </c>
      <c r="H740" s="9" t="s">
        <v>192</v>
      </c>
      <c r="I740" s="9" t="b">
        <f>TRUE()</f>
        <v>1</v>
      </c>
      <c r="J740" s="9" t="s">
        <v>152</v>
      </c>
      <c r="K740" s="9" t="s">
        <v>153</v>
      </c>
      <c r="L740" s="10">
        <v>45829</v>
      </c>
      <c r="M740" s="10">
        <v>45834</v>
      </c>
      <c r="N740" s="10"/>
      <c r="O740" s="10">
        <v>45842</v>
      </c>
      <c r="P740" s="9" t="b">
        <f>TRUE()</f>
        <v>1</v>
      </c>
      <c r="Q740" s="11">
        <v>3031.23</v>
      </c>
    </row>
    <row r="741" spans="1:17" ht="15" customHeight="1" x14ac:dyDescent="0.2">
      <c r="A741" s="9" t="s">
        <v>896</v>
      </c>
      <c r="B741" s="10">
        <v>45840</v>
      </c>
      <c r="C741" s="10">
        <v>45839</v>
      </c>
      <c r="D741" s="9" t="s">
        <v>20</v>
      </c>
      <c r="E741" s="9" t="s">
        <v>24</v>
      </c>
      <c r="F741" s="9" t="s">
        <v>149</v>
      </c>
      <c r="G741" s="9" t="s">
        <v>156</v>
      </c>
      <c r="H741" s="9" t="s">
        <v>192</v>
      </c>
      <c r="I741" s="9" t="b">
        <f>TRUE()</f>
        <v>1</v>
      </c>
      <c r="J741" s="9" t="s">
        <v>2</v>
      </c>
      <c r="K741" s="9" t="s">
        <v>153</v>
      </c>
      <c r="L741" s="10">
        <v>45841</v>
      </c>
      <c r="M741" s="10">
        <v>45853</v>
      </c>
      <c r="N741" s="10">
        <v>45861</v>
      </c>
      <c r="O741" s="10"/>
      <c r="P741" s="9" t="b">
        <f>TRUE()</f>
        <v>1</v>
      </c>
      <c r="Q741" s="11">
        <v>1056.8</v>
      </c>
    </row>
    <row r="742" spans="1:17" ht="15" customHeight="1" x14ac:dyDescent="0.2">
      <c r="A742" s="9" t="s">
        <v>897</v>
      </c>
      <c r="B742" s="10">
        <v>45669</v>
      </c>
      <c r="C742" s="10">
        <v>45658</v>
      </c>
      <c r="D742" s="9" t="s">
        <v>21</v>
      </c>
      <c r="E742" s="9" t="s">
        <v>26</v>
      </c>
      <c r="F742" s="9" t="s">
        <v>186</v>
      </c>
      <c r="G742" s="9" t="s">
        <v>156</v>
      </c>
      <c r="H742" s="9" t="s">
        <v>183</v>
      </c>
      <c r="I742" s="9" t="b">
        <f>TRUE()</f>
        <v>1</v>
      </c>
      <c r="J742" s="9" t="s">
        <v>152</v>
      </c>
      <c r="K742" s="9" t="s">
        <v>153</v>
      </c>
      <c r="L742" s="10">
        <v>45670</v>
      </c>
      <c r="M742" s="10"/>
      <c r="N742" s="10"/>
      <c r="O742" s="10">
        <v>45677</v>
      </c>
      <c r="P742" s="9" t="b">
        <f>TRUE()</f>
        <v>1</v>
      </c>
      <c r="Q742" s="11">
        <v>540.21</v>
      </c>
    </row>
    <row r="743" spans="1:17" ht="15" customHeight="1" x14ac:dyDescent="0.2">
      <c r="A743" s="9" t="s">
        <v>898</v>
      </c>
      <c r="B743" s="10">
        <v>45813</v>
      </c>
      <c r="C743" s="10">
        <v>45809</v>
      </c>
      <c r="D743" s="9" t="s">
        <v>20</v>
      </c>
      <c r="E743" s="9" t="s">
        <v>24</v>
      </c>
      <c r="F743" s="9" t="s">
        <v>149</v>
      </c>
      <c r="G743" s="9" t="s">
        <v>150</v>
      </c>
      <c r="H743" s="9" t="s">
        <v>192</v>
      </c>
      <c r="I743" s="9" t="b">
        <f>TRUE()</f>
        <v>1</v>
      </c>
      <c r="J743" s="9" t="s">
        <v>152</v>
      </c>
      <c r="K743" s="9" t="s">
        <v>163</v>
      </c>
      <c r="L743" s="10"/>
      <c r="M743" s="10"/>
      <c r="N743" s="10"/>
      <c r="O743" s="10">
        <v>45818</v>
      </c>
      <c r="P743" s="9" t="b">
        <f>TRUE()</f>
        <v>1</v>
      </c>
      <c r="Q743" s="11">
        <v>6544.29</v>
      </c>
    </row>
    <row r="744" spans="1:17" ht="15" customHeight="1" x14ac:dyDescent="0.2">
      <c r="A744" s="9" t="s">
        <v>899</v>
      </c>
      <c r="B744" s="10">
        <v>45758</v>
      </c>
      <c r="C744" s="10">
        <v>45748</v>
      </c>
      <c r="D744" s="9" t="s">
        <v>20</v>
      </c>
      <c r="E744" s="9" t="s">
        <v>25</v>
      </c>
      <c r="F744" s="9" t="s">
        <v>155</v>
      </c>
      <c r="G744" s="9" t="s">
        <v>156</v>
      </c>
      <c r="H744" s="9" t="s">
        <v>167</v>
      </c>
      <c r="I744" s="9" t="b">
        <f>TRUE()</f>
        <v>1</v>
      </c>
      <c r="J744" s="9" t="s">
        <v>152</v>
      </c>
      <c r="K744" s="9" t="s">
        <v>153</v>
      </c>
      <c r="L744" s="10">
        <v>45767</v>
      </c>
      <c r="M744" s="10"/>
      <c r="N744" s="10"/>
      <c r="O744" s="10">
        <v>45772</v>
      </c>
      <c r="P744" s="9" t="b">
        <f>TRUE()</f>
        <v>1</v>
      </c>
      <c r="Q744" s="11">
        <v>503.98</v>
      </c>
    </row>
    <row r="745" spans="1:17" ht="15" customHeight="1" x14ac:dyDescent="0.2">
      <c r="A745" s="9" t="s">
        <v>900</v>
      </c>
      <c r="B745" s="10">
        <v>45777</v>
      </c>
      <c r="C745" s="10">
        <v>45748</v>
      </c>
      <c r="D745" s="9" t="s">
        <v>20</v>
      </c>
      <c r="E745" s="9" t="s">
        <v>24</v>
      </c>
      <c r="F745" s="9" t="s">
        <v>160</v>
      </c>
      <c r="G745" s="9" t="s">
        <v>156</v>
      </c>
      <c r="H745" s="9" t="s">
        <v>192</v>
      </c>
      <c r="I745" s="9" t="b">
        <f>TRUE()</f>
        <v>1</v>
      </c>
      <c r="J745" s="9" t="s">
        <v>152</v>
      </c>
      <c r="K745" s="9" t="s">
        <v>153</v>
      </c>
      <c r="L745" s="10">
        <v>45778</v>
      </c>
      <c r="M745" s="10"/>
      <c r="N745" s="10"/>
      <c r="O745" s="10">
        <v>45786</v>
      </c>
      <c r="P745" s="9" t="b">
        <f>TRUE()</f>
        <v>1</v>
      </c>
      <c r="Q745" s="11">
        <v>973.56</v>
      </c>
    </row>
    <row r="746" spans="1:17" ht="15" customHeight="1" x14ac:dyDescent="0.2">
      <c r="A746" s="9" t="s">
        <v>64</v>
      </c>
      <c r="B746" s="10">
        <v>45929</v>
      </c>
      <c r="C746" s="10">
        <v>45901</v>
      </c>
      <c r="D746" s="9" t="s">
        <v>21</v>
      </c>
      <c r="E746" s="9" t="s">
        <v>25</v>
      </c>
      <c r="F746" s="9" t="s">
        <v>149</v>
      </c>
      <c r="G746" s="9" t="s">
        <v>161</v>
      </c>
      <c r="H746" s="9" t="s">
        <v>265</v>
      </c>
      <c r="I746" s="9" t="b">
        <f>FALSE()</f>
        <v>0</v>
      </c>
      <c r="J746" s="9" t="s">
        <v>2</v>
      </c>
      <c r="K746" s="9" t="s">
        <v>153</v>
      </c>
      <c r="L746" s="10">
        <v>45935</v>
      </c>
      <c r="M746" s="10">
        <v>45948</v>
      </c>
      <c r="N746" s="10">
        <v>45978</v>
      </c>
      <c r="O746" s="10"/>
      <c r="P746" s="9" t="b">
        <f>TRUE()</f>
        <v>1</v>
      </c>
      <c r="Q746" s="11">
        <v>2765.94</v>
      </c>
    </row>
    <row r="747" spans="1:17" ht="15" customHeight="1" x14ac:dyDescent="0.2">
      <c r="A747" s="9" t="s">
        <v>901</v>
      </c>
      <c r="B747" s="10">
        <v>45941</v>
      </c>
      <c r="C747" s="10">
        <v>45931</v>
      </c>
      <c r="D747" s="9" t="s">
        <v>22</v>
      </c>
      <c r="E747" s="9" t="s">
        <v>26</v>
      </c>
      <c r="F747" s="9" t="s">
        <v>155</v>
      </c>
      <c r="G747" s="9" t="s">
        <v>156</v>
      </c>
      <c r="H747" s="9" t="s">
        <v>170</v>
      </c>
      <c r="I747" s="9" t="b">
        <f>TRUE()</f>
        <v>1</v>
      </c>
      <c r="J747" s="9" t="s">
        <v>152</v>
      </c>
      <c r="K747" s="9" t="s">
        <v>163</v>
      </c>
      <c r="L747" s="10"/>
      <c r="M747" s="10"/>
      <c r="N747" s="10"/>
      <c r="O747" s="10">
        <v>45954</v>
      </c>
      <c r="P747" s="9" t="b">
        <f>TRUE()</f>
        <v>1</v>
      </c>
      <c r="Q747" s="11">
        <v>392.08</v>
      </c>
    </row>
    <row r="748" spans="1:17" ht="15" customHeight="1" x14ac:dyDescent="0.2">
      <c r="A748" s="9" t="s">
        <v>902</v>
      </c>
      <c r="B748" s="10">
        <v>45908</v>
      </c>
      <c r="C748" s="10">
        <v>45901</v>
      </c>
      <c r="D748" s="9" t="s">
        <v>22</v>
      </c>
      <c r="E748" s="9" t="s">
        <v>24</v>
      </c>
      <c r="F748" s="9" t="s">
        <v>155</v>
      </c>
      <c r="G748" s="9" t="s">
        <v>161</v>
      </c>
      <c r="H748" s="9" t="s">
        <v>151</v>
      </c>
      <c r="I748" s="9" t="b">
        <f>TRUE()</f>
        <v>1</v>
      </c>
      <c r="J748" s="9" t="s">
        <v>152</v>
      </c>
      <c r="K748" s="9" t="s">
        <v>163</v>
      </c>
      <c r="L748" s="10"/>
      <c r="M748" s="10"/>
      <c r="N748" s="10"/>
      <c r="O748" s="10">
        <v>45920</v>
      </c>
      <c r="P748" s="9" t="b">
        <f>TRUE()</f>
        <v>1</v>
      </c>
      <c r="Q748" s="11">
        <v>1895.06</v>
      </c>
    </row>
    <row r="749" spans="1:17" ht="15" customHeight="1" x14ac:dyDescent="0.2">
      <c r="A749" s="9" t="s">
        <v>903</v>
      </c>
      <c r="B749" s="10">
        <v>45861</v>
      </c>
      <c r="C749" s="10">
        <v>45839</v>
      </c>
      <c r="D749" s="9" t="s">
        <v>21</v>
      </c>
      <c r="E749" s="9" t="s">
        <v>28</v>
      </c>
      <c r="F749" s="9" t="s">
        <v>149</v>
      </c>
      <c r="G749" s="9" t="s">
        <v>156</v>
      </c>
      <c r="H749" s="9" t="s">
        <v>162</v>
      </c>
      <c r="I749" s="9" t="b">
        <f>TRUE()</f>
        <v>1</v>
      </c>
      <c r="J749" s="9" t="s">
        <v>152</v>
      </c>
      <c r="K749" s="9" t="s">
        <v>163</v>
      </c>
      <c r="L749" s="10"/>
      <c r="M749" s="10"/>
      <c r="N749" s="10"/>
      <c r="O749" s="10">
        <v>45877</v>
      </c>
      <c r="P749" s="9" t="b">
        <f>TRUE()</f>
        <v>1</v>
      </c>
      <c r="Q749" s="11">
        <v>656.83</v>
      </c>
    </row>
    <row r="750" spans="1:17" ht="15" customHeight="1" x14ac:dyDescent="0.2">
      <c r="A750" s="9" t="s">
        <v>904</v>
      </c>
      <c r="B750" s="10">
        <v>45683</v>
      </c>
      <c r="C750" s="10">
        <v>45658</v>
      </c>
      <c r="D750" s="9" t="s">
        <v>21</v>
      </c>
      <c r="E750" s="9" t="s">
        <v>28</v>
      </c>
      <c r="F750" s="9" t="s">
        <v>149</v>
      </c>
      <c r="G750" s="9" t="s">
        <v>156</v>
      </c>
      <c r="H750" s="9" t="s">
        <v>162</v>
      </c>
      <c r="I750" s="9" t="b">
        <f>TRUE()</f>
        <v>1</v>
      </c>
      <c r="J750" s="9" t="s">
        <v>152</v>
      </c>
      <c r="K750" s="9" t="s">
        <v>153</v>
      </c>
      <c r="L750" s="10">
        <v>45689</v>
      </c>
      <c r="M750" s="10">
        <v>45701</v>
      </c>
      <c r="N750" s="10"/>
      <c r="O750" s="10">
        <v>45713</v>
      </c>
      <c r="P750" s="9" t="b">
        <f>TRUE()</f>
        <v>1</v>
      </c>
      <c r="Q750" s="11">
        <v>1085.67</v>
      </c>
    </row>
    <row r="751" spans="1:17" ht="15" customHeight="1" x14ac:dyDescent="0.2">
      <c r="A751" s="9" t="s">
        <v>905</v>
      </c>
      <c r="B751" s="10">
        <v>45910</v>
      </c>
      <c r="C751" s="10">
        <v>45901</v>
      </c>
      <c r="D751" s="9" t="s">
        <v>20</v>
      </c>
      <c r="E751" s="9" t="s">
        <v>25</v>
      </c>
      <c r="F751" s="9" t="s">
        <v>155</v>
      </c>
      <c r="G751" s="9" t="s">
        <v>156</v>
      </c>
      <c r="H751" s="9" t="s">
        <v>167</v>
      </c>
      <c r="I751" s="9" t="b">
        <f>TRUE()</f>
        <v>1</v>
      </c>
      <c r="J751" s="9" t="s">
        <v>152</v>
      </c>
      <c r="K751" s="9" t="s">
        <v>153</v>
      </c>
      <c r="L751" s="10">
        <v>45916</v>
      </c>
      <c r="M751" s="10"/>
      <c r="N751" s="10"/>
      <c r="O751" s="10">
        <v>45921</v>
      </c>
      <c r="P751" s="9" t="b">
        <f>TRUE()</f>
        <v>1</v>
      </c>
      <c r="Q751" s="11">
        <v>557.08000000000004</v>
      </c>
    </row>
    <row r="752" spans="1:17" ht="15" customHeight="1" x14ac:dyDescent="0.2">
      <c r="A752" s="9" t="s">
        <v>906</v>
      </c>
      <c r="B752" s="10">
        <v>45790</v>
      </c>
      <c r="C752" s="10">
        <v>45778</v>
      </c>
      <c r="D752" s="9" t="s">
        <v>18</v>
      </c>
      <c r="E752" s="9" t="s">
        <v>24</v>
      </c>
      <c r="F752" s="9" t="s">
        <v>155</v>
      </c>
      <c r="G752" s="9" t="s">
        <v>156</v>
      </c>
      <c r="H752" s="9" t="s">
        <v>201</v>
      </c>
      <c r="I752" s="9" t="b">
        <f>TRUE()</f>
        <v>1</v>
      </c>
      <c r="J752" s="9" t="s">
        <v>152</v>
      </c>
      <c r="K752" s="9" t="s">
        <v>153</v>
      </c>
      <c r="L752" s="10">
        <v>45791</v>
      </c>
      <c r="M752" s="10">
        <v>45802</v>
      </c>
      <c r="N752" s="10"/>
      <c r="O752" s="10">
        <v>45833</v>
      </c>
      <c r="P752" s="9" t="b">
        <f>TRUE()</f>
        <v>1</v>
      </c>
      <c r="Q752" s="11">
        <v>692.58</v>
      </c>
    </row>
    <row r="753" spans="1:17" ht="15" customHeight="1" x14ac:dyDescent="0.2">
      <c r="A753" s="9" t="s">
        <v>907</v>
      </c>
      <c r="B753" s="10">
        <v>45963</v>
      </c>
      <c r="C753" s="10">
        <v>45962</v>
      </c>
      <c r="D753" s="9" t="s">
        <v>21</v>
      </c>
      <c r="E753" s="9" t="s">
        <v>25</v>
      </c>
      <c r="F753" s="9" t="s">
        <v>149</v>
      </c>
      <c r="G753" s="9" t="s">
        <v>161</v>
      </c>
      <c r="H753" s="9" t="s">
        <v>176</v>
      </c>
      <c r="I753" s="9" t="b">
        <f>TRUE()</f>
        <v>1</v>
      </c>
      <c r="J753" s="9" t="s">
        <v>152</v>
      </c>
      <c r="K753" s="9" t="s">
        <v>163</v>
      </c>
      <c r="L753" s="10"/>
      <c r="M753" s="10"/>
      <c r="N753" s="10"/>
      <c r="O753" s="10">
        <v>45983</v>
      </c>
      <c r="P753" s="9" t="b">
        <f>TRUE()</f>
        <v>1</v>
      </c>
      <c r="Q753" s="11">
        <v>2766.79</v>
      </c>
    </row>
    <row r="754" spans="1:17" ht="15" customHeight="1" x14ac:dyDescent="0.2">
      <c r="A754" s="9" t="s">
        <v>908</v>
      </c>
      <c r="B754" s="10">
        <v>45954</v>
      </c>
      <c r="C754" s="10">
        <v>45931</v>
      </c>
      <c r="D754" s="9" t="s">
        <v>20</v>
      </c>
      <c r="E754" s="9" t="s">
        <v>24</v>
      </c>
      <c r="F754" s="9" t="s">
        <v>149</v>
      </c>
      <c r="G754" s="9" t="s">
        <v>156</v>
      </c>
      <c r="H754" s="9" t="s">
        <v>192</v>
      </c>
      <c r="I754" s="9" t="b">
        <f>TRUE()</f>
        <v>1</v>
      </c>
      <c r="J754" s="9" t="s">
        <v>152</v>
      </c>
      <c r="K754" s="9" t="s">
        <v>163</v>
      </c>
      <c r="L754" s="10"/>
      <c r="M754" s="10"/>
      <c r="N754" s="10"/>
      <c r="O754" s="10">
        <v>45959</v>
      </c>
      <c r="P754" s="9" t="b">
        <f>TRUE()</f>
        <v>1</v>
      </c>
      <c r="Q754" s="11">
        <v>997.3</v>
      </c>
    </row>
    <row r="755" spans="1:17" ht="15" customHeight="1" x14ac:dyDescent="0.2">
      <c r="A755" s="9" t="s">
        <v>909</v>
      </c>
      <c r="B755" s="10">
        <v>45762</v>
      </c>
      <c r="C755" s="10">
        <v>45748</v>
      </c>
      <c r="D755" s="9" t="s">
        <v>21</v>
      </c>
      <c r="E755" s="9" t="s">
        <v>24</v>
      </c>
      <c r="F755" s="9" t="s">
        <v>160</v>
      </c>
      <c r="G755" s="9" t="s">
        <v>156</v>
      </c>
      <c r="H755" s="9" t="s">
        <v>183</v>
      </c>
      <c r="I755" s="9" t="b">
        <f>TRUE()</f>
        <v>1</v>
      </c>
      <c r="J755" s="9" t="s">
        <v>152</v>
      </c>
      <c r="K755" s="9" t="s">
        <v>153</v>
      </c>
      <c r="L755" s="10">
        <v>45766</v>
      </c>
      <c r="M755" s="10">
        <v>45772</v>
      </c>
      <c r="N755" s="10"/>
      <c r="O755" s="10">
        <v>45796</v>
      </c>
      <c r="P755" s="9" t="b">
        <f>TRUE()</f>
        <v>1</v>
      </c>
      <c r="Q755" s="11">
        <v>902.56</v>
      </c>
    </row>
    <row r="756" spans="1:17" ht="15" customHeight="1" x14ac:dyDescent="0.2">
      <c r="A756" s="9" t="s">
        <v>910</v>
      </c>
      <c r="B756" s="10">
        <v>45845</v>
      </c>
      <c r="C756" s="10">
        <v>45839</v>
      </c>
      <c r="D756" s="9" t="s">
        <v>22</v>
      </c>
      <c r="E756" s="9" t="s">
        <v>28</v>
      </c>
      <c r="F756" s="9" t="s">
        <v>160</v>
      </c>
      <c r="G756" s="9" t="s">
        <v>156</v>
      </c>
      <c r="H756" s="9" t="s">
        <v>151</v>
      </c>
      <c r="I756" s="9" t="b">
        <f>TRUE()</f>
        <v>1</v>
      </c>
      <c r="J756" s="9" t="s">
        <v>152</v>
      </c>
      <c r="K756" s="9" t="s">
        <v>163</v>
      </c>
      <c r="L756" s="10"/>
      <c r="M756" s="10"/>
      <c r="N756" s="10"/>
      <c r="O756" s="10">
        <v>45860</v>
      </c>
      <c r="P756" s="9" t="b">
        <f>TRUE()</f>
        <v>1</v>
      </c>
      <c r="Q756" s="11">
        <v>945.53</v>
      </c>
    </row>
    <row r="757" spans="1:17" ht="15" customHeight="1" x14ac:dyDescent="0.2">
      <c r="A757" s="9" t="s">
        <v>911</v>
      </c>
      <c r="B757" s="10">
        <v>46017</v>
      </c>
      <c r="C757" s="10">
        <v>45992</v>
      </c>
      <c r="D757" s="9" t="s">
        <v>22</v>
      </c>
      <c r="E757" s="9" t="s">
        <v>28</v>
      </c>
      <c r="F757" s="9" t="s">
        <v>149</v>
      </c>
      <c r="G757" s="9" t="s">
        <v>156</v>
      </c>
      <c r="H757" s="9" t="s">
        <v>151</v>
      </c>
      <c r="I757" s="9" t="b">
        <f>TRUE()</f>
        <v>1</v>
      </c>
      <c r="J757" s="9" t="s">
        <v>15</v>
      </c>
      <c r="K757" s="9" t="s">
        <v>153</v>
      </c>
      <c r="L757" s="10">
        <v>46023</v>
      </c>
      <c r="M757" s="10"/>
      <c r="N757" s="10"/>
      <c r="O757" s="10"/>
      <c r="P757" s="9" t="b">
        <f>TRUE()</f>
        <v>1</v>
      </c>
      <c r="Q757" s="11">
        <v>925.07</v>
      </c>
    </row>
    <row r="758" spans="1:17" ht="15" customHeight="1" x14ac:dyDescent="0.2">
      <c r="A758" s="9" t="s">
        <v>912</v>
      </c>
      <c r="B758" s="10">
        <v>45697</v>
      </c>
      <c r="C758" s="10">
        <v>45689</v>
      </c>
      <c r="D758" s="9" t="s">
        <v>21</v>
      </c>
      <c r="E758" s="9" t="s">
        <v>25</v>
      </c>
      <c r="F758" s="9" t="s">
        <v>155</v>
      </c>
      <c r="G758" s="9" t="s">
        <v>161</v>
      </c>
      <c r="H758" s="9" t="s">
        <v>176</v>
      </c>
      <c r="I758" s="9" t="b">
        <f>TRUE()</f>
        <v>1</v>
      </c>
      <c r="J758" s="9" t="s">
        <v>152</v>
      </c>
      <c r="K758" s="9" t="s">
        <v>163</v>
      </c>
      <c r="L758" s="10"/>
      <c r="M758" s="10"/>
      <c r="N758" s="10"/>
      <c r="O758" s="10">
        <v>45710</v>
      </c>
      <c r="P758" s="9" t="b">
        <f>TRUE()</f>
        <v>1</v>
      </c>
      <c r="Q758" s="11">
        <v>1621.93</v>
      </c>
    </row>
    <row r="759" spans="1:17" ht="15" customHeight="1" x14ac:dyDescent="0.2">
      <c r="A759" s="9" t="s">
        <v>913</v>
      </c>
      <c r="B759" s="10">
        <v>45746</v>
      </c>
      <c r="C759" s="10">
        <v>45717</v>
      </c>
      <c r="D759" s="9" t="s">
        <v>20</v>
      </c>
      <c r="E759" s="9" t="s">
        <v>25</v>
      </c>
      <c r="F759" s="9" t="s">
        <v>160</v>
      </c>
      <c r="G759" s="9" t="s">
        <v>156</v>
      </c>
      <c r="H759" s="9" t="s">
        <v>167</v>
      </c>
      <c r="I759" s="9" t="b">
        <f>TRUE()</f>
        <v>1</v>
      </c>
      <c r="J759" s="9" t="s">
        <v>2</v>
      </c>
      <c r="K759" s="9" t="s">
        <v>153</v>
      </c>
      <c r="L759" s="10">
        <v>45748</v>
      </c>
      <c r="M759" s="10">
        <v>45750</v>
      </c>
      <c r="N759" s="10">
        <v>45756</v>
      </c>
      <c r="O759" s="10"/>
      <c r="P759" s="9" t="b">
        <f>TRUE()</f>
        <v>1</v>
      </c>
      <c r="Q759" s="11">
        <v>583.16999999999996</v>
      </c>
    </row>
    <row r="760" spans="1:17" ht="15" customHeight="1" x14ac:dyDescent="0.2">
      <c r="A760" s="9" t="s">
        <v>58</v>
      </c>
      <c r="B760" s="10">
        <v>45735</v>
      </c>
      <c r="C760" s="10">
        <v>45717</v>
      </c>
      <c r="D760" s="9" t="s">
        <v>20</v>
      </c>
      <c r="E760" s="9" t="s">
        <v>375</v>
      </c>
      <c r="F760" s="9" t="s">
        <v>160</v>
      </c>
      <c r="G760" s="9" t="s">
        <v>156</v>
      </c>
      <c r="H760" s="9" t="s">
        <v>167</v>
      </c>
      <c r="I760" s="9" t="b">
        <f>TRUE()</f>
        <v>1</v>
      </c>
      <c r="J760" s="9" t="s">
        <v>2</v>
      </c>
      <c r="K760" s="9" t="s">
        <v>153</v>
      </c>
      <c r="L760" s="10">
        <v>45740</v>
      </c>
      <c r="M760" s="10">
        <v>45753</v>
      </c>
      <c r="N760" s="10">
        <v>45769</v>
      </c>
      <c r="O760" s="10"/>
      <c r="P760" s="9" t="b">
        <f>TRUE()</f>
        <v>1</v>
      </c>
      <c r="Q760" s="11">
        <v>911.67</v>
      </c>
    </row>
    <row r="761" spans="1:17" ht="15" customHeight="1" x14ac:dyDescent="0.2">
      <c r="A761" s="9" t="s">
        <v>914</v>
      </c>
      <c r="B761" s="10">
        <v>45708</v>
      </c>
      <c r="C761" s="10">
        <v>45689</v>
      </c>
      <c r="D761" s="9" t="s">
        <v>20</v>
      </c>
      <c r="E761" s="9" t="s">
        <v>28</v>
      </c>
      <c r="F761" s="9" t="s">
        <v>186</v>
      </c>
      <c r="G761" s="9" t="s">
        <v>161</v>
      </c>
      <c r="H761" s="9" t="s">
        <v>192</v>
      </c>
      <c r="I761" s="9" t="b">
        <f>TRUE()</f>
        <v>1</v>
      </c>
      <c r="J761" s="9" t="s">
        <v>152</v>
      </c>
      <c r="K761" s="9" t="s">
        <v>153</v>
      </c>
      <c r="L761" s="10">
        <v>45718</v>
      </c>
      <c r="M761" s="10">
        <v>45719</v>
      </c>
      <c r="N761" s="10"/>
      <c r="O761" s="10">
        <v>45731</v>
      </c>
      <c r="P761" s="9" t="b">
        <f>TRUE()</f>
        <v>1</v>
      </c>
      <c r="Q761" s="11">
        <v>2475.2600000000002</v>
      </c>
    </row>
    <row r="762" spans="1:17" ht="15" customHeight="1" x14ac:dyDescent="0.2">
      <c r="A762" s="9" t="s">
        <v>70</v>
      </c>
      <c r="B762" s="10">
        <v>45784</v>
      </c>
      <c r="C762" s="10">
        <v>45778</v>
      </c>
      <c r="D762" s="9" t="s">
        <v>18</v>
      </c>
      <c r="E762" s="9" t="s">
        <v>27</v>
      </c>
      <c r="F762" s="9" t="s">
        <v>149</v>
      </c>
      <c r="G762" s="9" t="s">
        <v>161</v>
      </c>
      <c r="H762" s="9" t="s">
        <v>157</v>
      </c>
      <c r="I762" s="9" t="b">
        <f>TRUE()</f>
        <v>1</v>
      </c>
      <c r="J762" s="9" t="s">
        <v>2</v>
      </c>
      <c r="K762" s="9" t="s">
        <v>153</v>
      </c>
      <c r="L762" s="10">
        <v>45791</v>
      </c>
      <c r="M762" s="10">
        <v>45792</v>
      </c>
      <c r="N762" s="10">
        <v>45779</v>
      </c>
      <c r="O762" s="10"/>
      <c r="P762" s="9" t="b">
        <f>FALSE()</f>
        <v>0</v>
      </c>
      <c r="Q762" s="11">
        <v>2988.94</v>
      </c>
    </row>
    <row r="763" spans="1:17" ht="15" customHeight="1" x14ac:dyDescent="0.2">
      <c r="A763" s="9" t="s">
        <v>915</v>
      </c>
      <c r="B763" s="10">
        <v>45844</v>
      </c>
      <c r="C763" s="10">
        <v>45839</v>
      </c>
      <c r="D763" s="9" t="s">
        <v>20</v>
      </c>
      <c r="E763" s="9" t="s">
        <v>24</v>
      </c>
      <c r="F763" s="9" t="s">
        <v>149</v>
      </c>
      <c r="G763" s="9" t="s">
        <v>161</v>
      </c>
      <c r="H763" s="9" t="s">
        <v>167</v>
      </c>
      <c r="I763" s="9" t="b">
        <f>TRUE()</f>
        <v>1</v>
      </c>
      <c r="J763" s="9" t="s">
        <v>152</v>
      </c>
      <c r="K763" s="9" t="s">
        <v>163</v>
      </c>
      <c r="L763" s="10"/>
      <c r="M763" s="10"/>
      <c r="N763" s="10"/>
      <c r="O763" s="10">
        <v>45857</v>
      </c>
      <c r="P763" s="9" t="b">
        <f>TRUE()</f>
        <v>1</v>
      </c>
      <c r="Q763" s="11">
        <v>1877.69</v>
      </c>
    </row>
    <row r="764" spans="1:17" ht="15" customHeight="1" x14ac:dyDescent="0.2">
      <c r="A764" s="9" t="s">
        <v>916</v>
      </c>
      <c r="B764" s="10">
        <v>45833</v>
      </c>
      <c r="C764" s="10">
        <v>45809</v>
      </c>
      <c r="D764" s="9" t="s">
        <v>19</v>
      </c>
      <c r="E764" s="9" t="s">
        <v>27</v>
      </c>
      <c r="F764" s="9" t="s">
        <v>149</v>
      </c>
      <c r="G764" s="9" t="s">
        <v>156</v>
      </c>
      <c r="H764" s="9" t="s">
        <v>207</v>
      </c>
      <c r="I764" s="9" t="b">
        <f>TRUE()</f>
        <v>1</v>
      </c>
      <c r="J764" s="9" t="s">
        <v>152</v>
      </c>
      <c r="K764" s="9" t="s">
        <v>153</v>
      </c>
      <c r="L764" s="10">
        <v>45835</v>
      </c>
      <c r="M764" s="10">
        <v>45847</v>
      </c>
      <c r="N764" s="10"/>
      <c r="O764" s="10">
        <v>45874</v>
      </c>
      <c r="P764" s="9" t="b">
        <f>TRUE()</f>
        <v>1</v>
      </c>
      <c r="Q764" s="11">
        <v>1000.87</v>
      </c>
    </row>
    <row r="765" spans="1:17" ht="15" customHeight="1" x14ac:dyDescent="0.2">
      <c r="A765" s="9" t="s">
        <v>917</v>
      </c>
      <c r="B765" s="10">
        <v>46014</v>
      </c>
      <c r="C765" s="10">
        <v>45992</v>
      </c>
      <c r="D765" s="9" t="s">
        <v>18</v>
      </c>
      <c r="E765" s="9" t="s">
        <v>24</v>
      </c>
      <c r="F765" s="9" t="s">
        <v>155</v>
      </c>
      <c r="G765" s="9" t="s">
        <v>156</v>
      </c>
      <c r="H765" s="9" t="s">
        <v>201</v>
      </c>
      <c r="I765" s="9" t="b">
        <f>TRUE()</f>
        <v>1</v>
      </c>
      <c r="J765" s="9" t="s">
        <v>190</v>
      </c>
      <c r="K765" s="9" t="s">
        <v>163</v>
      </c>
      <c r="L765" s="10"/>
      <c r="M765" s="10"/>
      <c r="N765" s="10"/>
      <c r="O765" s="10"/>
      <c r="P765" s="9" t="b">
        <f>TRUE()</f>
        <v>1</v>
      </c>
      <c r="Q765" s="11">
        <v>476.57</v>
      </c>
    </row>
    <row r="766" spans="1:17" ht="15" customHeight="1" x14ac:dyDescent="0.2">
      <c r="A766" s="9" t="s">
        <v>918</v>
      </c>
      <c r="B766" s="10">
        <v>45732</v>
      </c>
      <c r="C766" s="10">
        <v>45717</v>
      </c>
      <c r="D766" s="9" t="s">
        <v>21</v>
      </c>
      <c r="E766" s="9" t="s">
        <v>27</v>
      </c>
      <c r="F766" s="9" t="s">
        <v>149</v>
      </c>
      <c r="G766" s="9" t="s">
        <v>161</v>
      </c>
      <c r="H766" s="9" t="s">
        <v>176</v>
      </c>
      <c r="I766" s="9" t="b">
        <f>TRUE()</f>
        <v>1</v>
      </c>
      <c r="J766" s="9" t="s">
        <v>152</v>
      </c>
      <c r="K766" s="9" t="s">
        <v>153</v>
      </c>
      <c r="L766" s="10">
        <v>45740</v>
      </c>
      <c r="M766" s="10">
        <v>45743</v>
      </c>
      <c r="N766" s="10"/>
      <c r="O766" s="10">
        <v>45748</v>
      </c>
      <c r="P766" s="9" t="b">
        <f>TRUE()</f>
        <v>1</v>
      </c>
      <c r="Q766" s="11">
        <v>2685.48</v>
      </c>
    </row>
    <row r="767" spans="1:17" ht="15" customHeight="1" x14ac:dyDescent="0.2">
      <c r="A767" s="9" t="s">
        <v>919</v>
      </c>
      <c r="B767" s="10">
        <v>45912</v>
      </c>
      <c r="C767" s="10">
        <v>45901</v>
      </c>
      <c r="D767" s="9" t="s">
        <v>22</v>
      </c>
      <c r="E767" s="9" t="s">
        <v>24</v>
      </c>
      <c r="F767" s="9" t="s">
        <v>186</v>
      </c>
      <c r="G767" s="9" t="s">
        <v>156</v>
      </c>
      <c r="H767" s="9" t="s">
        <v>170</v>
      </c>
      <c r="I767" s="9" t="b">
        <f>TRUE()</f>
        <v>1</v>
      </c>
      <c r="J767" s="9" t="s">
        <v>152</v>
      </c>
      <c r="K767" s="9" t="s">
        <v>163</v>
      </c>
      <c r="L767" s="10"/>
      <c r="M767" s="10"/>
      <c r="N767" s="10"/>
      <c r="O767" s="10">
        <v>45931</v>
      </c>
      <c r="P767" s="9" t="b">
        <f>TRUE()</f>
        <v>1</v>
      </c>
      <c r="Q767" s="11">
        <v>488.75</v>
      </c>
    </row>
    <row r="768" spans="1:17" ht="15" customHeight="1" x14ac:dyDescent="0.2">
      <c r="A768" s="9" t="s">
        <v>920</v>
      </c>
      <c r="B768" s="10">
        <v>45969</v>
      </c>
      <c r="C768" s="10">
        <v>45962</v>
      </c>
      <c r="D768" s="9" t="s">
        <v>22</v>
      </c>
      <c r="E768" s="9" t="s">
        <v>25</v>
      </c>
      <c r="F768" s="9" t="s">
        <v>160</v>
      </c>
      <c r="G768" s="9" t="s">
        <v>150</v>
      </c>
      <c r="H768" s="9" t="s">
        <v>151</v>
      </c>
      <c r="I768" s="9" t="b">
        <f>TRUE()</f>
        <v>1</v>
      </c>
      <c r="J768" s="9" t="s">
        <v>152</v>
      </c>
      <c r="K768" s="9" t="s">
        <v>153</v>
      </c>
      <c r="L768" s="10">
        <v>45970</v>
      </c>
      <c r="M768" s="10">
        <v>45971</v>
      </c>
      <c r="N768" s="10"/>
      <c r="O768" s="10">
        <v>45993</v>
      </c>
      <c r="P768" s="9" t="b">
        <f>TRUE()</f>
        <v>1</v>
      </c>
      <c r="Q768" s="11">
        <v>8057.95</v>
      </c>
    </row>
    <row r="769" spans="1:17" ht="15" customHeight="1" x14ac:dyDescent="0.2">
      <c r="A769" s="9" t="s">
        <v>921</v>
      </c>
      <c r="B769" s="10">
        <v>45873</v>
      </c>
      <c r="C769" s="10">
        <v>45870</v>
      </c>
      <c r="D769" s="9" t="s">
        <v>18</v>
      </c>
      <c r="E769" s="9" t="s">
        <v>25</v>
      </c>
      <c r="F769" s="9" t="s">
        <v>160</v>
      </c>
      <c r="G769" s="9" t="s">
        <v>156</v>
      </c>
      <c r="H769" s="9" t="s">
        <v>157</v>
      </c>
      <c r="I769" s="9" t="b">
        <f>TRUE()</f>
        <v>1</v>
      </c>
      <c r="J769" s="9" t="s">
        <v>152</v>
      </c>
      <c r="K769" s="9" t="s">
        <v>153</v>
      </c>
      <c r="L769" s="10">
        <v>45880</v>
      </c>
      <c r="M769" s="10"/>
      <c r="N769" s="10"/>
      <c r="O769" s="10">
        <v>45890</v>
      </c>
      <c r="P769" s="9" t="b">
        <f>TRUE()</f>
        <v>1</v>
      </c>
      <c r="Q769" s="11">
        <v>882.79</v>
      </c>
    </row>
    <row r="770" spans="1:17" ht="15" customHeight="1" x14ac:dyDescent="0.2">
      <c r="A770" s="9" t="s">
        <v>922</v>
      </c>
      <c r="B770" s="10">
        <v>45921</v>
      </c>
      <c r="C770" s="10">
        <v>45901</v>
      </c>
      <c r="D770" s="9" t="s">
        <v>22</v>
      </c>
      <c r="E770" s="9" t="s">
        <v>26</v>
      </c>
      <c r="F770" s="9" t="s">
        <v>149</v>
      </c>
      <c r="G770" s="9" t="s">
        <v>150</v>
      </c>
      <c r="H770" s="9" t="s">
        <v>151</v>
      </c>
      <c r="I770" s="9" t="b">
        <f>TRUE()</f>
        <v>1</v>
      </c>
      <c r="J770" s="9" t="s">
        <v>152</v>
      </c>
      <c r="K770" s="9" t="s">
        <v>153</v>
      </c>
      <c r="L770" s="10">
        <v>45930</v>
      </c>
      <c r="M770" s="10"/>
      <c r="N770" s="10"/>
      <c r="O770" s="10">
        <v>45951</v>
      </c>
      <c r="P770" s="9" t="b">
        <f>TRUE()</f>
        <v>1</v>
      </c>
      <c r="Q770" s="11">
        <v>9581.2099999999991</v>
      </c>
    </row>
    <row r="771" spans="1:17" ht="15" customHeight="1" x14ac:dyDescent="0.2">
      <c r="A771" s="9" t="s">
        <v>923</v>
      </c>
      <c r="B771" s="10">
        <v>45795</v>
      </c>
      <c r="C771" s="10">
        <v>45778</v>
      </c>
      <c r="D771" s="9" t="s">
        <v>21</v>
      </c>
      <c r="E771" s="9" t="s">
        <v>24</v>
      </c>
      <c r="F771" s="9" t="s">
        <v>149</v>
      </c>
      <c r="G771" s="9" t="s">
        <v>161</v>
      </c>
      <c r="H771" s="9" t="s">
        <v>176</v>
      </c>
      <c r="I771" s="9" t="b">
        <f>TRUE()</f>
        <v>1</v>
      </c>
      <c r="J771" s="9" t="s">
        <v>2</v>
      </c>
      <c r="K771" s="9" t="s">
        <v>153</v>
      </c>
      <c r="L771" s="10">
        <v>45796</v>
      </c>
      <c r="M771" s="10">
        <v>45809</v>
      </c>
      <c r="N771" s="10">
        <v>45812</v>
      </c>
      <c r="O771" s="10"/>
      <c r="P771" s="9" t="b">
        <f>TRUE()</f>
        <v>1</v>
      </c>
      <c r="Q771" s="11">
        <v>2470.5700000000002</v>
      </c>
    </row>
    <row r="772" spans="1:17" ht="15" customHeight="1" x14ac:dyDescent="0.2">
      <c r="A772" s="9" t="s">
        <v>924</v>
      </c>
      <c r="B772" s="10">
        <v>45677</v>
      </c>
      <c r="C772" s="10">
        <v>45658</v>
      </c>
      <c r="D772" s="9" t="s">
        <v>20</v>
      </c>
      <c r="E772" s="9" t="s">
        <v>26</v>
      </c>
      <c r="F772" s="9" t="s">
        <v>160</v>
      </c>
      <c r="G772" s="9" t="s">
        <v>156</v>
      </c>
      <c r="H772" s="9" t="s">
        <v>167</v>
      </c>
      <c r="I772" s="9" t="b">
        <f>TRUE()</f>
        <v>1</v>
      </c>
      <c r="J772" s="9" t="s">
        <v>152</v>
      </c>
      <c r="K772" s="9" t="s">
        <v>153</v>
      </c>
      <c r="L772" s="10">
        <v>45683</v>
      </c>
      <c r="M772" s="10">
        <v>45688</v>
      </c>
      <c r="N772" s="10"/>
      <c r="O772" s="10">
        <v>45698</v>
      </c>
      <c r="P772" s="9" t="b">
        <f>TRUE()</f>
        <v>1</v>
      </c>
      <c r="Q772" s="11">
        <v>913.77</v>
      </c>
    </row>
    <row r="773" spans="1:17" ht="15" customHeight="1" x14ac:dyDescent="0.2">
      <c r="A773" s="9" t="s">
        <v>925</v>
      </c>
      <c r="B773" s="10">
        <v>45996</v>
      </c>
      <c r="C773" s="10">
        <v>45992</v>
      </c>
      <c r="D773" s="9" t="s">
        <v>22</v>
      </c>
      <c r="E773" s="9" t="s">
        <v>25</v>
      </c>
      <c r="F773" s="9" t="s">
        <v>149</v>
      </c>
      <c r="G773" s="9" t="s">
        <v>156</v>
      </c>
      <c r="H773" s="9" t="s">
        <v>170</v>
      </c>
      <c r="I773" s="9" t="b">
        <f>TRUE()</f>
        <v>1</v>
      </c>
      <c r="J773" s="9" t="s">
        <v>158</v>
      </c>
      <c r="K773" s="9" t="s">
        <v>153</v>
      </c>
      <c r="L773" s="10">
        <v>46006</v>
      </c>
      <c r="M773" s="10">
        <v>46017</v>
      </c>
      <c r="N773" s="10"/>
      <c r="O773" s="10"/>
      <c r="P773" s="9" t="b">
        <f>TRUE()</f>
        <v>1</v>
      </c>
      <c r="Q773" s="11">
        <v>636.67999999999995</v>
      </c>
    </row>
    <row r="774" spans="1:17" ht="15" customHeight="1" x14ac:dyDescent="0.2">
      <c r="A774" s="9" t="s">
        <v>926</v>
      </c>
      <c r="B774" s="10">
        <v>45781</v>
      </c>
      <c r="C774" s="10">
        <v>45778</v>
      </c>
      <c r="D774" s="9" t="s">
        <v>19</v>
      </c>
      <c r="E774" s="9" t="s">
        <v>25</v>
      </c>
      <c r="F774" s="9" t="s">
        <v>186</v>
      </c>
      <c r="G774" s="9" t="s">
        <v>161</v>
      </c>
      <c r="H774" s="9" t="s">
        <v>210</v>
      </c>
      <c r="I774" s="9" t="b">
        <f>TRUE()</f>
        <v>1</v>
      </c>
      <c r="J774" s="9" t="s">
        <v>152</v>
      </c>
      <c r="K774" s="9" t="s">
        <v>153</v>
      </c>
      <c r="L774" s="10">
        <v>45784</v>
      </c>
      <c r="M774" s="10"/>
      <c r="N774" s="10"/>
      <c r="O774" s="10">
        <v>45802</v>
      </c>
      <c r="P774" s="9" t="b">
        <f>TRUE()</f>
        <v>1</v>
      </c>
      <c r="Q774" s="11">
        <v>1828.65</v>
      </c>
    </row>
    <row r="775" spans="1:17" ht="15" customHeight="1" x14ac:dyDescent="0.2">
      <c r="A775" s="9" t="s">
        <v>927</v>
      </c>
      <c r="B775" s="10">
        <v>46021</v>
      </c>
      <c r="C775" s="10">
        <v>45992</v>
      </c>
      <c r="D775" s="9" t="s">
        <v>20</v>
      </c>
      <c r="E775" s="9" t="s">
        <v>28</v>
      </c>
      <c r="F775" s="9" t="s">
        <v>186</v>
      </c>
      <c r="G775" s="9" t="s">
        <v>161</v>
      </c>
      <c r="H775" s="9" t="s">
        <v>189</v>
      </c>
      <c r="I775" s="9" t="b">
        <f>TRUE()</f>
        <v>1</v>
      </c>
      <c r="J775" s="9" t="s">
        <v>158</v>
      </c>
      <c r="K775" s="9" t="s">
        <v>153</v>
      </c>
      <c r="L775" s="10">
        <v>46031</v>
      </c>
      <c r="M775" s="10">
        <v>46040</v>
      </c>
      <c r="N775" s="10"/>
      <c r="O775" s="10"/>
      <c r="P775" s="9" t="b">
        <f>TRUE()</f>
        <v>1</v>
      </c>
      <c r="Q775" s="11">
        <v>2079.9299999999998</v>
      </c>
    </row>
    <row r="776" spans="1:17" ht="15" customHeight="1" x14ac:dyDescent="0.2">
      <c r="A776" s="9" t="s">
        <v>928</v>
      </c>
      <c r="B776" s="10">
        <v>45845</v>
      </c>
      <c r="C776" s="10">
        <v>45839</v>
      </c>
      <c r="D776" s="9" t="s">
        <v>22</v>
      </c>
      <c r="E776" s="9" t="s">
        <v>28</v>
      </c>
      <c r="F776" s="9" t="s">
        <v>149</v>
      </c>
      <c r="G776" s="9" t="s">
        <v>156</v>
      </c>
      <c r="H776" s="9" t="s">
        <v>151</v>
      </c>
      <c r="I776" s="9" t="b">
        <f>TRUE()</f>
        <v>1</v>
      </c>
      <c r="J776" s="9" t="s">
        <v>152</v>
      </c>
      <c r="K776" s="9" t="s">
        <v>153</v>
      </c>
      <c r="L776" s="10">
        <v>45855</v>
      </c>
      <c r="M776" s="10"/>
      <c r="N776" s="10"/>
      <c r="O776" s="10">
        <v>45866</v>
      </c>
      <c r="P776" s="9" t="b">
        <f>TRUE()</f>
        <v>1</v>
      </c>
      <c r="Q776" s="11">
        <v>620.52</v>
      </c>
    </row>
    <row r="777" spans="1:17" ht="15" customHeight="1" x14ac:dyDescent="0.2">
      <c r="A777" s="9" t="s">
        <v>929</v>
      </c>
      <c r="B777" s="10">
        <v>45670</v>
      </c>
      <c r="C777" s="10">
        <v>45658</v>
      </c>
      <c r="D777" s="9" t="s">
        <v>20</v>
      </c>
      <c r="E777" s="9" t="s">
        <v>24</v>
      </c>
      <c r="F777" s="9" t="s">
        <v>149</v>
      </c>
      <c r="G777" s="9" t="s">
        <v>161</v>
      </c>
      <c r="H777" s="9" t="s">
        <v>192</v>
      </c>
      <c r="I777" s="9" t="b">
        <f>TRUE()</f>
        <v>1</v>
      </c>
      <c r="J777" s="9" t="s">
        <v>2</v>
      </c>
      <c r="K777" s="9" t="s">
        <v>153</v>
      </c>
      <c r="L777" s="10">
        <v>45674</v>
      </c>
      <c r="M777" s="10">
        <v>45686</v>
      </c>
      <c r="N777" s="10">
        <v>45695</v>
      </c>
      <c r="O777" s="10"/>
      <c r="P777" s="9" t="b">
        <f>TRUE()</f>
        <v>1</v>
      </c>
      <c r="Q777" s="11">
        <v>3276.01</v>
      </c>
    </row>
    <row r="778" spans="1:17" ht="15" customHeight="1" x14ac:dyDescent="0.2">
      <c r="A778" s="9" t="s">
        <v>930</v>
      </c>
      <c r="B778" s="10">
        <v>45745</v>
      </c>
      <c r="C778" s="10">
        <v>45717</v>
      </c>
      <c r="D778" s="9" t="s">
        <v>19</v>
      </c>
      <c r="E778" s="9" t="s">
        <v>24</v>
      </c>
      <c r="F778" s="9" t="s">
        <v>155</v>
      </c>
      <c r="G778" s="9" t="s">
        <v>161</v>
      </c>
      <c r="H778" s="9" t="s">
        <v>207</v>
      </c>
      <c r="I778" s="9" t="b">
        <f>TRUE()</f>
        <v>1</v>
      </c>
      <c r="J778" s="9" t="s">
        <v>152</v>
      </c>
      <c r="K778" s="9" t="s">
        <v>153</v>
      </c>
      <c r="L778" s="10">
        <v>45750</v>
      </c>
      <c r="M778" s="10">
        <v>45761</v>
      </c>
      <c r="N778" s="10"/>
      <c r="O778" s="10">
        <v>45794</v>
      </c>
      <c r="P778" s="9" t="b">
        <f>TRUE()</f>
        <v>1</v>
      </c>
      <c r="Q778" s="11">
        <v>1575.36</v>
      </c>
    </row>
    <row r="779" spans="1:17" ht="15" customHeight="1" x14ac:dyDescent="0.2">
      <c r="A779" s="9" t="s">
        <v>931</v>
      </c>
      <c r="B779" s="10">
        <v>45833</v>
      </c>
      <c r="C779" s="10">
        <v>45809</v>
      </c>
      <c r="D779" s="9" t="s">
        <v>18</v>
      </c>
      <c r="E779" s="9" t="s">
        <v>24</v>
      </c>
      <c r="F779" s="9" t="s">
        <v>186</v>
      </c>
      <c r="G779" s="9" t="s">
        <v>156</v>
      </c>
      <c r="H779" s="9" t="s">
        <v>251</v>
      </c>
      <c r="I779" s="9" t="b">
        <f>TRUE()</f>
        <v>1</v>
      </c>
      <c r="J779" s="9" t="s">
        <v>152</v>
      </c>
      <c r="K779" s="9" t="s">
        <v>163</v>
      </c>
      <c r="L779" s="10"/>
      <c r="M779" s="10"/>
      <c r="N779" s="10"/>
      <c r="O779" s="10">
        <v>45851</v>
      </c>
      <c r="P779" s="9" t="b">
        <f>TRUE()</f>
        <v>1</v>
      </c>
      <c r="Q779" s="11">
        <v>754.87</v>
      </c>
    </row>
    <row r="780" spans="1:17" ht="15" customHeight="1" x14ac:dyDescent="0.2">
      <c r="A780" s="9" t="s">
        <v>932</v>
      </c>
      <c r="B780" s="10">
        <v>45914</v>
      </c>
      <c r="C780" s="10">
        <v>45901</v>
      </c>
      <c r="D780" s="9" t="s">
        <v>21</v>
      </c>
      <c r="E780" s="9" t="s">
        <v>26</v>
      </c>
      <c r="F780" s="9" t="s">
        <v>186</v>
      </c>
      <c r="G780" s="9" t="s">
        <v>156</v>
      </c>
      <c r="H780" s="9" t="s">
        <v>162</v>
      </c>
      <c r="I780" s="9" t="b">
        <f>TRUE()</f>
        <v>1</v>
      </c>
      <c r="J780" s="9" t="s">
        <v>152</v>
      </c>
      <c r="K780" s="9" t="s">
        <v>163</v>
      </c>
      <c r="L780" s="10"/>
      <c r="M780" s="10"/>
      <c r="N780" s="10"/>
      <c r="O780" s="10">
        <v>45923</v>
      </c>
      <c r="P780" s="9" t="b">
        <f>TRUE()</f>
        <v>1</v>
      </c>
      <c r="Q780" s="11">
        <v>674.53</v>
      </c>
    </row>
    <row r="781" spans="1:17" ht="15" customHeight="1" x14ac:dyDescent="0.2">
      <c r="A781" s="9" t="s">
        <v>933</v>
      </c>
      <c r="B781" s="10">
        <v>45740</v>
      </c>
      <c r="C781" s="10">
        <v>45717</v>
      </c>
      <c r="D781" s="9" t="s">
        <v>19</v>
      </c>
      <c r="E781" s="9" t="s">
        <v>26</v>
      </c>
      <c r="F781" s="9" t="s">
        <v>155</v>
      </c>
      <c r="G781" s="9" t="s">
        <v>156</v>
      </c>
      <c r="H781" s="9" t="s">
        <v>210</v>
      </c>
      <c r="I781" s="9" t="b">
        <f>TRUE()</f>
        <v>1</v>
      </c>
      <c r="J781" s="9" t="s">
        <v>152</v>
      </c>
      <c r="K781" s="9" t="s">
        <v>153</v>
      </c>
      <c r="L781" s="10">
        <v>45743</v>
      </c>
      <c r="M781" s="10">
        <v>45754</v>
      </c>
      <c r="N781" s="10"/>
      <c r="O781" s="10">
        <v>45789</v>
      </c>
      <c r="P781" s="9" t="b">
        <f>TRUE()</f>
        <v>1</v>
      </c>
      <c r="Q781" s="11">
        <v>424.74</v>
      </c>
    </row>
    <row r="782" spans="1:17" ht="15" customHeight="1" x14ac:dyDescent="0.2">
      <c r="A782" s="9" t="s">
        <v>934</v>
      </c>
      <c r="B782" s="10">
        <v>45855</v>
      </c>
      <c r="C782" s="10">
        <v>45839</v>
      </c>
      <c r="D782" s="9" t="s">
        <v>20</v>
      </c>
      <c r="E782" s="9" t="s">
        <v>26</v>
      </c>
      <c r="F782" s="9" t="s">
        <v>155</v>
      </c>
      <c r="G782" s="9" t="s">
        <v>161</v>
      </c>
      <c r="H782" s="9" t="s">
        <v>192</v>
      </c>
      <c r="I782" s="9" t="b">
        <f>TRUE()</f>
        <v>1</v>
      </c>
      <c r="J782" s="9" t="s">
        <v>152</v>
      </c>
      <c r="K782" s="9" t="s">
        <v>163</v>
      </c>
      <c r="L782" s="10"/>
      <c r="M782" s="10"/>
      <c r="N782" s="10"/>
      <c r="O782" s="10">
        <v>45863</v>
      </c>
      <c r="P782" s="9" t="b">
        <f>TRUE()</f>
        <v>1</v>
      </c>
      <c r="Q782" s="11">
        <v>1589.05</v>
      </c>
    </row>
    <row r="783" spans="1:17" ht="15" customHeight="1" x14ac:dyDescent="0.2">
      <c r="A783" s="9" t="s">
        <v>935</v>
      </c>
      <c r="B783" s="10">
        <v>45899</v>
      </c>
      <c r="C783" s="10">
        <v>45870</v>
      </c>
      <c r="D783" s="9" t="s">
        <v>22</v>
      </c>
      <c r="E783" s="9" t="s">
        <v>28</v>
      </c>
      <c r="F783" s="9" t="s">
        <v>186</v>
      </c>
      <c r="G783" s="9" t="s">
        <v>156</v>
      </c>
      <c r="H783" s="9" t="s">
        <v>170</v>
      </c>
      <c r="I783" s="9" t="b">
        <f>TRUE()</f>
        <v>1</v>
      </c>
      <c r="J783" s="9" t="s">
        <v>152</v>
      </c>
      <c r="K783" s="9" t="s">
        <v>153</v>
      </c>
      <c r="L783" s="10">
        <v>45908</v>
      </c>
      <c r="M783" s="10">
        <v>45915</v>
      </c>
      <c r="N783" s="10"/>
      <c r="O783" s="10">
        <v>45939</v>
      </c>
      <c r="P783" s="9" t="b">
        <f>TRUE()</f>
        <v>1</v>
      </c>
      <c r="Q783" s="11">
        <v>864.83</v>
      </c>
    </row>
    <row r="784" spans="1:17" ht="15" customHeight="1" x14ac:dyDescent="0.2">
      <c r="A784" s="9" t="s">
        <v>936</v>
      </c>
      <c r="B784" s="10">
        <v>45694</v>
      </c>
      <c r="C784" s="10">
        <v>45689</v>
      </c>
      <c r="D784" s="9" t="s">
        <v>18</v>
      </c>
      <c r="E784" s="9" t="s">
        <v>24</v>
      </c>
      <c r="F784" s="9" t="s">
        <v>149</v>
      </c>
      <c r="G784" s="9" t="s">
        <v>161</v>
      </c>
      <c r="H784" s="9" t="s">
        <v>201</v>
      </c>
      <c r="I784" s="9" t="b">
        <f>TRUE()</f>
        <v>1</v>
      </c>
      <c r="J784" s="9" t="s">
        <v>152</v>
      </c>
      <c r="K784" s="9" t="s">
        <v>163</v>
      </c>
      <c r="L784" s="10"/>
      <c r="M784" s="10"/>
      <c r="N784" s="10"/>
      <c r="O784" s="10">
        <v>45712</v>
      </c>
      <c r="P784" s="9" t="b">
        <f>TRUE()</f>
        <v>1</v>
      </c>
      <c r="Q784" s="11">
        <v>2143.83</v>
      </c>
    </row>
    <row r="785" spans="1:17" ht="15" customHeight="1" x14ac:dyDescent="0.2">
      <c r="A785" s="9" t="s">
        <v>937</v>
      </c>
      <c r="B785" s="10">
        <v>45727</v>
      </c>
      <c r="C785" s="10">
        <v>45717</v>
      </c>
      <c r="D785" s="9" t="s">
        <v>20</v>
      </c>
      <c r="E785" s="9" t="s">
        <v>26</v>
      </c>
      <c r="F785" s="9" t="s">
        <v>149</v>
      </c>
      <c r="G785" s="9" t="s">
        <v>161</v>
      </c>
      <c r="H785" s="9" t="s">
        <v>192</v>
      </c>
      <c r="I785" s="9" t="b">
        <f>TRUE()</f>
        <v>1</v>
      </c>
      <c r="J785" s="9" t="s">
        <v>152</v>
      </c>
      <c r="K785" s="9" t="s">
        <v>153</v>
      </c>
      <c r="L785" s="10">
        <v>45734</v>
      </c>
      <c r="M785" s="10"/>
      <c r="N785" s="10"/>
      <c r="O785" s="10">
        <v>45739</v>
      </c>
      <c r="P785" s="9" t="b">
        <f>TRUE()</f>
        <v>1</v>
      </c>
      <c r="Q785" s="11">
        <v>2277.83</v>
      </c>
    </row>
    <row r="786" spans="1:17" ht="15" customHeight="1" x14ac:dyDescent="0.2">
      <c r="A786" s="9" t="s">
        <v>938</v>
      </c>
      <c r="B786" s="10">
        <v>45930</v>
      </c>
      <c r="C786" s="10">
        <v>45901</v>
      </c>
      <c r="D786" s="9" t="s">
        <v>22</v>
      </c>
      <c r="E786" s="9" t="s">
        <v>26</v>
      </c>
      <c r="F786" s="9" t="s">
        <v>149</v>
      </c>
      <c r="G786" s="9" t="s">
        <v>161</v>
      </c>
      <c r="H786" s="9" t="s">
        <v>151</v>
      </c>
      <c r="I786" s="9" t="b">
        <f>TRUE()</f>
        <v>1</v>
      </c>
      <c r="J786" s="9" t="s">
        <v>152</v>
      </c>
      <c r="K786" s="9" t="s">
        <v>163</v>
      </c>
      <c r="L786" s="10"/>
      <c r="M786" s="10"/>
      <c r="N786" s="10"/>
      <c r="O786" s="10">
        <v>45949</v>
      </c>
      <c r="P786" s="9" t="b">
        <f>TRUE()</f>
        <v>1</v>
      </c>
      <c r="Q786" s="11">
        <v>2043.58</v>
      </c>
    </row>
    <row r="787" spans="1:17" ht="15" customHeight="1" x14ac:dyDescent="0.2">
      <c r="A787" s="9" t="s">
        <v>939</v>
      </c>
      <c r="B787" s="10">
        <v>45754</v>
      </c>
      <c r="C787" s="10">
        <v>45748</v>
      </c>
      <c r="D787" s="9" t="s">
        <v>21</v>
      </c>
      <c r="E787" s="9" t="s">
        <v>24</v>
      </c>
      <c r="F787" s="9" t="s">
        <v>160</v>
      </c>
      <c r="G787" s="9" t="s">
        <v>161</v>
      </c>
      <c r="H787" s="9" t="s">
        <v>183</v>
      </c>
      <c r="I787" s="9" t="b">
        <f>TRUE()</f>
        <v>1</v>
      </c>
      <c r="J787" s="9" t="s">
        <v>152</v>
      </c>
      <c r="K787" s="9" t="s">
        <v>153</v>
      </c>
      <c r="L787" s="10">
        <v>45755</v>
      </c>
      <c r="M787" s="10">
        <v>45760</v>
      </c>
      <c r="N787" s="10"/>
      <c r="O787" s="10">
        <v>45770</v>
      </c>
      <c r="P787" s="9" t="b">
        <f>TRUE()</f>
        <v>1</v>
      </c>
      <c r="Q787" s="11">
        <v>3111.3</v>
      </c>
    </row>
    <row r="788" spans="1:17" ht="15" customHeight="1" x14ac:dyDescent="0.2">
      <c r="A788" s="9" t="s">
        <v>940</v>
      </c>
      <c r="B788" s="10">
        <v>45843</v>
      </c>
      <c r="C788" s="10">
        <v>45839</v>
      </c>
      <c r="D788" s="9" t="s">
        <v>21</v>
      </c>
      <c r="E788" s="9" t="s">
        <v>26</v>
      </c>
      <c r="F788" s="9" t="s">
        <v>149</v>
      </c>
      <c r="G788" s="9" t="s">
        <v>156</v>
      </c>
      <c r="H788" s="9" t="s">
        <v>183</v>
      </c>
      <c r="I788" s="9" t="b">
        <f>TRUE()</f>
        <v>1</v>
      </c>
      <c r="J788" s="9" t="s">
        <v>152</v>
      </c>
      <c r="K788" s="9" t="s">
        <v>153</v>
      </c>
      <c r="L788" s="10">
        <v>45846</v>
      </c>
      <c r="M788" s="10"/>
      <c r="N788" s="10"/>
      <c r="O788" s="10">
        <v>45851</v>
      </c>
      <c r="P788" s="9" t="b">
        <f>TRUE()</f>
        <v>1</v>
      </c>
      <c r="Q788" s="11">
        <v>655.63</v>
      </c>
    </row>
    <row r="789" spans="1:17" ht="15" customHeight="1" x14ac:dyDescent="0.2">
      <c r="A789" s="9" t="s">
        <v>941</v>
      </c>
      <c r="B789" s="10">
        <v>45963</v>
      </c>
      <c r="C789" s="10">
        <v>45962</v>
      </c>
      <c r="D789" s="9" t="s">
        <v>21</v>
      </c>
      <c r="E789" s="9" t="s">
        <v>27</v>
      </c>
      <c r="F789" s="9" t="s">
        <v>186</v>
      </c>
      <c r="G789" s="9" t="s">
        <v>161</v>
      </c>
      <c r="H789" s="9" t="s">
        <v>176</v>
      </c>
      <c r="I789" s="9" t="b">
        <f>TRUE()</f>
        <v>1</v>
      </c>
      <c r="J789" s="9" t="s">
        <v>2</v>
      </c>
      <c r="K789" s="9" t="s">
        <v>153</v>
      </c>
      <c r="L789" s="10">
        <v>45967</v>
      </c>
      <c r="M789" s="10">
        <v>45977</v>
      </c>
      <c r="N789" s="10">
        <v>45995</v>
      </c>
      <c r="O789" s="10"/>
      <c r="P789" s="9" t="b">
        <f>TRUE()</f>
        <v>1</v>
      </c>
      <c r="Q789" s="11">
        <v>2600.23</v>
      </c>
    </row>
    <row r="790" spans="1:17" ht="15" customHeight="1" x14ac:dyDescent="0.2">
      <c r="A790" s="9" t="s">
        <v>942</v>
      </c>
      <c r="B790" s="10">
        <v>45737</v>
      </c>
      <c r="C790" s="10">
        <v>45717</v>
      </c>
      <c r="D790" s="9" t="s">
        <v>18</v>
      </c>
      <c r="E790" s="9" t="s">
        <v>28</v>
      </c>
      <c r="F790" s="9" t="s">
        <v>149</v>
      </c>
      <c r="G790" s="9" t="s">
        <v>156</v>
      </c>
      <c r="H790" s="9" t="s">
        <v>251</v>
      </c>
      <c r="I790" s="9" t="b">
        <f>TRUE()</f>
        <v>1</v>
      </c>
      <c r="J790" s="9" t="s">
        <v>152</v>
      </c>
      <c r="K790" s="9" t="s">
        <v>153</v>
      </c>
      <c r="L790" s="10">
        <v>45739</v>
      </c>
      <c r="M790" s="10">
        <v>45742</v>
      </c>
      <c r="N790" s="10"/>
      <c r="O790" s="10">
        <v>45750</v>
      </c>
      <c r="P790" s="9" t="b">
        <f>TRUE()</f>
        <v>1</v>
      </c>
      <c r="Q790" s="11">
        <v>1050.98</v>
      </c>
    </row>
    <row r="791" spans="1:17" ht="15" customHeight="1" x14ac:dyDescent="0.2">
      <c r="A791" s="9" t="s">
        <v>943</v>
      </c>
      <c r="B791" s="10">
        <v>45839</v>
      </c>
      <c r="C791" s="10">
        <v>45839</v>
      </c>
      <c r="D791" s="9" t="s">
        <v>21</v>
      </c>
      <c r="E791" s="9" t="s">
        <v>28</v>
      </c>
      <c r="F791" s="9" t="s">
        <v>155</v>
      </c>
      <c r="G791" s="9" t="s">
        <v>156</v>
      </c>
      <c r="H791" s="9" t="s">
        <v>176</v>
      </c>
      <c r="I791" s="9" t="b">
        <f>TRUE()</f>
        <v>1</v>
      </c>
      <c r="J791" s="9" t="s">
        <v>2</v>
      </c>
      <c r="K791" s="9" t="s">
        <v>153</v>
      </c>
      <c r="L791" s="10">
        <v>45844</v>
      </c>
      <c r="M791" s="10">
        <v>45852</v>
      </c>
      <c r="N791" s="10">
        <v>45878</v>
      </c>
      <c r="O791" s="10"/>
      <c r="P791" s="9" t="b">
        <f>TRUE()</f>
        <v>1</v>
      </c>
      <c r="Q791" s="11">
        <v>530.54</v>
      </c>
    </row>
    <row r="792" spans="1:17" ht="15" customHeight="1" x14ac:dyDescent="0.2">
      <c r="A792" s="9" t="s">
        <v>944</v>
      </c>
      <c r="B792" s="10">
        <v>45805</v>
      </c>
      <c r="C792" s="10">
        <v>45778</v>
      </c>
      <c r="D792" s="9" t="s">
        <v>20</v>
      </c>
      <c r="E792" s="9" t="s">
        <v>26</v>
      </c>
      <c r="F792" s="9" t="s">
        <v>149</v>
      </c>
      <c r="G792" s="9" t="s">
        <v>161</v>
      </c>
      <c r="H792" s="9" t="s">
        <v>189</v>
      </c>
      <c r="I792" s="9" t="b">
        <f>TRUE()</f>
        <v>1</v>
      </c>
      <c r="J792" s="9" t="s">
        <v>2</v>
      </c>
      <c r="K792" s="9" t="s">
        <v>153</v>
      </c>
      <c r="L792" s="10">
        <v>45807</v>
      </c>
      <c r="M792" s="10">
        <v>45816</v>
      </c>
      <c r="N792" s="10">
        <v>45841</v>
      </c>
      <c r="O792" s="10"/>
      <c r="P792" s="9" t="b">
        <f>TRUE()</f>
        <v>1</v>
      </c>
      <c r="Q792" s="11">
        <v>3026.62</v>
      </c>
    </row>
    <row r="793" spans="1:17" ht="15" customHeight="1" x14ac:dyDescent="0.2">
      <c r="A793" s="9" t="s">
        <v>945</v>
      </c>
      <c r="B793" s="10">
        <v>45838</v>
      </c>
      <c r="C793" s="10">
        <v>45809</v>
      </c>
      <c r="D793" s="9" t="s">
        <v>20</v>
      </c>
      <c r="E793" s="9" t="s">
        <v>24</v>
      </c>
      <c r="F793" s="9" t="s">
        <v>160</v>
      </c>
      <c r="G793" s="9" t="s">
        <v>156</v>
      </c>
      <c r="H793" s="9" t="s">
        <v>189</v>
      </c>
      <c r="I793" s="9" t="b">
        <f>TRUE()</f>
        <v>1</v>
      </c>
      <c r="J793" s="9" t="s">
        <v>152</v>
      </c>
      <c r="K793" s="9" t="s">
        <v>153</v>
      </c>
      <c r="L793" s="10">
        <v>45842</v>
      </c>
      <c r="M793" s="10">
        <v>45847</v>
      </c>
      <c r="N793" s="10"/>
      <c r="O793" s="10">
        <v>45855</v>
      </c>
      <c r="P793" s="9" t="b">
        <f>TRUE()</f>
        <v>1</v>
      </c>
      <c r="Q793" s="11">
        <v>817.43</v>
      </c>
    </row>
    <row r="794" spans="1:17" ht="15" customHeight="1" x14ac:dyDescent="0.2">
      <c r="A794" s="9" t="s">
        <v>946</v>
      </c>
      <c r="B794" s="10">
        <v>46017</v>
      </c>
      <c r="C794" s="10">
        <v>45992</v>
      </c>
      <c r="D794" s="9" t="s">
        <v>20</v>
      </c>
      <c r="E794" s="9" t="s">
        <v>24</v>
      </c>
      <c r="F794" s="9" t="s">
        <v>186</v>
      </c>
      <c r="G794" s="9" t="s">
        <v>156</v>
      </c>
      <c r="H794" s="9" t="s">
        <v>167</v>
      </c>
      <c r="I794" s="9" t="b">
        <f>TRUE()</f>
        <v>1</v>
      </c>
      <c r="J794" s="9" t="s">
        <v>190</v>
      </c>
      <c r="K794" s="9" t="s">
        <v>163</v>
      </c>
      <c r="L794" s="10"/>
      <c r="M794" s="10"/>
      <c r="N794" s="10"/>
      <c r="O794" s="10"/>
      <c r="P794" s="9" t="b">
        <f>TRUE()</f>
        <v>1</v>
      </c>
      <c r="Q794" s="11">
        <v>589.64</v>
      </c>
    </row>
    <row r="795" spans="1:17" ht="15" customHeight="1" x14ac:dyDescent="0.2">
      <c r="A795" s="9" t="s">
        <v>947</v>
      </c>
      <c r="B795" s="10">
        <v>46002</v>
      </c>
      <c r="C795" s="10">
        <v>45992</v>
      </c>
      <c r="D795" s="9" t="s">
        <v>22</v>
      </c>
      <c r="E795" s="9" t="s">
        <v>26</v>
      </c>
      <c r="F795" s="9" t="s">
        <v>186</v>
      </c>
      <c r="G795" s="9" t="s">
        <v>156</v>
      </c>
      <c r="H795" s="9" t="s">
        <v>170</v>
      </c>
      <c r="I795" s="9" t="b">
        <f>TRUE()</f>
        <v>1</v>
      </c>
      <c r="J795" s="9" t="s">
        <v>15</v>
      </c>
      <c r="K795" s="9" t="s">
        <v>153</v>
      </c>
      <c r="L795" s="10">
        <v>46005</v>
      </c>
      <c r="M795" s="10"/>
      <c r="N795" s="10"/>
      <c r="O795" s="10"/>
      <c r="P795" s="9" t="b">
        <f>TRUE()</f>
        <v>1</v>
      </c>
      <c r="Q795" s="11">
        <v>850.04</v>
      </c>
    </row>
    <row r="796" spans="1:17" ht="15" customHeight="1" x14ac:dyDescent="0.2">
      <c r="A796" s="9" t="s">
        <v>948</v>
      </c>
      <c r="B796" s="10">
        <v>45991</v>
      </c>
      <c r="C796" s="10">
        <v>45962</v>
      </c>
      <c r="D796" s="9" t="s">
        <v>20</v>
      </c>
      <c r="E796" s="9" t="s">
        <v>25</v>
      </c>
      <c r="F796" s="9" t="s">
        <v>149</v>
      </c>
      <c r="G796" s="9" t="s">
        <v>161</v>
      </c>
      <c r="H796" s="9" t="s">
        <v>192</v>
      </c>
      <c r="I796" s="9" t="b">
        <f>TRUE()</f>
        <v>1</v>
      </c>
      <c r="J796" s="9" t="s">
        <v>152</v>
      </c>
      <c r="K796" s="9" t="s">
        <v>163</v>
      </c>
      <c r="L796" s="10"/>
      <c r="M796" s="10"/>
      <c r="N796" s="10"/>
      <c r="O796" s="10">
        <v>46011</v>
      </c>
      <c r="P796" s="9" t="b">
        <f>TRUE()</f>
        <v>1</v>
      </c>
      <c r="Q796" s="11">
        <v>3375.69</v>
      </c>
    </row>
    <row r="797" spans="1:17" ht="15" customHeight="1" x14ac:dyDescent="0.2">
      <c r="A797" s="9" t="s">
        <v>949</v>
      </c>
      <c r="B797" s="10">
        <v>45827</v>
      </c>
      <c r="C797" s="10">
        <v>45809</v>
      </c>
      <c r="D797" s="9" t="s">
        <v>20</v>
      </c>
      <c r="E797" s="9" t="s">
        <v>26</v>
      </c>
      <c r="F797" s="9" t="s">
        <v>149</v>
      </c>
      <c r="G797" s="9" t="s">
        <v>156</v>
      </c>
      <c r="H797" s="9" t="s">
        <v>192</v>
      </c>
      <c r="I797" s="9" t="b">
        <f>TRUE()</f>
        <v>1</v>
      </c>
      <c r="J797" s="9" t="s">
        <v>152</v>
      </c>
      <c r="K797" s="9" t="s">
        <v>153</v>
      </c>
      <c r="L797" s="10">
        <v>45831</v>
      </c>
      <c r="M797" s="10">
        <v>45841</v>
      </c>
      <c r="N797" s="10"/>
      <c r="O797" s="10">
        <v>45854</v>
      </c>
      <c r="P797" s="9" t="b">
        <f>TRUE()</f>
        <v>1</v>
      </c>
      <c r="Q797" s="11">
        <v>782.98</v>
      </c>
    </row>
    <row r="798" spans="1:17" ht="15" customHeight="1" x14ac:dyDescent="0.2">
      <c r="A798" s="9" t="s">
        <v>950</v>
      </c>
      <c r="B798" s="10">
        <v>45955</v>
      </c>
      <c r="C798" s="10">
        <v>45931</v>
      </c>
      <c r="D798" s="9" t="s">
        <v>19</v>
      </c>
      <c r="E798" s="9" t="s">
        <v>28</v>
      </c>
      <c r="F798" s="9" t="s">
        <v>186</v>
      </c>
      <c r="G798" s="9" t="s">
        <v>156</v>
      </c>
      <c r="H798" s="9" t="s">
        <v>210</v>
      </c>
      <c r="I798" s="9" t="b">
        <f>TRUE()</f>
        <v>1</v>
      </c>
      <c r="J798" s="9" t="s">
        <v>152</v>
      </c>
      <c r="K798" s="9" t="s">
        <v>163</v>
      </c>
      <c r="L798" s="10"/>
      <c r="M798" s="10"/>
      <c r="N798" s="10"/>
      <c r="O798" s="10">
        <v>45967</v>
      </c>
      <c r="P798" s="9" t="b">
        <f>TRUE()</f>
        <v>1</v>
      </c>
      <c r="Q798" s="11">
        <v>888.33</v>
      </c>
    </row>
    <row r="799" spans="1:17" ht="15" customHeight="1" x14ac:dyDescent="0.2">
      <c r="A799" s="9" t="s">
        <v>951</v>
      </c>
      <c r="B799" s="10">
        <v>45706</v>
      </c>
      <c r="C799" s="10">
        <v>45689</v>
      </c>
      <c r="D799" s="9" t="s">
        <v>22</v>
      </c>
      <c r="E799" s="9" t="s">
        <v>27</v>
      </c>
      <c r="F799" s="9" t="s">
        <v>149</v>
      </c>
      <c r="G799" s="9" t="s">
        <v>150</v>
      </c>
      <c r="H799" s="9" t="s">
        <v>151</v>
      </c>
      <c r="I799" s="9" t="b">
        <f>TRUE()</f>
        <v>1</v>
      </c>
      <c r="J799" s="9" t="s">
        <v>152</v>
      </c>
      <c r="K799" s="9" t="s">
        <v>153</v>
      </c>
      <c r="L799" s="10">
        <v>45708</v>
      </c>
      <c r="M799" s="10"/>
      <c r="N799" s="10"/>
      <c r="O799" s="10">
        <v>45716</v>
      </c>
      <c r="P799" s="9" t="b">
        <f>TRUE()</f>
        <v>1</v>
      </c>
      <c r="Q799" s="11">
        <v>9716.33</v>
      </c>
    </row>
    <row r="800" spans="1:17" ht="15" customHeight="1" x14ac:dyDescent="0.2">
      <c r="A800" s="9" t="s">
        <v>952</v>
      </c>
      <c r="B800" s="10">
        <v>45887</v>
      </c>
      <c r="C800" s="10">
        <v>45870</v>
      </c>
      <c r="D800" s="9" t="s">
        <v>20</v>
      </c>
      <c r="E800" s="9" t="s">
        <v>27</v>
      </c>
      <c r="F800" s="9" t="s">
        <v>155</v>
      </c>
      <c r="G800" s="9" t="s">
        <v>156</v>
      </c>
      <c r="H800" s="9" t="s">
        <v>189</v>
      </c>
      <c r="I800" s="9" t="b">
        <f>TRUE()</f>
        <v>1</v>
      </c>
      <c r="J800" s="9" t="s">
        <v>152</v>
      </c>
      <c r="K800" s="9" t="s">
        <v>153</v>
      </c>
      <c r="L800" s="10">
        <v>45892</v>
      </c>
      <c r="M800" s="10">
        <v>45903</v>
      </c>
      <c r="N800" s="10"/>
      <c r="O800" s="10">
        <v>45908</v>
      </c>
      <c r="P800" s="9" t="b">
        <f>TRUE()</f>
        <v>1</v>
      </c>
      <c r="Q800" s="11">
        <v>614.61</v>
      </c>
    </row>
    <row r="801" spans="1:17" ht="15" customHeight="1" x14ac:dyDescent="0.2">
      <c r="A801" s="9" t="s">
        <v>953</v>
      </c>
      <c r="B801" s="10">
        <v>45736</v>
      </c>
      <c r="C801" s="10">
        <v>45717</v>
      </c>
      <c r="D801" s="9" t="s">
        <v>19</v>
      </c>
      <c r="E801" s="9" t="s">
        <v>25</v>
      </c>
      <c r="F801" s="9" t="s">
        <v>149</v>
      </c>
      <c r="G801" s="9" t="s">
        <v>156</v>
      </c>
      <c r="H801" s="9" t="s">
        <v>210</v>
      </c>
      <c r="I801" s="9" t="b">
        <f>TRUE()</f>
        <v>1</v>
      </c>
      <c r="J801" s="9" t="s">
        <v>152</v>
      </c>
      <c r="K801" s="9" t="s">
        <v>153</v>
      </c>
      <c r="L801" s="10">
        <v>45738</v>
      </c>
      <c r="M801" s="10">
        <v>45753</v>
      </c>
      <c r="N801" s="10"/>
      <c r="O801" s="10">
        <v>45773</v>
      </c>
      <c r="P801" s="9" t="b">
        <f>TRUE()</f>
        <v>1</v>
      </c>
      <c r="Q801" s="11">
        <v>986.39</v>
      </c>
    </row>
    <row r="802" spans="1:17" ht="15" customHeight="1" x14ac:dyDescent="0.2">
      <c r="A802" s="9" t="s">
        <v>954</v>
      </c>
      <c r="B802" s="10">
        <v>45693</v>
      </c>
      <c r="C802" s="10">
        <v>45689</v>
      </c>
      <c r="D802" s="9" t="s">
        <v>19</v>
      </c>
      <c r="E802" s="9" t="s">
        <v>27</v>
      </c>
      <c r="F802" s="9" t="s">
        <v>149</v>
      </c>
      <c r="G802" s="9" t="s">
        <v>161</v>
      </c>
      <c r="H802" s="9" t="s">
        <v>207</v>
      </c>
      <c r="I802" s="9" t="b">
        <f>TRUE()</f>
        <v>1</v>
      </c>
      <c r="J802" s="9" t="s">
        <v>152</v>
      </c>
      <c r="K802" s="9" t="s">
        <v>163</v>
      </c>
      <c r="L802" s="10"/>
      <c r="M802" s="10"/>
      <c r="N802" s="10"/>
      <c r="O802" s="10">
        <v>45701</v>
      </c>
      <c r="P802" s="9" t="b">
        <f>TRUE()</f>
        <v>1</v>
      </c>
      <c r="Q802" s="11">
        <v>2960.38</v>
      </c>
    </row>
    <row r="803" spans="1:17" ht="15" customHeight="1" x14ac:dyDescent="0.2">
      <c r="A803" s="9" t="s">
        <v>955</v>
      </c>
      <c r="B803" s="10">
        <v>45940</v>
      </c>
      <c r="C803" s="10">
        <v>45931</v>
      </c>
      <c r="D803" s="9" t="s">
        <v>20</v>
      </c>
      <c r="E803" s="9" t="s">
        <v>26</v>
      </c>
      <c r="F803" s="9" t="s">
        <v>155</v>
      </c>
      <c r="G803" s="9" t="s">
        <v>161</v>
      </c>
      <c r="H803" s="9" t="s">
        <v>189</v>
      </c>
      <c r="I803" s="9" t="b">
        <f>TRUE()</f>
        <v>1</v>
      </c>
      <c r="J803" s="9" t="s">
        <v>152</v>
      </c>
      <c r="K803" s="9" t="s">
        <v>153</v>
      </c>
      <c r="L803" s="10">
        <v>45943</v>
      </c>
      <c r="M803" s="10"/>
      <c r="N803" s="10"/>
      <c r="O803" s="10">
        <v>45949</v>
      </c>
      <c r="P803" s="9" t="b">
        <f>TRUE()</f>
        <v>1</v>
      </c>
      <c r="Q803" s="11">
        <v>1224.02</v>
      </c>
    </row>
    <row r="804" spans="1:17" ht="15" customHeight="1" x14ac:dyDescent="0.2">
      <c r="A804" s="9" t="s">
        <v>956</v>
      </c>
      <c r="B804" s="10">
        <v>45914</v>
      </c>
      <c r="C804" s="10">
        <v>45901</v>
      </c>
      <c r="D804" s="9" t="s">
        <v>22</v>
      </c>
      <c r="E804" s="9" t="s">
        <v>25</v>
      </c>
      <c r="F804" s="9" t="s">
        <v>160</v>
      </c>
      <c r="G804" s="9" t="s">
        <v>156</v>
      </c>
      <c r="H804" s="9" t="s">
        <v>151</v>
      </c>
      <c r="I804" s="9" t="b">
        <f>TRUE()</f>
        <v>1</v>
      </c>
      <c r="J804" s="9" t="s">
        <v>2</v>
      </c>
      <c r="K804" s="9" t="s">
        <v>153</v>
      </c>
      <c r="L804" s="10">
        <v>45917</v>
      </c>
      <c r="M804" s="10">
        <v>45932</v>
      </c>
      <c r="N804" s="10">
        <v>45962</v>
      </c>
      <c r="O804" s="10"/>
      <c r="P804" s="9" t="b">
        <f>TRUE()</f>
        <v>1</v>
      </c>
      <c r="Q804" s="11">
        <v>549.32000000000005</v>
      </c>
    </row>
    <row r="805" spans="1:17" ht="15" customHeight="1" x14ac:dyDescent="0.2">
      <c r="A805" s="9" t="s">
        <v>957</v>
      </c>
      <c r="B805" s="10">
        <v>45827</v>
      </c>
      <c r="C805" s="10">
        <v>45809</v>
      </c>
      <c r="D805" s="9" t="s">
        <v>18</v>
      </c>
      <c r="E805" s="9" t="s">
        <v>25</v>
      </c>
      <c r="F805" s="9" t="s">
        <v>149</v>
      </c>
      <c r="G805" s="9" t="s">
        <v>161</v>
      </c>
      <c r="H805" s="9" t="s">
        <v>157</v>
      </c>
      <c r="I805" s="9" t="b">
        <f>TRUE()</f>
        <v>1</v>
      </c>
      <c r="J805" s="9" t="s">
        <v>152</v>
      </c>
      <c r="K805" s="9" t="s">
        <v>153</v>
      </c>
      <c r="L805" s="10">
        <v>45834</v>
      </c>
      <c r="M805" s="10">
        <v>45844</v>
      </c>
      <c r="N805" s="10"/>
      <c r="O805" s="10">
        <v>45870</v>
      </c>
      <c r="P805" s="9" t="b">
        <f>TRUE()</f>
        <v>1</v>
      </c>
      <c r="Q805" s="11">
        <v>2852.26</v>
      </c>
    </row>
    <row r="806" spans="1:17" ht="15" customHeight="1" x14ac:dyDescent="0.2">
      <c r="A806" s="9" t="s">
        <v>958</v>
      </c>
      <c r="B806" s="10">
        <v>45868</v>
      </c>
      <c r="C806" s="10">
        <v>45839</v>
      </c>
      <c r="D806" s="9" t="s">
        <v>19</v>
      </c>
      <c r="E806" s="9" t="s">
        <v>27</v>
      </c>
      <c r="F806" s="9" t="s">
        <v>155</v>
      </c>
      <c r="G806" s="9" t="s">
        <v>156</v>
      </c>
      <c r="H806" s="9" t="s">
        <v>207</v>
      </c>
      <c r="I806" s="9" t="b">
        <f>TRUE()</f>
        <v>1</v>
      </c>
      <c r="J806" s="9" t="s">
        <v>152</v>
      </c>
      <c r="K806" s="9" t="s">
        <v>163</v>
      </c>
      <c r="L806" s="10"/>
      <c r="M806" s="10"/>
      <c r="N806" s="10"/>
      <c r="O806" s="10">
        <v>45874</v>
      </c>
      <c r="P806" s="9" t="b">
        <f>TRUE()</f>
        <v>1</v>
      </c>
      <c r="Q806" s="11">
        <v>558.94000000000005</v>
      </c>
    </row>
    <row r="807" spans="1:17" ht="15" customHeight="1" x14ac:dyDescent="0.2">
      <c r="A807" s="9" t="s">
        <v>959</v>
      </c>
      <c r="B807" s="10">
        <v>45939</v>
      </c>
      <c r="C807" s="10">
        <v>45931</v>
      </c>
      <c r="D807" s="9" t="s">
        <v>21</v>
      </c>
      <c r="E807" s="9" t="s">
        <v>26</v>
      </c>
      <c r="F807" s="9" t="s">
        <v>149</v>
      </c>
      <c r="G807" s="9" t="s">
        <v>156</v>
      </c>
      <c r="H807" s="9" t="s">
        <v>183</v>
      </c>
      <c r="I807" s="9" t="b">
        <f>TRUE()</f>
        <v>1</v>
      </c>
      <c r="J807" s="9" t="s">
        <v>152</v>
      </c>
      <c r="K807" s="9" t="s">
        <v>163</v>
      </c>
      <c r="L807" s="10"/>
      <c r="M807" s="10"/>
      <c r="N807" s="10"/>
      <c r="O807" s="10">
        <v>45941</v>
      </c>
      <c r="P807" s="9" t="b">
        <f>TRUE()</f>
        <v>1</v>
      </c>
      <c r="Q807" s="11">
        <v>629.52</v>
      </c>
    </row>
    <row r="808" spans="1:17" ht="15" customHeight="1" x14ac:dyDescent="0.2">
      <c r="A808" s="9" t="s">
        <v>960</v>
      </c>
      <c r="B808" s="10">
        <v>45839</v>
      </c>
      <c r="C808" s="10">
        <v>45839</v>
      </c>
      <c r="D808" s="9" t="s">
        <v>22</v>
      </c>
      <c r="E808" s="9" t="s">
        <v>24</v>
      </c>
      <c r="F808" s="9" t="s">
        <v>186</v>
      </c>
      <c r="G808" s="9" t="s">
        <v>156</v>
      </c>
      <c r="H808" s="9" t="s">
        <v>170</v>
      </c>
      <c r="I808" s="9" t="b">
        <f>TRUE()</f>
        <v>1</v>
      </c>
      <c r="J808" s="9" t="s">
        <v>152</v>
      </c>
      <c r="K808" s="9" t="s">
        <v>163</v>
      </c>
      <c r="L808" s="10"/>
      <c r="M808" s="10"/>
      <c r="N808" s="10"/>
      <c r="O808" s="10">
        <v>45858</v>
      </c>
      <c r="P808" s="9" t="b">
        <f>TRUE()</f>
        <v>1</v>
      </c>
      <c r="Q808" s="11">
        <v>836.51</v>
      </c>
    </row>
    <row r="809" spans="1:17" ht="15" customHeight="1" x14ac:dyDescent="0.2">
      <c r="A809" s="9" t="s">
        <v>961</v>
      </c>
      <c r="B809" s="10">
        <v>45763</v>
      </c>
      <c r="C809" s="10">
        <v>45748</v>
      </c>
      <c r="D809" s="9" t="s">
        <v>19</v>
      </c>
      <c r="E809" s="9" t="s">
        <v>28</v>
      </c>
      <c r="F809" s="9" t="s">
        <v>186</v>
      </c>
      <c r="G809" s="9" t="s">
        <v>156</v>
      </c>
      <c r="H809" s="9" t="s">
        <v>207</v>
      </c>
      <c r="I809" s="9" t="b">
        <f>TRUE()</f>
        <v>1</v>
      </c>
      <c r="J809" s="9" t="s">
        <v>152</v>
      </c>
      <c r="K809" s="9" t="s">
        <v>163</v>
      </c>
      <c r="L809" s="10"/>
      <c r="M809" s="10"/>
      <c r="N809" s="10"/>
      <c r="O809" s="10">
        <v>45783</v>
      </c>
      <c r="P809" s="9" t="b">
        <f>TRUE()</f>
        <v>1</v>
      </c>
      <c r="Q809" s="11">
        <v>631</v>
      </c>
    </row>
    <row r="810" spans="1:17" ht="15" customHeight="1" x14ac:dyDescent="0.2">
      <c r="A810" s="9" t="s">
        <v>962</v>
      </c>
      <c r="B810" s="10">
        <v>45959</v>
      </c>
      <c r="C810" s="10">
        <v>45931</v>
      </c>
      <c r="D810" s="9" t="s">
        <v>19</v>
      </c>
      <c r="E810" s="9" t="s">
        <v>27</v>
      </c>
      <c r="F810" s="9" t="s">
        <v>155</v>
      </c>
      <c r="G810" s="9" t="s">
        <v>150</v>
      </c>
      <c r="H810" s="9" t="s">
        <v>179</v>
      </c>
      <c r="I810" s="9" t="b">
        <f>TRUE()</f>
        <v>1</v>
      </c>
      <c r="J810" s="9" t="s">
        <v>152</v>
      </c>
      <c r="K810" s="9" t="s">
        <v>153</v>
      </c>
      <c r="L810" s="10">
        <v>45969</v>
      </c>
      <c r="M810" s="10"/>
      <c r="N810" s="10"/>
      <c r="O810" s="10">
        <v>45983</v>
      </c>
      <c r="P810" s="9" t="b">
        <f>TRUE()</f>
        <v>1</v>
      </c>
      <c r="Q810" s="11">
        <v>5611.37</v>
      </c>
    </row>
    <row r="811" spans="1:17" ht="15" customHeight="1" x14ac:dyDescent="0.2">
      <c r="A811" s="9" t="s">
        <v>963</v>
      </c>
      <c r="B811" s="10">
        <v>45675</v>
      </c>
      <c r="C811" s="10">
        <v>45658</v>
      </c>
      <c r="D811" s="9" t="s">
        <v>20</v>
      </c>
      <c r="E811" s="9" t="s">
        <v>24</v>
      </c>
      <c r="F811" s="9" t="s">
        <v>149</v>
      </c>
      <c r="G811" s="9" t="s">
        <v>156</v>
      </c>
      <c r="H811" s="9" t="s">
        <v>189</v>
      </c>
      <c r="I811" s="9" t="b">
        <f>TRUE()</f>
        <v>1</v>
      </c>
      <c r="J811" s="9" t="s">
        <v>152</v>
      </c>
      <c r="K811" s="9" t="s">
        <v>163</v>
      </c>
      <c r="L811" s="10"/>
      <c r="M811" s="10"/>
      <c r="N811" s="10"/>
      <c r="O811" s="10">
        <v>45691</v>
      </c>
      <c r="P811" s="9" t="b">
        <f>TRUE()</f>
        <v>1</v>
      </c>
      <c r="Q811" s="11">
        <v>976.37</v>
      </c>
    </row>
    <row r="812" spans="1:17" ht="15" customHeight="1" x14ac:dyDescent="0.2">
      <c r="A812" s="9" t="s">
        <v>964</v>
      </c>
      <c r="B812" s="10">
        <v>45890</v>
      </c>
      <c r="C812" s="10">
        <v>45870</v>
      </c>
      <c r="D812" s="9" t="s">
        <v>18</v>
      </c>
      <c r="E812" s="9" t="s">
        <v>25</v>
      </c>
      <c r="F812" s="9" t="s">
        <v>186</v>
      </c>
      <c r="G812" s="9" t="s">
        <v>156</v>
      </c>
      <c r="H812" s="9" t="s">
        <v>201</v>
      </c>
      <c r="I812" s="9" t="b">
        <f>TRUE()</f>
        <v>1</v>
      </c>
      <c r="J812" s="9" t="s">
        <v>152</v>
      </c>
      <c r="K812" s="9" t="s">
        <v>153</v>
      </c>
      <c r="L812" s="10">
        <v>45893</v>
      </c>
      <c r="M812" s="10">
        <v>45906</v>
      </c>
      <c r="N812" s="10"/>
      <c r="O812" s="10">
        <v>45939</v>
      </c>
      <c r="P812" s="9" t="b">
        <f>TRUE()</f>
        <v>1</v>
      </c>
      <c r="Q812" s="11">
        <v>894.78</v>
      </c>
    </row>
    <row r="813" spans="1:17" ht="15" customHeight="1" x14ac:dyDescent="0.2">
      <c r="A813" s="9" t="s">
        <v>965</v>
      </c>
      <c r="B813" s="10">
        <v>45817</v>
      </c>
      <c r="C813" s="10">
        <v>45809</v>
      </c>
      <c r="D813" s="9" t="s">
        <v>20</v>
      </c>
      <c r="E813" s="9" t="s">
        <v>28</v>
      </c>
      <c r="F813" s="9" t="s">
        <v>149</v>
      </c>
      <c r="G813" s="9" t="s">
        <v>150</v>
      </c>
      <c r="H813" s="9" t="s">
        <v>167</v>
      </c>
      <c r="I813" s="9" t="b">
        <f>TRUE()</f>
        <v>1</v>
      </c>
      <c r="J813" s="9" t="s">
        <v>152</v>
      </c>
      <c r="K813" s="9" t="s">
        <v>163</v>
      </c>
      <c r="L813" s="10"/>
      <c r="M813" s="10"/>
      <c r="N813" s="10"/>
      <c r="O813" s="10">
        <v>45831</v>
      </c>
      <c r="P813" s="9" t="b">
        <f>TRUE()</f>
        <v>1</v>
      </c>
      <c r="Q813" s="11">
        <v>7504.99</v>
      </c>
    </row>
    <row r="814" spans="1:17" ht="15" customHeight="1" x14ac:dyDescent="0.2">
      <c r="A814" s="9" t="s">
        <v>966</v>
      </c>
      <c r="B814" s="10">
        <v>45744</v>
      </c>
      <c r="C814" s="10">
        <v>45717</v>
      </c>
      <c r="D814" s="9" t="s">
        <v>21</v>
      </c>
      <c r="E814" s="9" t="s">
        <v>26</v>
      </c>
      <c r="F814" s="9" t="s">
        <v>149</v>
      </c>
      <c r="G814" s="9" t="s">
        <v>156</v>
      </c>
      <c r="H814" s="9" t="s">
        <v>183</v>
      </c>
      <c r="I814" s="9" t="b">
        <f>TRUE()</f>
        <v>1</v>
      </c>
      <c r="J814" s="9" t="s">
        <v>152</v>
      </c>
      <c r="K814" s="9" t="s">
        <v>153</v>
      </c>
      <c r="L814" s="10">
        <v>45748</v>
      </c>
      <c r="M814" s="10"/>
      <c r="N814" s="10"/>
      <c r="O814" s="10">
        <v>45770</v>
      </c>
      <c r="P814" s="9" t="b">
        <f>TRUE()</f>
        <v>1</v>
      </c>
      <c r="Q814" s="11">
        <v>1096.56</v>
      </c>
    </row>
    <row r="815" spans="1:17" ht="15" customHeight="1" x14ac:dyDescent="0.2">
      <c r="A815" s="9" t="s">
        <v>967</v>
      </c>
      <c r="B815" s="10">
        <v>45931</v>
      </c>
      <c r="C815" s="10">
        <v>45931</v>
      </c>
      <c r="D815" s="9" t="s">
        <v>22</v>
      </c>
      <c r="E815" s="9" t="s">
        <v>24</v>
      </c>
      <c r="F815" s="9" t="s">
        <v>149</v>
      </c>
      <c r="G815" s="9" t="s">
        <v>156</v>
      </c>
      <c r="H815" s="9" t="s">
        <v>151</v>
      </c>
      <c r="I815" s="9" t="b">
        <f>TRUE()</f>
        <v>1</v>
      </c>
      <c r="J815" s="9" t="s">
        <v>152</v>
      </c>
      <c r="K815" s="9" t="s">
        <v>163</v>
      </c>
      <c r="L815" s="10"/>
      <c r="M815" s="10"/>
      <c r="N815" s="10"/>
      <c r="O815" s="10">
        <v>45942</v>
      </c>
      <c r="P815" s="9" t="b">
        <f>TRUE()</f>
        <v>1</v>
      </c>
      <c r="Q815" s="11">
        <v>904.9</v>
      </c>
    </row>
    <row r="816" spans="1:17" ht="15" customHeight="1" x14ac:dyDescent="0.2">
      <c r="A816" s="9" t="s">
        <v>968</v>
      </c>
      <c r="B816" s="10">
        <v>45941</v>
      </c>
      <c r="C816" s="10">
        <v>45931</v>
      </c>
      <c r="D816" s="9" t="s">
        <v>22</v>
      </c>
      <c r="E816" s="9" t="s">
        <v>25</v>
      </c>
      <c r="F816" s="9" t="s">
        <v>149</v>
      </c>
      <c r="G816" s="9" t="s">
        <v>150</v>
      </c>
      <c r="H816" s="9" t="s">
        <v>165</v>
      </c>
      <c r="I816" s="9" t="b">
        <f>TRUE()</f>
        <v>1</v>
      </c>
      <c r="J816" s="9" t="s">
        <v>152</v>
      </c>
      <c r="K816" s="9" t="s">
        <v>163</v>
      </c>
      <c r="L816" s="10"/>
      <c r="M816" s="10"/>
      <c r="N816" s="10"/>
      <c r="O816" s="10">
        <v>45955</v>
      </c>
      <c r="P816" s="9" t="b">
        <f>TRUE()</f>
        <v>1</v>
      </c>
      <c r="Q816" s="11">
        <v>10447.99</v>
      </c>
    </row>
    <row r="817" spans="1:17" ht="15" customHeight="1" x14ac:dyDescent="0.2">
      <c r="A817" s="9" t="s">
        <v>969</v>
      </c>
      <c r="B817" s="10">
        <v>45900</v>
      </c>
      <c r="C817" s="10">
        <v>45870</v>
      </c>
      <c r="D817" s="9" t="s">
        <v>21</v>
      </c>
      <c r="E817" s="9" t="s">
        <v>24</v>
      </c>
      <c r="F817" s="9" t="s">
        <v>149</v>
      </c>
      <c r="G817" s="9" t="s">
        <v>161</v>
      </c>
      <c r="H817" s="9" t="s">
        <v>176</v>
      </c>
      <c r="I817" s="9" t="b">
        <f>TRUE()</f>
        <v>1</v>
      </c>
      <c r="J817" s="9" t="s">
        <v>152</v>
      </c>
      <c r="K817" s="9" t="s">
        <v>153</v>
      </c>
      <c r="L817" s="10">
        <v>45901</v>
      </c>
      <c r="M817" s="10"/>
      <c r="N817" s="10"/>
      <c r="O817" s="10">
        <v>45911</v>
      </c>
      <c r="P817" s="9" t="b">
        <f>TRUE()</f>
        <v>1</v>
      </c>
      <c r="Q817" s="11">
        <v>2663.05</v>
      </c>
    </row>
    <row r="818" spans="1:17" ht="15" customHeight="1" x14ac:dyDescent="0.2">
      <c r="A818" s="9" t="s">
        <v>970</v>
      </c>
      <c r="B818" s="10">
        <v>45687</v>
      </c>
      <c r="C818" s="10">
        <v>45658</v>
      </c>
      <c r="D818" s="9" t="s">
        <v>21</v>
      </c>
      <c r="E818" s="9" t="s">
        <v>27</v>
      </c>
      <c r="F818" s="9" t="s">
        <v>149</v>
      </c>
      <c r="G818" s="9" t="s">
        <v>156</v>
      </c>
      <c r="H818" s="9" t="s">
        <v>162</v>
      </c>
      <c r="I818" s="9" t="b">
        <f>TRUE()</f>
        <v>1</v>
      </c>
      <c r="J818" s="9" t="s">
        <v>2</v>
      </c>
      <c r="K818" s="9" t="s">
        <v>153</v>
      </c>
      <c r="L818" s="10">
        <v>45694</v>
      </c>
      <c r="M818" s="10">
        <v>45697</v>
      </c>
      <c r="N818" s="10">
        <v>45721</v>
      </c>
      <c r="O818" s="10"/>
      <c r="P818" s="9" t="b">
        <f>TRUE()</f>
        <v>1</v>
      </c>
      <c r="Q818" s="11">
        <v>910.5</v>
      </c>
    </row>
    <row r="819" spans="1:17" ht="15" customHeight="1" x14ac:dyDescent="0.2">
      <c r="A819" s="9" t="s">
        <v>971</v>
      </c>
      <c r="B819" s="10">
        <v>45750</v>
      </c>
      <c r="C819" s="10">
        <v>45748</v>
      </c>
      <c r="D819" s="9" t="s">
        <v>19</v>
      </c>
      <c r="E819" s="9" t="s">
        <v>24</v>
      </c>
      <c r="F819" s="9" t="s">
        <v>160</v>
      </c>
      <c r="G819" s="9" t="s">
        <v>156</v>
      </c>
      <c r="H819" s="9" t="s">
        <v>207</v>
      </c>
      <c r="I819" s="9" t="b">
        <f>TRUE()</f>
        <v>1</v>
      </c>
      <c r="J819" s="9" t="s">
        <v>152</v>
      </c>
      <c r="K819" s="9" t="s">
        <v>153</v>
      </c>
      <c r="L819" s="10">
        <v>45757</v>
      </c>
      <c r="M819" s="10">
        <v>45770</v>
      </c>
      <c r="N819" s="10"/>
      <c r="O819" s="10">
        <v>45792</v>
      </c>
      <c r="P819" s="9" t="b">
        <f>TRUE()</f>
        <v>1</v>
      </c>
      <c r="Q819" s="11">
        <v>618.32000000000005</v>
      </c>
    </row>
    <row r="820" spans="1:17" ht="15" customHeight="1" x14ac:dyDescent="0.2">
      <c r="A820" s="9" t="s">
        <v>972</v>
      </c>
      <c r="B820" s="10">
        <v>45706</v>
      </c>
      <c r="C820" s="10">
        <v>45689</v>
      </c>
      <c r="D820" s="9" t="s">
        <v>20</v>
      </c>
      <c r="E820" s="9" t="s">
        <v>24</v>
      </c>
      <c r="F820" s="9" t="s">
        <v>149</v>
      </c>
      <c r="G820" s="9" t="s">
        <v>150</v>
      </c>
      <c r="H820" s="9" t="s">
        <v>192</v>
      </c>
      <c r="I820" s="9" t="b">
        <f>TRUE()</f>
        <v>1</v>
      </c>
      <c r="J820" s="9" t="s">
        <v>152</v>
      </c>
      <c r="K820" s="9" t="s">
        <v>153</v>
      </c>
      <c r="L820" s="10">
        <v>45715</v>
      </c>
      <c r="M820" s="10"/>
      <c r="N820" s="10"/>
      <c r="O820" s="10">
        <v>45731</v>
      </c>
      <c r="P820" s="9" t="b">
        <f>TRUE()</f>
        <v>1</v>
      </c>
      <c r="Q820" s="11">
        <v>11122.14</v>
      </c>
    </row>
    <row r="821" spans="1:17" ht="15" customHeight="1" x14ac:dyDescent="0.2">
      <c r="A821" s="9" t="s">
        <v>973</v>
      </c>
      <c r="B821" s="10">
        <v>45999</v>
      </c>
      <c r="C821" s="10">
        <v>45992</v>
      </c>
      <c r="D821" s="9" t="s">
        <v>19</v>
      </c>
      <c r="E821" s="9" t="s">
        <v>24</v>
      </c>
      <c r="F821" s="9" t="s">
        <v>186</v>
      </c>
      <c r="G821" s="9" t="s">
        <v>161</v>
      </c>
      <c r="H821" s="9" t="s">
        <v>210</v>
      </c>
      <c r="I821" s="9" t="b">
        <f>TRUE()</f>
        <v>1</v>
      </c>
      <c r="J821" s="9" t="s">
        <v>190</v>
      </c>
      <c r="K821" s="9" t="s">
        <v>163</v>
      </c>
      <c r="L821" s="10"/>
      <c r="M821" s="10"/>
      <c r="N821" s="10"/>
      <c r="O821" s="10"/>
      <c r="P821" s="9" t="b">
        <f>TRUE()</f>
        <v>1</v>
      </c>
      <c r="Q821" s="11">
        <v>1674.85</v>
      </c>
    </row>
    <row r="822" spans="1:17" ht="15" customHeight="1" x14ac:dyDescent="0.2">
      <c r="A822" s="9" t="s">
        <v>65</v>
      </c>
      <c r="B822" s="10">
        <v>45839</v>
      </c>
      <c r="C822" s="10">
        <v>45839</v>
      </c>
      <c r="D822" s="9" t="s">
        <v>19</v>
      </c>
      <c r="E822" s="9" t="s">
        <v>28</v>
      </c>
      <c r="F822" s="9" t="s">
        <v>155</v>
      </c>
      <c r="G822" s="9" t="s">
        <v>156</v>
      </c>
      <c r="H822" s="9" t="s">
        <v>265</v>
      </c>
      <c r="I822" s="9" t="b">
        <f>FALSE()</f>
        <v>0</v>
      </c>
      <c r="J822" s="9" t="s">
        <v>152</v>
      </c>
      <c r="K822" s="9" t="s">
        <v>153</v>
      </c>
      <c r="L822" s="10">
        <v>45845</v>
      </c>
      <c r="M822" s="10"/>
      <c r="N822" s="10"/>
      <c r="O822" s="10">
        <v>45867</v>
      </c>
      <c r="P822" s="9" t="b">
        <f>TRUE()</f>
        <v>1</v>
      </c>
      <c r="Q822" s="11">
        <v>440.53</v>
      </c>
    </row>
    <row r="823" spans="1:17" ht="15" customHeight="1" x14ac:dyDescent="0.2">
      <c r="A823" s="9" t="s">
        <v>974</v>
      </c>
      <c r="B823" s="10">
        <v>45698</v>
      </c>
      <c r="C823" s="10">
        <v>45689</v>
      </c>
      <c r="D823" s="9" t="s">
        <v>22</v>
      </c>
      <c r="E823" s="9" t="s">
        <v>27</v>
      </c>
      <c r="F823" s="9" t="s">
        <v>186</v>
      </c>
      <c r="G823" s="9" t="s">
        <v>156</v>
      </c>
      <c r="H823" s="9" t="s">
        <v>165</v>
      </c>
      <c r="I823" s="9" t="b">
        <f>TRUE()</f>
        <v>1</v>
      </c>
      <c r="J823" s="9" t="s">
        <v>152</v>
      </c>
      <c r="K823" s="9" t="s">
        <v>153</v>
      </c>
      <c r="L823" s="10">
        <v>45703</v>
      </c>
      <c r="M823" s="10"/>
      <c r="N823" s="10"/>
      <c r="O823" s="10">
        <v>45709</v>
      </c>
      <c r="P823" s="9" t="b">
        <f>TRUE()</f>
        <v>1</v>
      </c>
      <c r="Q823" s="11">
        <v>708.3</v>
      </c>
    </row>
    <row r="824" spans="1:17" ht="15" customHeight="1" x14ac:dyDescent="0.2">
      <c r="A824" s="9" t="s">
        <v>975</v>
      </c>
      <c r="B824" s="10">
        <v>45659</v>
      </c>
      <c r="C824" s="10">
        <v>45658</v>
      </c>
      <c r="D824" s="9" t="s">
        <v>20</v>
      </c>
      <c r="E824" s="9" t="s">
        <v>26</v>
      </c>
      <c r="F824" s="9" t="s">
        <v>149</v>
      </c>
      <c r="G824" s="9" t="s">
        <v>161</v>
      </c>
      <c r="H824" s="9" t="s">
        <v>192</v>
      </c>
      <c r="I824" s="9" t="b">
        <f>TRUE()</f>
        <v>1</v>
      </c>
      <c r="J824" s="9" t="s">
        <v>152</v>
      </c>
      <c r="K824" s="9" t="s">
        <v>153</v>
      </c>
      <c r="L824" s="10">
        <v>45667</v>
      </c>
      <c r="M824" s="10">
        <v>45682</v>
      </c>
      <c r="N824" s="10"/>
      <c r="O824" s="10">
        <v>45703</v>
      </c>
      <c r="P824" s="9" t="b">
        <f>TRUE()</f>
        <v>1</v>
      </c>
      <c r="Q824" s="11">
        <v>2916.68</v>
      </c>
    </row>
    <row r="825" spans="1:17" ht="15" customHeight="1" x14ac:dyDescent="0.2">
      <c r="A825" s="9" t="s">
        <v>976</v>
      </c>
      <c r="B825" s="10">
        <v>45947</v>
      </c>
      <c r="C825" s="10">
        <v>45931</v>
      </c>
      <c r="D825" s="9" t="s">
        <v>20</v>
      </c>
      <c r="E825" s="9" t="s">
        <v>27</v>
      </c>
      <c r="F825" s="9" t="s">
        <v>149</v>
      </c>
      <c r="G825" s="9" t="s">
        <v>161</v>
      </c>
      <c r="H825" s="9" t="s">
        <v>192</v>
      </c>
      <c r="I825" s="9" t="b">
        <f>TRUE()</f>
        <v>1</v>
      </c>
      <c r="J825" s="9" t="s">
        <v>152</v>
      </c>
      <c r="K825" s="9" t="s">
        <v>153</v>
      </c>
      <c r="L825" s="10">
        <v>45949</v>
      </c>
      <c r="M825" s="10">
        <v>45952</v>
      </c>
      <c r="N825" s="10"/>
      <c r="O825" s="10">
        <v>45961</v>
      </c>
      <c r="P825" s="9" t="b">
        <f>TRUE()</f>
        <v>1</v>
      </c>
      <c r="Q825" s="11">
        <v>3278.57</v>
      </c>
    </row>
    <row r="826" spans="1:17" ht="15" customHeight="1" x14ac:dyDescent="0.2">
      <c r="A826" s="9" t="s">
        <v>977</v>
      </c>
      <c r="B826" s="10">
        <v>45672</v>
      </c>
      <c r="C826" s="10">
        <v>45658</v>
      </c>
      <c r="D826" s="9" t="s">
        <v>21</v>
      </c>
      <c r="E826" s="9" t="s">
        <v>26</v>
      </c>
      <c r="F826" s="9" t="s">
        <v>155</v>
      </c>
      <c r="G826" s="9" t="s">
        <v>150</v>
      </c>
      <c r="H826" s="9" t="s">
        <v>162</v>
      </c>
      <c r="I826" s="9" t="b">
        <f>TRUE()</f>
        <v>1</v>
      </c>
      <c r="J826" s="9" t="s">
        <v>152</v>
      </c>
      <c r="K826" s="9" t="s">
        <v>153</v>
      </c>
      <c r="L826" s="10">
        <v>45676</v>
      </c>
      <c r="M826" s="10">
        <v>45681</v>
      </c>
      <c r="N826" s="10"/>
      <c r="O826" s="10">
        <v>45698</v>
      </c>
      <c r="P826" s="9" t="b">
        <f>TRUE()</f>
        <v>1</v>
      </c>
      <c r="Q826" s="11">
        <v>3980.66</v>
      </c>
    </row>
    <row r="827" spans="1:17" ht="15" customHeight="1" x14ac:dyDescent="0.2">
      <c r="A827" s="9" t="s">
        <v>978</v>
      </c>
      <c r="B827" s="10">
        <v>45894</v>
      </c>
      <c r="C827" s="10">
        <v>45870</v>
      </c>
      <c r="D827" s="9" t="s">
        <v>19</v>
      </c>
      <c r="E827" s="9" t="s">
        <v>28</v>
      </c>
      <c r="F827" s="9" t="s">
        <v>149</v>
      </c>
      <c r="G827" s="9" t="s">
        <v>161</v>
      </c>
      <c r="H827" s="9" t="s">
        <v>210</v>
      </c>
      <c r="I827" s="9" t="b">
        <f>TRUE()</f>
        <v>1</v>
      </c>
      <c r="J827" s="9" t="s">
        <v>152</v>
      </c>
      <c r="K827" s="9" t="s">
        <v>163</v>
      </c>
      <c r="L827" s="10"/>
      <c r="M827" s="10"/>
      <c r="N827" s="10"/>
      <c r="O827" s="10">
        <v>45906</v>
      </c>
      <c r="P827" s="9" t="b">
        <f>TRUE()</f>
        <v>1</v>
      </c>
      <c r="Q827" s="11">
        <v>3113.99</v>
      </c>
    </row>
    <row r="828" spans="1:17" ht="15" customHeight="1" x14ac:dyDescent="0.2">
      <c r="A828" s="9" t="s">
        <v>979</v>
      </c>
      <c r="B828" s="10">
        <v>45804</v>
      </c>
      <c r="C828" s="10">
        <v>45778</v>
      </c>
      <c r="D828" s="9" t="s">
        <v>22</v>
      </c>
      <c r="E828" s="9" t="s">
        <v>28</v>
      </c>
      <c r="F828" s="9" t="s">
        <v>155</v>
      </c>
      <c r="G828" s="9" t="s">
        <v>161</v>
      </c>
      <c r="H828" s="9" t="s">
        <v>165</v>
      </c>
      <c r="I828" s="9" t="b">
        <f>TRUE()</f>
        <v>1</v>
      </c>
      <c r="J828" s="9" t="s">
        <v>152</v>
      </c>
      <c r="K828" s="9" t="s">
        <v>163</v>
      </c>
      <c r="L828" s="10"/>
      <c r="M828" s="10"/>
      <c r="N828" s="10"/>
      <c r="O828" s="10">
        <v>45820</v>
      </c>
      <c r="P828" s="9" t="b">
        <f>TRUE()</f>
        <v>1</v>
      </c>
      <c r="Q828" s="11">
        <v>2222.37</v>
      </c>
    </row>
    <row r="829" spans="1:17" ht="15" customHeight="1" x14ac:dyDescent="0.2">
      <c r="A829" s="9" t="s">
        <v>980</v>
      </c>
      <c r="B829" s="10">
        <v>45833</v>
      </c>
      <c r="C829" s="10">
        <v>45809</v>
      </c>
      <c r="D829" s="9" t="s">
        <v>18</v>
      </c>
      <c r="E829" s="9" t="s">
        <v>26</v>
      </c>
      <c r="F829" s="9" t="s">
        <v>186</v>
      </c>
      <c r="G829" s="9" t="s">
        <v>161</v>
      </c>
      <c r="H829" s="9" t="s">
        <v>251</v>
      </c>
      <c r="I829" s="9" t="b">
        <f>TRUE()</f>
        <v>1</v>
      </c>
      <c r="J829" s="9" t="s">
        <v>152</v>
      </c>
      <c r="K829" s="9" t="s">
        <v>153</v>
      </c>
      <c r="L829" s="10">
        <v>45838</v>
      </c>
      <c r="M829" s="10">
        <v>45845</v>
      </c>
      <c r="N829" s="10"/>
      <c r="O829" s="10">
        <v>45865</v>
      </c>
      <c r="P829" s="9" t="b">
        <f>TRUE()</f>
        <v>1</v>
      </c>
      <c r="Q829" s="11">
        <v>2379.9699999999998</v>
      </c>
    </row>
    <row r="830" spans="1:17" ht="15" customHeight="1" x14ac:dyDescent="0.2">
      <c r="A830" s="9" t="s">
        <v>981</v>
      </c>
      <c r="B830" s="10">
        <v>45681</v>
      </c>
      <c r="C830" s="10">
        <v>45658</v>
      </c>
      <c r="D830" s="9" t="s">
        <v>20</v>
      </c>
      <c r="E830" s="9" t="s">
        <v>24</v>
      </c>
      <c r="F830" s="9" t="s">
        <v>149</v>
      </c>
      <c r="G830" s="9" t="s">
        <v>156</v>
      </c>
      <c r="H830" s="9" t="s">
        <v>167</v>
      </c>
      <c r="I830" s="9" t="b">
        <f>TRUE()</f>
        <v>1</v>
      </c>
      <c r="J830" s="9" t="s">
        <v>152</v>
      </c>
      <c r="K830" s="9" t="s">
        <v>153</v>
      </c>
      <c r="L830" s="10">
        <v>45686</v>
      </c>
      <c r="M830" s="10"/>
      <c r="N830" s="10"/>
      <c r="O830" s="10">
        <v>45693</v>
      </c>
      <c r="P830" s="9" t="b">
        <f>TRUE()</f>
        <v>1</v>
      </c>
      <c r="Q830" s="11">
        <v>940.44</v>
      </c>
    </row>
    <row r="831" spans="1:17" ht="15" customHeight="1" x14ac:dyDescent="0.2">
      <c r="A831" s="9" t="s">
        <v>66</v>
      </c>
      <c r="B831" s="10">
        <v>45837</v>
      </c>
      <c r="C831" s="10">
        <v>45809</v>
      </c>
      <c r="D831" s="9" t="s">
        <v>22</v>
      </c>
      <c r="E831" s="9" t="s">
        <v>24</v>
      </c>
      <c r="F831" s="9" t="s">
        <v>149</v>
      </c>
      <c r="G831" s="9" t="s">
        <v>150</v>
      </c>
      <c r="H831" s="9" t="s">
        <v>265</v>
      </c>
      <c r="I831" s="9" t="b">
        <f>FALSE()</f>
        <v>0</v>
      </c>
      <c r="J831" s="9" t="s">
        <v>152</v>
      </c>
      <c r="K831" s="9" t="s">
        <v>163</v>
      </c>
      <c r="L831" s="10"/>
      <c r="M831" s="10"/>
      <c r="N831" s="10"/>
      <c r="O831" s="10">
        <v>45849</v>
      </c>
      <c r="P831" s="9" t="b">
        <f>TRUE()</f>
        <v>1</v>
      </c>
      <c r="Q831" s="11">
        <v>9399.91</v>
      </c>
    </row>
    <row r="832" spans="1:17" ht="15" customHeight="1" x14ac:dyDescent="0.2">
      <c r="A832" s="9" t="s">
        <v>982</v>
      </c>
      <c r="B832" s="10">
        <v>45814</v>
      </c>
      <c r="C832" s="10">
        <v>45809</v>
      </c>
      <c r="D832" s="9" t="s">
        <v>18</v>
      </c>
      <c r="E832" s="9" t="s">
        <v>24</v>
      </c>
      <c r="F832" s="9" t="s">
        <v>186</v>
      </c>
      <c r="G832" s="9" t="s">
        <v>156</v>
      </c>
      <c r="H832" s="9" t="s">
        <v>157</v>
      </c>
      <c r="I832" s="9" t="b">
        <f>TRUE()</f>
        <v>1</v>
      </c>
      <c r="J832" s="9" t="s">
        <v>152</v>
      </c>
      <c r="K832" s="9" t="s">
        <v>153</v>
      </c>
      <c r="L832" s="10">
        <v>45820</v>
      </c>
      <c r="M832" s="10"/>
      <c r="N832" s="10"/>
      <c r="O832" s="10">
        <v>45825</v>
      </c>
      <c r="P832" s="9" t="b">
        <f>TRUE()</f>
        <v>1</v>
      </c>
      <c r="Q832" s="11">
        <v>726.4</v>
      </c>
    </row>
    <row r="833" spans="1:17" ht="15" customHeight="1" x14ac:dyDescent="0.2">
      <c r="A833" s="9" t="s">
        <v>59</v>
      </c>
      <c r="B833" s="10">
        <v>45765</v>
      </c>
      <c r="C833" s="10">
        <v>45748</v>
      </c>
      <c r="D833" s="9" t="s">
        <v>20</v>
      </c>
      <c r="E833" s="9" t="s">
        <v>375</v>
      </c>
      <c r="F833" s="9" t="s">
        <v>149</v>
      </c>
      <c r="G833" s="9" t="s">
        <v>150</v>
      </c>
      <c r="H833" s="9" t="s">
        <v>167</v>
      </c>
      <c r="I833" s="9" t="b">
        <f>TRUE()</f>
        <v>1</v>
      </c>
      <c r="J833" s="9" t="s">
        <v>152</v>
      </c>
      <c r="K833" s="9" t="s">
        <v>163</v>
      </c>
      <c r="L833" s="10"/>
      <c r="M833" s="10"/>
      <c r="N833" s="10"/>
      <c r="O833" s="10">
        <v>45772</v>
      </c>
      <c r="P833" s="9" t="b">
        <f>TRUE()</f>
        <v>1</v>
      </c>
      <c r="Q833" s="11">
        <v>7486.4</v>
      </c>
    </row>
    <row r="834" spans="1:17" ht="15" customHeight="1" x14ac:dyDescent="0.2">
      <c r="A834" s="9" t="s">
        <v>983</v>
      </c>
      <c r="B834" s="10">
        <v>45813</v>
      </c>
      <c r="C834" s="10">
        <v>45809</v>
      </c>
      <c r="D834" s="9" t="s">
        <v>20</v>
      </c>
      <c r="E834" s="9" t="s">
        <v>25</v>
      </c>
      <c r="F834" s="9" t="s">
        <v>155</v>
      </c>
      <c r="G834" s="9" t="s">
        <v>161</v>
      </c>
      <c r="H834" s="9" t="s">
        <v>189</v>
      </c>
      <c r="I834" s="9" t="b">
        <f>TRUE()</f>
        <v>1</v>
      </c>
      <c r="J834" s="9" t="s">
        <v>152</v>
      </c>
      <c r="K834" s="9" t="s">
        <v>163</v>
      </c>
      <c r="L834" s="10"/>
      <c r="M834" s="10"/>
      <c r="N834" s="10"/>
      <c r="O834" s="10">
        <v>45825</v>
      </c>
      <c r="P834" s="9" t="b">
        <f>TRUE()</f>
        <v>1</v>
      </c>
      <c r="Q834" s="11">
        <v>1412.78</v>
      </c>
    </row>
    <row r="835" spans="1:17" ht="15" customHeight="1" x14ac:dyDescent="0.2">
      <c r="A835" s="9" t="s">
        <v>984</v>
      </c>
      <c r="B835" s="10">
        <v>45660</v>
      </c>
      <c r="C835" s="10">
        <v>45658</v>
      </c>
      <c r="D835" s="9" t="s">
        <v>21</v>
      </c>
      <c r="E835" s="9" t="s">
        <v>25</v>
      </c>
      <c r="F835" s="9" t="s">
        <v>149</v>
      </c>
      <c r="G835" s="9" t="s">
        <v>156</v>
      </c>
      <c r="H835" s="9" t="s">
        <v>183</v>
      </c>
      <c r="I835" s="9" t="b">
        <f>TRUE()</f>
        <v>1</v>
      </c>
      <c r="J835" s="9" t="s">
        <v>152</v>
      </c>
      <c r="K835" s="9" t="s">
        <v>153</v>
      </c>
      <c r="L835" s="10">
        <v>45665</v>
      </c>
      <c r="M835" s="10"/>
      <c r="N835" s="10"/>
      <c r="O835" s="10">
        <v>45690</v>
      </c>
      <c r="P835" s="9" t="b">
        <f>TRUE()</f>
        <v>1</v>
      </c>
      <c r="Q835" s="11">
        <v>1104.29</v>
      </c>
    </row>
    <row r="836" spans="1:17" ht="15" customHeight="1" x14ac:dyDescent="0.2">
      <c r="A836" s="9" t="s">
        <v>985</v>
      </c>
      <c r="B836" s="10">
        <v>45861</v>
      </c>
      <c r="C836" s="10">
        <v>45839</v>
      </c>
      <c r="D836" s="9" t="s">
        <v>20</v>
      </c>
      <c r="E836" s="9" t="s">
        <v>26</v>
      </c>
      <c r="F836" s="9" t="s">
        <v>155</v>
      </c>
      <c r="G836" s="9" t="s">
        <v>156</v>
      </c>
      <c r="H836" s="9" t="s">
        <v>192</v>
      </c>
      <c r="I836" s="9" t="b">
        <f>TRUE()</f>
        <v>1</v>
      </c>
      <c r="J836" s="9" t="s">
        <v>152</v>
      </c>
      <c r="K836" s="9" t="s">
        <v>163</v>
      </c>
      <c r="L836" s="10"/>
      <c r="M836" s="10"/>
      <c r="N836" s="10"/>
      <c r="O836" s="10">
        <v>45873</v>
      </c>
      <c r="P836" s="9" t="b">
        <f>TRUE()</f>
        <v>1</v>
      </c>
      <c r="Q836" s="11">
        <v>574.80999999999995</v>
      </c>
    </row>
    <row r="837" spans="1:17" ht="15" customHeight="1" x14ac:dyDescent="0.2">
      <c r="A837" s="9" t="s">
        <v>986</v>
      </c>
      <c r="B837" s="10">
        <v>45763</v>
      </c>
      <c r="C837" s="10">
        <v>45748</v>
      </c>
      <c r="D837" s="9" t="s">
        <v>21</v>
      </c>
      <c r="E837" s="9" t="s">
        <v>25</v>
      </c>
      <c r="F837" s="9" t="s">
        <v>186</v>
      </c>
      <c r="G837" s="9" t="s">
        <v>161</v>
      </c>
      <c r="H837" s="9" t="s">
        <v>176</v>
      </c>
      <c r="I837" s="9" t="b">
        <f>TRUE()</f>
        <v>1</v>
      </c>
      <c r="J837" s="9" t="s">
        <v>2</v>
      </c>
      <c r="K837" s="9" t="s">
        <v>153</v>
      </c>
      <c r="L837" s="10">
        <v>45769</v>
      </c>
      <c r="M837" s="10">
        <v>45781</v>
      </c>
      <c r="N837" s="10">
        <v>45807</v>
      </c>
      <c r="O837" s="10"/>
      <c r="P837" s="9" t="b">
        <f>TRUE()</f>
        <v>1</v>
      </c>
      <c r="Q837" s="11">
        <v>2405.5</v>
      </c>
    </row>
    <row r="838" spans="1:17" ht="15" customHeight="1" x14ac:dyDescent="0.2">
      <c r="A838" s="9" t="s">
        <v>987</v>
      </c>
      <c r="B838" s="10">
        <v>45661</v>
      </c>
      <c r="C838" s="10">
        <v>45658</v>
      </c>
      <c r="D838" s="9" t="s">
        <v>21</v>
      </c>
      <c r="E838" s="9" t="s">
        <v>28</v>
      </c>
      <c r="F838" s="9" t="s">
        <v>160</v>
      </c>
      <c r="G838" s="9" t="s">
        <v>150</v>
      </c>
      <c r="H838" s="9" t="s">
        <v>183</v>
      </c>
      <c r="I838" s="9" t="b">
        <f>TRUE()</f>
        <v>1</v>
      </c>
      <c r="J838" s="9" t="s">
        <v>152</v>
      </c>
      <c r="K838" s="9" t="s">
        <v>163</v>
      </c>
      <c r="L838" s="10"/>
      <c r="M838" s="10"/>
      <c r="N838" s="10"/>
      <c r="O838" s="10">
        <v>45669</v>
      </c>
      <c r="P838" s="9" t="b">
        <f>TRUE()</f>
        <v>1</v>
      </c>
      <c r="Q838" s="11">
        <v>7432.92</v>
      </c>
    </row>
    <row r="839" spans="1:17" ht="15" customHeight="1" x14ac:dyDescent="0.2">
      <c r="A839" s="9" t="s">
        <v>988</v>
      </c>
      <c r="B839" s="10">
        <v>45695</v>
      </c>
      <c r="C839" s="10">
        <v>45689</v>
      </c>
      <c r="D839" s="9" t="s">
        <v>19</v>
      </c>
      <c r="E839" s="9" t="s">
        <v>24</v>
      </c>
      <c r="F839" s="9" t="s">
        <v>149</v>
      </c>
      <c r="G839" s="9" t="s">
        <v>161</v>
      </c>
      <c r="H839" s="9" t="s">
        <v>210</v>
      </c>
      <c r="I839" s="9" t="b">
        <f>TRUE()</f>
        <v>1</v>
      </c>
      <c r="J839" s="9" t="s">
        <v>152</v>
      </c>
      <c r="K839" s="9" t="s">
        <v>163</v>
      </c>
      <c r="L839" s="10"/>
      <c r="M839" s="10"/>
      <c r="N839" s="10"/>
      <c r="O839" s="10">
        <v>45710</v>
      </c>
      <c r="P839" s="9" t="b">
        <f>TRUE()</f>
        <v>1</v>
      </c>
      <c r="Q839" s="11">
        <v>2707.72</v>
      </c>
    </row>
    <row r="840" spans="1:17" ht="15" customHeight="1" x14ac:dyDescent="0.2">
      <c r="A840" s="9" t="s">
        <v>989</v>
      </c>
      <c r="B840" s="10">
        <v>45834</v>
      </c>
      <c r="C840" s="10">
        <v>45809</v>
      </c>
      <c r="D840" s="9" t="s">
        <v>20</v>
      </c>
      <c r="E840" s="9" t="s">
        <v>28</v>
      </c>
      <c r="F840" s="9" t="s">
        <v>149</v>
      </c>
      <c r="G840" s="9" t="s">
        <v>161</v>
      </c>
      <c r="H840" s="9" t="s">
        <v>167</v>
      </c>
      <c r="I840" s="9" t="b">
        <f>TRUE()</f>
        <v>1</v>
      </c>
      <c r="J840" s="9" t="s">
        <v>152</v>
      </c>
      <c r="K840" s="9" t="s">
        <v>153</v>
      </c>
      <c r="L840" s="10">
        <v>45837</v>
      </c>
      <c r="M840" s="10"/>
      <c r="N840" s="10"/>
      <c r="O840" s="10">
        <v>45859</v>
      </c>
      <c r="P840" s="9" t="b">
        <f>TRUE()</f>
        <v>1</v>
      </c>
      <c r="Q840" s="11">
        <v>2374.4</v>
      </c>
    </row>
    <row r="841" spans="1:17" ht="15" customHeight="1" x14ac:dyDescent="0.2">
      <c r="A841" s="9" t="s">
        <v>990</v>
      </c>
      <c r="B841" s="10">
        <v>45969</v>
      </c>
      <c r="C841" s="10">
        <v>45962</v>
      </c>
      <c r="D841" s="9" t="s">
        <v>22</v>
      </c>
      <c r="E841" s="9" t="s">
        <v>25</v>
      </c>
      <c r="F841" s="9" t="s">
        <v>155</v>
      </c>
      <c r="G841" s="9" t="s">
        <v>161</v>
      </c>
      <c r="H841" s="9" t="s">
        <v>170</v>
      </c>
      <c r="I841" s="9" t="b">
        <f>TRUE()</f>
        <v>1</v>
      </c>
      <c r="J841" s="9" t="s">
        <v>2</v>
      </c>
      <c r="K841" s="9" t="s">
        <v>153</v>
      </c>
      <c r="L841" s="10">
        <v>45977</v>
      </c>
      <c r="M841" s="10">
        <v>45991</v>
      </c>
      <c r="N841" s="10">
        <v>46013</v>
      </c>
      <c r="O841" s="10"/>
      <c r="P841" s="9" t="b">
        <f>TRUE()</f>
        <v>1</v>
      </c>
      <c r="Q841" s="11">
        <v>1895.23</v>
      </c>
    </row>
    <row r="842" spans="1:17" ht="15" customHeight="1" x14ac:dyDescent="0.2">
      <c r="A842" s="9" t="s">
        <v>991</v>
      </c>
      <c r="B842" s="10">
        <v>46018</v>
      </c>
      <c r="C842" s="10">
        <v>45992</v>
      </c>
      <c r="D842" s="9" t="s">
        <v>22</v>
      </c>
      <c r="E842" s="9" t="s">
        <v>25</v>
      </c>
      <c r="F842" s="9" t="s">
        <v>186</v>
      </c>
      <c r="G842" s="9" t="s">
        <v>156</v>
      </c>
      <c r="H842" s="9" t="s">
        <v>165</v>
      </c>
      <c r="I842" s="9" t="b">
        <f>TRUE()</f>
        <v>1</v>
      </c>
      <c r="J842" s="9" t="s">
        <v>158</v>
      </c>
      <c r="K842" s="9" t="s">
        <v>153</v>
      </c>
      <c r="L842" s="10">
        <v>46022</v>
      </c>
      <c r="M842" s="10">
        <v>46033</v>
      </c>
      <c r="N842" s="10"/>
      <c r="O842" s="10"/>
      <c r="P842" s="9" t="b">
        <f>TRUE()</f>
        <v>1</v>
      </c>
      <c r="Q842" s="11">
        <v>734.42</v>
      </c>
    </row>
    <row r="843" spans="1:17" ht="15" customHeight="1" x14ac:dyDescent="0.2">
      <c r="A843" s="9" t="s">
        <v>992</v>
      </c>
      <c r="B843" s="10">
        <v>45977</v>
      </c>
      <c r="C843" s="10">
        <v>45962</v>
      </c>
      <c r="D843" s="9" t="s">
        <v>20</v>
      </c>
      <c r="E843" s="9" t="s">
        <v>27</v>
      </c>
      <c r="F843" s="9" t="s">
        <v>149</v>
      </c>
      <c r="G843" s="9" t="s">
        <v>156</v>
      </c>
      <c r="H843" s="9" t="s">
        <v>192</v>
      </c>
      <c r="I843" s="9" t="b">
        <f>TRUE()</f>
        <v>1</v>
      </c>
      <c r="J843" s="9" t="s">
        <v>2</v>
      </c>
      <c r="K843" s="9" t="s">
        <v>153</v>
      </c>
      <c r="L843" s="10">
        <v>45978</v>
      </c>
      <c r="M843" s="10">
        <v>45984</v>
      </c>
      <c r="N843" s="10">
        <v>46012</v>
      </c>
      <c r="O843" s="10"/>
      <c r="P843" s="9" t="b">
        <f>TRUE()</f>
        <v>1</v>
      </c>
      <c r="Q843" s="11">
        <v>877.11</v>
      </c>
    </row>
    <row r="844" spans="1:17" ht="15" customHeight="1" x14ac:dyDescent="0.2">
      <c r="A844" s="9" t="s">
        <v>993</v>
      </c>
      <c r="B844" s="10">
        <v>45800</v>
      </c>
      <c r="C844" s="10">
        <v>45778</v>
      </c>
      <c r="D844" s="9" t="s">
        <v>22</v>
      </c>
      <c r="E844" s="9" t="s">
        <v>28</v>
      </c>
      <c r="F844" s="9" t="s">
        <v>160</v>
      </c>
      <c r="G844" s="9" t="s">
        <v>156</v>
      </c>
      <c r="H844" s="9" t="s">
        <v>165</v>
      </c>
      <c r="I844" s="9" t="b">
        <f>TRUE()</f>
        <v>1</v>
      </c>
      <c r="J844" s="9" t="s">
        <v>152</v>
      </c>
      <c r="K844" s="9" t="s">
        <v>153</v>
      </c>
      <c r="L844" s="10">
        <v>45801</v>
      </c>
      <c r="M844" s="10">
        <v>45813</v>
      </c>
      <c r="N844" s="10"/>
      <c r="O844" s="10">
        <v>45839</v>
      </c>
      <c r="P844" s="9" t="b">
        <f>TRUE()</f>
        <v>1</v>
      </c>
      <c r="Q844" s="11">
        <v>673.19</v>
      </c>
    </row>
    <row r="845" spans="1:17" ht="15" customHeight="1" x14ac:dyDescent="0.2">
      <c r="A845" s="9" t="s">
        <v>994</v>
      </c>
      <c r="B845" s="10">
        <v>45804</v>
      </c>
      <c r="C845" s="10">
        <v>45778</v>
      </c>
      <c r="D845" s="9" t="s">
        <v>20</v>
      </c>
      <c r="E845" s="9" t="s">
        <v>24</v>
      </c>
      <c r="F845" s="9" t="s">
        <v>186</v>
      </c>
      <c r="G845" s="9" t="s">
        <v>156</v>
      </c>
      <c r="H845" s="9" t="s">
        <v>189</v>
      </c>
      <c r="I845" s="9" t="b">
        <f>TRUE()</f>
        <v>1</v>
      </c>
      <c r="J845" s="9" t="s">
        <v>152</v>
      </c>
      <c r="K845" s="9" t="s">
        <v>153</v>
      </c>
      <c r="L845" s="10">
        <v>45809</v>
      </c>
      <c r="M845" s="10"/>
      <c r="N845" s="10"/>
      <c r="O845" s="10">
        <v>45828</v>
      </c>
      <c r="P845" s="9" t="b">
        <f>TRUE()</f>
        <v>1</v>
      </c>
      <c r="Q845" s="11">
        <v>895.38</v>
      </c>
    </row>
    <row r="846" spans="1:17" ht="15" customHeight="1" x14ac:dyDescent="0.2">
      <c r="A846" s="9" t="s">
        <v>995</v>
      </c>
      <c r="B846" s="10">
        <v>45754</v>
      </c>
      <c r="C846" s="10">
        <v>45748</v>
      </c>
      <c r="D846" s="9" t="s">
        <v>20</v>
      </c>
      <c r="E846" s="9" t="s">
        <v>28</v>
      </c>
      <c r="F846" s="9" t="s">
        <v>155</v>
      </c>
      <c r="G846" s="9" t="s">
        <v>161</v>
      </c>
      <c r="H846" s="9" t="s">
        <v>189</v>
      </c>
      <c r="I846" s="9" t="b">
        <f>TRUE()</f>
        <v>1</v>
      </c>
      <c r="J846" s="9" t="s">
        <v>152</v>
      </c>
      <c r="K846" s="9" t="s">
        <v>153</v>
      </c>
      <c r="L846" s="10">
        <v>45758</v>
      </c>
      <c r="M846" s="10">
        <v>45770</v>
      </c>
      <c r="N846" s="10"/>
      <c r="O846" s="10">
        <v>45798</v>
      </c>
      <c r="P846" s="9" t="b">
        <f>TRUE()</f>
        <v>1</v>
      </c>
      <c r="Q846" s="11">
        <v>1963.09</v>
      </c>
    </row>
    <row r="847" spans="1:17" ht="15" customHeight="1" x14ac:dyDescent="0.2">
      <c r="A847" s="9" t="s">
        <v>996</v>
      </c>
      <c r="B847" s="10">
        <v>46010</v>
      </c>
      <c r="C847" s="10">
        <v>45992</v>
      </c>
      <c r="D847" s="9" t="s">
        <v>20</v>
      </c>
      <c r="E847" s="9" t="s">
        <v>26</v>
      </c>
      <c r="F847" s="9" t="s">
        <v>149</v>
      </c>
      <c r="G847" s="9" t="s">
        <v>156</v>
      </c>
      <c r="H847" s="9" t="s">
        <v>189</v>
      </c>
      <c r="I847" s="9" t="b">
        <f>TRUE()</f>
        <v>1</v>
      </c>
      <c r="J847" s="9" t="s">
        <v>2</v>
      </c>
      <c r="K847" s="9" t="s">
        <v>153</v>
      </c>
      <c r="L847" s="10">
        <v>46011</v>
      </c>
      <c r="M847" s="10">
        <v>46023</v>
      </c>
      <c r="N847" s="10">
        <v>46048</v>
      </c>
      <c r="O847" s="10"/>
      <c r="P847" s="9" t="b">
        <f>TRUE()</f>
        <v>1</v>
      </c>
      <c r="Q847" s="11">
        <v>724.86</v>
      </c>
    </row>
    <row r="848" spans="1:17" ht="15" customHeight="1" x14ac:dyDescent="0.2">
      <c r="A848" s="9" t="s">
        <v>997</v>
      </c>
      <c r="B848" s="10">
        <v>46017</v>
      </c>
      <c r="C848" s="10">
        <v>45992</v>
      </c>
      <c r="D848" s="9" t="s">
        <v>21</v>
      </c>
      <c r="E848" s="9" t="s">
        <v>28</v>
      </c>
      <c r="F848" s="9" t="s">
        <v>149</v>
      </c>
      <c r="G848" s="9" t="s">
        <v>150</v>
      </c>
      <c r="H848" s="9" t="s">
        <v>162</v>
      </c>
      <c r="I848" s="9" t="b">
        <f>TRUE()</f>
        <v>1</v>
      </c>
      <c r="J848" s="9" t="s">
        <v>158</v>
      </c>
      <c r="K848" s="9" t="s">
        <v>153</v>
      </c>
      <c r="L848" s="10">
        <v>46021</v>
      </c>
      <c r="M848" s="10">
        <v>46029</v>
      </c>
      <c r="N848" s="10"/>
      <c r="O848" s="10"/>
      <c r="P848" s="9" t="b">
        <f>TRUE()</f>
        <v>1</v>
      </c>
      <c r="Q848" s="11">
        <v>10358.31</v>
      </c>
    </row>
    <row r="849" spans="1:17" ht="15" customHeight="1" x14ac:dyDescent="0.2">
      <c r="A849" s="9" t="s">
        <v>998</v>
      </c>
      <c r="B849" s="10">
        <v>45745</v>
      </c>
      <c r="C849" s="10">
        <v>45717</v>
      </c>
      <c r="D849" s="9" t="s">
        <v>22</v>
      </c>
      <c r="E849" s="9" t="s">
        <v>25</v>
      </c>
      <c r="F849" s="9" t="s">
        <v>149</v>
      </c>
      <c r="G849" s="9" t="s">
        <v>161</v>
      </c>
      <c r="H849" s="9" t="s">
        <v>151</v>
      </c>
      <c r="I849" s="9" t="b">
        <f>TRUE()</f>
        <v>1</v>
      </c>
      <c r="J849" s="9" t="s">
        <v>152</v>
      </c>
      <c r="K849" s="9" t="s">
        <v>153</v>
      </c>
      <c r="L849" s="10">
        <v>45754</v>
      </c>
      <c r="M849" s="10"/>
      <c r="N849" s="10"/>
      <c r="O849" s="10">
        <v>45768</v>
      </c>
      <c r="P849" s="9" t="b">
        <f>TRUE()</f>
        <v>1</v>
      </c>
      <c r="Q849" s="11">
        <v>2402.4499999999998</v>
      </c>
    </row>
    <row r="850" spans="1:17" ht="15" customHeight="1" x14ac:dyDescent="0.2">
      <c r="A850" s="9" t="s">
        <v>999</v>
      </c>
      <c r="B850" s="10">
        <v>45932</v>
      </c>
      <c r="C850" s="10">
        <v>45931</v>
      </c>
      <c r="D850" s="9" t="s">
        <v>18</v>
      </c>
      <c r="E850" s="9" t="s">
        <v>24</v>
      </c>
      <c r="F850" s="9" t="s">
        <v>160</v>
      </c>
      <c r="G850" s="9" t="s">
        <v>150</v>
      </c>
      <c r="H850" s="9" t="s">
        <v>201</v>
      </c>
      <c r="I850" s="9" t="b">
        <f>TRUE()</f>
        <v>1</v>
      </c>
      <c r="J850" s="9" t="s">
        <v>152</v>
      </c>
      <c r="K850" s="9" t="s">
        <v>163</v>
      </c>
      <c r="L850" s="10"/>
      <c r="M850" s="10"/>
      <c r="N850" s="10"/>
      <c r="O850" s="10">
        <v>45941</v>
      </c>
      <c r="P850" s="9" t="b">
        <f>TRUE()</f>
        <v>1</v>
      </c>
      <c r="Q850" s="11">
        <v>9526.5</v>
      </c>
    </row>
    <row r="851" spans="1:17" ht="15" customHeight="1" x14ac:dyDescent="0.2">
      <c r="A851" s="9" t="s">
        <v>1000</v>
      </c>
      <c r="B851" s="10">
        <v>45875</v>
      </c>
      <c r="C851" s="10">
        <v>45870</v>
      </c>
      <c r="D851" s="9" t="s">
        <v>22</v>
      </c>
      <c r="E851" s="9" t="s">
        <v>27</v>
      </c>
      <c r="F851" s="9" t="s">
        <v>149</v>
      </c>
      <c r="G851" s="9" t="s">
        <v>156</v>
      </c>
      <c r="H851" s="9" t="s">
        <v>151</v>
      </c>
      <c r="I851" s="9" t="b">
        <f>TRUE()</f>
        <v>1</v>
      </c>
      <c r="J851" s="9" t="s">
        <v>152</v>
      </c>
      <c r="K851" s="9" t="s">
        <v>163</v>
      </c>
      <c r="L851" s="10"/>
      <c r="M851" s="10"/>
      <c r="N851" s="10"/>
      <c r="O851" s="10">
        <v>45885</v>
      </c>
      <c r="P851" s="9" t="b">
        <f>TRUE()</f>
        <v>1</v>
      </c>
      <c r="Q851" s="11">
        <v>797.12</v>
      </c>
    </row>
    <row r="852" spans="1:17" ht="15" customHeight="1" x14ac:dyDescent="0.2">
      <c r="A852" s="9" t="s">
        <v>1001</v>
      </c>
      <c r="B852" s="10">
        <v>45810</v>
      </c>
      <c r="C852" s="10">
        <v>45809</v>
      </c>
      <c r="D852" s="9" t="s">
        <v>19</v>
      </c>
      <c r="E852" s="9" t="s">
        <v>26</v>
      </c>
      <c r="F852" s="9" t="s">
        <v>160</v>
      </c>
      <c r="G852" s="9" t="s">
        <v>150</v>
      </c>
      <c r="H852" s="9" t="s">
        <v>179</v>
      </c>
      <c r="I852" s="9" t="b">
        <f>TRUE()</f>
        <v>1</v>
      </c>
      <c r="J852" s="9" t="s">
        <v>2</v>
      </c>
      <c r="K852" s="9" t="s">
        <v>153</v>
      </c>
      <c r="L852" s="10">
        <v>45820</v>
      </c>
      <c r="M852" s="10">
        <v>45827</v>
      </c>
      <c r="N852" s="10">
        <v>45843</v>
      </c>
      <c r="O852" s="10"/>
      <c r="P852" s="9" t="b">
        <f>TRUE()</f>
        <v>1</v>
      </c>
      <c r="Q852" s="11">
        <v>9018.4699999999993</v>
      </c>
    </row>
    <row r="853" spans="1:17" ht="15" customHeight="1" x14ac:dyDescent="0.2">
      <c r="A853" s="9" t="s">
        <v>1002</v>
      </c>
      <c r="B853" s="10">
        <v>45799</v>
      </c>
      <c r="C853" s="10">
        <v>45778</v>
      </c>
      <c r="D853" s="9" t="s">
        <v>21</v>
      </c>
      <c r="E853" s="9" t="s">
        <v>24</v>
      </c>
      <c r="F853" s="9" t="s">
        <v>149</v>
      </c>
      <c r="G853" s="9" t="s">
        <v>156</v>
      </c>
      <c r="H853" s="9" t="s">
        <v>176</v>
      </c>
      <c r="I853" s="9" t="b">
        <f>TRUE()</f>
        <v>1</v>
      </c>
      <c r="J853" s="9" t="s">
        <v>152</v>
      </c>
      <c r="K853" s="9" t="s">
        <v>153</v>
      </c>
      <c r="L853" s="10">
        <v>45805</v>
      </c>
      <c r="M853" s="10">
        <v>45811</v>
      </c>
      <c r="N853" s="10"/>
      <c r="O853" s="10">
        <v>45831</v>
      </c>
      <c r="P853" s="9" t="b">
        <f>TRUE()</f>
        <v>1</v>
      </c>
      <c r="Q853" s="11">
        <v>784.59</v>
      </c>
    </row>
    <row r="854" spans="1:17" ht="15" customHeight="1" x14ac:dyDescent="0.2">
      <c r="A854" s="9" t="s">
        <v>1003</v>
      </c>
      <c r="B854" s="10">
        <v>45806</v>
      </c>
      <c r="C854" s="10">
        <v>45778</v>
      </c>
      <c r="D854" s="9" t="s">
        <v>20</v>
      </c>
      <c r="E854" s="9" t="s">
        <v>27</v>
      </c>
      <c r="F854" s="9" t="s">
        <v>149</v>
      </c>
      <c r="G854" s="9" t="s">
        <v>161</v>
      </c>
      <c r="H854" s="9" t="s">
        <v>189</v>
      </c>
      <c r="I854" s="9" t="b">
        <f>TRUE()</f>
        <v>1</v>
      </c>
      <c r="J854" s="9" t="s">
        <v>152</v>
      </c>
      <c r="K854" s="9" t="s">
        <v>153</v>
      </c>
      <c r="L854" s="10">
        <v>45814</v>
      </c>
      <c r="M854" s="10"/>
      <c r="N854" s="10"/>
      <c r="O854" s="10">
        <v>45821</v>
      </c>
      <c r="P854" s="9" t="b">
        <f>TRUE()</f>
        <v>1</v>
      </c>
      <c r="Q854" s="11">
        <v>1974.36</v>
      </c>
    </row>
    <row r="855" spans="1:17" ht="15" customHeight="1" x14ac:dyDescent="0.2">
      <c r="A855" s="9" t="s">
        <v>1004</v>
      </c>
      <c r="B855" s="10">
        <v>45953</v>
      </c>
      <c r="C855" s="10">
        <v>45931</v>
      </c>
      <c r="D855" s="9" t="s">
        <v>20</v>
      </c>
      <c r="E855" s="9" t="s">
        <v>28</v>
      </c>
      <c r="F855" s="9" t="s">
        <v>186</v>
      </c>
      <c r="G855" s="9" t="s">
        <v>156</v>
      </c>
      <c r="H855" s="9" t="s">
        <v>192</v>
      </c>
      <c r="I855" s="9" t="b">
        <f>TRUE()</f>
        <v>1</v>
      </c>
      <c r="J855" s="9" t="s">
        <v>152</v>
      </c>
      <c r="K855" s="9" t="s">
        <v>153</v>
      </c>
      <c r="L855" s="10">
        <v>45955</v>
      </c>
      <c r="M855" s="10">
        <v>45968</v>
      </c>
      <c r="N855" s="10"/>
      <c r="O855" s="10">
        <v>45989</v>
      </c>
      <c r="P855" s="9" t="b">
        <f>TRUE()</f>
        <v>1</v>
      </c>
      <c r="Q855" s="11">
        <v>807.91</v>
      </c>
    </row>
    <row r="856" spans="1:17" ht="15" customHeight="1" x14ac:dyDescent="0.2">
      <c r="A856" s="9" t="s">
        <v>1005</v>
      </c>
      <c r="B856" s="10">
        <v>45777</v>
      </c>
      <c r="C856" s="10">
        <v>45748</v>
      </c>
      <c r="D856" s="9" t="s">
        <v>18</v>
      </c>
      <c r="E856" s="9" t="s">
        <v>24</v>
      </c>
      <c r="F856" s="9" t="s">
        <v>186</v>
      </c>
      <c r="G856" s="9" t="s">
        <v>156</v>
      </c>
      <c r="H856" s="9" t="s">
        <v>201</v>
      </c>
      <c r="I856" s="9" t="b">
        <f>TRUE()</f>
        <v>1</v>
      </c>
      <c r="J856" s="9" t="s">
        <v>152</v>
      </c>
      <c r="K856" s="9" t="s">
        <v>153</v>
      </c>
      <c r="L856" s="10">
        <v>45786</v>
      </c>
      <c r="M856" s="10">
        <v>45793</v>
      </c>
      <c r="N856" s="10"/>
      <c r="O856" s="10">
        <v>45812</v>
      </c>
      <c r="P856" s="9" t="b">
        <f>TRUE()</f>
        <v>1</v>
      </c>
      <c r="Q856" s="11">
        <v>811.29</v>
      </c>
    </row>
    <row r="857" spans="1:17" ht="15" customHeight="1" x14ac:dyDescent="0.2">
      <c r="A857" s="9" t="s">
        <v>1006</v>
      </c>
      <c r="B857" s="10">
        <v>45953</v>
      </c>
      <c r="C857" s="10">
        <v>45931</v>
      </c>
      <c r="D857" s="9" t="s">
        <v>22</v>
      </c>
      <c r="E857" s="9" t="s">
        <v>25</v>
      </c>
      <c r="F857" s="9" t="s">
        <v>186</v>
      </c>
      <c r="G857" s="9" t="s">
        <v>161</v>
      </c>
      <c r="H857" s="9" t="s">
        <v>170</v>
      </c>
      <c r="I857" s="9" t="b">
        <f>TRUE()</f>
        <v>1</v>
      </c>
      <c r="J857" s="9" t="s">
        <v>152</v>
      </c>
      <c r="K857" s="9" t="s">
        <v>153</v>
      </c>
      <c r="L857" s="10">
        <v>45963</v>
      </c>
      <c r="M857" s="10"/>
      <c r="N857" s="10"/>
      <c r="O857" s="10">
        <v>45975</v>
      </c>
      <c r="P857" s="9" t="b">
        <f>TRUE()</f>
        <v>1</v>
      </c>
      <c r="Q857" s="11">
        <v>1856.53</v>
      </c>
    </row>
    <row r="858" spans="1:17" ht="15" customHeight="1" x14ac:dyDescent="0.2">
      <c r="A858" s="9" t="s">
        <v>1007</v>
      </c>
      <c r="B858" s="10">
        <v>46011</v>
      </c>
      <c r="C858" s="10">
        <v>45992</v>
      </c>
      <c r="D858" s="9" t="s">
        <v>19</v>
      </c>
      <c r="E858" s="9" t="s">
        <v>24</v>
      </c>
      <c r="F858" s="9" t="s">
        <v>149</v>
      </c>
      <c r="G858" s="9" t="s">
        <v>156</v>
      </c>
      <c r="H858" s="9" t="s">
        <v>179</v>
      </c>
      <c r="I858" s="9" t="b">
        <f>TRUE()</f>
        <v>1</v>
      </c>
      <c r="J858" s="9" t="s">
        <v>15</v>
      </c>
      <c r="K858" s="9" t="s">
        <v>153</v>
      </c>
      <c r="L858" s="10">
        <v>46019</v>
      </c>
      <c r="M858" s="10"/>
      <c r="N858" s="10"/>
      <c r="O858" s="10"/>
      <c r="P858" s="9" t="b">
        <f>TRUE()</f>
        <v>1</v>
      </c>
      <c r="Q858" s="11">
        <v>754.12</v>
      </c>
    </row>
    <row r="859" spans="1:17" ht="15" customHeight="1" x14ac:dyDescent="0.2">
      <c r="A859" s="9" t="s">
        <v>1008</v>
      </c>
      <c r="B859" s="10">
        <v>45795</v>
      </c>
      <c r="C859" s="10">
        <v>45778</v>
      </c>
      <c r="D859" s="9" t="s">
        <v>19</v>
      </c>
      <c r="E859" s="9" t="s">
        <v>24</v>
      </c>
      <c r="F859" s="9" t="s">
        <v>160</v>
      </c>
      <c r="G859" s="9" t="s">
        <v>156</v>
      </c>
      <c r="H859" s="9" t="s">
        <v>210</v>
      </c>
      <c r="I859" s="9" t="b">
        <f>TRUE()</f>
        <v>1</v>
      </c>
      <c r="J859" s="9" t="s">
        <v>152</v>
      </c>
      <c r="K859" s="9" t="s">
        <v>153</v>
      </c>
      <c r="L859" s="10">
        <v>45797</v>
      </c>
      <c r="M859" s="10">
        <v>45803</v>
      </c>
      <c r="N859" s="10"/>
      <c r="O859" s="10">
        <v>45836</v>
      </c>
      <c r="P859" s="9" t="b">
        <f>TRUE()</f>
        <v>1</v>
      </c>
      <c r="Q859" s="11">
        <v>546.08000000000004</v>
      </c>
    </row>
    <row r="860" spans="1:17" ht="15" customHeight="1" x14ac:dyDescent="0.2">
      <c r="A860" s="9" t="s">
        <v>1009</v>
      </c>
      <c r="B860" s="10">
        <v>45865</v>
      </c>
      <c r="C860" s="10">
        <v>45839</v>
      </c>
      <c r="D860" s="9" t="s">
        <v>20</v>
      </c>
      <c r="E860" s="9" t="s">
        <v>26</v>
      </c>
      <c r="F860" s="9" t="s">
        <v>149</v>
      </c>
      <c r="G860" s="9" t="s">
        <v>156</v>
      </c>
      <c r="H860" s="9" t="s">
        <v>192</v>
      </c>
      <c r="I860" s="9" t="b">
        <f>TRUE()</f>
        <v>1</v>
      </c>
      <c r="J860" s="9" t="s">
        <v>152</v>
      </c>
      <c r="K860" s="9" t="s">
        <v>153</v>
      </c>
      <c r="L860" s="10">
        <v>45869</v>
      </c>
      <c r="M860" s="10"/>
      <c r="N860" s="10"/>
      <c r="O860" s="10">
        <v>45894</v>
      </c>
      <c r="P860" s="9" t="b">
        <f>TRUE()</f>
        <v>1</v>
      </c>
      <c r="Q860" s="11">
        <v>1060.21</v>
      </c>
    </row>
    <row r="861" spans="1:17" ht="15" customHeight="1" x14ac:dyDescent="0.2">
      <c r="A861" s="9" t="s">
        <v>1010</v>
      </c>
      <c r="B861" s="10">
        <v>45875</v>
      </c>
      <c r="C861" s="10">
        <v>45870</v>
      </c>
      <c r="D861" s="9" t="s">
        <v>21</v>
      </c>
      <c r="E861" s="9" t="s">
        <v>28</v>
      </c>
      <c r="F861" s="9" t="s">
        <v>155</v>
      </c>
      <c r="G861" s="9" t="s">
        <v>150</v>
      </c>
      <c r="H861" s="9" t="s">
        <v>176</v>
      </c>
      <c r="I861" s="9" t="b">
        <f>TRUE()</f>
        <v>1</v>
      </c>
      <c r="J861" s="9" t="s">
        <v>152</v>
      </c>
      <c r="K861" s="9" t="s">
        <v>153</v>
      </c>
      <c r="L861" s="10">
        <v>45877</v>
      </c>
      <c r="M861" s="10"/>
      <c r="N861" s="10"/>
      <c r="O861" s="10">
        <v>45893</v>
      </c>
      <c r="P861" s="9" t="b">
        <f>TRUE()</f>
        <v>1</v>
      </c>
      <c r="Q861" s="11">
        <v>6240.36</v>
      </c>
    </row>
    <row r="862" spans="1:17" ht="15" customHeight="1" x14ac:dyDescent="0.2">
      <c r="A862" s="9" t="s">
        <v>1011</v>
      </c>
      <c r="B862" s="10">
        <v>45859</v>
      </c>
      <c r="C862" s="10">
        <v>45839</v>
      </c>
      <c r="D862" s="9" t="s">
        <v>22</v>
      </c>
      <c r="E862" s="9" t="s">
        <v>28</v>
      </c>
      <c r="F862" s="9" t="s">
        <v>155</v>
      </c>
      <c r="G862" s="9" t="s">
        <v>156</v>
      </c>
      <c r="H862" s="9" t="s">
        <v>165</v>
      </c>
      <c r="I862" s="9" t="b">
        <f>TRUE()</f>
        <v>1</v>
      </c>
      <c r="J862" s="9" t="s">
        <v>152</v>
      </c>
      <c r="K862" s="9" t="s">
        <v>163</v>
      </c>
      <c r="L862" s="10"/>
      <c r="M862" s="10"/>
      <c r="N862" s="10"/>
      <c r="O862" s="10">
        <v>45879</v>
      </c>
      <c r="P862" s="9" t="b">
        <f>TRUE()</f>
        <v>1</v>
      </c>
      <c r="Q862" s="11">
        <v>425.57</v>
      </c>
    </row>
    <row r="863" spans="1:17" ht="15" customHeight="1" x14ac:dyDescent="0.2">
      <c r="A863" s="9" t="s">
        <v>1012</v>
      </c>
      <c r="B863" s="10">
        <v>45663</v>
      </c>
      <c r="C863" s="10">
        <v>45658</v>
      </c>
      <c r="D863" s="9" t="s">
        <v>20</v>
      </c>
      <c r="E863" s="9" t="s">
        <v>25</v>
      </c>
      <c r="F863" s="9" t="s">
        <v>160</v>
      </c>
      <c r="G863" s="9" t="s">
        <v>150</v>
      </c>
      <c r="H863" s="9" t="s">
        <v>189</v>
      </c>
      <c r="I863" s="9" t="b">
        <f>TRUE()</f>
        <v>1</v>
      </c>
      <c r="J863" s="9" t="s">
        <v>152</v>
      </c>
      <c r="K863" s="9" t="s">
        <v>153</v>
      </c>
      <c r="L863" s="10">
        <v>45665</v>
      </c>
      <c r="M863" s="10"/>
      <c r="N863" s="10"/>
      <c r="O863" s="10">
        <v>45681</v>
      </c>
      <c r="P863" s="9" t="b">
        <f>TRUE()</f>
        <v>1</v>
      </c>
      <c r="Q863" s="11">
        <v>6714</v>
      </c>
    </row>
    <row r="864" spans="1:17" ht="15" customHeight="1" x14ac:dyDescent="0.2">
      <c r="A864" s="9" t="s">
        <v>1013</v>
      </c>
      <c r="B864" s="10">
        <v>45775</v>
      </c>
      <c r="C864" s="10">
        <v>45748</v>
      </c>
      <c r="D864" s="9" t="s">
        <v>22</v>
      </c>
      <c r="E864" s="9" t="s">
        <v>25</v>
      </c>
      <c r="F864" s="9" t="s">
        <v>155</v>
      </c>
      <c r="G864" s="9" t="s">
        <v>156</v>
      </c>
      <c r="H864" s="9" t="s">
        <v>170</v>
      </c>
      <c r="I864" s="9" t="b">
        <f>TRUE()</f>
        <v>1</v>
      </c>
      <c r="J864" s="9" t="s">
        <v>152</v>
      </c>
      <c r="K864" s="9" t="s">
        <v>153</v>
      </c>
      <c r="L864" s="10">
        <v>45784</v>
      </c>
      <c r="M864" s="10">
        <v>45796</v>
      </c>
      <c r="N864" s="10"/>
      <c r="O864" s="10">
        <v>45826</v>
      </c>
      <c r="P864" s="9" t="b">
        <f>TRUE()</f>
        <v>1</v>
      </c>
      <c r="Q864" s="11">
        <v>513.39</v>
      </c>
    </row>
    <row r="865" spans="1:17" ht="15" customHeight="1" x14ac:dyDescent="0.2">
      <c r="A865" s="9" t="s">
        <v>1014</v>
      </c>
      <c r="B865" s="10">
        <v>45789</v>
      </c>
      <c r="C865" s="10">
        <v>45778</v>
      </c>
      <c r="D865" s="9" t="s">
        <v>20</v>
      </c>
      <c r="E865" s="9" t="s">
        <v>24</v>
      </c>
      <c r="F865" s="9" t="s">
        <v>186</v>
      </c>
      <c r="G865" s="9" t="s">
        <v>156</v>
      </c>
      <c r="H865" s="9" t="s">
        <v>189</v>
      </c>
      <c r="I865" s="9" t="b">
        <f>TRUE()</f>
        <v>1</v>
      </c>
      <c r="J865" s="9" t="s">
        <v>152</v>
      </c>
      <c r="K865" s="9" t="s">
        <v>163</v>
      </c>
      <c r="L865" s="10"/>
      <c r="M865" s="10"/>
      <c r="N865" s="10"/>
      <c r="O865" s="10">
        <v>45800</v>
      </c>
      <c r="P865" s="9" t="b">
        <f>TRUE()</f>
        <v>1</v>
      </c>
      <c r="Q865" s="11">
        <v>895.49</v>
      </c>
    </row>
    <row r="866" spans="1:17" ht="15" customHeight="1" x14ac:dyDescent="0.2">
      <c r="A866" s="9" t="s">
        <v>1015</v>
      </c>
      <c r="B866" s="10">
        <v>45671</v>
      </c>
      <c r="C866" s="10">
        <v>45658</v>
      </c>
      <c r="D866" s="9" t="s">
        <v>21</v>
      </c>
      <c r="E866" s="9" t="s">
        <v>25</v>
      </c>
      <c r="F866" s="9" t="s">
        <v>149</v>
      </c>
      <c r="G866" s="9" t="s">
        <v>161</v>
      </c>
      <c r="H866" s="9" t="s">
        <v>176</v>
      </c>
      <c r="I866" s="9" t="b">
        <f>TRUE()</f>
        <v>1</v>
      </c>
      <c r="J866" s="9" t="s">
        <v>152</v>
      </c>
      <c r="K866" s="9" t="s">
        <v>153</v>
      </c>
      <c r="L866" s="10">
        <v>45681</v>
      </c>
      <c r="M866" s="10">
        <v>45696</v>
      </c>
      <c r="N866" s="10"/>
      <c r="O866" s="10">
        <v>45704</v>
      </c>
      <c r="P866" s="9" t="b">
        <f>TRUE()</f>
        <v>1</v>
      </c>
      <c r="Q866" s="11">
        <v>1858.6</v>
      </c>
    </row>
    <row r="867" spans="1:17" ht="15" customHeight="1" x14ac:dyDescent="0.2">
      <c r="A867" s="9" t="s">
        <v>1016</v>
      </c>
      <c r="B867" s="10">
        <v>45741</v>
      </c>
      <c r="C867" s="10">
        <v>45717</v>
      </c>
      <c r="D867" s="9" t="s">
        <v>20</v>
      </c>
      <c r="E867" s="9" t="s">
        <v>25</v>
      </c>
      <c r="F867" s="9" t="s">
        <v>149</v>
      </c>
      <c r="G867" s="9" t="s">
        <v>156</v>
      </c>
      <c r="H867" s="9" t="s">
        <v>192</v>
      </c>
      <c r="I867" s="9" t="b">
        <f>TRUE()</f>
        <v>1</v>
      </c>
      <c r="J867" s="9" t="s">
        <v>2</v>
      </c>
      <c r="K867" s="9" t="s">
        <v>153</v>
      </c>
      <c r="L867" s="10">
        <v>45747</v>
      </c>
      <c r="M867" s="10">
        <v>45755</v>
      </c>
      <c r="N867" s="10">
        <v>45773</v>
      </c>
      <c r="O867" s="10"/>
      <c r="P867" s="9" t="b">
        <f>TRUE()</f>
        <v>1</v>
      </c>
      <c r="Q867" s="11">
        <v>1082.3800000000001</v>
      </c>
    </row>
    <row r="868" spans="1:17" ht="15" customHeight="1" x14ac:dyDescent="0.2">
      <c r="A868" s="9" t="s">
        <v>1017</v>
      </c>
      <c r="B868" s="10">
        <v>45944</v>
      </c>
      <c r="C868" s="10">
        <v>45931</v>
      </c>
      <c r="D868" s="9" t="s">
        <v>18</v>
      </c>
      <c r="E868" s="9" t="s">
        <v>24</v>
      </c>
      <c r="F868" s="9" t="s">
        <v>160</v>
      </c>
      <c r="G868" s="9" t="s">
        <v>161</v>
      </c>
      <c r="H868" s="9" t="s">
        <v>201</v>
      </c>
      <c r="I868" s="9" t="b">
        <f>TRUE()</f>
        <v>1</v>
      </c>
      <c r="J868" s="9" t="s">
        <v>152</v>
      </c>
      <c r="K868" s="9" t="s">
        <v>163</v>
      </c>
      <c r="L868" s="10"/>
      <c r="M868" s="10"/>
      <c r="N868" s="10"/>
      <c r="O868" s="10">
        <v>45956</v>
      </c>
      <c r="P868" s="9" t="b">
        <f>TRUE()</f>
        <v>1</v>
      </c>
      <c r="Q868" s="11">
        <v>1800.3</v>
      </c>
    </row>
    <row r="869" spans="1:17" ht="15" customHeight="1" x14ac:dyDescent="0.2">
      <c r="A869" s="9" t="s">
        <v>1018</v>
      </c>
      <c r="B869" s="10">
        <v>45716</v>
      </c>
      <c r="C869" s="10">
        <v>45689</v>
      </c>
      <c r="D869" s="9" t="s">
        <v>20</v>
      </c>
      <c r="E869" s="9" t="s">
        <v>28</v>
      </c>
      <c r="F869" s="9" t="s">
        <v>149</v>
      </c>
      <c r="G869" s="9" t="s">
        <v>156</v>
      </c>
      <c r="H869" s="9" t="s">
        <v>189</v>
      </c>
      <c r="I869" s="9" t="b">
        <f>TRUE()</f>
        <v>1</v>
      </c>
      <c r="J869" s="9" t="s">
        <v>152</v>
      </c>
      <c r="K869" s="9" t="s">
        <v>153</v>
      </c>
      <c r="L869" s="10">
        <v>45724</v>
      </c>
      <c r="M869" s="10">
        <v>45733</v>
      </c>
      <c r="N869" s="10"/>
      <c r="O869" s="10">
        <v>45748</v>
      </c>
      <c r="P869" s="9" t="b">
        <f>TRUE()</f>
        <v>1</v>
      </c>
      <c r="Q869" s="11">
        <v>1092.78</v>
      </c>
    </row>
    <row r="870" spans="1:17" ht="15" customHeight="1" x14ac:dyDescent="0.2">
      <c r="A870" s="9" t="s">
        <v>1019</v>
      </c>
      <c r="B870" s="10">
        <v>45814</v>
      </c>
      <c r="C870" s="10">
        <v>45809</v>
      </c>
      <c r="D870" s="9" t="s">
        <v>22</v>
      </c>
      <c r="E870" s="9" t="s">
        <v>28</v>
      </c>
      <c r="F870" s="9" t="s">
        <v>149</v>
      </c>
      <c r="G870" s="9" t="s">
        <v>156</v>
      </c>
      <c r="H870" s="9" t="s">
        <v>170</v>
      </c>
      <c r="I870" s="9" t="b">
        <f>TRUE()</f>
        <v>1</v>
      </c>
      <c r="J870" s="9" t="s">
        <v>152</v>
      </c>
      <c r="K870" s="9" t="s">
        <v>163</v>
      </c>
      <c r="L870" s="10"/>
      <c r="M870" s="10"/>
      <c r="N870" s="10"/>
      <c r="O870" s="10">
        <v>45833</v>
      </c>
      <c r="P870" s="9" t="b">
        <f>TRUE()</f>
        <v>1</v>
      </c>
      <c r="Q870" s="11">
        <v>973.04</v>
      </c>
    </row>
    <row r="871" spans="1:17" ht="15" customHeight="1" x14ac:dyDescent="0.2">
      <c r="A871" s="9" t="s">
        <v>1020</v>
      </c>
      <c r="B871" s="10">
        <v>45707</v>
      </c>
      <c r="C871" s="10">
        <v>45689</v>
      </c>
      <c r="D871" s="9" t="s">
        <v>22</v>
      </c>
      <c r="E871" s="9" t="s">
        <v>24</v>
      </c>
      <c r="F871" s="9" t="s">
        <v>160</v>
      </c>
      <c r="G871" s="9" t="s">
        <v>156</v>
      </c>
      <c r="H871" s="9" t="s">
        <v>165</v>
      </c>
      <c r="I871" s="9" t="b">
        <f>TRUE()</f>
        <v>1</v>
      </c>
      <c r="J871" s="9" t="s">
        <v>152</v>
      </c>
      <c r="K871" s="9" t="s">
        <v>163</v>
      </c>
      <c r="L871" s="10"/>
      <c r="M871" s="10"/>
      <c r="N871" s="10"/>
      <c r="O871" s="10">
        <v>45713</v>
      </c>
      <c r="P871" s="9" t="b">
        <f>TRUE()</f>
        <v>1</v>
      </c>
      <c r="Q871" s="11">
        <v>704.92</v>
      </c>
    </row>
    <row r="872" spans="1:17" ht="15" customHeight="1" x14ac:dyDescent="0.2">
      <c r="A872" s="9" t="s">
        <v>1021</v>
      </c>
      <c r="B872" s="10">
        <v>45670</v>
      </c>
      <c r="C872" s="10">
        <v>45658</v>
      </c>
      <c r="D872" s="9" t="s">
        <v>20</v>
      </c>
      <c r="E872" s="9" t="s">
        <v>25</v>
      </c>
      <c r="F872" s="9" t="s">
        <v>155</v>
      </c>
      <c r="G872" s="9" t="s">
        <v>161</v>
      </c>
      <c r="H872" s="9" t="s">
        <v>189</v>
      </c>
      <c r="I872" s="9" t="b">
        <f>TRUE()</f>
        <v>1</v>
      </c>
      <c r="J872" s="9" t="s">
        <v>2</v>
      </c>
      <c r="K872" s="9" t="s">
        <v>153</v>
      </c>
      <c r="L872" s="10">
        <v>45680</v>
      </c>
      <c r="M872" s="10">
        <v>45683</v>
      </c>
      <c r="N872" s="10">
        <v>45701</v>
      </c>
      <c r="O872" s="10"/>
      <c r="P872" s="9" t="b">
        <f>TRUE()</f>
        <v>1</v>
      </c>
      <c r="Q872" s="11">
        <v>2070.85</v>
      </c>
    </row>
    <row r="873" spans="1:17" ht="15" customHeight="1" x14ac:dyDescent="0.2">
      <c r="A873" s="9" t="s">
        <v>60</v>
      </c>
      <c r="B873" s="10">
        <v>45720</v>
      </c>
      <c r="C873" s="10">
        <v>45717</v>
      </c>
      <c r="D873" s="9" t="s">
        <v>20</v>
      </c>
      <c r="E873" s="9" t="s">
        <v>375</v>
      </c>
      <c r="F873" s="9" t="s">
        <v>160</v>
      </c>
      <c r="G873" s="9" t="s">
        <v>156</v>
      </c>
      <c r="H873" s="9" t="s">
        <v>189</v>
      </c>
      <c r="I873" s="9" t="b">
        <f>TRUE()</f>
        <v>1</v>
      </c>
      <c r="J873" s="9" t="s">
        <v>152</v>
      </c>
      <c r="K873" s="9" t="s">
        <v>163</v>
      </c>
      <c r="L873" s="10"/>
      <c r="M873" s="10"/>
      <c r="N873" s="10"/>
      <c r="O873" s="10">
        <v>45731</v>
      </c>
      <c r="P873" s="9" t="b">
        <f>TRUE()</f>
        <v>1</v>
      </c>
      <c r="Q873" s="11">
        <v>772.32</v>
      </c>
    </row>
    <row r="874" spans="1:17" ht="15" customHeight="1" x14ac:dyDescent="0.2">
      <c r="A874" s="9" t="s">
        <v>1022</v>
      </c>
      <c r="B874" s="10">
        <v>45723</v>
      </c>
      <c r="C874" s="10">
        <v>45717</v>
      </c>
      <c r="D874" s="9" t="s">
        <v>22</v>
      </c>
      <c r="E874" s="9" t="s">
        <v>28</v>
      </c>
      <c r="F874" s="9" t="s">
        <v>160</v>
      </c>
      <c r="G874" s="9" t="s">
        <v>161</v>
      </c>
      <c r="H874" s="9" t="s">
        <v>165</v>
      </c>
      <c r="I874" s="9" t="b">
        <f>TRUE()</f>
        <v>1</v>
      </c>
      <c r="J874" s="9" t="s">
        <v>152</v>
      </c>
      <c r="K874" s="9" t="s">
        <v>153</v>
      </c>
      <c r="L874" s="10">
        <v>45733</v>
      </c>
      <c r="M874" s="10">
        <v>45748</v>
      </c>
      <c r="N874" s="10"/>
      <c r="O874" s="10">
        <v>45777</v>
      </c>
      <c r="P874" s="9" t="b">
        <f>TRUE()</f>
        <v>1</v>
      </c>
      <c r="Q874" s="11">
        <v>2456.79</v>
      </c>
    </row>
    <row r="875" spans="1:17" ht="15" customHeight="1" x14ac:dyDescent="0.2">
      <c r="A875" s="9" t="s">
        <v>1023</v>
      </c>
      <c r="B875" s="10">
        <v>45703</v>
      </c>
      <c r="C875" s="10">
        <v>45689</v>
      </c>
      <c r="D875" s="9" t="s">
        <v>22</v>
      </c>
      <c r="E875" s="9" t="s">
        <v>25</v>
      </c>
      <c r="F875" s="9" t="s">
        <v>155</v>
      </c>
      <c r="G875" s="9" t="s">
        <v>156</v>
      </c>
      <c r="H875" s="9" t="s">
        <v>170</v>
      </c>
      <c r="I875" s="9" t="b">
        <f>TRUE()</f>
        <v>1</v>
      </c>
      <c r="J875" s="9" t="s">
        <v>152</v>
      </c>
      <c r="K875" s="9" t="s">
        <v>153</v>
      </c>
      <c r="L875" s="10">
        <v>45707</v>
      </c>
      <c r="M875" s="10">
        <v>45712</v>
      </c>
      <c r="N875" s="10"/>
      <c r="O875" s="10">
        <v>45746</v>
      </c>
      <c r="P875" s="9" t="b">
        <f>TRUE()</f>
        <v>1</v>
      </c>
      <c r="Q875" s="11">
        <v>401.66</v>
      </c>
    </row>
    <row r="876" spans="1:17" ht="15" customHeight="1" x14ac:dyDescent="0.2">
      <c r="A876" s="9" t="s">
        <v>1024</v>
      </c>
      <c r="B876" s="10">
        <v>46010</v>
      </c>
      <c r="C876" s="10">
        <v>45992</v>
      </c>
      <c r="D876" s="9" t="s">
        <v>19</v>
      </c>
      <c r="E876" s="9" t="s">
        <v>27</v>
      </c>
      <c r="F876" s="9" t="s">
        <v>155</v>
      </c>
      <c r="G876" s="9" t="s">
        <v>156</v>
      </c>
      <c r="H876" s="9" t="s">
        <v>207</v>
      </c>
      <c r="I876" s="9" t="b">
        <f>TRUE()</f>
        <v>1</v>
      </c>
      <c r="J876" s="9" t="s">
        <v>2</v>
      </c>
      <c r="K876" s="9" t="s">
        <v>153</v>
      </c>
      <c r="L876" s="10">
        <v>46015</v>
      </c>
      <c r="M876" s="10">
        <v>46023</v>
      </c>
      <c r="N876" s="10">
        <v>46035</v>
      </c>
      <c r="O876" s="10"/>
      <c r="P876" s="9" t="b">
        <f>TRUE()</f>
        <v>1</v>
      </c>
      <c r="Q876" s="11">
        <v>616.03</v>
      </c>
    </row>
    <row r="877" spans="1:17" ht="15" customHeight="1" x14ac:dyDescent="0.2">
      <c r="A877" s="9" t="s">
        <v>1025</v>
      </c>
      <c r="B877" s="10">
        <v>46009</v>
      </c>
      <c r="C877" s="10">
        <v>45992</v>
      </c>
      <c r="D877" s="9" t="s">
        <v>18</v>
      </c>
      <c r="E877" s="9" t="s">
        <v>25</v>
      </c>
      <c r="F877" s="9" t="s">
        <v>149</v>
      </c>
      <c r="G877" s="9" t="s">
        <v>156</v>
      </c>
      <c r="H877" s="9" t="s">
        <v>251</v>
      </c>
      <c r="I877" s="9" t="b">
        <f>TRUE()</f>
        <v>1</v>
      </c>
      <c r="J877" s="9" t="s">
        <v>190</v>
      </c>
      <c r="K877" s="9" t="s">
        <v>163</v>
      </c>
      <c r="L877" s="10"/>
      <c r="M877" s="10"/>
      <c r="N877" s="10"/>
      <c r="O877" s="10"/>
      <c r="P877" s="9" t="b">
        <f>TRUE()</f>
        <v>1</v>
      </c>
      <c r="Q877" s="11">
        <v>588.42999999999995</v>
      </c>
    </row>
    <row r="878" spans="1:17" ht="15" customHeight="1" x14ac:dyDescent="0.2">
      <c r="A878" s="9" t="s">
        <v>1026</v>
      </c>
      <c r="B878" s="10">
        <v>45757</v>
      </c>
      <c r="C878" s="10">
        <v>45748</v>
      </c>
      <c r="D878" s="9" t="s">
        <v>22</v>
      </c>
      <c r="E878" s="9" t="s">
        <v>28</v>
      </c>
      <c r="F878" s="9" t="s">
        <v>149</v>
      </c>
      <c r="G878" s="9" t="s">
        <v>156</v>
      </c>
      <c r="H878" s="9" t="s">
        <v>151</v>
      </c>
      <c r="I878" s="9" t="b">
        <f>TRUE()</f>
        <v>1</v>
      </c>
      <c r="J878" s="9" t="s">
        <v>152</v>
      </c>
      <c r="K878" s="9" t="s">
        <v>153</v>
      </c>
      <c r="L878" s="10">
        <v>45762</v>
      </c>
      <c r="M878" s="10">
        <v>45769</v>
      </c>
      <c r="N878" s="10"/>
      <c r="O878" s="10">
        <v>45776</v>
      </c>
      <c r="P878" s="9" t="b">
        <f>TRUE()</f>
        <v>1</v>
      </c>
      <c r="Q878" s="11">
        <v>636.63</v>
      </c>
    </row>
    <row r="879" spans="1:17" ht="15" customHeight="1" x14ac:dyDescent="0.2">
      <c r="A879" s="9" t="s">
        <v>1027</v>
      </c>
      <c r="B879" s="10">
        <v>45711</v>
      </c>
      <c r="C879" s="10">
        <v>45689</v>
      </c>
      <c r="D879" s="9" t="s">
        <v>21</v>
      </c>
      <c r="E879" s="9" t="s">
        <v>25</v>
      </c>
      <c r="F879" s="9" t="s">
        <v>160</v>
      </c>
      <c r="G879" s="9" t="s">
        <v>150</v>
      </c>
      <c r="H879" s="9" t="s">
        <v>162</v>
      </c>
      <c r="I879" s="9" t="b">
        <f>TRUE()</f>
        <v>1</v>
      </c>
      <c r="J879" s="9" t="s">
        <v>152</v>
      </c>
      <c r="K879" s="9" t="s">
        <v>153</v>
      </c>
      <c r="L879" s="10">
        <v>45718</v>
      </c>
      <c r="M879" s="10"/>
      <c r="N879" s="10"/>
      <c r="O879" s="10">
        <v>45732</v>
      </c>
      <c r="P879" s="9" t="b">
        <f>TRUE()</f>
        <v>1</v>
      </c>
      <c r="Q879" s="11">
        <v>6395.33</v>
      </c>
    </row>
    <row r="880" spans="1:17" ht="15" customHeight="1" x14ac:dyDescent="0.2">
      <c r="A880" s="9" t="s">
        <v>1028</v>
      </c>
      <c r="B880" s="10">
        <v>45876</v>
      </c>
      <c r="C880" s="10">
        <v>45870</v>
      </c>
      <c r="D880" s="9" t="s">
        <v>19</v>
      </c>
      <c r="E880" s="9" t="s">
        <v>27</v>
      </c>
      <c r="F880" s="9" t="s">
        <v>160</v>
      </c>
      <c r="G880" s="9" t="s">
        <v>156</v>
      </c>
      <c r="H880" s="9" t="s">
        <v>207</v>
      </c>
      <c r="I880" s="9" t="b">
        <f>TRUE()</f>
        <v>1</v>
      </c>
      <c r="J880" s="9" t="s">
        <v>152</v>
      </c>
      <c r="K880" s="9" t="s">
        <v>153</v>
      </c>
      <c r="L880" s="10">
        <v>45879</v>
      </c>
      <c r="M880" s="10">
        <v>45894</v>
      </c>
      <c r="N880" s="10"/>
      <c r="O880" s="10">
        <v>45919</v>
      </c>
      <c r="P880" s="9" t="b">
        <f>TRUE()</f>
        <v>1</v>
      </c>
      <c r="Q880" s="11">
        <v>814.31</v>
      </c>
    </row>
    <row r="881" spans="1:17" ht="15" customHeight="1" x14ac:dyDescent="0.2">
      <c r="A881" s="9" t="s">
        <v>1029</v>
      </c>
      <c r="B881" s="10">
        <v>45710</v>
      </c>
      <c r="C881" s="10">
        <v>45689</v>
      </c>
      <c r="D881" s="9" t="s">
        <v>22</v>
      </c>
      <c r="E881" s="9" t="s">
        <v>26</v>
      </c>
      <c r="F881" s="9" t="s">
        <v>160</v>
      </c>
      <c r="G881" s="9" t="s">
        <v>150</v>
      </c>
      <c r="H881" s="9" t="s">
        <v>165</v>
      </c>
      <c r="I881" s="9" t="b">
        <f>TRUE()</f>
        <v>1</v>
      </c>
      <c r="J881" s="9" t="s">
        <v>2</v>
      </c>
      <c r="K881" s="9" t="s">
        <v>153</v>
      </c>
      <c r="L881" s="10">
        <v>45711</v>
      </c>
      <c r="M881" s="10">
        <v>45722</v>
      </c>
      <c r="N881" s="10">
        <v>45735</v>
      </c>
      <c r="O881" s="10"/>
      <c r="P881" s="9" t="b">
        <f>TRUE()</f>
        <v>1</v>
      </c>
      <c r="Q881" s="11">
        <v>8730.02</v>
      </c>
    </row>
    <row r="882" spans="1:17" ht="15" customHeight="1" x14ac:dyDescent="0.2">
      <c r="A882" s="9" t="s">
        <v>1030</v>
      </c>
      <c r="B882" s="10">
        <v>45902</v>
      </c>
      <c r="C882" s="10">
        <v>45901</v>
      </c>
      <c r="D882" s="9" t="s">
        <v>21</v>
      </c>
      <c r="E882" s="9" t="s">
        <v>28</v>
      </c>
      <c r="F882" s="9" t="s">
        <v>149</v>
      </c>
      <c r="G882" s="9" t="s">
        <v>156</v>
      </c>
      <c r="H882" s="9" t="s">
        <v>162</v>
      </c>
      <c r="I882" s="9" t="b">
        <f>TRUE()</f>
        <v>1</v>
      </c>
      <c r="J882" s="9" t="s">
        <v>152</v>
      </c>
      <c r="K882" s="9" t="s">
        <v>153</v>
      </c>
      <c r="L882" s="10">
        <v>45905</v>
      </c>
      <c r="M882" s="10">
        <v>45913</v>
      </c>
      <c r="N882" s="10"/>
      <c r="O882" s="10">
        <v>45924</v>
      </c>
      <c r="P882" s="9" t="b">
        <f>TRUE()</f>
        <v>1</v>
      </c>
      <c r="Q882" s="11">
        <v>621.94000000000005</v>
      </c>
    </row>
    <row r="883" spans="1:17" ht="15" customHeight="1" x14ac:dyDescent="0.2">
      <c r="A883" s="9" t="s">
        <v>1031</v>
      </c>
      <c r="B883" s="10">
        <v>45859</v>
      </c>
      <c r="C883" s="10">
        <v>45839</v>
      </c>
      <c r="D883" s="9" t="s">
        <v>21</v>
      </c>
      <c r="E883" s="9" t="s">
        <v>24</v>
      </c>
      <c r="F883" s="9" t="s">
        <v>186</v>
      </c>
      <c r="G883" s="9" t="s">
        <v>161</v>
      </c>
      <c r="H883" s="9" t="s">
        <v>183</v>
      </c>
      <c r="I883" s="9" t="b">
        <f>TRUE()</f>
        <v>1</v>
      </c>
      <c r="J883" s="9" t="s">
        <v>152</v>
      </c>
      <c r="K883" s="9" t="s">
        <v>153</v>
      </c>
      <c r="L883" s="10">
        <v>45860</v>
      </c>
      <c r="M883" s="10"/>
      <c r="N883" s="10"/>
      <c r="O883" s="10">
        <v>45878</v>
      </c>
      <c r="P883" s="9" t="b">
        <f>TRUE()</f>
        <v>1</v>
      </c>
      <c r="Q883" s="11">
        <v>1740.43</v>
      </c>
    </row>
    <row r="884" spans="1:17" ht="15" customHeight="1" x14ac:dyDescent="0.2">
      <c r="A884" s="9" t="s">
        <v>1032</v>
      </c>
      <c r="B884" s="10">
        <v>45849</v>
      </c>
      <c r="C884" s="10">
        <v>45839</v>
      </c>
      <c r="D884" s="9" t="s">
        <v>19</v>
      </c>
      <c r="E884" s="9" t="s">
        <v>24</v>
      </c>
      <c r="F884" s="9" t="s">
        <v>155</v>
      </c>
      <c r="G884" s="9" t="s">
        <v>161</v>
      </c>
      <c r="H884" s="9" t="s">
        <v>210</v>
      </c>
      <c r="I884" s="9" t="b">
        <f>TRUE()</f>
        <v>1</v>
      </c>
      <c r="J884" s="9" t="s">
        <v>152</v>
      </c>
      <c r="K884" s="9" t="s">
        <v>153</v>
      </c>
      <c r="L884" s="10">
        <v>45859</v>
      </c>
      <c r="M884" s="10"/>
      <c r="N884" s="10"/>
      <c r="O884" s="10">
        <v>45881</v>
      </c>
      <c r="P884" s="9" t="b">
        <f>TRUE()</f>
        <v>1</v>
      </c>
      <c r="Q884" s="11">
        <v>1714.59</v>
      </c>
    </row>
    <row r="885" spans="1:17" ht="15" customHeight="1" x14ac:dyDescent="0.2">
      <c r="A885" s="9" t="s">
        <v>1033</v>
      </c>
      <c r="B885" s="10">
        <v>45777</v>
      </c>
      <c r="C885" s="10">
        <v>45748</v>
      </c>
      <c r="D885" s="9" t="s">
        <v>20</v>
      </c>
      <c r="E885" s="9" t="s">
        <v>24</v>
      </c>
      <c r="F885" s="9" t="s">
        <v>149</v>
      </c>
      <c r="G885" s="9" t="s">
        <v>156</v>
      </c>
      <c r="H885" s="9" t="s">
        <v>189</v>
      </c>
      <c r="I885" s="9" t="b">
        <f>TRUE()</f>
        <v>1</v>
      </c>
      <c r="J885" s="9" t="s">
        <v>152</v>
      </c>
      <c r="K885" s="9" t="s">
        <v>163</v>
      </c>
      <c r="L885" s="10"/>
      <c r="M885" s="10"/>
      <c r="N885" s="10"/>
      <c r="O885" s="10">
        <v>45797</v>
      </c>
      <c r="P885" s="9" t="b">
        <f>TRUE()</f>
        <v>1</v>
      </c>
      <c r="Q885" s="11">
        <v>869.74</v>
      </c>
    </row>
    <row r="886" spans="1:17" ht="15" customHeight="1" x14ac:dyDescent="0.2">
      <c r="A886" s="9" t="s">
        <v>1034</v>
      </c>
      <c r="B886" s="10">
        <v>45680</v>
      </c>
      <c r="C886" s="10">
        <v>45658</v>
      </c>
      <c r="D886" s="9" t="s">
        <v>22</v>
      </c>
      <c r="E886" s="9" t="s">
        <v>25</v>
      </c>
      <c r="F886" s="9" t="s">
        <v>149</v>
      </c>
      <c r="G886" s="9" t="s">
        <v>150</v>
      </c>
      <c r="H886" s="9" t="s">
        <v>170</v>
      </c>
      <c r="I886" s="9" t="b">
        <f>TRUE()</f>
        <v>1</v>
      </c>
      <c r="J886" s="9" t="s">
        <v>152</v>
      </c>
      <c r="K886" s="9" t="s">
        <v>153</v>
      </c>
      <c r="L886" s="10">
        <v>45687</v>
      </c>
      <c r="M886" s="10"/>
      <c r="N886" s="10"/>
      <c r="O886" s="10">
        <v>45711</v>
      </c>
      <c r="P886" s="9" t="b">
        <f>TRUE()</f>
        <v>1</v>
      </c>
      <c r="Q886" s="11">
        <v>8779.9500000000007</v>
      </c>
    </row>
    <row r="887" spans="1:17" ht="15" customHeight="1" x14ac:dyDescent="0.2">
      <c r="A887" s="9" t="s">
        <v>1035</v>
      </c>
      <c r="B887" s="10">
        <v>45732</v>
      </c>
      <c r="C887" s="10">
        <v>45717</v>
      </c>
      <c r="D887" s="9" t="s">
        <v>19</v>
      </c>
      <c r="E887" s="9" t="s">
        <v>27</v>
      </c>
      <c r="F887" s="9" t="s">
        <v>186</v>
      </c>
      <c r="G887" s="9" t="s">
        <v>150</v>
      </c>
      <c r="H887" s="9" t="s">
        <v>207</v>
      </c>
      <c r="I887" s="9" t="b">
        <f>TRUE()</f>
        <v>1</v>
      </c>
      <c r="J887" s="9" t="s">
        <v>152</v>
      </c>
      <c r="K887" s="9" t="s">
        <v>163</v>
      </c>
      <c r="L887" s="10"/>
      <c r="M887" s="10"/>
      <c r="N887" s="10"/>
      <c r="O887" s="10">
        <v>45752</v>
      </c>
      <c r="P887" s="9" t="b">
        <f>TRUE()</f>
        <v>1</v>
      </c>
      <c r="Q887" s="11">
        <v>7244.06</v>
      </c>
    </row>
    <row r="888" spans="1:17" ht="15" customHeight="1" x14ac:dyDescent="0.2">
      <c r="A888" s="9" t="s">
        <v>1036</v>
      </c>
      <c r="B888" s="10">
        <v>45724</v>
      </c>
      <c r="C888" s="10">
        <v>45717</v>
      </c>
      <c r="D888" s="9" t="s">
        <v>21</v>
      </c>
      <c r="E888" s="9" t="s">
        <v>28</v>
      </c>
      <c r="F888" s="9" t="s">
        <v>186</v>
      </c>
      <c r="G888" s="9" t="s">
        <v>156</v>
      </c>
      <c r="H888" s="9" t="s">
        <v>176</v>
      </c>
      <c r="I888" s="9" t="b">
        <f>TRUE()</f>
        <v>1</v>
      </c>
      <c r="J888" s="9" t="s">
        <v>152</v>
      </c>
      <c r="K888" s="9" t="s">
        <v>153</v>
      </c>
      <c r="L888" s="10">
        <v>45728</v>
      </c>
      <c r="M888" s="10"/>
      <c r="N888" s="10"/>
      <c r="O888" s="10">
        <v>45746</v>
      </c>
      <c r="P888" s="9" t="b">
        <f>TRUE()</f>
        <v>1</v>
      </c>
      <c r="Q888" s="11">
        <v>515.35</v>
      </c>
    </row>
    <row r="889" spans="1:17" ht="15" customHeight="1" x14ac:dyDescent="0.2">
      <c r="A889" s="9" t="s">
        <v>74</v>
      </c>
      <c r="B889" s="10">
        <v>45933</v>
      </c>
      <c r="C889" s="10">
        <v>45931</v>
      </c>
      <c r="D889" s="9" t="s">
        <v>22</v>
      </c>
      <c r="E889" s="9" t="s">
        <v>24</v>
      </c>
      <c r="F889" s="9" t="s">
        <v>149</v>
      </c>
      <c r="G889" s="9" t="s">
        <v>156</v>
      </c>
      <c r="H889" s="9" t="s">
        <v>170</v>
      </c>
      <c r="I889" s="9" t="b">
        <f>TRUE()</f>
        <v>1</v>
      </c>
      <c r="J889" s="9" t="s">
        <v>152</v>
      </c>
      <c r="K889" s="9" t="s">
        <v>153</v>
      </c>
      <c r="L889" s="10">
        <v>45939</v>
      </c>
      <c r="M889" s="10">
        <v>45942</v>
      </c>
      <c r="N889" s="10"/>
      <c r="O889" s="10">
        <v>45958</v>
      </c>
      <c r="P889" s="9" t="b">
        <f>TRUE()</f>
        <v>1</v>
      </c>
      <c r="Q889" s="11">
        <v>1037.33</v>
      </c>
    </row>
    <row r="890" spans="1:17" ht="15" customHeight="1" x14ac:dyDescent="0.2">
      <c r="A890" s="9" t="s">
        <v>1037</v>
      </c>
      <c r="B890" s="10">
        <v>45803</v>
      </c>
      <c r="C890" s="10">
        <v>45778</v>
      </c>
      <c r="D890" s="9" t="s">
        <v>20</v>
      </c>
      <c r="E890" s="9" t="s">
        <v>26</v>
      </c>
      <c r="F890" s="9" t="s">
        <v>186</v>
      </c>
      <c r="G890" s="9" t="s">
        <v>161</v>
      </c>
      <c r="H890" s="9" t="s">
        <v>167</v>
      </c>
      <c r="I890" s="9" t="b">
        <f>TRUE()</f>
        <v>1</v>
      </c>
      <c r="J890" s="9" t="s">
        <v>152</v>
      </c>
      <c r="K890" s="9" t="s">
        <v>163</v>
      </c>
      <c r="L890" s="10"/>
      <c r="M890" s="10"/>
      <c r="N890" s="10"/>
      <c r="O890" s="10">
        <v>45818</v>
      </c>
      <c r="P890" s="9" t="b">
        <f>TRUE()</f>
        <v>1</v>
      </c>
      <c r="Q890" s="11">
        <v>2612.9499999999998</v>
      </c>
    </row>
    <row r="891" spans="1:17" ht="15" customHeight="1" x14ac:dyDescent="0.2">
      <c r="A891" s="9" t="s">
        <v>1038</v>
      </c>
      <c r="B891" s="10">
        <v>45836</v>
      </c>
      <c r="C891" s="10">
        <v>45809</v>
      </c>
      <c r="D891" s="9" t="s">
        <v>20</v>
      </c>
      <c r="E891" s="9" t="s">
        <v>26</v>
      </c>
      <c r="F891" s="9" t="s">
        <v>155</v>
      </c>
      <c r="G891" s="9" t="s">
        <v>156</v>
      </c>
      <c r="H891" s="9" t="s">
        <v>192</v>
      </c>
      <c r="I891" s="9" t="b">
        <f>TRUE()</f>
        <v>1</v>
      </c>
      <c r="J891" s="9" t="s">
        <v>152</v>
      </c>
      <c r="K891" s="9" t="s">
        <v>153</v>
      </c>
      <c r="L891" s="10">
        <v>45838</v>
      </c>
      <c r="M891" s="10"/>
      <c r="N891" s="10"/>
      <c r="O891" s="10">
        <v>45851</v>
      </c>
      <c r="P891" s="9" t="b">
        <f>TRUE()</f>
        <v>1</v>
      </c>
      <c r="Q891" s="11">
        <v>658.28</v>
      </c>
    </row>
    <row r="892" spans="1:17" ht="15" customHeight="1" x14ac:dyDescent="0.2">
      <c r="A892" s="9" t="s">
        <v>1039</v>
      </c>
      <c r="B892" s="10">
        <v>45751</v>
      </c>
      <c r="C892" s="10">
        <v>45748</v>
      </c>
      <c r="D892" s="9" t="s">
        <v>20</v>
      </c>
      <c r="E892" s="9" t="s">
        <v>27</v>
      </c>
      <c r="F892" s="9" t="s">
        <v>160</v>
      </c>
      <c r="G892" s="9" t="s">
        <v>156</v>
      </c>
      <c r="H892" s="9" t="s">
        <v>167</v>
      </c>
      <c r="I892" s="9" t="b">
        <f>TRUE()</f>
        <v>1</v>
      </c>
      <c r="J892" s="9" t="s">
        <v>152</v>
      </c>
      <c r="K892" s="9" t="s">
        <v>153</v>
      </c>
      <c r="L892" s="10">
        <v>45760</v>
      </c>
      <c r="M892" s="10">
        <v>45774</v>
      </c>
      <c r="N892" s="10"/>
      <c r="O892" s="10">
        <v>45797</v>
      </c>
      <c r="P892" s="9" t="b">
        <f>TRUE()</f>
        <v>1</v>
      </c>
      <c r="Q892" s="11">
        <v>871.27</v>
      </c>
    </row>
    <row r="893" spans="1:17" ht="15" customHeight="1" x14ac:dyDescent="0.2">
      <c r="A893" s="9" t="s">
        <v>1040</v>
      </c>
      <c r="B893" s="10">
        <v>45930</v>
      </c>
      <c r="C893" s="10">
        <v>45901</v>
      </c>
      <c r="D893" s="9" t="s">
        <v>21</v>
      </c>
      <c r="E893" s="9" t="s">
        <v>26</v>
      </c>
      <c r="F893" s="9" t="s">
        <v>160</v>
      </c>
      <c r="G893" s="9" t="s">
        <v>156</v>
      </c>
      <c r="H893" s="9" t="s">
        <v>176</v>
      </c>
      <c r="I893" s="9" t="b">
        <f>TRUE()</f>
        <v>1</v>
      </c>
      <c r="J893" s="9" t="s">
        <v>152</v>
      </c>
      <c r="K893" s="9" t="s">
        <v>153</v>
      </c>
      <c r="L893" s="10">
        <v>45940</v>
      </c>
      <c r="M893" s="10">
        <v>45953</v>
      </c>
      <c r="N893" s="10"/>
      <c r="O893" s="10">
        <v>45959</v>
      </c>
      <c r="P893" s="9" t="b">
        <f>TRUE()</f>
        <v>1</v>
      </c>
      <c r="Q893" s="11">
        <v>990.36</v>
      </c>
    </row>
    <row r="894" spans="1:17" ht="15" customHeight="1" x14ac:dyDescent="0.2">
      <c r="A894" s="9" t="s">
        <v>1041</v>
      </c>
      <c r="B894" s="10">
        <v>45920</v>
      </c>
      <c r="C894" s="10">
        <v>45901</v>
      </c>
      <c r="D894" s="9" t="s">
        <v>22</v>
      </c>
      <c r="E894" s="9" t="s">
        <v>25</v>
      </c>
      <c r="F894" s="9" t="s">
        <v>149</v>
      </c>
      <c r="G894" s="9" t="s">
        <v>156</v>
      </c>
      <c r="H894" s="9" t="s">
        <v>170</v>
      </c>
      <c r="I894" s="9" t="b">
        <f>TRUE()</f>
        <v>1</v>
      </c>
      <c r="J894" s="9" t="s">
        <v>2</v>
      </c>
      <c r="K894" s="9" t="s">
        <v>153</v>
      </c>
      <c r="L894" s="10">
        <v>45929</v>
      </c>
      <c r="M894" s="10">
        <v>45944</v>
      </c>
      <c r="N894" s="10">
        <v>45971</v>
      </c>
      <c r="O894" s="10"/>
      <c r="P894" s="9" t="b">
        <f>TRUE()</f>
        <v>1</v>
      </c>
      <c r="Q894" s="11">
        <v>657.03</v>
      </c>
    </row>
    <row r="895" spans="1:17" ht="15" customHeight="1" x14ac:dyDescent="0.2">
      <c r="A895" s="9" t="s">
        <v>1042</v>
      </c>
      <c r="B895" s="10">
        <v>45918</v>
      </c>
      <c r="C895" s="10">
        <v>45901</v>
      </c>
      <c r="D895" s="9" t="s">
        <v>22</v>
      </c>
      <c r="E895" s="9" t="s">
        <v>25</v>
      </c>
      <c r="F895" s="9" t="s">
        <v>186</v>
      </c>
      <c r="G895" s="9" t="s">
        <v>156</v>
      </c>
      <c r="H895" s="9" t="s">
        <v>151</v>
      </c>
      <c r="I895" s="9" t="b">
        <f>TRUE()</f>
        <v>1</v>
      </c>
      <c r="J895" s="9" t="s">
        <v>152</v>
      </c>
      <c r="K895" s="9" t="s">
        <v>153</v>
      </c>
      <c r="L895" s="10">
        <v>45919</v>
      </c>
      <c r="M895" s="10">
        <v>45933</v>
      </c>
      <c r="N895" s="10"/>
      <c r="O895" s="10">
        <v>45948</v>
      </c>
      <c r="P895" s="9" t="b">
        <f>TRUE()</f>
        <v>1</v>
      </c>
      <c r="Q895" s="11">
        <v>713.84</v>
      </c>
    </row>
    <row r="896" spans="1:17" ht="15" customHeight="1" x14ac:dyDescent="0.2">
      <c r="A896" s="9" t="s">
        <v>1043</v>
      </c>
      <c r="B896" s="10">
        <v>45798</v>
      </c>
      <c r="C896" s="10">
        <v>45778</v>
      </c>
      <c r="D896" s="9" t="s">
        <v>20</v>
      </c>
      <c r="E896" s="9" t="s">
        <v>25</v>
      </c>
      <c r="F896" s="9" t="s">
        <v>149</v>
      </c>
      <c r="G896" s="9" t="s">
        <v>156</v>
      </c>
      <c r="H896" s="9" t="s">
        <v>167</v>
      </c>
      <c r="I896" s="9" t="b">
        <f>TRUE()</f>
        <v>1</v>
      </c>
      <c r="J896" s="9" t="s">
        <v>152</v>
      </c>
      <c r="K896" s="9" t="s">
        <v>163</v>
      </c>
      <c r="L896" s="10"/>
      <c r="M896" s="10"/>
      <c r="N896" s="10"/>
      <c r="O896" s="10">
        <v>45808</v>
      </c>
      <c r="P896" s="9" t="b">
        <f>TRUE()</f>
        <v>1</v>
      </c>
      <c r="Q896" s="11">
        <v>831.47</v>
      </c>
    </row>
    <row r="897" spans="1:17" ht="15" customHeight="1" x14ac:dyDescent="0.2">
      <c r="A897" s="9" t="s">
        <v>1044</v>
      </c>
      <c r="B897" s="10">
        <v>45971</v>
      </c>
      <c r="C897" s="10">
        <v>45962</v>
      </c>
      <c r="D897" s="9" t="s">
        <v>19</v>
      </c>
      <c r="E897" s="9" t="s">
        <v>25</v>
      </c>
      <c r="F897" s="9" t="s">
        <v>155</v>
      </c>
      <c r="G897" s="9" t="s">
        <v>156</v>
      </c>
      <c r="H897" s="9" t="s">
        <v>179</v>
      </c>
      <c r="I897" s="9" t="b">
        <f>TRUE()</f>
        <v>1</v>
      </c>
      <c r="J897" s="9" t="s">
        <v>2</v>
      </c>
      <c r="K897" s="9" t="s">
        <v>153</v>
      </c>
      <c r="L897" s="10">
        <v>45977</v>
      </c>
      <c r="M897" s="10">
        <v>45987</v>
      </c>
      <c r="N897" s="10">
        <v>46017</v>
      </c>
      <c r="O897" s="10"/>
      <c r="P897" s="9" t="b">
        <f>TRUE()</f>
        <v>1</v>
      </c>
      <c r="Q897" s="11">
        <v>400.96</v>
      </c>
    </row>
    <row r="898" spans="1:17" ht="15" customHeight="1" x14ac:dyDescent="0.2">
      <c r="A898" s="9" t="s">
        <v>1045</v>
      </c>
      <c r="B898" s="10">
        <v>45913</v>
      </c>
      <c r="C898" s="10">
        <v>45901</v>
      </c>
      <c r="D898" s="9" t="s">
        <v>22</v>
      </c>
      <c r="E898" s="9" t="s">
        <v>24</v>
      </c>
      <c r="F898" s="9" t="s">
        <v>160</v>
      </c>
      <c r="G898" s="9" t="s">
        <v>156</v>
      </c>
      <c r="H898" s="9" t="s">
        <v>165</v>
      </c>
      <c r="I898" s="9" t="b">
        <f>TRUE()</f>
        <v>1</v>
      </c>
      <c r="J898" s="9" t="s">
        <v>2</v>
      </c>
      <c r="K898" s="9" t="s">
        <v>153</v>
      </c>
      <c r="L898" s="10">
        <v>45915</v>
      </c>
      <c r="M898" s="10">
        <v>45916</v>
      </c>
      <c r="N898" s="10">
        <v>45921</v>
      </c>
      <c r="O898" s="10"/>
      <c r="P898" s="9" t="b">
        <f>TRUE()</f>
        <v>1</v>
      </c>
      <c r="Q898" s="11">
        <v>1007.58</v>
      </c>
    </row>
    <row r="899" spans="1:17" ht="15" customHeight="1" x14ac:dyDescent="0.2">
      <c r="A899" s="9" t="s">
        <v>1046</v>
      </c>
      <c r="B899" s="10">
        <v>45692</v>
      </c>
      <c r="C899" s="10">
        <v>45689</v>
      </c>
      <c r="D899" s="9" t="s">
        <v>21</v>
      </c>
      <c r="E899" s="9" t="s">
        <v>25</v>
      </c>
      <c r="F899" s="9" t="s">
        <v>186</v>
      </c>
      <c r="G899" s="9" t="s">
        <v>156</v>
      </c>
      <c r="H899" s="9" t="s">
        <v>162</v>
      </c>
      <c r="I899" s="9" t="b">
        <f>TRUE()</f>
        <v>1</v>
      </c>
      <c r="J899" s="9" t="s">
        <v>152</v>
      </c>
      <c r="K899" s="9" t="s">
        <v>153</v>
      </c>
      <c r="L899" s="10">
        <v>45693</v>
      </c>
      <c r="M899" s="10"/>
      <c r="N899" s="10"/>
      <c r="O899" s="10">
        <v>45711</v>
      </c>
      <c r="P899" s="9" t="b">
        <f>TRUE()</f>
        <v>1</v>
      </c>
      <c r="Q899" s="11">
        <v>712.16</v>
      </c>
    </row>
    <row r="900" spans="1:17" ht="15" customHeight="1" x14ac:dyDescent="0.2">
      <c r="A900" s="9" t="s">
        <v>1047</v>
      </c>
      <c r="B900" s="10">
        <v>45756</v>
      </c>
      <c r="C900" s="10">
        <v>45748</v>
      </c>
      <c r="D900" s="9" t="s">
        <v>22</v>
      </c>
      <c r="E900" s="9" t="s">
        <v>28</v>
      </c>
      <c r="F900" s="9" t="s">
        <v>149</v>
      </c>
      <c r="G900" s="9" t="s">
        <v>161</v>
      </c>
      <c r="H900" s="9" t="s">
        <v>165</v>
      </c>
      <c r="I900" s="9" t="b">
        <f>TRUE()</f>
        <v>1</v>
      </c>
      <c r="J900" s="9" t="s">
        <v>2</v>
      </c>
      <c r="K900" s="9" t="s">
        <v>153</v>
      </c>
      <c r="L900" s="10">
        <v>45757</v>
      </c>
      <c r="M900" s="10">
        <v>45764</v>
      </c>
      <c r="N900" s="10">
        <v>45771</v>
      </c>
      <c r="O900" s="10"/>
      <c r="P900" s="9" t="b">
        <f>TRUE()</f>
        <v>1</v>
      </c>
      <c r="Q900" s="11">
        <v>2369.08</v>
      </c>
    </row>
    <row r="901" spans="1:17" ht="15" customHeight="1" x14ac:dyDescent="0.2">
      <c r="A901" s="9" t="s">
        <v>1048</v>
      </c>
      <c r="B901" s="10">
        <v>45993</v>
      </c>
      <c r="C901" s="10">
        <v>45992</v>
      </c>
      <c r="D901" s="9" t="s">
        <v>18</v>
      </c>
      <c r="E901" s="9" t="s">
        <v>27</v>
      </c>
      <c r="F901" s="9" t="s">
        <v>186</v>
      </c>
      <c r="G901" s="9" t="s">
        <v>156</v>
      </c>
      <c r="H901" s="9" t="s">
        <v>201</v>
      </c>
      <c r="I901" s="9" t="b">
        <f>TRUE()</f>
        <v>1</v>
      </c>
      <c r="J901" s="9" t="s">
        <v>2</v>
      </c>
      <c r="K901" s="9" t="s">
        <v>153</v>
      </c>
      <c r="L901" s="10">
        <v>45997</v>
      </c>
      <c r="M901" s="10">
        <v>46011</v>
      </c>
      <c r="N901" s="10">
        <v>46021</v>
      </c>
      <c r="O901" s="10"/>
      <c r="P901" s="9" t="b">
        <f>TRUE()</f>
        <v>1</v>
      </c>
      <c r="Q901" s="11">
        <v>709.55</v>
      </c>
    </row>
    <row r="902" spans="1:17" ht="15" customHeight="1" x14ac:dyDescent="0.2">
      <c r="A902" s="9" t="s">
        <v>1049</v>
      </c>
      <c r="B902" s="10">
        <v>45846</v>
      </c>
      <c r="C902" s="10">
        <v>45839</v>
      </c>
      <c r="D902" s="9" t="s">
        <v>21</v>
      </c>
      <c r="E902" s="9" t="s">
        <v>25</v>
      </c>
      <c r="F902" s="9" t="s">
        <v>186</v>
      </c>
      <c r="G902" s="9" t="s">
        <v>156</v>
      </c>
      <c r="H902" s="9" t="s">
        <v>176</v>
      </c>
      <c r="I902" s="9" t="b">
        <f>TRUE()</f>
        <v>1</v>
      </c>
      <c r="J902" s="9" t="s">
        <v>2</v>
      </c>
      <c r="K902" s="9" t="s">
        <v>153</v>
      </c>
      <c r="L902" s="10">
        <v>45850</v>
      </c>
      <c r="M902" s="10">
        <v>45864</v>
      </c>
      <c r="N902" s="10">
        <v>45877</v>
      </c>
      <c r="O902" s="10"/>
      <c r="P902" s="9" t="b">
        <f>TRUE()</f>
        <v>1</v>
      </c>
      <c r="Q902" s="11">
        <v>656.84</v>
      </c>
    </row>
    <row r="903" spans="1:17" ht="15" customHeight="1" x14ac:dyDescent="0.2">
      <c r="A903" s="9" t="s">
        <v>1050</v>
      </c>
      <c r="B903" s="10">
        <v>45949</v>
      </c>
      <c r="C903" s="10">
        <v>45931</v>
      </c>
      <c r="D903" s="9" t="s">
        <v>18</v>
      </c>
      <c r="E903" s="9" t="s">
        <v>26</v>
      </c>
      <c r="F903" s="9" t="s">
        <v>149</v>
      </c>
      <c r="G903" s="9" t="s">
        <v>161</v>
      </c>
      <c r="H903" s="9" t="s">
        <v>201</v>
      </c>
      <c r="I903" s="9" t="b">
        <f>TRUE()</f>
        <v>1</v>
      </c>
      <c r="J903" s="9" t="s">
        <v>152</v>
      </c>
      <c r="K903" s="9" t="s">
        <v>153</v>
      </c>
      <c r="L903" s="10">
        <v>45958</v>
      </c>
      <c r="M903" s="10">
        <v>45973</v>
      </c>
      <c r="N903" s="10"/>
      <c r="O903" s="10">
        <v>45996</v>
      </c>
      <c r="P903" s="9" t="b">
        <f>TRUE()</f>
        <v>1</v>
      </c>
      <c r="Q903" s="11">
        <v>2366.86</v>
      </c>
    </row>
    <row r="904" spans="1:17" ht="15" customHeight="1" x14ac:dyDescent="0.2">
      <c r="A904" s="9" t="s">
        <v>1051</v>
      </c>
      <c r="B904" s="10">
        <v>46020</v>
      </c>
      <c r="C904" s="10">
        <v>45992</v>
      </c>
      <c r="D904" s="9" t="s">
        <v>20</v>
      </c>
      <c r="E904" s="9" t="s">
        <v>26</v>
      </c>
      <c r="F904" s="9" t="s">
        <v>149</v>
      </c>
      <c r="G904" s="9" t="s">
        <v>161</v>
      </c>
      <c r="H904" s="9" t="s">
        <v>189</v>
      </c>
      <c r="I904" s="9" t="b">
        <f>TRUE()</f>
        <v>1</v>
      </c>
      <c r="J904" s="9" t="s">
        <v>158</v>
      </c>
      <c r="K904" s="9" t="s">
        <v>153</v>
      </c>
      <c r="L904" s="10">
        <v>46022</v>
      </c>
      <c r="M904" s="10">
        <v>46036</v>
      </c>
      <c r="N904" s="10"/>
      <c r="O904" s="10"/>
      <c r="P904" s="9" t="b">
        <f>TRUE()</f>
        <v>1</v>
      </c>
      <c r="Q904" s="11">
        <v>2331.19</v>
      </c>
    </row>
    <row r="905" spans="1:17" ht="15" customHeight="1" x14ac:dyDescent="0.2">
      <c r="A905" s="9" t="s">
        <v>1052</v>
      </c>
      <c r="B905" s="10">
        <v>45736</v>
      </c>
      <c r="C905" s="10">
        <v>45717</v>
      </c>
      <c r="D905" s="9" t="s">
        <v>20</v>
      </c>
      <c r="E905" s="9" t="s">
        <v>25</v>
      </c>
      <c r="F905" s="9" t="s">
        <v>186</v>
      </c>
      <c r="G905" s="9" t="s">
        <v>161</v>
      </c>
      <c r="H905" s="9" t="s">
        <v>192</v>
      </c>
      <c r="I905" s="9" t="b">
        <f>TRUE()</f>
        <v>1</v>
      </c>
      <c r="J905" s="9" t="s">
        <v>152</v>
      </c>
      <c r="K905" s="9" t="s">
        <v>163</v>
      </c>
      <c r="L905" s="10"/>
      <c r="M905" s="10"/>
      <c r="N905" s="10"/>
      <c r="O905" s="10">
        <v>45751</v>
      </c>
      <c r="P905" s="9" t="b">
        <f>TRUE()</f>
        <v>1</v>
      </c>
      <c r="Q905" s="11">
        <v>2156.79</v>
      </c>
    </row>
    <row r="906" spans="1:17" ht="15" customHeight="1" x14ac:dyDescent="0.2">
      <c r="A906" s="9" t="s">
        <v>1053</v>
      </c>
      <c r="B906" s="10">
        <v>45755</v>
      </c>
      <c r="C906" s="10">
        <v>45748</v>
      </c>
      <c r="D906" s="9" t="s">
        <v>20</v>
      </c>
      <c r="E906" s="9" t="s">
        <v>28</v>
      </c>
      <c r="F906" s="9" t="s">
        <v>186</v>
      </c>
      <c r="G906" s="9" t="s">
        <v>156</v>
      </c>
      <c r="H906" s="9" t="s">
        <v>192</v>
      </c>
      <c r="I906" s="9" t="b">
        <f>TRUE()</f>
        <v>1</v>
      </c>
      <c r="J906" s="9" t="s">
        <v>2</v>
      </c>
      <c r="K906" s="9" t="s">
        <v>153</v>
      </c>
      <c r="L906" s="10">
        <v>45763</v>
      </c>
      <c r="M906" s="10">
        <v>45777</v>
      </c>
      <c r="N906" s="10">
        <v>45781</v>
      </c>
      <c r="O906" s="10"/>
      <c r="P906" s="9" t="b">
        <f>TRUE()</f>
        <v>1</v>
      </c>
      <c r="Q906" s="11">
        <v>813.27</v>
      </c>
    </row>
    <row r="907" spans="1:17" ht="15" customHeight="1" x14ac:dyDescent="0.2">
      <c r="A907" s="9" t="s">
        <v>1054</v>
      </c>
      <c r="B907" s="10">
        <v>45772</v>
      </c>
      <c r="C907" s="10">
        <v>45748</v>
      </c>
      <c r="D907" s="9" t="s">
        <v>22</v>
      </c>
      <c r="E907" s="9" t="s">
        <v>28</v>
      </c>
      <c r="F907" s="9" t="s">
        <v>186</v>
      </c>
      <c r="G907" s="9" t="s">
        <v>156</v>
      </c>
      <c r="H907" s="9" t="s">
        <v>151</v>
      </c>
      <c r="I907" s="9" t="b">
        <f>TRUE()</f>
        <v>1</v>
      </c>
      <c r="J907" s="9" t="s">
        <v>152</v>
      </c>
      <c r="K907" s="9" t="s">
        <v>153</v>
      </c>
      <c r="L907" s="10">
        <v>45779</v>
      </c>
      <c r="M907" s="10"/>
      <c r="N907" s="10"/>
      <c r="O907" s="10">
        <v>45789</v>
      </c>
      <c r="P907" s="9" t="b">
        <f>TRUE()</f>
        <v>1</v>
      </c>
      <c r="Q907" s="11">
        <v>693.51</v>
      </c>
    </row>
    <row r="908" spans="1:17" ht="15" customHeight="1" x14ac:dyDescent="0.2">
      <c r="A908" s="9" t="s">
        <v>1055</v>
      </c>
      <c r="B908" s="10">
        <v>45732</v>
      </c>
      <c r="C908" s="10">
        <v>45717</v>
      </c>
      <c r="D908" s="9" t="s">
        <v>19</v>
      </c>
      <c r="E908" s="9" t="s">
        <v>25</v>
      </c>
      <c r="F908" s="9" t="s">
        <v>160</v>
      </c>
      <c r="G908" s="9" t="s">
        <v>161</v>
      </c>
      <c r="H908" s="9" t="s">
        <v>179</v>
      </c>
      <c r="I908" s="9" t="b">
        <f>TRUE()</f>
        <v>1</v>
      </c>
      <c r="J908" s="9" t="s">
        <v>152</v>
      </c>
      <c r="K908" s="9" t="s">
        <v>153</v>
      </c>
      <c r="L908" s="10">
        <v>45739</v>
      </c>
      <c r="M908" s="10">
        <v>45744</v>
      </c>
      <c r="N908" s="10"/>
      <c r="O908" s="10">
        <v>45755</v>
      </c>
      <c r="P908" s="9" t="b">
        <f>TRUE()</f>
        <v>1</v>
      </c>
      <c r="Q908" s="11">
        <v>2633.42</v>
      </c>
    </row>
    <row r="909" spans="1:17" ht="15" customHeight="1" x14ac:dyDescent="0.2">
      <c r="A909" s="9" t="s">
        <v>1056</v>
      </c>
      <c r="B909" s="10">
        <v>46002</v>
      </c>
      <c r="C909" s="10">
        <v>45992</v>
      </c>
      <c r="D909" s="9" t="s">
        <v>18</v>
      </c>
      <c r="E909" s="9" t="s">
        <v>25</v>
      </c>
      <c r="F909" s="9" t="s">
        <v>149</v>
      </c>
      <c r="G909" s="9" t="s">
        <v>161</v>
      </c>
      <c r="H909" s="9" t="s">
        <v>157</v>
      </c>
      <c r="I909" s="9" t="b">
        <f>TRUE()</f>
        <v>1</v>
      </c>
      <c r="J909" s="9" t="s">
        <v>2</v>
      </c>
      <c r="K909" s="9" t="s">
        <v>153</v>
      </c>
      <c r="L909" s="10">
        <v>46006</v>
      </c>
      <c r="M909" s="10">
        <v>46015</v>
      </c>
      <c r="N909" s="10">
        <v>46027</v>
      </c>
      <c r="O909" s="10"/>
      <c r="P909" s="9" t="b">
        <f>TRUE()</f>
        <v>1</v>
      </c>
      <c r="Q909" s="11">
        <v>2585.65</v>
      </c>
    </row>
    <row r="910" spans="1:17" ht="15" customHeight="1" x14ac:dyDescent="0.2">
      <c r="A910" s="9" t="s">
        <v>1057</v>
      </c>
      <c r="B910" s="10">
        <v>45767</v>
      </c>
      <c r="C910" s="10">
        <v>45748</v>
      </c>
      <c r="D910" s="9" t="s">
        <v>20</v>
      </c>
      <c r="E910" s="9" t="s">
        <v>28</v>
      </c>
      <c r="F910" s="9" t="s">
        <v>186</v>
      </c>
      <c r="G910" s="9" t="s">
        <v>156</v>
      </c>
      <c r="H910" s="9" t="s">
        <v>167</v>
      </c>
      <c r="I910" s="9" t="b">
        <f>TRUE()</f>
        <v>1</v>
      </c>
      <c r="J910" s="9" t="s">
        <v>152</v>
      </c>
      <c r="K910" s="9" t="s">
        <v>153</v>
      </c>
      <c r="L910" s="10">
        <v>45770</v>
      </c>
      <c r="M910" s="10"/>
      <c r="N910" s="10"/>
      <c r="O910" s="10">
        <v>45779</v>
      </c>
      <c r="P910" s="9" t="b">
        <f>TRUE()</f>
        <v>1</v>
      </c>
      <c r="Q910" s="11">
        <v>710.22</v>
      </c>
    </row>
    <row r="911" spans="1:17" ht="15" customHeight="1" x14ac:dyDescent="0.2">
      <c r="A911" s="9" t="s">
        <v>1058</v>
      </c>
      <c r="B911" s="10">
        <v>45784</v>
      </c>
      <c r="C911" s="10">
        <v>45778</v>
      </c>
      <c r="D911" s="9" t="s">
        <v>22</v>
      </c>
      <c r="E911" s="9" t="s">
        <v>27</v>
      </c>
      <c r="F911" s="9" t="s">
        <v>186</v>
      </c>
      <c r="G911" s="9" t="s">
        <v>150</v>
      </c>
      <c r="H911" s="9" t="s">
        <v>151</v>
      </c>
      <c r="I911" s="9" t="b">
        <f>TRUE()</f>
        <v>1</v>
      </c>
      <c r="J911" s="9" t="s">
        <v>152</v>
      </c>
      <c r="K911" s="9" t="s">
        <v>153</v>
      </c>
      <c r="L911" s="10">
        <v>45790</v>
      </c>
      <c r="M911" s="10"/>
      <c r="N911" s="10"/>
      <c r="O911" s="10">
        <v>45807</v>
      </c>
      <c r="P911" s="9" t="b">
        <f>TRUE()</f>
        <v>1</v>
      </c>
      <c r="Q911" s="11">
        <v>6950.54</v>
      </c>
    </row>
    <row r="912" spans="1:17" ht="15" customHeight="1" x14ac:dyDescent="0.2">
      <c r="A912" s="9" t="s">
        <v>1059</v>
      </c>
      <c r="B912" s="10">
        <v>45818</v>
      </c>
      <c r="C912" s="10">
        <v>45809</v>
      </c>
      <c r="D912" s="9" t="s">
        <v>21</v>
      </c>
      <c r="E912" s="9" t="s">
        <v>25</v>
      </c>
      <c r="F912" s="9" t="s">
        <v>149</v>
      </c>
      <c r="G912" s="9" t="s">
        <v>161</v>
      </c>
      <c r="H912" s="9" t="s">
        <v>176</v>
      </c>
      <c r="I912" s="9" t="b">
        <f>TRUE()</f>
        <v>1</v>
      </c>
      <c r="J912" s="9" t="s">
        <v>2</v>
      </c>
      <c r="K912" s="9" t="s">
        <v>153</v>
      </c>
      <c r="L912" s="10">
        <v>45819</v>
      </c>
      <c r="M912" s="10">
        <v>45824</v>
      </c>
      <c r="N912" s="10">
        <v>45838</v>
      </c>
      <c r="O912" s="10"/>
      <c r="P912" s="9" t="b">
        <f>TRUE()</f>
        <v>1</v>
      </c>
      <c r="Q912" s="11">
        <v>3011.2</v>
      </c>
    </row>
    <row r="913" spans="1:17" ht="15" customHeight="1" x14ac:dyDescent="0.2">
      <c r="A913" s="9" t="s">
        <v>1060</v>
      </c>
      <c r="B913" s="10">
        <v>45782</v>
      </c>
      <c r="C913" s="10">
        <v>45778</v>
      </c>
      <c r="D913" s="9" t="s">
        <v>22</v>
      </c>
      <c r="E913" s="9" t="s">
        <v>24</v>
      </c>
      <c r="F913" s="9" t="s">
        <v>149</v>
      </c>
      <c r="G913" s="9" t="s">
        <v>156</v>
      </c>
      <c r="H913" s="9" t="s">
        <v>170</v>
      </c>
      <c r="I913" s="9" t="b">
        <f>TRUE()</f>
        <v>1</v>
      </c>
      <c r="J913" s="9" t="s">
        <v>152</v>
      </c>
      <c r="K913" s="9" t="s">
        <v>163</v>
      </c>
      <c r="L913" s="10"/>
      <c r="M913" s="10"/>
      <c r="N913" s="10"/>
      <c r="O913" s="10">
        <v>45787</v>
      </c>
      <c r="P913" s="9" t="b">
        <f>TRUE()</f>
        <v>1</v>
      </c>
      <c r="Q913" s="11">
        <v>1089.0899999999999</v>
      </c>
    </row>
    <row r="914" spans="1:17" ht="15" customHeight="1" x14ac:dyDescent="0.2">
      <c r="A914" s="9" t="s">
        <v>1061</v>
      </c>
      <c r="B914" s="10">
        <v>45699</v>
      </c>
      <c r="C914" s="10">
        <v>45689</v>
      </c>
      <c r="D914" s="9" t="s">
        <v>22</v>
      </c>
      <c r="E914" s="9" t="s">
        <v>25</v>
      </c>
      <c r="F914" s="9" t="s">
        <v>160</v>
      </c>
      <c r="G914" s="9" t="s">
        <v>156</v>
      </c>
      <c r="H914" s="9" t="s">
        <v>151</v>
      </c>
      <c r="I914" s="9" t="b">
        <f>TRUE()</f>
        <v>1</v>
      </c>
      <c r="J914" s="9" t="s">
        <v>152</v>
      </c>
      <c r="K914" s="9" t="s">
        <v>153</v>
      </c>
      <c r="L914" s="10">
        <v>45702</v>
      </c>
      <c r="M914" s="10"/>
      <c r="N914" s="10"/>
      <c r="O914" s="10">
        <v>45727</v>
      </c>
      <c r="P914" s="9" t="b">
        <f>TRUE()</f>
        <v>1</v>
      </c>
      <c r="Q914" s="11">
        <v>950.41</v>
      </c>
    </row>
    <row r="915" spans="1:17" ht="15" customHeight="1" x14ac:dyDescent="0.2">
      <c r="A915" s="9" t="s">
        <v>1062</v>
      </c>
      <c r="B915" s="10">
        <v>45775</v>
      </c>
      <c r="C915" s="10">
        <v>45748</v>
      </c>
      <c r="D915" s="9" t="s">
        <v>21</v>
      </c>
      <c r="E915" s="9" t="s">
        <v>27</v>
      </c>
      <c r="F915" s="9" t="s">
        <v>186</v>
      </c>
      <c r="G915" s="9" t="s">
        <v>161</v>
      </c>
      <c r="H915" s="9" t="s">
        <v>176</v>
      </c>
      <c r="I915" s="9" t="b">
        <f>TRUE()</f>
        <v>1</v>
      </c>
      <c r="J915" s="9" t="s">
        <v>152</v>
      </c>
      <c r="K915" s="9" t="s">
        <v>163</v>
      </c>
      <c r="L915" s="10"/>
      <c r="M915" s="10"/>
      <c r="N915" s="10"/>
      <c r="O915" s="10">
        <v>45777</v>
      </c>
      <c r="P915" s="9" t="b">
        <f>TRUE()</f>
        <v>1</v>
      </c>
      <c r="Q915" s="11">
        <v>2629.43</v>
      </c>
    </row>
    <row r="916" spans="1:17" ht="15" customHeight="1" x14ac:dyDescent="0.2">
      <c r="A916" s="9" t="s">
        <v>1063</v>
      </c>
      <c r="B916" s="10">
        <v>45739</v>
      </c>
      <c r="C916" s="10">
        <v>45717</v>
      </c>
      <c r="D916" s="9" t="s">
        <v>21</v>
      </c>
      <c r="E916" s="9" t="s">
        <v>25</v>
      </c>
      <c r="F916" s="9" t="s">
        <v>160</v>
      </c>
      <c r="G916" s="9" t="s">
        <v>156</v>
      </c>
      <c r="H916" s="9" t="s">
        <v>162</v>
      </c>
      <c r="I916" s="9" t="b">
        <f>TRUE()</f>
        <v>1</v>
      </c>
      <c r="J916" s="9" t="s">
        <v>152</v>
      </c>
      <c r="K916" s="9" t="s">
        <v>153</v>
      </c>
      <c r="L916" s="10">
        <v>45745</v>
      </c>
      <c r="M916" s="10">
        <v>45754</v>
      </c>
      <c r="N916" s="10"/>
      <c r="O916" s="10">
        <v>45778</v>
      </c>
      <c r="P916" s="9" t="b">
        <f>TRUE()</f>
        <v>1</v>
      </c>
      <c r="Q916" s="11">
        <v>733.78</v>
      </c>
    </row>
    <row r="917" spans="1:17" ht="15" customHeight="1" x14ac:dyDescent="0.2">
      <c r="A917" s="9" t="s">
        <v>1064</v>
      </c>
      <c r="B917" s="10">
        <v>45710</v>
      </c>
      <c r="C917" s="10">
        <v>45689</v>
      </c>
      <c r="D917" s="9" t="s">
        <v>20</v>
      </c>
      <c r="E917" s="9" t="s">
        <v>28</v>
      </c>
      <c r="F917" s="9" t="s">
        <v>186</v>
      </c>
      <c r="G917" s="9" t="s">
        <v>161</v>
      </c>
      <c r="H917" s="9" t="s">
        <v>167</v>
      </c>
      <c r="I917" s="9" t="b">
        <f>TRUE()</f>
        <v>1</v>
      </c>
      <c r="J917" s="9" t="s">
        <v>152</v>
      </c>
      <c r="K917" s="9" t="s">
        <v>153</v>
      </c>
      <c r="L917" s="10">
        <v>45720</v>
      </c>
      <c r="M917" s="10">
        <v>45732</v>
      </c>
      <c r="N917" s="10"/>
      <c r="O917" s="10">
        <v>45751</v>
      </c>
      <c r="P917" s="9" t="b">
        <f>TRUE()</f>
        <v>1</v>
      </c>
      <c r="Q917" s="11">
        <v>2812.27</v>
      </c>
    </row>
    <row r="918" spans="1:17" ht="15" customHeight="1" x14ac:dyDescent="0.2">
      <c r="A918" s="9" t="s">
        <v>1065</v>
      </c>
      <c r="B918" s="10">
        <v>45889</v>
      </c>
      <c r="C918" s="10">
        <v>45870</v>
      </c>
      <c r="D918" s="9" t="s">
        <v>20</v>
      </c>
      <c r="E918" s="9" t="s">
        <v>26</v>
      </c>
      <c r="F918" s="9" t="s">
        <v>149</v>
      </c>
      <c r="G918" s="9" t="s">
        <v>150</v>
      </c>
      <c r="H918" s="9" t="s">
        <v>189</v>
      </c>
      <c r="I918" s="9" t="b">
        <f>TRUE()</f>
        <v>1</v>
      </c>
      <c r="J918" s="9" t="s">
        <v>152</v>
      </c>
      <c r="K918" s="9" t="s">
        <v>163</v>
      </c>
      <c r="L918" s="10"/>
      <c r="M918" s="10"/>
      <c r="N918" s="10"/>
      <c r="O918" s="10">
        <v>45902</v>
      </c>
      <c r="P918" s="9" t="b">
        <f>TRUE()</f>
        <v>1</v>
      </c>
      <c r="Q918" s="11">
        <v>10631.6</v>
      </c>
    </row>
    <row r="919" spans="1:17" ht="15" customHeight="1" x14ac:dyDescent="0.2">
      <c r="A919" s="9" t="s">
        <v>1066</v>
      </c>
      <c r="B919" s="10">
        <v>46016</v>
      </c>
      <c r="C919" s="10">
        <v>45992</v>
      </c>
      <c r="D919" s="9" t="s">
        <v>21</v>
      </c>
      <c r="E919" s="9" t="s">
        <v>26</v>
      </c>
      <c r="F919" s="9" t="s">
        <v>160</v>
      </c>
      <c r="G919" s="9" t="s">
        <v>161</v>
      </c>
      <c r="H919" s="9" t="s">
        <v>183</v>
      </c>
      <c r="I919" s="9" t="b">
        <f>TRUE()</f>
        <v>1</v>
      </c>
      <c r="J919" s="9" t="s">
        <v>190</v>
      </c>
      <c r="K919" s="9" t="s">
        <v>163</v>
      </c>
      <c r="L919" s="10"/>
      <c r="M919" s="10"/>
      <c r="N919" s="10"/>
      <c r="O919" s="10"/>
      <c r="P919" s="9" t="b">
        <f>TRUE()</f>
        <v>1</v>
      </c>
      <c r="Q919" s="11">
        <v>3002.14</v>
      </c>
    </row>
    <row r="920" spans="1:17" ht="15" customHeight="1" x14ac:dyDescent="0.2">
      <c r="A920" s="9" t="s">
        <v>1067</v>
      </c>
      <c r="B920" s="10">
        <v>45800</v>
      </c>
      <c r="C920" s="10">
        <v>45778</v>
      </c>
      <c r="D920" s="9" t="s">
        <v>21</v>
      </c>
      <c r="E920" s="9" t="s">
        <v>26</v>
      </c>
      <c r="F920" s="9" t="s">
        <v>149</v>
      </c>
      <c r="G920" s="9" t="s">
        <v>161</v>
      </c>
      <c r="H920" s="9" t="s">
        <v>162</v>
      </c>
      <c r="I920" s="9" t="b">
        <f>TRUE()</f>
        <v>1</v>
      </c>
      <c r="J920" s="9" t="s">
        <v>152</v>
      </c>
      <c r="K920" s="9" t="s">
        <v>153</v>
      </c>
      <c r="L920" s="10">
        <v>45808</v>
      </c>
      <c r="M920" s="10"/>
      <c r="N920" s="10"/>
      <c r="O920" s="10">
        <v>45813</v>
      </c>
      <c r="P920" s="9" t="b">
        <f>TRUE()</f>
        <v>1</v>
      </c>
      <c r="Q920" s="11">
        <v>3054.52</v>
      </c>
    </row>
    <row r="921" spans="1:17" ht="15" customHeight="1" x14ac:dyDescent="0.2">
      <c r="A921" s="9" t="s">
        <v>1068</v>
      </c>
      <c r="B921" s="10">
        <v>45884</v>
      </c>
      <c r="C921" s="10">
        <v>45870</v>
      </c>
      <c r="D921" s="9" t="s">
        <v>19</v>
      </c>
      <c r="E921" s="9" t="s">
        <v>25</v>
      </c>
      <c r="F921" s="9" t="s">
        <v>160</v>
      </c>
      <c r="G921" s="9" t="s">
        <v>156</v>
      </c>
      <c r="H921" s="9" t="s">
        <v>207</v>
      </c>
      <c r="I921" s="9" t="b">
        <f>TRUE()</f>
        <v>1</v>
      </c>
      <c r="J921" s="9" t="s">
        <v>152</v>
      </c>
      <c r="K921" s="9" t="s">
        <v>163</v>
      </c>
      <c r="L921" s="10"/>
      <c r="M921" s="10"/>
      <c r="N921" s="10"/>
      <c r="O921" s="10">
        <v>45892</v>
      </c>
      <c r="P921" s="9" t="b">
        <f>TRUE()</f>
        <v>1</v>
      </c>
      <c r="Q921" s="11">
        <v>815.45</v>
      </c>
    </row>
    <row r="922" spans="1:17" ht="15" customHeight="1" x14ac:dyDescent="0.2">
      <c r="A922" s="9" t="s">
        <v>1069</v>
      </c>
      <c r="B922" s="10">
        <v>45880</v>
      </c>
      <c r="C922" s="10">
        <v>45870</v>
      </c>
      <c r="D922" s="9" t="s">
        <v>22</v>
      </c>
      <c r="E922" s="9" t="s">
        <v>24</v>
      </c>
      <c r="F922" s="9" t="s">
        <v>160</v>
      </c>
      <c r="G922" s="9" t="s">
        <v>161</v>
      </c>
      <c r="H922" s="9" t="s">
        <v>165</v>
      </c>
      <c r="I922" s="9" t="b">
        <f>TRUE()</f>
        <v>1</v>
      </c>
      <c r="J922" s="9" t="s">
        <v>152</v>
      </c>
      <c r="K922" s="9" t="s">
        <v>163</v>
      </c>
      <c r="L922" s="10"/>
      <c r="M922" s="10"/>
      <c r="N922" s="10"/>
      <c r="O922" s="10">
        <v>45900</v>
      </c>
      <c r="P922" s="9" t="b">
        <f>TRUE()</f>
        <v>1</v>
      </c>
      <c r="Q922" s="11">
        <v>2670.2</v>
      </c>
    </row>
    <row r="923" spans="1:17" ht="15" customHeight="1" x14ac:dyDescent="0.2">
      <c r="A923" s="9" t="s">
        <v>1070</v>
      </c>
      <c r="B923" s="10">
        <v>45913</v>
      </c>
      <c r="C923" s="10">
        <v>45901</v>
      </c>
      <c r="D923" s="9" t="s">
        <v>21</v>
      </c>
      <c r="E923" s="9" t="s">
        <v>28</v>
      </c>
      <c r="F923" s="9" t="s">
        <v>155</v>
      </c>
      <c r="G923" s="9" t="s">
        <v>156</v>
      </c>
      <c r="H923" s="9" t="s">
        <v>162</v>
      </c>
      <c r="I923" s="9" t="b">
        <f>TRUE()</f>
        <v>1</v>
      </c>
      <c r="J923" s="9" t="s">
        <v>2</v>
      </c>
      <c r="K923" s="9" t="s">
        <v>153</v>
      </c>
      <c r="L923" s="10">
        <v>45919</v>
      </c>
      <c r="M923" s="10">
        <v>45921</v>
      </c>
      <c r="N923" s="10">
        <v>45945</v>
      </c>
      <c r="O923" s="10"/>
      <c r="P923" s="9" t="b">
        <f>TRUE()</f>
        <v>1</v>
      </c>
      <c r="Q923" s="11">
        <v>406.29</v>
      </c>
    </row>
    <row r="924" spans="1:17" ht="15" customHeight="1" x14ac:dyDescent="0.2">
      <c r="A924" s="9" t="s">
        <v>1071</v>
      </c>
      <c r="B924" s="10">
        <v>45961</v>
      </c>
      <c r="C924" s="10">
        <v>45931</v>
      </c>
      <c r="D924" s="9" t="s">
        <v>18</v>
      </c>
      <c r="E924" s="9" t="s">
        <v>28</v>
      </c>
      <c r="F924" s="9" t="s">
        <v>155</v>
      </c>
      <c r="G924" s="9" t="s">
        <v>161</v>
      </c>
      <c r="H924" s="9" t="s">
        <v>201</v>
      </c>
      <c r="I924" s="9" t="b">
        <f>TRUE()</f>
        <v>1</v>
      </c>
      <c r="J924" s="9" t="s">
        <v>152</v>
      </c>
      <c r="K924" s="9" t="s">
        <v>153</v>
      </c>
      <c r="L924" s="10">
        <v>45968</v>
      </c>
      <c r="M924" s="10">
        <v>45978</v>
      </c>
      <c r="N924" s="10"/>
      <c r="O924" s="10">
        <v>46007</v>
      </c>
      <c r="P924" s="9" t="b">
        <f>TRUE()</f>
        <v>1</v>
      </c>
      <c r="Q924" s="11">
        <v>1778.54</v>
      </c>
    </row>
    <row r="925" spans="1:17" ht="15" customHeight="1" x14ac:dyDescent="0.2">
      <c r="A925" s="9" t="s">
        <v>1072</v>
      </c>
      <c r="B925" s="10">
        <v>45679</v>
      </c>
      <c r="C925" s="10">
        <v>45658</v>
      </c>
      <c r="D925" s="9" t="s">
        <v>21</v>
      </c>
      <c r="E925" s="9" t="s">
        <v>26</v>
      </c>
      <c r="F925" s="9" t="s">
        <v>186</v>
      </c>
      <c r="G925" s="9" t="s">
        <v>156</v>
      </c>
      <c r="H925" s="9" t="s">
        <v>162</v>
      </c>
      <c r="I925" s="9" t="b">
        <f>TRUE()</f>
        <v>1</v>
      </c>
      <c r="J925" s="9" t="s">
        <v>152</v>
      </c>
      <c r="K925" s="9" t="s">
        <v>153</v>
      </c>
      <c r="L925" s="10">
        <v>45685</v>
      </c>
      <c r="M925" s="10">
        <v>45697</v>
      </c>
      <c r="N925" s="10"/>
      <c r="O925" s="10">
        <v>45705</v>
      </c>
      <c r="P925" s="9" t="b">
        <f>TRUE()</f>
        <v>1</v>
      </c>
      <c r="Q925" s="11">
        <v>888.29</v>
      </c>
    </row>
    <row r="926" spans="1:17" ht="15" customHeight="1" x14ac:dyDescent="0.2">
      <c r="A926" s="9" t="s">
        <v>1073</v>
      </c>
      <c r="B926" s="10">
        <v>45906</v>
      </c>
      <c r="C926" s="10">
        <v>45901</v>
      </c>
      <c r="D926" s="9" t="s">
        <v>21</v>
      </c>
      <c r="E926" s="9" t="s">
        <v>24</v>
      </c>
      <c r="F926" s="9" t="s">
        <v>149</v>
      </c>
      <c r="G926" s="9" t="s">
        <v>156</v>
      </c>
      <c r="H926" s="9" t="s">
        <v>183</v>
      </c>
      <c r="I926" s="9" t="b">
        <f>TRUE()</f>
        <v>1</v>
      </c>
      <c r="J926" s="9" t="s">
        <v>152</v>
      </c>
      <c r="K926" s="9" t="s">
        <v>163</v>
      </c>
      <c r="L926" s="10"/>
      <c r="M926" s="10"/>
      <c r="N926" s="10"/>
      <c r="O926" s="10">
        <v>45916</v>
      </c>
      <c r="P926" s="9" t="b">
        <f>TRUE()</f>
        <v>1</v>
      </c>
      <c r="Q926" s="11">
        <v>962.14</v>
      </c>
    </row>
    <row r="927" spans="1:17" ht="15" customHeight="1" x14ac:dyDescent="0.2">
      <c r="A927" s="9" t="s">
        <v>1074</v>
      </c>
      <c r="B927" s="10">
        <v>45879</v>
      </c>
      <c r="C927" s="10">
        <v>45870</v>
      </c>
      <c r="D927" s="9" t="s">
        <v>20</v>
      </c>
      <c r="E927" s="9" t="s">
        <v>25</v>
      </c>
      <c r="F927" s="9" t="s">
        <v>149</v>
      </c>
      <c r="G927" s="9" t="s">
        <v>156</v>
      </c>
      <c r="H927" s="9" t="s">
        <v>192</v>
      </c>
      <c r="I927" s="9" t="b">
        <f>TRUE()</f>
        <v>1</v>
      </c>
      <c r="J927" s="9" t="s">
        <v>152</v>
      </c>
      <c r="K927" s="9" t="s">
        <v>153</v>
      </c>
      <c r="L927" s="10">
        <v>45881</v>
      </c>
      <c r="M927" s="10">
        <v>45896</v>
      </c>
      <c r="N927" s="10"/>
      <c r="O927" s="10">
        <v>45908</v>
      </c>
      <c r="P927" s="9" t="b">
        <f>TRUE()</f>
        <v>1</v>
      </c>
      <c r="Q927" s="11">
        <v>875.48</v>
      </c>
    </row>
    <row r="928" spans="1:17" ht="15" customHeight="1" x14ac:dyDescent="0.2">
      <c r="A928" s="9" t="s">
        <v>1075</v>
      </c>
      <c r="B928" s="10">
        <v>45750</v>
      </c>
      <c r="C928" s="10">
        <v>45748</v>
      </c>
      <c r="D928" s="9" t="s">
        <v>22</v>
      </c>
      <c r="E928" s="9" t="s">
        <v>24</v>
      </c>
      <c r="F928" s="9" t="s">
        <v>155</v>
      </c>
      <c r="G928" s="9" t="s">
        <v>150</v>
      </c>
      <c r="H928" s="9" t="s">
        <v>170</v>
      </c>
      <c r="I928" s="9" t="b">
        <f>TRUE()</f>
        <v>1</v>
      </c>
      <c r="J928" s="9" t="s">
        <v>152</v>
      </c>
      <c r="K928" s="9" t="s">
        <v>153</v>
      </c>
      <c r="L928" s="10">
        <v>45754</v>
      </c>
      <c r="M928" s="10">
        <v>45764</v>
      </c>
      <c r="N928" s="10"/>
      <c r="O928" s="10">
        <v>45798</v>
      </c>
      <c r="P928" s="9" t="b">
        <f>TRUE()</f>
        <v>1</v>
      </c>
      <c r="Q928" s="11">
        <v>6776.08</v>
      </c>
    </row>
    <row r="929" spans="1:17" ht="15" customHeight="1" x14ac:dyDescent="0.2">
      <c r="A929" s="9" t="s">
        <v>1076</v>
      </c>
      <c r="B929" s="10">
        <v>45814</v>
      </c>
      <c r="C929" s="10">
        <v>45809</v>
      </c>
      <c r="D929" s="9" t="s">
        <v>19</v>
      </c>
      <c r="E929" s="9" t="s">
        <v>28</v>
      </c>
      <c r="F929" s="9" t="s">
        <v>160</v>
      </c>
      <c r="G929" s="9" t="s">
        <v>156</v>
      </c>
      <c r="H929" s="9" t="s">
        <v>207</v>
      </c>
      <c r="I929" s="9" t="b">
        <f>TRUE()</f>
        <v>1</v>
      </c>
      <c r="J929" s="9" t="s">
        <v>152</v>
      </c>
      <c r="K929" s="9" t="s">
        <v>163</v>
      </c>
      <c r="L929" s="10"/>
      <c r="M929" s="10"/>
      <c r="N929" s="10"/>
      <c r="O929" s="10">
        <v>45830</v>
      </c>
      <c r="P929" s="9" t="b">
        <f>TRUE()</f>
        <v>1</v>
      </c>
      <c r="Q929" s="11">
        <v>974.67</v>
      </c>
    </row>
    <row r="930" spans="1:17" ht="15" customHeight="1" x14ac:dyDescent="0.2">
      <c r="A930" s="9" t="s">
        <v>1077</v>
      </c>
      <c r="B930" s="10">
        <v>45803</v>
      </c>
      <c r="C930" s="10">
        <v>45778</v>
      </c>
      <c r="D930" s="9" t="s">
        <v>20</v>
      </c>
      <c r="E930" s="9" t="s">
        <v>26</v>
      </c>
      <c r="F930" s="9" t="s">
        <v>186</v>
      </c>
      <c r="G930" s="9" t="s">
        <v>156</v>
      </c>
      <c r="H930" s="9" t="s">
        <v>189</v>
      </c>
      <c r="I930" s="9" t="b">
        <f>TRUE()</f>
        <v>1</v>
      </c>
      <c r="J930" s="9" t="s">
        <v>152</v>
      </c>
      <c r="K930" s="9" t="s">
        <v>153</v>
      </c>
      <c r="L930" s="10">
        <v>45810</v>
      </c>
      <c r="M930" s="10">
        <v>45821</v>
      </c>
      <c r="N930" s="10"/>
      <c r="O930" s="10">
        <v>45828</v>
      </c>
      <c r="P930" s="9" t="b">
        <f>TRUE()</f>
        <v>1</v>
      </c>
      <c r="Q930" s="11">
        <v>771.63</v>
      </c>
    </row>
    <row r="931" spans="1:17" ht="15" customHeight="1" x14ac:dyDescent="0.2">
      <c r="A931" s="9" t="s">
        <v>1078</v>
      </c>
      <c r="B931" s="10">
        <v>45829</v>
      </c>
      <c r="C931" s="10">
        <v>45809</v>
      </c>
      <c r="D931" s="9" t="s">
        <v>20</v>
      </c>
      <c r="E931" s="9" t="s">
        <v>24</v>
      </c>
      <c r="F931" s="9" t="s">
        <v>155</v>
      </c>
      <c r="G931" s="9" t="s">
        <v>161</v>
      </c>
      <c r="H931" s="9" t="s">
        <v>192</v>
      </c>
      <c r="I931" s="9" t="b">
        <f>TRUE()</f>
        <v>1</v>
      </c>
      <c r="J931" s="9" t="s">
        <v>152</v>
      </c>
      <c r="K931" s="9" t="s">
        <v>163</v>
      </c>
      <c r="L931" s="10"/>
      <c r="M931" s="10"/>
      <c r="N931" s="10"/>
      <c r="O931" s="10">
        <v>45847</v>
      </c>
      <c r="P931" s="9" t="b">
        <f>TRUE()</f>
        <v>1</v>
      </c>
      <c r="Q931" s="11">
        <v>2201.1</v>
      </c>
    </row>
    <row r="932" spans="1:17" ht="15" customHeight="1" x14ac:dyDescent="0.2">
      <c r="A932" s="9" t="s">
        <v>1079</v>
      </c>
      <c r="B932" s="10">
        <v>45869</v>
      </c>
      <c r="C932" s="10">
        <v>45839</v>
      </c>
      <c r="D932" s="9" t="s">
        <v>18</v>
      </c>
      <c r="E932" s="9" t="s">
        <v>26</v>
      </c>
      <c r="F932" s="9" t="s">
        <v>186</v>
      </c>
      <c r="G932" s="9" t="s">
        <v>161</v>
      </c>
      <c r="H932" s="9" t="s">
        <v>157</v>
      </c>
      <c r="I932" s="9" t="b">
        <f>TRUE()</f>
        <v>1</v>
      </c>
      <c r="J932" s="9" t="s">
        <v>152</v>
      </c>
      <c r="K932" s="9" t="s">
        <v>153</v>
      </c>
      <c r="L932" s="10">
        <v>45874</v>
      </c>
      <c r="M932" s="10">
        <v>45885</v>
      </c>
      <c r="N932" s="10"/>
      <c r="O932" s="10">
        <v>45896</v>
      </c>
      <c r="P932" s="9" t="b">
        <f>TRUE()</f>
        <v>1</v>
      </c>
      <c r="Q932" s="11">
        <v>2154.96</v>
      </c>
    </row>
    <row r="933" spans="1:17" ht="15" customHeight="1" x14ac:dyDescent="0.2">
      <c r="A933" s="9" t="s">
        <v>1080</v>
      </c>
      <c r="B933" s="10">
        <v>45878</v>
      </c>
      <c r="C933" s="10">
        <v>45870</v>
      </c>
      <c r="D933" s="9" t="s">
        <v>20</v>
      </c>
      <c r="E933" s="9" t="s">
        <v>24</v>
      </c>
      <c r="F933" s="9" t="s">
        <v>149</v>
      </c>
      <c r="G933" s="9" t="s">
        <v>150</v>
      </c>
      <c r="H933" s="9" t="s">
        <v>192</v>
      </c>
      <c r="I933" s="9" t="b">
        <f>TRUE()</f>
        <v>1</v>
      </c>
      <c r="J933" s="9" t="s">
        <v>152</v>
      </c>
      <c r="K933" s="9" t="s">
        <v>153</v>
      </c>
      <c r="L933" s="10">
        <v>45883</v>
      </c>
      <c r="M933" s="10">
        <v>45895</v>
      </c>
      <c r="N933" s="10"/>
      <c r="O933" s="10">
        <v>45916</v>
      </c>
      <c r="P933" s="9" t="b">
        <f>TRUE()</f>
        <v>1</v>
      </c>
      <c r="Q933" s="11">
        <v>5885.69</v>
      </c>
    </row>
    <row r="934" spans="1:17" ht="15" customHeight="1" x14ac:dyDescent="0.2">
      <c r="A934" s="9" t="s">
        <v>50</v>
      </c>
      <c r="B934" s="10">
        <v>45928</v>
      </c>
      <c r="C934" s="10">
        <v>45901</v>
      </c>
      <c r="D934" s="9" t="s">
        <v>19</v>
      </c>
      <c r="E934" s="9" t="s">
        <v>27</v>
      </c>
      <c r="F934" s="9" t="s">
        <v>149</v>
      </c>
      <c r="G934" s="9" t="s">
        <v>161</v>
      </c>
      <c r="H934" s="9" t="s">
        <v>210</v>
      </c>
      <c r="I934" s="9" t="b">
        <f>TRUE()</f>
        <v>1</v>
      </c>
      <c r="J934" s="9" t="s">
        <v>2</v>
      </c>
      <c r="K934" s="9" t="s">
        <v>153</v>
      </c>
      <c r="L934" s="10">
        <v>45933</v>
      </c>
      <c r="M934" s="10">
        <v>45945</v>
      </c>
      <c r="N934" s="10">
        <v>45969</v>
      </c>
      <c r="O934" s="10"/>
      <c r="P934" s="9" t="b">
        <f>TRUE()</f>
        <v>1</v>
      </c>
      <c r="Q934" s="11">
        <v>2002.83</v>
      </c>
    </row>
    <row r="935" spans="1:17" ht="15" customHeight="1" x14ac:dyDescent="0.2">
      <c r="A935" s="9" t="s">
        <v>1081</v>
      </c>
      <c r="B935" s="10">
        <v>45898</v>
      </c>
      <c r="C935" s="10">
        <v>45870</v>
      </c>
      <c r="D935" s="9" t="s">
        <v>20</v>
      </c>
      <c r="E935" s="9" t="s">
        <v>28</v>
      </c>
      <c r="F935" s="9" t="s">
        <v>160</v>
      </c>
      <c r="G935" s="9" t="s">
        <v>161</v>
      </c>
      <c r="H935" s="9" t="s">
        <v>167</v>
      </c>
      <c r="I935" s="9" t="b">
        <f>TRUE()</f>
        <v>1</v>
      </c>
      <c r="J935" s="9" t="s">
        <v>2</v>
      </c>
      <c r="K935" s="9" t="s">
        <v>153</v>
      </c>
      <c r="L935" s="10">
        <v>45901</v>
      </c>
      <c r="M935" s="10">
        <v>45904</v>
      </c>
      <c r="N935" s="10">
        <v>45910</v>
      </c>
      <c r="O935" s="10"/>
      <c r="P935" s="9" t="b">
        <f>TRUE()</f>
        <v>1</v>
      </c>
      <c r="Q935" s="11">
        <v>3068.21</v>
      </c>
    </row>
    <row r="936" spans="1:17" ht="15" customHeight="1" x14ac:dyDescent="0.2">
      <c r="A936" s="9" t="s">
        <v>1082</v>
      </c>
      <c r="B936" s="10">
        <v>45861</v>
      </c>
      <c r="C936" s="10">
        <v>45839</v>
      </c>
      <c r="D936" s="9" t="s">
        <v>20</v>
      </c>
      <c r="E936" s="9" t="s">
        <v>26</v>
      </c>
      <c r="F936" s="9" t="s">
        <v>149</v>
      </c>
      <c r="G936" s="9" t="s">
        <v>156</v>
      </c>
      <c r="H936" s="9" t="s">
        <v>189</v>
      </c>
      <c r="I936" s="9" t="b">
        <f>TRUE()</f>
        <v>1</v>
      </c>
      <c r="J936" s="9" t="s">
        <v>152</v>
      </c>
      <c r="K936" s="9" t="s">
        <v>163</v>
      </c>
      <c r="L936" s="10"/>
      <c r="M936" s="10"/>
      <c r="N936" s="10"/>
      <c r="O936" s="10">
        <v>45867</v>
      </c>
      <c r="P936" s="9" t="b">
        <f>TRUE()</f>
        <v>1</v>
      </c>
      <c r="Q936" s="11">
        <v>826.7</v>
      </c>
    </row>
    <row r="937" spans="1:17" ht="15" customHeight="1" x14ac:dyDescent="0.2">
      <c r="A937" s="9" t="s">
        <v>1083</v>
      </c>
      <c r="B937" s="10">
        <v>45987</v>
      </c>
      <c r="C937" s="10">
        <v>45962</v>
      </c>
      <c r="D937" s="9" t="s">
        <v>18</v>
      </c>
      <c r="E937" s="9" t="s">
        <v>26</v>
      </c>
      <c r="F937" s="9" t="s">
        <v>160</v>
      </c>
      <c r="G937" s="9" t="s">
        <v>156</v>
      </c>
      <c r="H937" s="9" t="s">
        <v>157</v>
      </c>
      <c r="I937" s="9" t="b">
        <f>TRUE()</f>
        <v>1</v>
      </c>
      <c r="J937" s="9" t="s">
        <v>2</v>
      </c>
      <c r="K937" s="9" t="s">
        <v>153</v>
      </c>
      <c r="L937" s="10">
        <v>45996</v>
      </c>
      <c r="M937" s="10">
        <v>46010</v>
      </c>
      <c r="N937" s="10">
        <v>46025</v>
      </c>
      <c r="O937" s="10"/>
      <c r="P937" s="9" t="b">
        <f>TRUE()</f>
        <v>1</v>
      </c>
      <c r="Q937" s="11">
        <v>557.49</v>
      </c>
    </row>
    <row r="938" spans="1:17" ht="15" customHeight="1" x14ac:dyDescent="0.2">
      <c r="A938" s="9" t="s">
        <v>1084</v>
      </c>
      <c r="B938" s="10">
        <v>45904</v>
      </c>
      <c r="C938" s="10">
        <v>45901</v>
      </c>
      <c r="D938" s="9" t="s">
        <v>20</v>
      </c>
      <c r="E938" s="9" t="s">
        <v>25</v>
      </c>
      <c r="F938" s="9" t="s">
        <v>160</v>
      </c>
      <c r="G938" s="9" t="s">
        <v>156</v>
      </c>
      <c r="H938" s="9" t="s">
        <v>167</v>
      </c>
      <c r="I938" s="9" t="b">
        <f>TRUE()</f>
        <v>1</v>
      </c>
      <c r="J938" s="9" t="s">
        <v>152</v>
      </c>
      <c r="K938" s="9" t="s">
        <v>153</v>
      </c>
      <c r="L938" s="10">
        <v>45905</v>
      </c>
      <c r="M938" s="10">
        <v>45919</v>
      </c>
      <c r="N938" s="10"/>
      <c r="O938" s="10">
        <v>45938</v>
      </c>
      <c r="P938" s="9" t="b">
        <f>TRUE()</f>
        <v>1</v>
      </c>
      <c r="Q938" s="11">
        <v>988.5</v>
      </c>
    </row>
    <row r="939" spans="1:17" ht="15" customHeight="1" x14ac:dyDescent="0.2">
      <c r="A939" s="9" t="s">
        <v>1085</v>
      </c>
      <c r="B939" s="10">
        <v>45711</v>
      </c>
      <c r="C939" s="10">
        <v>45689</v>
      </c>
      <c r="D939" s="9" t="s">
        <v>20</v>
      </c>
      <c r="E939" s="9" t="s">
        <v>26</v>
      </c>
      <c r="F939" s="9" t="s">
        <v>155</v>
      </c>
      <c r="G939" s="9" t="s">
        <v>156</v>
      </c>
      <c r="H939" s="9" t="s">
        <v>189</v>
      </c>
      <c r="I939" s="9" t="b">
        <f>TRUE()</f>
        <v>1</v>
      </c>
      <c r="J939" s="9" t="s">
        <v>152</v>
      </c>
      <c r="K939" s="9" t="s">
        <v>153</v>
      </c>
      <c r="L939" s="10">
        <v>45719</v>
      </c>
      <c r="M939" s="10">
        <v>45733</v>
      </c>
      <c r="N939" s="10"/>
      <c r="O939" s="10">
        <v>45751</v>
      </c>
      <c r="P939" s="9" t="b">
        <f>TRUE()</f>
        <v>1</v>
      </c>
      <c r="Q939" s="11">
        <v>461.23</v>
      </c>
    </row>
    <row r="940" spans="1:17" ht="15" customHeight="1" x14ac:dyDescent="0.2">
      <c r="A940" s="9" t="s">
        <v>1086</v>
      </c>
      <c r="B940" s="10">
        <v>45995</v>
      </c>
      <c r="C940" s="10">
        <v>45992</v>
      </c>
      <c r="D940" s="9" t="s">
        <v>21</v>
      </c>
      <c r="E940" s="9" t="s">
        <v>28</v>
      </c>
      <c r="F940" s="9" t="s">
        <v>160</v>
      </c>
      <c r="G940" s="9" t="s">
        <v>156</v>
      </c>
      <c r="H940" s="9" t="s">
        <v>183</v>
      </c>
      <c r="I940" s="9" t="b">
        <f>TRUE()</f>
        <v>1</v>
      </c>
      <c r="J940" s="9" t="s">
        <v>2</v>
      </c>
      <c r="K940" s="9" t="s">
        <v>153</v>
      </c>
      <c r="L940" s="10">
        <v>46001</v>
      </c>
      <c r="M940" s="10">
        <v>46003</v>
      </c>
      <c r="N940" s="10">
        <v>46023</v>
      </c>
      <c r="O940" s="10"/>
      <c r="P940" s="9" t="b">
        <f>TRUE()</f>
        <v>1</v>
      </c>
      <c r="Q940" s="11">
        <v>1038.5999999999999</v>
      </c>
    </row>
    <row r="941" spans="1:17" ht="15" customHeight="1" x14ac:dyDescent="0.2">
      <c r="A941" s="9" t="s">
        <v>1087</v>
      </c>
      <c r="B941" s="10">
        <v>45907</v>
      </c>
      <c r="C941" s="10">
        <v>45901</v>
      </c>
      <c r="D941" s="9" t="s">
        <v>20</v>
      </c>
      <c r="E941" s="9" t="s">
        <v>24</v>
      </c>
      <c r="F941" s="9" t="s">
        <v>155</v>
      </c>
      <c r="G941" s="9" t="s">
        <v>161</v>
      </c>
      <c r="H941" s="9" t="s">
        <v>167</v>
      </c>
      <c r="I941" s="9" t="b">
        <f>TRUE()</f>
        <v>1</v>
      </c>
      <c r="J941" s="9" t="s">
        <v>152</v>
      </c>
      <c r="K941" s="9" t="s">
        <v>153</v>
      </c>
      <c r="L941" s="10">
        <v>45915</v>
      </c>
      <c r="M941" s="10">
        <v>45923</v>
      </c>
      <c r="N941" s="10"/>
      <c r="O941" s="10">
        <v>45957</v>
      </c>
      <c r="P941" s="9" t="b">
        <f>TRUE()</f>
        <v>1</v>
      </c>
      <c r="Q941" s="11">
        <v>1822.68</v>
      </c>
    </row>
    <row r="942" spans="1:17" ht="15" customHeight="1" x14ac:dyDescent="0.2">
      <c r="A942" s="9" t="s">
        <v>1088</v>
      </c>
      <c r="B942" s="10">
        <v>45917</v>
      </c>
      <c r="C942" s="10">
        <v>45901</v>
      </c>
      <c r="D942" s="9" t="s">
        <v>20</v>
      </c>
      <c r="E942" s="9" t="s">
        <v>24</v>
      </c>
      <c r="F942" s="9" t="s">
        <v>149</v>
      </c>
      <c r="G942" s="9" t="s">
        <v>161</v>
      </c>
      <c r="H942" s="9" t="s">
        <v>192</v>
      </c>
      <c r="I942" s="9" t="b">
        <f>TRUE()</f>
        <v>1</v>
      </c>
      <c r="J942" s="9" t="s">
        <v>152</v>
      </c>
      <c r="K942" s="9" t="s">
        <v>153</v>
      </c>
      <c r="L942" s="10">
        <v>45920</v>
      </c>
      <c r="M942" s="10">
        <v>45922</v>
      </c>
      <c r="N942" s="10"/>
      <c r="O942" s="10">
        <v>45936</v>
      </c>
      <c r="P942" s="9" t="b">
        <f>TRUE()</f>
        <v>1</v>
      </c>
      <c r="Q942" s="11">
        <v>2016.72</v>
      </c>
    </row>
    <row r="943" spans="1:17" ht="15" customHeight="1" x14ac:dyDescent="0.2">
      <c r="A943" s="9" t="s">
        <v>1089</v>
      </c>
      <c r="B943" s="10">
        <v>45786</v>
      </c>
      <c r="C943" s="10">
        <v>45778</v>
      </c>
      <c r="D943" s="9" t="s">
        <v>20</v>
      </c>
      <c r="E943" s="9" t="s">
        <v>24</v>
      </c>
      <c r="F943" s="9" t="s">
        <v>155</v>
      </c>
      <c r="G943" s="9" t="s">
        <v>156</v>
      </c>
      <c r="H943" s="9" t="s">
        <v>189</v>
      </c>
      <c r="I943" s="9" t="b">
        <f>TRUE()</f>
        <v>1</v>
      </c>
      <c r="J943" s="9" t="s">
        <v>152</v>
      </c>
      <c r="K943" s="9" t="s">
        <v>163</v>
      </c>
      <c r="L943" s="10"/>
      <c r="M943" s="10"/>
      <c r="N943" s="10"/>
      <c r="O943" s="10">
        <v>45795</v>
      </c>
      <c r="P943" s="9" t="b">
        <f>TRUE()</f>
        <v>1</v>
      </c>
      <c r="Q943" s="11">
        <v>426.11</v>
      </c>
    </row>
    <row r="944" spans="1:17" ht="15" customHeight="1" x14ac:dyDescent="0.2">
      <c r="A944" s="9" t="s">
        <v>1090</v>
      </c>
      <c r="B944" s="10">
        <v>45713</v>
      </c>
      <c r="C944" s="10">
        <v>45689</v>
      </c>
      <c r="D944" s="9" t="s">
        <v>21</v>
      </c>
      <c r="E944" s="9" t="s">
        <v>28</v>
      </c>
      <c r="F944" s="9" t="s">
        <v>160</v>
      </c>
      <c r="G944" s="9" t="s">
        <v>156</v>
      </c>
      <c r="H944" s="9" t="s">
        <v>176</v>
      </c>
      <c r="I944" s="9" t="b">
        <f>TRUE()</f>
        <v>1</v>
      </c>
      <c r="J944" s="9" t="s">
        <v>152</v>
      </c>
      <c r="K944" s="9" t="s">
        <v>163</v>
      </c>
      <c r="L944" s="10"/>
      <c r="M944" s="10"/>
      <c r="N944" s="10"/>
      <c r="O944" s="10">
        <v>45720</v>
      </c>
      <c r="P944" s="9" t="b">
        <f>TRUE()</f>
        <v>1</v>
      </c>
      <c r="Q944" s="11">
        <v>555.97</v>
      </c>
    </row>
    <row r="945" spans="1:17" ht="15" customHeight="1" x14ac:dyDescent="0.2">
      <c r="A945" s="9" t="s">
        <v>1091</v>
      </c>
      <c r="B945" s="10">
        <v>45846</v>
      </c>
      <c r="C945" s="10">
        <v>45839</v>
      </c>
      <c r="D945" s="9" t="s">
        <v>19</v>
      </c>
      <c r="E945" s="9" t="s">
        <v>28</v>
      </c>
      <c r="F945" s="9" t="s">
        <v>155</v>
      </c>
      <c r="G945" s="9" t="s">
        <v>161</v>
      </c>
      <c r="H945" s="9" t="s">
        <v>179</v>
      </c>
      <c r="I945" s="9" t="b">
        <f>TRUE()</f>
        <v>1</v>
      </c>
      <c r="J945" s="9" t="s">
        <v>152</v>
      </c>
      <c r="K945" s="9" t="s">
        <v>163</v>
      </c>
      <c r="L945" s="10"/>
      <c r="M945" s="10"/>
      <c r="N945" s="10"/>
      <c r="O945" s="10">
        <v>45848</v>
      </c>
      <c r="P945" s="9" t="b">
        <f>TRUE()</f>
        <v>1</v>
      </c>
      <c r="Q945" s="11">
        <v>1744.27</v>
      </c>
    </row>
    <row r="946" spans="1:17" ht="15" customHeight="1" x14ac:dyDescent="0.2">
      <c r="A946" s="9" t="s">
        <v>67</v>
      </c>
      <c r="B946" s="10">
        <v>45885</v>
      </c>
      <c r="C946" s="10">
        <v>45870</v>
      </c>
      <c r="D946" s="9" t="s">
        <v>22</v>
      </c>
      <c r="E946" s="9" t="s">
        <v>28</v>
      </c>
      <c r="F946" s="9" t="s">
        <v>149</v>
      </c>
      <c r="G946" s="9" t="s">
        <v>156</v>
      </c>
      <c r="H946" s="9" t="s">
        <v>265</v>
      </c>
      <c r="I946" s="9" t="b">
        <f>FALSE()</f>
        <v>0</v>
      </c>
      <c r="J946" s="9" t="s">
        <v>152</v>
      </c>
      <c r="K946" s="9" t="s">
        <v>153</v>
      </c>
      <c r="L946" s="10">
        <v>45886</v>
      </c>
      <c r="M946" s="10">
        <v>45888</v>
      </c>
      <c r="N946" s="10"/>
      <c r="O946" s="10">
        <v>45896</v>
      </c>
      <c r="P946" s="9" t="b">
        <f>TRUE()</f>
        <v>1</v>
      </c>
      <c r="Q946" s="11">
        <v>865.49</v>
      </c>
    </row>
    <row r="947" spans="1:17" ht="15" customHeight="1" x14ac:dyDescent="0.2">
      <c r="A947" s="9" t="s">
        <v>1092</v>
      </c>
      <c r="B947" s="10">
        <v>45677</v>
      </c>
      <c r="C947" s="10">
        <v>45658</v>
      </c>
      <c r="D947" s="9" t="s">
        <v>19</v>
      </c>
      <c r="E947" s="9" t="s">
        <v>25</v>
      </c>
      <c r="F947" s="9" t="s">
        <v>160</v>
      </c>
      <c r="G947" s="9" t="s">
        <v>156</v>
      </c>
      <c r="H947" s="9" t="s">
        <v>210</v>
      </c>
      <c r="I947" s="9" t="b">
        <f>TRUE()</f>
        <v>1</v>
      </c>
      <c r="J947" s="9" t="s">
        <v>2</v>
      </c>
      <c r="K947" s="9" t="s">
        <v>153</v>
      </c>
      <c r="L947" s="10">
        <v>45685</v>
      </c>
      <c r="M947" s="10">
        <v>45696</v>
      </c>
      <c r="N947" s="10">
        <v>45707</v>
      </c>
      <c r="O947" s="10"/>
      <c r="P947" s="9" t="b">
        <f>TRUE()</f>
        <v>1</v>
      </c>
      <c r="Q947" s="11">
        <v>988.22</v>
      </c>
    </row>
    <row r="948" spans="1:17" ht="15" customHeight="1" x14ac:dyDescent="0.2">
      <c r="A948" s="9" t="s">
        <v>1093</v>
      </c>
      <c r="B948" s="10">
        <v>45899</v>
      </c>
      <c r="C948" s="10">
        <v>45870</v>
      </c>
      <c r="D948" s="9" t="s">
        <v>19</v>
      </c>
      <c r="E948" s="9" t="s">
        <v>26</v>
      </c>
      <c r="F948" s="9" t="s">
        <v>155</v>
      </c>
      <c r="G948" s="9" t="s">
        <v>161</v>
      </c>
      <c r="H948" s="9" t="s">
        <v>179</v>
      </c>
      <c r="I948" s="9" t="b">
        <f>TRUE()</f>
        <v>1</v>
      </c>
      <c r="J948" s="9" t="s">
        <v>152</v>
      </c>
      <c r="K948" s="9" t="s">
        <v>153</v>
      </c>
      <c r="L948" s="10">
        <v>45903</v>
      </c>
      <c r="M948" s="10"/>
      <c r="N948" s="10"/>
      <c r="O948" s="10">
        <v>45916</v>
      </c>
      <c r="P948" s="9" t="b">
        <f>TRUE()</f>
        <v>1</v>
      </c>
      <c r="Q948" s="11">
        <v>1329.35</v>
      </c>
    </row>
    <row r="949" spans="1:17" ht="15" customHeight="1" x14ac:dyDescent="0.2">
      <c r="A949" s="9" t="s">
        <v>1094</v>
      </c>
      <c r="B949" s="10">
        <v>45757</v>
      </c>
      <c r="C949" s="10">
        <v>45748</v>
      </c>
      <c r="D949" s="9" t="s">
        <v>19</v>
      </c>
      <c r="E949" s="9" t="s">
        <v>24</v>
      </c>
      <c r="F949" s="9" t="s">
        <v>160</v>
      </c>
      <c r="G949" s="9" t="s">
        <v>156</v>
      </c>
      <c r="H949" s="9" t="s">
        <v>207</v>
      </c>
      <c r="I949" s="9" t="b">
        <f>TRUE()</f>
        <v>1</v>
      </c>
      <c r="J949" s="9" t="s">
        <v>152</v>
      </c>
      <c r="K949" s="9" t="s">
        <v>153</v>
      </c>
      <c r="L949" s="10">
        <v>45761</v>
      </c>
      <c r="M949" s="10"/>
      <c r="N949" s="10"/>
      <c r="O949" s="10">
        <v>45778</v>
      </c>
      <c r="P949" s="9" t="b">
        <f>TRUE()</f>
        <v>1</v>
      </c>
      <c r="Q949" s="11">
        <v>607.72</v>
      </c>
    </row>
    <row r="950" spans="1:17" ht="15" customHeight="1" x14ac:dyDescent="0.2">
      <c r="A950" s="9" t="s">
        <v>1095</v>
      </c>
      <c r="B950" s="10">
        <v>45990</v>
      </c>
      <c r="C950" s="10">
        <v>45962</v>
      </c>
      <c r="D950" s="9" t="s">
        <v>22</v>
      </c>
      <c r="E950" s="9" t="s">
        <v>27</v>
      </c>
      <c r="F950" s="9" t="s">
        <v>160</v>
      </c>
      <c r="G950" s="9" t="s">
        <v>150</v>
      </c>
      <c r="H950" s="9" t="s">
        <v>165</v>
      </c>
      <c r="I950" s="9" t="b">
        <f>TRUE()</f>
        <v>1</v>
      </c>
      <c r="J950" s="9" t="s">
        <v>152</v>
      </c>
      <c r="K950" s="9" t="s">
        <v>153</v>
      </c>
      <c r="L950" s="10">
        <v>45999</v>
      </c>
      <c r="M950" s="10">
        <v>46008</v>
      </c>
      <c r="N950" s="10"/>
      <c r="O950" s="10">
        <v>46042</v>
      </c>
      <c r="P950" s="9" t="b">
        <f>TRUE()</f>
        <v>1</v>
      </c>
      <c r="Q950" s="11">
        <v>8857.61</v>
      </c>
    </row>
    <row r="951" spans="1:17" ht="15" customHeight="1" x14ac:dyDescent="0.2">
      <c r="A951" s="9" t="s">
        <v>1096</v>
      </c>
      <c r="B951" s="10">
        <v>45732</v>
      </c>
      <c r="C951" s="10">
        <v>45717</v>
      </c>
      <c r="D951" s="9" t="s">
        <v>20</v>
      </c>
      <c r="E951" s="9" t="s">
        <v>24</v>
      </c>
      <c r="F951" s="9" t="s">
        <v>149</v>
      </c>
      <c r="G951" s="9" t="s">
        <v>150</v>
      </c>
      <c r="H951" s="9" t="s">
        <v>167</v>
      </c>
      <c r="I951" s="9" t="b">
        <f>TRUE()</f>
        <v>1</v>
      </c>
      <c r="J951" s="9" t="s">
        <v>152</v>
      </c>
      <c r="K951" s="9" t="s">
        <v>163</v>
      </c>
      <c r="L951" s="10"/>
      <c r="M951" s="10"/>
      <c r="N951" s="10"/>
      <c r="O951" s="10">
        <v>45745</v>
      </c>
      <c r="P951" s="9" t="b">
        <f>TRUE()</f>
        <v>1</v>
      </c>
      <c r="Q951" s="11">
        <v>11162.72</v>
      </c>
    </row>
    <row r="952" spans="1:17" ht="15" customHeight="1" x14ac:dyDescent="0.2">
      <c r="A952" s="9" t="s">
        <v>1097</v>
      </c>
      <c r="B952" s="10">
        <v>46019</v>
      </c>
      <c r="C952" s="10">
        <v>45992</v>
      </c>
      <c r="D952" s="9" t="s">
        <v>22</v>
      </c>
      <c r="E952" s="9" t="s">
        <v>27</v>
      </c>
      <c r="F952" s="9" t="s">
        <v>149</v>
      </c>
      <c r="G952" s="9" t="s">
        <v>156</v>
      </c>
      <c r="H952" s="9" t="s">
        <v>151</v>
      </c>
      <c r="I952" s="9" t="b">
        <f>TRUE()</f>
        <v>1</v>
      </c>
      <c r="J952" s="9" t="s">
        <v>15</v>
      </c>
      <c r="K952" s="9" t="s">
        <v>153</v>
      </c>
      <c r="L952" s="10">
        <v>46021</v>
      </c>
      <c r="M952" s="10"/>
      <c r="N952" s="10"/>
      <c r="O952" s="10"/>
      <c r="P952" s="9" t="b">
        <f>TRUE()</f>
        <v>1</v>
      </c>
      <c r="Q952" s="11">
        <v>809.4</v>
      </c>
    </row>
    <row r="953" spans="1:17" ht="15" customHeight="1" x14ac:dyDescent="0.2">
      <c r="A953" s="9" t="s">
        <v>1098</v>
      </c>
      <c r="B953" s="10">
        <v>45948</v>
      </c>
      <c r="C953" s="10">
        <v>45931</v>
      </c>
      <c r="D953" s="9" t="s">
        <v>20</v>
      </c>
      <c r="E953" s="9" t="s">
        <v>25</v>
      </c>
      <c r="F953" s="9" t="s">
        <v>160</v>
      </c>
      <c r="G953" s="9" t="s">
        <v>161</v>
      </c>
      <c r="H953" s="9" t="s">
        <v>167</v>
      </c>
      <c r="I953" s="9" t="b">
        <f>TRUE()</f>
        <v>1</v>
      </c>
      <c r="J953" s="9" t="s">
        <v>152</v>
      </c>
      <c r="K953" s="9" t="s">
        <v>163</v>
      </c>
      <c r="L953" s="10"/>
      <c r="M953" s="10"/>
      <c r="N953" s="10"/>
      <c r="O953" s="10">
        <v>45956</v>
      </c>
      <c r="P953" s="9" t="b">
        <f>TRUE()</f>
        <v>1</v>
      </c>
      <c r="Q953" s="11">
        <v>2028.42</v>
      </c>
    </row>
    <row r="954" spans="1:17" ht="15" customHeight="1" x14ac:dyDescent="0.2">
      <c r="A954" s="9" t="s">
        <v>1099</v>
      </c>
      <c r="B954" s="10">
        <v>45871</v>
      </c>
      <c r="C954" s="10">
        <v>45870</v>
      </c>
      <c r="D954" s="9" t="s">
        <v>22</v>
      </c>
      <c r="E954" s="9" t="s">
        <v>24</v>
      </c>
      <c r="F954" s="9" t="s">
        <v>160</v>
      </c>
      <c r="G954" s="9" t="s">
        <v>156</v>
      </c>
      <c r="H954" s="9" t="s">
        <v>165</v>
      </c>
      <c r="I954" s="9" t="b">
        <f>TRUE()</f>
        <v>1</v>
      </c>
      <c r="J954" s="9" t="s">
        <v>152</v>
      </c>
      <c r="K954" s="9" t="s">
        <v>163</v>
      </c>
      <c r="L954" s="10"/>
      <c r="M954" s="10"/>
      <c r="N954" s="10"/>
      <c r="O954" s="10">
        <v>45874</v>
      </c>
      <c r="P954" s="9" t="b">
        <f>TRUE()</f>
        <v>1</v>
      </c>
      <c r="Q954" s="11">
        <v>992.27</v>
      </c>
    </row>
    <row r="955" spans="1:17" ht="15" customHeight="1" x14ac:dyDescent="0.2">
      <c r="A955" s="9" t="s">
        <v>1100</v>
      </c>
      <c r="B955" s="10">
        <v>46006</v>
      </c>
      <c r="C955" s="10">
        <v>45992</v>
      </c>
      <c r="D955" s="9" t="s">
        <v>19</v>
      </c>
      <c r="E955" s="9" t="s">
        <v>25</v>
      </c>
      <c r="F955" s="9" t="s">
        <v>155</v>
      </c>
      <c r="G955" s="9" t="s">
        <v>161</v>
      </c>
      <c r="H955" s="9" t="s">
        <v>179</v>
      </c>
      <c r="I955" s="9" t="b">
        <f>TRUE()</f>
        <v>1</v>
      </c>
      <c r="J955" s="9" t="s">
        <v>15</v>
      </c>
      <c r="K955" s="9" t="s">
        <v>153</v>
      </c>
      <c r="L955" s="10">
        <v>46014</v>
      </c>
      <c r="M955" s="10"/>
      <c r="N955" s="10"/>
      <c r="O955" s="10"/>
      <c r="P955" s="9" t="b">
        <f>TRUE()</f>
        <v>1</v>
      </c>
      <c r="Q955" s="11">
        <v>2191.21</v>
      </c>
    </row>
    <row r="956" spans="1:17" ht="15" customHeight="1" x14ac:dyDescent="0.2">
      <c r="A956" s="9" t="s">
        <v>1101</v>
      </c>
      <c r="B956" s="10">
        <v>45937</v>
      </c>
      <c r="C956" s="10">
        <v>45931</v>
      </c>
      <c r="D956" s="9" t="s">
        <v>22</v>
      </c>
      <c r="E956" s="9" t="s">
        <v>27</v>
      </c>
      <c r="F956" s="9" t="s">
        <v>186</v>
      </c>
      <c r="G956" s="9" t="s">
        <v>156</v>
      </c>
      <c r="H956" s="9" t="s">
        <v>170</v>
      </c>
      <c r="I956" s="9" t="b">
        <f>TRUE()</f>
        <v>1</v>
      </c>
      <c r="J956" s="9" t="s">
        <v>2</v>
      </c>
      <c r="K956" s="9" t="s">
        <v>153</v>
      </c>
      <c r="L956" s="10">
        <v>45938</v>
      </c>
      <c r="M956" s="10">
        <v>45940</v>
      </c>
      <c r="N956" s="10">
        <v>45967</v>
      </c>
      <c r="O956" s="10"/>
      <c r="P956" s="9" t="b">
        <f>TRUE()</f>
        <v>1</v>
      </c>
      <c r="Q956" s="11">
        <v>476.64</v>
      </c>
    </row>
    <row r="957" spans="1:17" ht="15" customHeight="1" x14ac:dyDescent="0.2">
      <c r="A957" s="9" t="s">
        <v>1102</v>
      </c>
      <c r="B957" s="10">
        <v>45663</v>
      </c>
      <c r="C957" s="10">
        <v>45658</v>
      </c>
      <c r="D957" s="9" t="s">
        <v>22</v>
      </c>
      <c r="E957" s="9" t="s">
        <v>27</v>
      </c>
      <c r="F957" s="9" t="s">
        <v>155</v>
      </c>
      <c r="G957" s="9" t="s">
        <v>156</v>
      </c>
      <c r="H957" s="9" t="s">
        <v>170</v>
      </c>
      <c r="I957" s="9" t="b">
        <f>TRUE()</f>
        <v>1</v>
      </c>
      <c r="J957" s="9" t="s">
        <v>2</v>
      </c>
      <c r="K957" s="9" t="s">
        <v>153</v>
      </c>
      <c r="L957" s="10">
        <v>45665</v>
      </c>
      <c r="M957" s="10">
        <v>45676</v>
      </c>
      <c r="N957" s="10">
        <v>45703</v>
      </c>
      <c r="O957" s="10"/>
      <c r="P957" s="9" t="b">
        <f>TRUE()</f>
        <v>1</v>
      </c>
      <c r="Q957" s="11">
        <v>606.86</v>
      </c>
    </row>
    <row r="958" spans="1:17" ht="15" customHeight="1" x14ac:dyDescent="0.2">
      <c r="A958" s="9" t="s">
        <v>1103</v>
      </c>
      <c r="B958" s="10">
        <v>46000</v>
      </c>
      <c r="C958" s="10">
        <v>45992</v>
      </c>
      <c r="D958" s="9" t="s">
        <v>21</v>
      </c>
      <c r="E958" s="9" t="s">
        <v>28</v>
      </c>
      <c r="F958" s="9" t="s">
        <v>149</v>
      </c>
      <c r="G958" s="9" t="s">
        <v>156</v>
      </c>
      <c r="H958" s="9" t="s">
        <v>162</v>
      </c>
      <c r="I958" s="9" t="b">
        <f>TRUE()</f>
        <v>1</v>
      </c>
      <c r="J958" s="9" t="s">
        <v>2</v>
      </c>
      <c r="K958" s="9" t="s">
        <v>153</v>
      </c>
      <c r="L958" s="10">
        <v>46005</v>
      </c>
      <c r="M958" s="10">
        <v>46009</v>
      </c>
      <c r="N958" s="10">
        <v>46028</v>
      </c>
      <c r="O958" s="10"/>
      <c r="P958" s="9" t="b">
        <f>TRUE()</f>
        <v>1</v>
      </c>
      <c r="Q958" s="11">
        <v>742.89</v>
      </c>
    </row>
    <row r="959" spans="1:17" ht="15" customHeight="1" x14ac:dyDescent="0.2">
      <c r="A959" s="9" t="s">
        <v>1104</v>
      </c>
      <c r="B959" s="10">
        <v>45799</v>
      </c>
      <c r="C959" s="10">
        <v>45778</v>
      </c>
      <c r="D959" s="9" t="s">
        <v>19</v>
      </c>
      <c r="E959" s="9" t="s">
        <v>25</v>
      </c>
      <c r="F959" s="9" t="s">
        <v>149</v>
      </c>
      <c r="G959" s="9" t="s">
        <v>161</v>
      </c>
      <c r="H959" s="9" t="s">
        <v>210</v>
      </c>
      <c r="I959" s="9" t="b">
        <f>TRUE()</f>
        <v>1</v>
      </c>
      <c r="J959" s="9" t="s">
        <v>152</v>
      </c>
      <c r="K959" s="9" t="s">
        <v>153</v>
      </c>
      <c r="L959" s="10">
        <v>45805</v>
      </c>
      <c r="M959" s="10"/>
      <c r="N959" s="10"/>
      <c r="O959" s="10">
        <v>45826</v>
      </c>
      <c r="P959" s="9" t="b">
        <f>TRUE()</f>
        <v>1</v>
      </c>
      <c r="Q959" s="11">
        <v>2921.12</v>
      </c>
    </row>
    <row r="960" spans="1:17" ht="15" customHeight="1" x14ac:dyDescent="0.2">
      <c r="A960" s="9" t="s">
        <v>75</v>
      </c>
      <c r="B960" s="10">
        <v>45673</v>
      </c>
      <c r="C960" s="10">
        <v>45658</v>
      </c>
      <c r="D960" s="9" t="s">
        <v>20</v>
      </c>
      <c r="E960" s="9" t="s">
        <v>25</v>
      </c>
      <c r="F960" s="9" t="s">
        <v>149</v>
      </c>
      <c r="G960" s="9" t="s">
        <v>156</v>
      </c>
      <c r="H960" s="9" t="s">
        <v>192</v>
      </c>
      <c r="I960" s="9" t="b">
        <f>TRUE()</f>
        <v>1</v>
      </c>
      <c r="J960" s="9" t="s">
        <v>152</v>
      </c>
      <c r="K960" s="9" t="s">
        <v>153</v>
      </c>
      <c r="L960" s="10">
        <v>45675</v>
      </c>
      <c r="M960" s="10"/>
      <c r="N960" s="10"/>
      <c r="O960" s="10">
        <v>45693</v>
      </c>
      <c r="P960" s="9" t="b">
        <f>TRUE()</f>
        <v>1</v>
      </c>
      <c r="Q960" s="11">
        <v>990.42</v>
      </c>
    </row>
    <row r="961" spans="1:17" ht="15" customHeight="1" x14ac:dyDescent="0.2">
      <c r="A961" s="9" t="s">
        <v>1105</v>
      </c>
      <c r="B961" s="10">
        <v>45954</v>
      </c>
      <c r="C961" s="10">
        <v>45931</v>
      </c>
      <c r="D961" s="9" t="s">
        <v>18</v>
      </c>
      <c r="E961" s="9" t="s">
        <v>28</v>
      </c>
      <c r="F961" s="9" t="s">
        <v>160</v>
      </c>
      <c r="G961" s="9" t="s">
        <v>161</v>
      </c>
      <c r="H961" s="9" t="s">
        <v>201</v>
      </c>
      <c r="I961" s="9" t="b">
        <f>TRUE()</f>
        <v>1</v>
      </c>
      <c r="J961" s="9" t="s">
        <v>152</v>
      </c>
      <c r="K961" s="9" t="s">
        <v>153</v>
      </c>
      <c r="L961" s="10">
        <v>45955</v>
      </c>
      <c r="M961" s="10">
        <v>45962</v>
      </c>
      <c r="N961" s="10"/>
      <c r="O961" s="10">
        <v>45989</v>
      </c>
      <c r="P961" s="9" t="b">
        <f>TRUE()</f>
        <v>1</v>
      </c>
      <c r="Q961" s="11">
        <v>1834.77</v>
      </c>
    </row>
    <row r="962" spans="1:17" ht="15" customHeight="1" x14ac:dyDescent="0.2">
      <c r="A962" s="9" t="s">
        <v>1106</v>
      </c>
      <c r="B962" s="10">
        <v>45978</v>
      </c>
      <c r="C962" s="10">
        <v>45962</v>
      </c>
      <c r="D962" s="9" t="s">
        <v>22</v>
      </c>
      <c r="E962" s="9" t="s">
        <v>28</v>
      </c>
      <c r="F962" s="9" t="s">
        <v>149</v>
      </c>
      <c r="G962" s="9" t="s">
        <v>150</v>
      </c>
      <c r="H962" s="9" t="s">
        <v>165</v>
      </c>
      <c r="I962" s="9" t="b">
        <f>TRUE()</f>
        <v>1</v>
      </c>
      <c r="J962" s="9" t="s">
        <v>152</v>
      </c>
      <c r="K962" s="9" t="s">
        <v>163</v>
      </c>
      <c r="L962" s="10"/>
      <c r="M962" s="10"/>
      <c r="N962" s="10"/>
      <c r="O962" s="10">
        <v>45988</v>
      </c>
      <c r="P962" s="9" t="b">
        <f>TRUE()</f>
        <v>1</v>
      </c>
      <c r="Q962" s="11">
        <v>7000.23</v>
      </c>
    </row>
    <row r="963" spans="1:17" ht="15" customHeight="1" x14ac:dyDescent="0.2">
      <c r="A963" s="9" t="s">
        <v>1107</v>
      </c>
      <c r="B963" s="10">
        <v>45944</v>
      </c>
      <c r="C963" s="10">
        <v>45931</v>
      </c>
      <c r="D963" s="9" t="s">
        <v>20</v>
      </c>
      <c r="E963" s="9" t="s">
        <v>24</v>
      </c>
      <c r="F963" s="9" t="s">
        <v>186</v>
      </c>
      <c r="G963" s="9" t="s">
        <v>156</v>
      </c>
      <c r="H963" s="9" t="s">
        <v>192</v>
      </c>
      <c r="I963" s="9" t="b">
        <f>TRUE()</f>
        <v>1</v>
      </c>
      <c r="J963" s="9" t="s">
        <v>152</v>
      </c>
      <c r="K963" s="9" t="s">
        <v>153</v>
      </c>
      <c r="L963" s="10">
        <v>45949</v>
      </c>
      <c r="M963" s="10"/>
      <c r="N963" s="10"/>
      <c r="O963" s="10">
        <v>45965</v>
      </c>
      <c r="P963" s="9" t="b">
        <f>TRUE()</f>
        <v>1</v>
      </c>
      <c r="Q963" s="11">
        <v>543.04999999999995</v>
      </c>
    </row>
    <row r="964" spans="1:17" ht="15" customHeight="1" x14ac:dyDescent="0.2">
      <c r="A964" s="9" t="s">
        <v>1108</v>
      </c>
      <c r="B964" s="10">
        <v>45710</v>
      </c>
      <c r="C964" s="10">
        <v>45689</v>
      </c>
      <c r="D964" s="9" t="s">
        <v>20</v>
      </c>
      <c r="E964" s="9" t="s">
        <v>25</v>
      </c>
      <c r="F964" s="9" t="s">
        <v>149</v>
      </c>
      <c r="G964" s="9" t="s">
        <v>161</v>
      </c>
      <c r="H964" s="9" t="s">
        <v>192</v>
      </c>
      <c r="I964" s="9" t="b">
        <f>TRUE()</f>
        <v>1</v>
      </c>
      <c r="J964" s="9" t="s">
        <v>152</v>
      </c>
      <c r="K964" s="9" t="s">
        <v>153</v>
      </c>
      <c r="L964" s="10">
        <v>45716</v>
      </c>
      <c r="M964" s="10">
        <v>45728</v>
      </c>
      <c r="N964" s="10"/>
      <c r="O964" s="10">
        <v>45743</v>
      </c>
      <c r="P964" s="9" t="b">
        <f>TRUE()</f>
        <v>1</v>
      </c>
      <c r="Q964" s="11">
        <v>2044.27</v>
      </c>
    </row>
    <row r="965" spans="1:17" ht="15" customHeight="1" x14ac:dyDescent="0.2">
      <c r="A965" s="9" t="s">
        <v>1109</v>
      </c>
      <c r="B965" s="10">
        <v>45817</v>
      </c>
      <c r="C965" s="10">
        <v>45809</v>
      </c>
      <c r="D965" s="9" t="s">
        <v>18</v>
      </c>
      <c r="E965" s="9" t="s">
        <v>25</v>
      </c>
      <c r="F965" s="9" t="s">
        <v>149</v>
      </c>
      <c r="G965" s="9" t="s">
        <v>156</v>
      </c>
      <c r="H965" s="9" t="s">
        <v>157</v>
      </c>
      <c r="I965" s="9" t="b">
        <f>TRUE()</f>
        <v>1</v>
      </c>
      <c r="J965" s="9" t="s">
        <v>2</v>
      </c>
      <c r="K965" s="9" t="s">
        <v>153</v>
      </c>
      <c r="L965" s="10">
        <v>45822</v>
      </c>
      <c r="M965" s="10">
        <v>45836</v>
      </c>
      <c r="N965" s="10">
        <v>45839</v>
      </c>
      <c r="O965" s="10"/>
      <c r="P965" s="9" t="b">
        <f>TRUE()</f>
        <v>1</v>
      </c>
      <c r="Q965" s="11">
        <v>1021.18</v>
      </c>
    </row>
    <row r="966" spans="1:17" ht="15" customHeight="1" x14ac:dyDescent="0.2">
      <c r="A966" s="9" t="s">
        <v>1110</v>
      </c>
      <c r="B966" s="10">
        <v>45870</v>
      </c>
      <c r="C966" s="10">
        <v>45870</v>
      </c>
      <c r="D966" s="9" t="s">
        <v>21</v>
      </c>
      <c r="E966" s="9" t="s">
        <v>26</v>
      </c>
      <c r="F966" s="9" t="s">
        <v>160</v>
      </c>
      <c r="G966" s="9" t="s">
        <v>161</v>
      </c>
      <c r="H966" s="9" t="s">
        <v>183</v>
      </c>
      <c r="I966" s="9" t="b">
        <f>TRUE()</f>
        <v>1</v>
      </c>
      <c r="J966" s="9" t="s">
        <v>152</v>
      </c>
      <c r="K966" s="9" t="s">
        <v>163</v>
      </c>
      <c r="L966" s="10"/>
      <c r="M966" s="10"/>
      <c r="N966" s="10"/>
      <c r="O966" s="10">
        <v>45879</v>
      </c>
      <c r="P966" s="9" t="b">
        <f>TRUE()</f>
        <v>1</v>
      </c>
      <c r="Q966" s="11">
        <v>2307.48</v>
      </c>
    </row>
    <row r="967" spans="1:17" ht="15" customHeight="1" x14ac:dyDescent="0.2">
      <c r="A967" s="9" t="s">
        <v>1111</v>
      </c>
      <c r="B967" s="10">
        <v>45970</v>
      </c>
      <c r="C967" s="10">
        <v>45962</v>
      </c>
      <c r="D967" s="9" t="s">
        <v>20</v>
      </c>
      <c r="E967" s="9" t="s">
        <v>28</v>
      </c>
      <c r="F967" s="9" t="s">
        <v>155</v>
      </c>
      <c r="G967" s="9" t="s">
        <v>150</v>
      </c>
      <c r="H967" s="9" t="s">
        <v>189</v>
      </c>
      <c r="I967" s="9" t="b">
        <f>TRUE()</f>
        <v>1</v>
      </c>
      <c r="J967" s="9" t="s">
        <v>152</v>
      </c>
      <c r="K967" s="9" t="s">
        <v>153</v>
      </c>
      <c r="L967" s="10">
        <v>45976</v>
      </c>
      <c r="M967" s="10"/>
      <c r="N967" s="10"/>
      <c r="O967" s="10">
        <v>45983</v>
      </c>
      <c r="P967" s="9" t="b">
        <f>TRUE()</f>
        <v>1</v>
      </c>
      <c r="Q967" s="11">
        <v>4896.0200000000004</v>
      </c>
    </row>
    <row r="968" spans="1:17" ht="15" customHeight="1" x14ac:dyDescent="0.2">
      <c r="A968" s="9" t="s">
        <v>1112</v>
      </c>
      <c r="B968" s="10">
        <v>45931</v>
      </c>
      <c r="C968" s="10">
        <v>45931</v>
      </c>
      <c r="D968" s="9" t="s">
        <v>20</v>
      </c>
      <c r="E968" s="9" t="s">
        <v>25</v>
      </c>
      <c r="F968" s="9" t="s">
        <v>186</v>
      </c>
      <c r="G968" s="9" t="s">
        <v>161</v>
      </c>
      <c r="H968" s="9" t="s">
        <v>192</v>
      </c>
      <c r="I968" s="9" t="b">
        <f>TRUE()</f>
        <v>1</v>
      </c>
      <c r="J968" s="9" t="s">
        <v>152</v>
      </c>
      <c r="K968" s="9" t="s">
        <v>153</v>
      </c>
      <c r="L968" s="10">
        <v>45935</v>
      </c>
      <c r="M968" s="10">
        <v>45949</v>
      </c>
      <c r="N968" s="10"/>
      <c r="O968" s="10">
        <v>45957</v>
      </c>
      <c r="P968" s="9" t="b">
        <f>TRUE()</f>
        <v>1</v>
      </c>
      <c r="Q968" s="11">
        <v>2064.21</v>
      </c>
    </row>
    <row r="969" spans="1:17" ht="15" customHeight="1" x14ac:dyDescent="0.2">
      <c r="A969" s="9" t="s">
        <v>1113</v>
      </c>
      <c r="B969" s="10">
        <v>45686</v>
      </c>
      <c r="C969" s="10">
        <v>45658</v>
      </c>
      <c r="D969" s="9" t="s">
        <v>20</v>
      </c>
      <c r="E969" s="9" t="s">
        <v>28</v>
      </c>
      <c r="F969" s="9" t="s">
        <v>160</v>
      </c>
      <c r="G969" s="9" t="s">
        <v>161</v>
      </c>
      <c r="H969" s="9" t="s">
        <v>167</v>
      </c>
      <c r="I969" s="9" t="b">
        <f>TRUE()</f>
        <v>1</v>
      </c>
      <c r="J969" s="9" t="s">
        <v>152</v>
      </c>
      <c r="K969" s="9" t="s">
        <v>153</v>
      </c>
      <c r="L969" s="10">
        <v>45691</v>
      </c>
      <c r="M969" s="10">
        <v>45702</v>
      </c>
      <c r="N969" s="10"/>
      <c r="O969" s="10">
        <v>45736</v>
      </c>
      <c r="P969" s="9" t="b">
        <f>TRUE()</f>
        <v>1</v>
      </c>
      <c r="Q969" s="11">
        <v>3261.87</v>
      </c>
    </row>
    <row r="970" spans="1:17" ht="15" customHeight="1" x14ac:dyDescent="0.2">
      <c r="A970" s="9" t="s">
        <v>1114</v>
      </c>
      <c r="B970" s="10">
        <v>45706</v>
      </c>
      <c r="C970" s="10">
        <v>45689</v>
      </c>
      <c r="D970" s="9" t="s">
        <v>20</v>
      </c>
      <c r="E970" s="9" t="s">
        <v>28</v>
      </c>
      <c r="F970" s="9" t="s">
        <v>149</v>
      </c>
      <c r="G970" s="9" t="s">
        <v>156</v>
      </c>
      <c r="H970" s="9" t="s">
        <v>192</v>
      </c>
      <c r="I970" s="9" t="b">
        <f>TRUE()</f>
        <v>1</v>
      </c>
      <c r="J970" s="9" t="s">
        <v>2</v>
      </c>
      <c r="K970" s="9" t="s">
        <v>153</v>
      </c>
      <c r="L970" s="10">
        <v>45713</v>
      </c>
      <c r="M970" s="10">
        <v>45727</v>
      </c>
      <c r="N970" s="10">
        <v>45748</v>
      </c>
      <c r="O970" s="10"/>
      <c r="P970" s="9" t="b">
        <f>TRUE()</f>
        <v>1</v>
      </c>
      <c r="Q970" s="11">
        <v>831.9</v>
      </c>
    </row>
    <row r="971" spans="1:17" ht="15" customHeight="1" x14ac:dyDescent="0.2">
      <c r="A971" s="9" t="s">
        <v>1115</v>
      </c>
      <c r="B971" s="10">
        <v>45825</v>
      </c>
      <c r="C971" s="10">
        <v>45809</v>
      </c>
      <c r="D971" s="9" t="s">
        <v>18</v>
      </c>
      <c r="E971" s="9" t="s">
        <v>25</v>
      </c>
      <c r="F971" s="9" t="s">
        <v>149</v>
      </c>
      <c r="G971" s="9" t="s">
        <v>156</v>
      </c>
      <c r="H971" s="9" t="s">
        <v>157</v>
      </c>
      <c r="I971" s="9" t="b">
        <f>TRUE()</f>
        <v>1</v>
      </c>
      <c r="J971" s="9" t="s">
        <v>152</v>
      </c>
      <c r="K971" s="9" t="s">
        <v>153</v>
      </c>
      <c r="L971" s="10">
        <v>45827</v>
      </c>
      <c r="M971" s="10">
        <v>45835</v>
      </c>
      <c r="N971" s="10"/>
      <c r="O971" s="10">
        <v>45858</v>
      </c>
      <c r="P971" s="9" t="b">
        <f>TRUE()</f>
        <v>1</v>
      </c>
      <c r="Q971" s="11">
        <v>1110.3499999999999</v>
      </c>
    </row>
    <row r="972" spans="1:17" ht="15" customHeight="1" x14ac:dyDescent="0.2">
      <c r="A972" s="9" t="s">
        <v>1116</v>
      </c>
      <c r="B972" s="10">
        <v>45802</v>
      </c>
      <c r="C972" s="10">
        <v>45778</v>
      </c>
      <c r="D972" s="9" t="s">
        <v>22</v>
      </c>
      <c r="E972" s="9" t="s">
        <v>24</v>
      </c>
      <c r="F972" s="9" t="s">
        <v>155</v>
      </c>
      <c r="G972" s="9" t="s">
        <v>156</v>
      </c>
      <c r="H972" s="9" t="s">
        <v>170</v>
      </c>
      <c r="I972" s="9" t="b">
        <f>TRUE()</f>
        <v>1</v>
      </c>
      <c r="J972" s="9" t="s">
        <v>152</v>
      </c>
      <c r="K972" s="9" t="s">
        <v>163</v>
      </c>
      <c r="L972" s="10"/>
      <c r="M972" s="10"/>
      <c r="N972" s="10"/>
      <c r="O972" s="10">
        <v>45818</v>
      </c>
      <c r="P972" s="9" t="b">
        <f>TRUE()</f>
        <v>1</v>
      </c>
      <c r="Q972" s="11">
        <v>379.91</v>
      </c>
    </row>
    <row r="973" spans="1:17" ht="15" customHeight="1" x14ac:dyDescent="0.2">
      <c r="A973" s="9" t="s">
        <v>1117</v>
      </c>
      <c r="B973" s="10">
        <v>45997</v>
      </c>
      <c r="C973" s="10">
        <v>45992</v>
      </c>
      <c r="D973" s="9" t="s">
        <v>21</v>
      </c>
      <c r="E973" s="9" t="s">
        <v>25</v>
      </c>
      <c r="F973" s="9" t="s">
        <v>155</v>
      </c>
      <c r="G973" s="9" t="s">
        <v>150</v>
      </c>
      <c r="H973" s="9" t="s">
        <v>176</v>
      </c>
      <c r="I973" s="9" t="b">
        <f>TRUE()</f>
        <v>1</v>
      </c>
      <c r="J973" s="9" t="s">
        <v>152</v>
      </c>
      <c r="K973" s="9" t="s">
        <v>163</v>
      </c>
      <c r="L973" s="10"/>
      <c r="M973" s="10"/>
      <c r="N973" s="10"/>
      <c r="O973" s="10">
        <v>46015</v>
      </c>
      <c r="P973" s="9" t="b">
        <f>TRUE()</f>
        <v>1</v>
      </c>
      <c r="Q973" s="11">
        <v>3974.76</v>
      </c>
    </row>
    <row r="974" spans="1:17" ht="15" customHeight="1" x14ac:dyDescent="0.2">
      <c r="A974" s="9" t="s">
        <v>61</v>
      </c>
      <c r="B974" s="10">
        <v>45762</v>
      </c>
      <c r="C974" s="10">
        <v>45748</v>
      </c>
      <c r="D974" s="9" t="s">
        <v>19</v>
      </c>
      <c r="E974" s="9" t="s">
        <v>375</v>
      </c>
      <c r="F974" s="9" t="s">
        <v>149</v>
      </c>
      <c r="G974" s="9" t="s">
        <v>161</v>
      </c>
      <c r="H974" s="9" t="s">
        <v>210</v>
      </c>
      <c r="I974" s="9" t="b">
        <f>TRUE()</f>
        <v>1</v>
      </c>
      <c r="J974" s="9" t="s">
        <v>2</v>
      </c>
      <c r="K974" s="9" t="s">
        <v>153</v>
      </c>
      <c r="L974" s="10">
        <v>45766</v>
      </c>
      <c r="M974" s="10">
        <v>45777</v>
      </c>
      <c r="N974" s="10">
        <v>45787</v>
      </c>
      <c r="O974" s="10"/>
      <c r="P974" s="9" t="b">
        <f>TRUE()</f>
        <v>1</v>
      </c>
      <c r="Q974" s="11">
        <v>2695.93</v>
      </c>
    </row>
    <row r="975" spans="1:17" ht="15" customHeight="1" x14ac:dyDescent="0.2">
      <c r="A975" s="9" t="s">
        <v>1118</v>
      </c>
      <c r="B975" s="10">
        <v>46006</v>
      </c>
      <c r="C975" s="10">
        <v>45992</v>
      </c>
      <c r="D975" s="9" t="s">
        <v>22</v>
      </c>
      <c r="E975" s="9" t="s">
        <v>24</v>
      </c>
      <c r="F975" s="9" t="s">
        <v>160</v>
      </c>
      <c r="G975" s="9" t="s">
        <v>156</v>
      </c>
      <c r="H975" s="9" t="s">
        <v>170</v>
      </c>
      <c r="I975" s="9" t="b">
        <f>TRUE()</f>
        <v>1</v>
      </c>
      <c r="J975" s="9" t="s">
        <v>190</v>
      </c>
      <c r="K975" s="9" t="s">
        <v>163</v>
      </c>
      <c r="L975" s="10"/>
      <c r="M975" s="10"/>
      <c r="N975" s="10"/>
      <c r="O975" s="10"/>
      <c r="P975" s="9" t="b">
        <f>TRUE()</f>
        <v>1</v>
      </c>
      <c r="Q975" s="11">
        <v>1009</v>
      </c>
    </row>
    <row r="976" spans="1:17" ht="15" customHeight="1" x14ac:dyDescent="0.2">
      <c r="A976" s="9" t="s">
        <v>1119</v>
      </c>
      <c r="B976" s="10">
        <v>46004</v>
      </c>
      <c r="C976" s="10">
        <v>45992</v>
      </c>
      <c r="D976" s="9" t="s">
        <v>18</v>
      </c>
      <c r="E976" s="9" t="s">
        <v>25</v>
      </c>
      <c r="F976" s="9" t="s">
        <v>186</v>
      </c>
      <c r="G976" s="9" t="s">
        <v>156</v>
      </c>
      <c r="H976" s="9" t="s">
        <v>251</v>
      </c>
      <c r="I976" s="9" t="b">
        <f>TRUE()</f>
        <v>1</v>
      </c>
      <c r="J976" s="9" t="s">
        <v>158</v>
      </c>
      <c r="K976" s="9" t="s">
        <v>153</v>
      </c>
      <c r="L976" s="10">
        <v>46013</v>
      </c>
      <c r="M976" s="10">
        <v>46024</v>
      </c>
      <c r="N976" s="10"/>
      <c r="O976" s="10"/>
      <c r="P976" s="9" t="b">
        <f>TRUE()</f>
        <v>1</v>
      </c>
      <c r="Q976" s="11">
        <v>491.3</v>
      </c>
    </row>
    <row r="977" spans="1:17" ht="15" customHeight="1" x14ac:dyDescent="0.2">
      <c r="A977" s="9" t="s">
        <v>1120</v>
      </c>
      <c r="B977" s="10">
        <v>46014</v>
      </c>
      <c r="C977" s="10">
        <v>45992</v>
      </c>
      <c r="D977" s="9" t="s">
        <v>19</v>
      </c>
      <c r="E977" s="9" t="s">
        <v>28</v>
      </c>
      <c r="F977" s="9" t="s">
        <v>155</v>
      </c>
      <c r="G977" s="9" t="s">
        <v>156</v>
      </c>
      <c r="H977" s="9" t="s">
        <v>210</v>
      </c>
      <c r="I977" s="9" t="b">
        <f>TRUE()</f>
        <v>1</v>
      </c>
      <c r="J977" s="9" t="s">
        <v>190</v>
      </c>
      <c r="K977" s="9" t="s">
        <v>163</v>
      </c>
      <c r="L977" s="10"/>
      <c r="M977" s="10"/>
      <c r="N977" s="10"/>
      <c r="O977" s="10"/>
      <c r="P977" s="9" t="b">
        <f>TRUE()</f>
        <v>1</v>
      </c>
      <c r="Q977" s="11">
        <v>462.57</v>
      </c>
    </row>
    <row r="978" spans="1:17" ht="15" customHeight="1" x14ac:dyDescent="0.2">
      <c r="A978" s="9" t="s">
        <v>1121</v>
      </c>
      <c r="B978" s="10">
        <v>45983</v>
      </c>
      <c r="C978" s="10">
        <v>45962</v>
      </c>
      <c r="D978" s="9" t="s">
        <v>21</v>
      </c>
      <c r="E978" s="9" t="s">
        <v>25</v>
      </c>
      <c r="F978" s="9" t="s">
        <v>160</v>
      </c>
      <c r="G978" s="9" t="s">
        <v>156</v>
      </c>
      <c r="H978" s="9" t="s">
        <v>162</v>
      </c>
      <c r="I978" s="9" t="b">
        <f>TRUE()</f>
        <v>1</v>
      </c>
      <c r="J978" s="9" t="s">
        <v>2</v>
      </c>
      <c r="K978" s="9" t="s">
        <v>153</v>
      </c>
      <c r="L978" s="10">
        <v>45989</v>
      </c>
      <c r="M978" s="10">
        <v>45995</v>
      </c>
      <c r="N978" s="10">
        <v>46002</v>
      </c>
      <c r="O978" s="10"/>
      <c r="P978" s="9" t="b">
        <f>TRUE()</f>
        <v>1</v>
      </c>
      <c r="Q978" s="11">
        <v>745.34</v>
      </c>
    </row>
    <row r="979" spans="1:17" ht="15" customHeight="1" x14ac:dyDescent="0.2">
      <c r="A979" s="9" t="s">
        <v>1122</v>
      </c>
      <c r="B979" s="10">
        <v>45745</v>
      </c>
      <c r="C979" s="10">
        <v>45717</v>
      </c>
      <c r="D979" s="9" t="s">
        <v>19</v>
      </c>
      <c r="E979" s="9" t="s">
        <v>26</v>
      </c>
      <c r="F979" s="9" t="s">
        <v>149</v>
      </c>
      <c r="G979" s="9" t="s">
        <v>156</v>
      </c>
      <c r="H979" s="9" t="s">
        <v>179</v>
      </c>
      <c r="I979" s="9" t="b">
        <f>TRUE()</f>
        <v>1</v>
      </c>
      <c r="J979" s="9" t="s">
        <v>152</v>
      </c>
      <c r="K979" s="9" t="s">
        <v>153</v>
      </c>
      <c r="L979" s="10">
        <v>45755</v>
      </c>
      <c r="M979" s="10">
        <v>45767</v>
      </c>
      <c r="N979" s="10"/>
      <c r="O979" s="10">
        <v>45787</v>
      </c>
      <c r="P979" s="9" t="b">
        <f>TRUE()</f>
        <v>1</v>
      </c>
      <c r="Q979" s="11">
        <v>998.76</v>
      </c>
    </row>
    <row r="980" spans="1:17" ht="15" customHeight="1" x14ac:dyDescent="0.2">
      <c r="A980" s="9" t="s">
        <v>1123</v>
      </c>
      <c r="B980" s="10">
        <v>45742</v>
      </c>
      <c r="C980" s="10">
        <v>45717</v>
      </c>
      <c r="D980" s="9" t="s">
        <v>22</v>
      </c>
      <c r="E980" s="9" t="s">
        <v>27</v>
      </c>
      <c r="F980" s="9" t="s">
        <v>149</v>
      </c>
      <c r="G980" s="9" t="s">
        <v>150</v>
      </c>
      <c r="H980" s="9" t="s">
        <v>170</v>
      </c>
      <c r="I980" s="9" t="b">
        <f>TRUE()</f>
        <v>1</v>
      </c>
      <c r="J980" s="9" t="s">
        <v>152</v>
      </c>
      <c r="K980" s="9" t="s">
        <v>153</v>
      </c>
      <c r="L980" s="10">
        <v>45746</v>
      </c>
      <c r="M980" s="10"/>
      <c r="N980" s="10"/>
      <c r="O980" s="10">
        <v>45752</v>
      </c>
      <c r="P980" s="9" t="b">
        <f>TRUE()</f>
        <v>1</v>
      </c>
      <c r="Q980" s="11">
        <v>8007.05</v>
      </c>
    </row>
    <row r="981" spans="1:17" ht="15" customHeight="1" x14ac:dyDescent="0.2">
      <c r="A981" s="9" t="s">
        <v>1124</v>
      </c>
      <c r="B981" s="10">
        <v>45810</v>
      </c>
      <c r="C981" s="10">
        <v>45809</v>
      </c>
      <c r="D981" s="9" t="s">
        <v>20</v>
      </c>
      <c r="E981" s="9" t="s">
        <v>24</v>
      </c>
      <c r="F981" s="9" t="s">
        <v>186</v>
      </c>
      <c r="G981" s="9" t="s">
        <v>161</v>
      </c>
      <c r="H981" s="9" t="s">
        <v>167</v>
      </c>
      <c r="I981" s="9" t="b">
        <f>TRUE()</f>
        <v>1</v>
      </c>
      <c r="J981" s="9" t="s">
        <v>152</v>
      </c>
      <c r="K981" s="9" t="s">
        <v>153</v>
      </c>
      <c r="L981" s="10">
        <v>45812</v>
      </c>
      <c r="M981" s="10">
        <v>45827</v>
      </c>
      <c r="N981" s="10"/>
      <c r="O981" s="10">
        <v>45849</v>
      </c>
      <c r="P981" s="9" t="b">
        <f>TRUE()</f>
        <v>1</v>
      </c>
      <c r="Q981" s="11">
        <v>1852.68</v>
      </c>
    </row>
    <row r="982" spans="1:17" ht="15" customHeight="1" x14ac:dyDescent="0.2">
      <c r="A982" s="9" t="s">
        <v>1125</v>
      </c>
      <c r="B982" s="10">
        <v>45773</v>
      </c>
      <c r="C982" s="10">
        <v>45748</v>
      </c>
      <c r="D982" s="9" t="s">
        <v>22</v>
      </c>
      <c r="E982" s="9" t="s">
        <v>25</v>
      </c>
      <c r="F982" s="9" t="s">
        <v>186</v>
      </c>
      <c r="G982" s="9" t="s">
        <v>150</v>
      </c>
      <c r="H982" s="9" t="s">
        <v>165</v>
      </c>
      <c r="I982" s="9" t="b">
        <f>TRUE()</f>
        <v>1</v>
      </c>
      <c r="J982" s="9" t="s">
        <v>152</v>
      </c>
      <c r="K982" s="9" t="s">
        <v>153</v>
      </c>
      <c r="L982" s="10">
        <v>45782</v>
      </c>
      <c r="M982" s="10">
        <v>45786</v>
      </c>
      <c r="N982" s="10"/>
      <c r="O982" s="10">
        <v>45821</v>
      </c>
      <c r="P982" s="9" t="b">
        <f>TRUE()</f>
        <v>1</v>
      </c>
      <c r="Q982" s="11">
        <v>6722.4</v>
      </c>
    </row>
    <row r="983" spans="1:17" ht="15" customHeight="1" x14ac:dyDescent="0.2">
      <c r="A983" s="9" t="s">
        <v>1126</v>
      </c>
      <c r="B983" s="10">
        <v>45905</v>
      </c>
      <c r="C983" s="10">
        <v>45901</v>
      </c>
      <c r="D983" s="9" t="s">
        <v>22</v>
      </c>
      <c r="E983" s="9" t="s">
        <v>25</v>
      </c>
      <c r="F983" s="9" t="s">
        <v>149</v>
      </c>
      <c r="G983" s="9" t="s">
        <v>156</v>
      </c>
      <c r="H983" s="9" t="s">
        <v>165</v>
      </c>
      <c r="I983" s="9" t="b">
        <f>TRUE()</f>
        <v>1</v>
      </c>
      <c r="J983" s="9" t="s">
        <v>152</v>
      </c>
      <c r="K983" s="9" t="s">
        <v>153</v>
      </c>
      <c r="L983" s="10">
        <v>45912</v>
      </c>
      <c r="M983" s="10"/>
      <c r="N983" s="10"/>
      <c r="O983" s="10">
        <v>45932</v>
      </c>
      <c r="P983" s="9" t="b">
        <f>TRUE()</f>
        <v>1</v>
      </c>
      <c r="Q983" s="11">
        <v>889.41</v>
      </c>
    </row>
    <row r="984" spans="1:17" ht="15" customHeight="1" x14ac:dyDescent="0.2">
      <c r="A984" s="9" t="s">
        <v>1127</v>
      </c>
      <c r="B984" s="10">
        <v>45828</v>
      </c>
      <c r="C984" s="10">
        <v>45809</v>
      </c>
      <c r="D984" s="9" t="s">
        <v>22</v>
      </c>
      <c r="E984" s="9" t="s">
        <v>25</v>
      </c>
      <c r="F984" s="9" t="s">
        <v>149</v>
      </c>
      <c r="G984" s="9" t="s">
        <v>156</v>
      </c>
      <c r="H984" s="9" t="s">
        <v>151</v>
      </c>
      <c r="I984" s="9" t="b">
        <f>TRUE()</f>
        <v>1</v>
      </c>
      <c r="J984" s="9" t="s">
        <v>152</v>
      </c>
      <c r="K984" s="9" t="s">
        <v>163</v>
      </c>
      <c r="L984" s="10"/>
      <c r="M984" s="10"/>
      <c r="N984" s="10"/>
      <c r="O984" s="10">
        <v>45846</v>
      </c>
      <c r="P984" s="9" t="b">
        <f>TRUE()</f>
        <v>1</v>
      </c>
      <c r="Q984" s="11">
        <v>1079.8599999999999</v>
      </c>
    </row>
    <row r="985" spans="1:17" ht="15" customHeight="1" x14ac:dyDescent="0.2">
      <c r="A985" s="9" t="s">
        <v>1128</v>
      </c>
      <c r="B985" s="10">
        <v>45989</v>
      </c>
      <c r="C985" s="10">
        <v>45962</v>
      </c>
      <c r="D985" s="9" t="s">
        <v>22</v>
      </c>
      <c r="E985" s="9" t="s">
        <v>25</v>
      </c>
      <c r="F985" s="9" t="s">
        <v>149</v>
      </c>
      <c r="G985" s="9" t="s">
        <v>150</v>
      </c>
      <c r="H985" s="9" t="s">
        <v>170</v>
      </c>
      <c r="I985" s="9" t="b">
        <f>TRUE()</f>
        <v>1</v>
      </c>
      <c r="J985" s="9" t="s">
        <v>15</v>
      </c>
      <c r="K985" s="9" t="s">
        <v>153</v>
      </c>
      <c r="L985" s="10">
        <v>45999</v>
      </c>
      <c r="M985" s="10"/>
      <c r="N985" s="10"/>
      <c r="O985" s="10"/>
      <c r="P985" s="9" t="b">
        <f>TRUE()</f>
        <v>1</v>
      </c>
      <c r="Q985" s="11">
        <v>7258.69</v>
      </c>
    </row>
    <row r="986" spans="1:17" ht="15" customHeight="1" x14ac:dyDescent="0.2">
      <c r="A986" s="9" t="s">
        <v>1129</v>
      </c>
      <c r="B986" s="10">
        <v>45973</v>
      </c>
      <c r="C986" s="10">
        <v>45962</v>
      </c>
      <c r="D986" s="9" t="s">
        <v>22</v>
      </c>
      <c r="E986" s="9" t="s">
        <v>28</v>
      </c>
      <c r="F986" s="9" t="s">
        <v>149</v>
      </c>
      <c r="G986" s="9" t="s">
        <v>156</v>
      </c>
      <c r="H986" s="9" t="s">
        <v>151</v>
      </c>
      <c r="I986" s="9" t="b">
        <f>TRUE()</f>
        <v>1</v>
      </c>
      <c r="J986" s="9" t="s">
        <v>2</v>
      </c>
      <c r="K986" s="9" t="s">
        <v>153</v>
      </c>
      <c r="L986" s="10">
        <v>45981</v>
      </c>
      <c r="M986" s="10">
        <v>45993</v>
      </c>
      <c r="N986" s="10">
        <v>46008</v>
      </c>
      <c r="O986" s="10"/>
      <c r="P986" s="9" t="b">
        <f>TRUE()</f>
        <v>1</v>
      </c>
      <c r="Q986" s="11">
        <v>957.64</v>
      </c>
    </row>
    <row r="987" spans="1:17" ht="15" customHeight="1" x14ac:dyDescent="0.2">
      <c r="A987" s="9" t="s">
        <v>1130</v>
      </c>
      <c r="B987" s="10">
        <v>45965</v>
      </c>
      <c r="C987" s="10">
        <v>45962</v>
      </c>
      <c r="D987" s="9" t="s">
        <v>22</v>
      </c>
      <c r="E987" s="9" t="s">
        <v>28</v>
      </c>
      <c r="F987" s="9" t="s">
        <v>149</v>
      </c>
      <c r="G987" s="9" t="s">
        <v>156</v>
      </c>
      <c r="H987" s="9" t="s">
        <v>151</v>
      </c>
      <c r="I987" s="9" t="b">
        <f>TRUE()</f>
        <v>1</v>
      </c>
      <c r="J987" s="9" t="s">
        <v>152</v>
      </c>
      <c r="K987" s="9" t="s">
        <v>163</v>
      </c>
      <c r="L987" s="10"/>
      <c r="M987" s="10"/>
      <c r="N987" s="10"/>
      <c r="O987" s="10">
        <v>45979</v>
      </c>
      <c r="P987" s="9" t="b">
        <f>TRUE()</f>
        <v>1</v>
      </c>
      <c r="Q987" s="11">
        <v>1032.46</v>
      </c>
    </row>
    <row r="988" spans="1:17" ht="15" customHeight="1" x14ac:dyDescent="0.2">
      <c r="A988" s="9" t="s">
        <v>1131</v>
      </c>
      <c r="B988" s="10">
        <v>45666</v>
      </c>
      <c r="C988" s="10">
        <v>45658</v>
      </c>
      <c r="D988" s="9" t="s">
        <v>19</v>
      </c>
      <c r="E988" s="9" t="s">
        <v>25</v>
      </c>
      <c r="F988" s="9" t="s">
        <v>186</v>
      </c>
      <c r="G988" s="9" t="s">
        <v>156</v>
      </c>
      <c r="H988" s="9" t="s">
        <v>210</v>
      </c>
      <c r="I988" s="9" t="b">
        <f>TRUE()</f>
        <v>1</v>
      </c>
      <c r="J988" s="9" t="s">
        <v>2</v>
      </c>
      <c r="K988" s="9" t="s">
        <v>153</v>
      </c>
      <c r="L988" s="10">
        <v>45675</v>
      </c>
      <c r="M988" s="10">
        <v>45682</v>
      </c>
      <c r="N988" s="10">
        <v>45688</v>
      </c>
      <c r="O988" s="10"/>
      <c r="P988" s="9" t="b">
        <f>TRUE()</f>
        <v>1</v>
      </c>
      <c r="Q988" s="11">
        <v>646.46</v>
      </c>
    </row>
    <row r="989" spans="1:17" ht="15" customHeight="1" x14ac:dyDescent="0.2">
      <c r="A989" s="9" t="s">
        <v>1132</v>
      </c>
      <c r="B989" s="10">
        <v>45749</v>
      </c>
      <c r="C989" s="10">
        <v>45748</v>
      </c>
      <c r="D989" s="9" t="s">
        <v>22</v>
      </c>
      <c r="E989" s="9" t="s">
        <v>24</v>
      </c>
      <c r="F989" s="9" t="s">
        <v>149</v>
      </c>
      <c r="G989" s="9" t="s">
        <v>161</v>
      </c>
      <c r="H989" s="9" t="s">
        <v>165</v>
      </c>
      <c r="I989" s="9" t="b">
        <f>TRUE()</f>
        <v>1</v>
      </c>
      <c r="J989" s="9" t="s">
        <v>152</v>
      </c>
      <c r="K989" s="9" t="s">
        <v>163</v>
      </c>
      <c r="L989" s="10"/>
      <c r="M989" s="10"/>
      <c r="N989" s="10"/>
      <c r="O989" s="10">
        <v>45768</v>
      </c>
      <c r="P989" s="9" t="b">
        <f>TRUE()</f>
        <v>1</v>
      </c>
      <c r="Q989" s="11">
        <v>3383.81</v>
      </c>
    </row>
    <row r="990" spans="1:17" ht="15" customHeight="1" x14ac:dyDescent="0.2">
      <c r="A990" s="9" t="s">
        <v>1133</v>
      </c>
      <c r="B990" s="10">
        <v>45986</v>
      </c>
      <c r="C990" s="10">
        <v>45962</v>
      </c>
      <c r="D990" s="9" t="s">
        <v>22</v>
      </c>
      <c r="E990" s="9" t="s">
        <v>28</v>
      </c>
      <c r="F990" s="9" t="s">
        <v>160</v>
      </c>
      <c r="G990" s="9" t="s">
        <v>156</v>
      </c>
      <c r="H990" s="9" t="s">
        <v>151</v>
      </c>
      <c r="I990" s="9" t="b">
        <f>TRUE()</f>
        <v>1</v>
      </c>
      <c r="J990" s="9" t="s">
        <v>152</v>
      </c>
      <c r="K990" s="9" t="s">
        <v>163</v>
      </c>
      <c r="L990" s="10"/>
      <c r="M990" s="10"/>
      <c r="N990" s="10"/>
      <c r="O990" s="10">
        <v>45999</v>
      </c>
      <c r="P990" s="9" t="b">
        <f>TRUE()</f>
        <v>1</v>
      </c>
      <c r="Q990" s="11">
        <v>858.23</v>
      </c>
    </row>
    <row r="991" spans="1:17" ht="15" customHeight="1" x14ac:dyDescent="0.2">
      <c r="A991" s="9" t="s">
        <v>1134</v>
      </c>
      <c r="B991" s="10">
        <v>45800</v>
      </c>
      <c r="C991" s="10">
        <v>45778</v>
      </c>
      <c r="D991" s="9" t="s">
        <v>18</v>
      </c>
      <c r="E991" s="9" t="s">
        <v>24</v>
      </c>
      <c r="F991" s="9" t="s">
        <v>160</v>
      </c>
      <c r="G991" s="9" t="s">
        <v>150</v>
      </c>
      <c r="H991" s="9" t="s">
        <v>201</v>
      </c>
      <c r="I991" s="9" t="b">
        <f>TRUE()</f>
        <v>1</v>
      </c>
      <c r="J991" s="9" t="s">
        <v>152</v>
      </c>
      <c r="K991" s="9" t="s">
        <v>153</v>
      </c>
      <c r="L991" s="10">
        <v>45810</v>
      </c>
      <c r="M991" s="10">
        <v>45817</v>
      </c>
      <c r="N991" s="10"/>
      <c r="O991" s="10">
        <v>45827</v>
      </c>
      <c r="P991" s="9" t="b">
        <f>TRUE()</f>
        <v>1</v>
      </c>
      <c r="Q991" s="11">
        <v>9000.64</v>
      </c>
    </row>
    <row r="992" spans="1:17" ht="15" customHeight="1" x14ac:dyDescent="0.2">
      <c r="A992" s="9" t="s">
        <v>1135</v>
      </c>
      <c r="B992" s="10">
        <v>45915</v>
      </c>
      <c r="C992" s="10">
        <v>45901</v>
      </c>
      <c r="D992" s="9" t="s">
        <v>20</v>
      </c>
      <c r="E992" s="9" t="s">
        <v>26</v>
      </c>
      <c r="F992" s="9" t="s">
        <v>186</v>
      </c>
      <c r="G992" s="9" t="s">
        <v>161</v>
      </c>
      <c r="H992" s="9" t="s">
        <v>192</v>
      </c>
      <c r="I992" s="9" t="b">
        <f>TRUE()</f>
        <v>1</v>
      </c>
      <c r="J992" s="9" t="s">
        <v>152</v>
      </c>
      <c r="K992" s="9" t="s">
        <v>153</v>
      </c>
      <c r="L992" s="10">
        <v>45922</v>
      </c>
      <c r="M992" s="10"/>
      <c r="N992" s="10"/>
      <c r="O992" s="10">
        <v>45935</v>
      </c>
      <c r="P992" s="9" t="b">
        <f>TRUE()</f>
        <v>1</v>
      </c>
      <c r="Q992" s="11">
        <v>2796.71</v>
      </c>
    </row>
    <row r="993" spans="1:17" ht="15" customHeight="1" x14ac:dyDescent="0.2">
      <c r="A993" s="9" t="s">
        <v>1136</v>
      </c>
      <c r="B993" s="10">
        <v>45696</v>
      </c>
      <c r="C993" s="10">
        <v>45689</v>
      </c>
      <c r="D993" s="9" t="s">
        <v>18</v>
      </c>
      <c r="E993" s="9" t="s">
        <v>24</v>
      </c>
      <c r="F993" s="9" t="s">
        <v>149</v>
      </c>
      <c r="G993" s="9" t="s">
        <v>156</v>
      </c>
      <c r="H993" s="9" t="s">
        <v>157</v>
      </c>
      <c r="I993" s="9" t="b">
        <f>TRUE()</f>
        <v>1</v>
      </c>
      <c r="J993" s="9" t="s">
        <v>152</v>
      </c>
      <c r="K993" s="9" t="s">
        <v>153</v>
      </c>
      <c r="L993" s="10">
        <v>45699</v>
      </c>
      <c r="M993" s="10">
        <v>45711</v>
      </c>
      <c r="N993" s="10"/>
      <c r="O993" s="10">
        <v>45737</v>
      </c>
      <c r="P993" s="9" t="b">
        <f>TRUE()</f>
        <v>1</v>
      </c>
      <c r="Q993" s="11">
        <v>956.99</v>
      </c>
    </row>
    <row r="994" spans="1:17" ht="15" customHeight="1" x14ac:dyDescent="0.2">
      <c r="A994" s="9" t="s">
        <v>1137</v>
      </c>
      <c r="B994" s="10">
        <v>45726</v>
      </c>
      <c r="C994" s="10">
        <v>45717</v>
      </c>
      <c r="D994" s="9" t="s">
        <v>22</v>
      </c>
      <c r="E994" s="9" t="s">
        <v>28</v>
      </c>
      <c r="F994" s="9" t="s">
        <v>149</v>
      </c>
      <c r="G994" s="9" t="s">
        <v>156</v>
      </c>
      <c r="H994" s="9" t="s">
        <v>165</v>
      </c>
      <c r="I994" s="9" t="b">
        <f>TRUE()</f>
        <v>1</v>
      </c>
      <c r="J994" s="9" t="s">
        <v>152</v>
      </c>
      <c r="K994" s="9" t="s">
        <v>163</v>
      </c>
      <c r="L994" s="10"/>
      <c r="M994" s="10"/>
      <c r="N994" s="10"/>
      <c r="O994" s="10">
        <v>45746</v>
      </c>
      <c r="P994" s="9" t="b">
        <f>TRUE()</f>
        <v>1</v>
      </c>
      <c r="Q994" s="11">
        <v>745.84</v>
      </c>
    </row>
    <row r="995" spans="1:17" ht="15" customHeight="1" x14ac:dyDescent="0.2">
      <c r="A995" s="9" t="s">
        <v>1138</v>
      </c>
      <c r="B995" s="10">
        <v>46010</v>
      </c>
      <c r="C995" s="10">
        <v>45992</v>
      </c>
      <c r="D995" s="9" t="s">
        <v>18</v>
      </c>
      <c r="E995" s="9" t="s">
        <v>25</v>
      </c>
      <c r="F995" s="9" t="s">
        <v>155</v>
      </c>
      <c r="G995" s="9" t="s">
        <v>156</v>
      </c>
      <c r="H995" s="9" t="s">
        <v>201</v>
      </c>
      <c r="I995" s="9" t="b">
        <f>TRUE()</f>
        <v>1</v>
      </c>
      <c r="J995" s="9" t="s">
        <v>2</v>
      </c>
      <c r="K995" s="9" t="s">
        <v>153</v>
      </c>
      <c r="L995" s="10">
        <v>46014</v>
      </c>
      <c r="M995" s="10">
        <v>46029</v>
      </c>
      <c r="N995" s="10">
        <v>46041</v>
      </c>
      <c r="O995" s="10"/>
      <c r="P995" s="9" t="b">
        <f>TRUE()</f>
        <v>1</v>
      </c>
      <c r="Q995" s="11">
        <v>372.79</v>
      </c>
    </row>
    <row r="996" spans="1:17" ht="15" customHeight="1" x14ac:dyDescent="0.2">
      <c r="A996" s="9" t="s">
        <v>1139</v>
      </c>
      <c r="B996" s="10">
        <v>45752</v>
      </c>
      <c r="C996" s="10">
        <v>45748</v>
      </c>
      <c r="D996" s="9" t="s">
        <v>22</v>
      </c>
      <c r="E996" s="9" t="s">
        <v>24</v>
      </c>
      <c r="F996" s="9" t="s">
        <v>149</v>
      </c>
      <c r="G996" s="9" t="s">
        <v>156</v>
      </c>
      <c r="H996" s="9" t="s">
        <v>165</v>
      </c>
      <c r="I996" s="9" t="b">
        <f>TRUE()</f>
        <v>1</v>
      </c>
      <c r="J996" s="9" t="s">
        <v>152</v>
      </c>
      <c r="K996" s="9" t="s">
        <v>163</v>
      </c>
      <c r="L996" s="10"/>
      <c r="M996" s="10"/>
      <c r="N996" s="10"/>
      <c r="O996" s="10">
        <v>45772</v>
      </c>
      <c r="P996" s="9" t="b">
        <f>TRUE()</f>
        <v>1</v>
      </c>
      <c r="Q996" s="11">
        <v>817.33</v>
      </c>
    </row>
    <row r="997" spans="1:17" ht="15" customHeight="1" x14ac:dyDescent="0.2">
      <c r="A997" s="9" t="s">
        <v>1140</v>
      </c>
      <c r="B997" s="10">
        <v>45795</v>
      </c>
      <c r="C997" s="10">
        <v>45778</v>
      </c>
      <c r="D997" s="9" t="s">
        <v>22</v>
      </c>
      <c r="E997" s="9" t="s">
        <v>24</v>
      </c>
      <c r="F997" s="9" t="s">
        <v>186</v>
      </c>
      <c r="G997" s="9" t="s">
        <v>156</v>
      </c>
      <c r="H997" s="9" t="s">
        <v>165</v>
      </c>
      <c r="I997" s="9" t="b">
        <f>TRUE()</f>
        <v>1</v>
      </c>
      <c r="J997" s="9" t="s">
        <v>152</v>
      </c>
      <c r="K997" s="9" t="s">
        <v>163</v>
      </c>
      <c r="L997" s="10"/>
      <c r="M997" s="10"/>
      <c r="N997" s="10"/>
      <c r="O997" s="10">
        <v>45804</v>
      </c>
      <c r="P997" s="9" t="b">
        <f>TRUE()</f>
        <v>1</v>
      </c>
      <c r="Q997" s="11">
        <v>743.08</v>
      </c>
    </row>
    <row r="998" spans="1:17" ht="15" customHeight="1" x14ac:dyDescent="0.2">
      <c r="A998" s="9" t="s">
        <v>1141</v>
      </c>
      <c r="B998" s="10">
        <v>45797</v>
      </c>
      <c r="C998" s="10">
        <v>45778</v>
      </c>
      <c r="D998" s="9" t="s">
        <v>19</v>
      </c>
      <c r="E998" s="9" t="s">
        <v>27</v>
      </c>
      <c r="F998" s="9" t="s">
        <v>155</v>
      </c>
      <c r="G998" s="9" t="s">
        <v>156</v>
      </c>
      <c r="H998" s="9" t="s">
        <v>207</v>
      </c>
      <c r="I998" s="9" t="b">
        <f>TRUE()</f>
        <v>1</v>
      </c>
      <c r="J998" s="9" t="s">
        <v>2</v>
      </c>
      <c r="K998" s="9" t="s">
        <v>153</v>
      </c>
      <c r="L998" s="10">
        <v>45798</v>
      </c>
      <c r="M998" s="10">
        <v>45803</v>
      </c>
      <c r="N998" s="10">
        <v>45833</v>
      </c>
      <c r="O998" s="10"/>
      <c r="P998" s="9" t="b">
        <f>TRUE()</f>
        <v>1</v>
      </c>
      <c r="Q998" s="11">
        <v>514.66999999999996</v>
      </c>
    </row>
    <row r="999" spans="1:17" ht="15" customHeight="1" x14ac:dyDescent="0.2">
      <c r="A999" s="9" t="s">
        <v>1142</v>
      </c>
      <c r="B999" s="10">
        <v>45892</v>
      </c>
      <c r="C999" s="10">
        <v>45870</v>
      </c>
      <c r="D999" s="9" t="s">
        <v>21</v>
      </c>
      <c r="E999" s="9" t="s">
        <v>25</v>
      </c>
      <c r="F999" s="9" t="s">
        <v>160</v>
      </c>
      <c r="G999" s="9" t="s">
        <v>156</v>
      </c>
      <c r="H999" s="9" t="s">
        <v>162</v>
      </c>
      <c r="I999" s="9" t="b">
        <f>TRUE()</f>
        <v>1</v>
      </c>
      <c r="J999" s="9" t="s">
        <v>152</v>
      </c>
      <c r="K999" s="9" t="s">
        <v>163</v>
      </c>
      <c r="L999" s="10"/>
      <c r="M999" s="10"/>
      <c r="N999" s="10"/>
      <c r="O999" s="10">
        <v>45904</v>
      </c>
      <c r="P999" s="9" t="b">
        <f>TRUE()</f>
        <v>1</v>
      </c>
      <c r="Q999" s="11">
        <v>816.78</v>
      </c>
    </row>
    <row r="1000" spans="1:17" ht="15" customHeight="1" x14ac:dyDescent="0.2">
      <c r="A1000" s="9" t="s">
        <v>1143</v>
      </c>
      <c r="B1000" s="10">
        <v>45983</v>
      </c>
      <c r="C1000" s="10">
        <v>45962</v>
      </c>
      <c r="D1000" s="9" t="s">
        <v>18</v>
      </c>
      <c r="E1000" s="9" t="s">
        <v>28</v>
      </c>
      <c r="F1000" s="9" t="s">
        <v>149</v>
      </c>
      <c r="G1000" s="9" t="s">
        <v>156</v>
      </c>
      <c r="H1000" s="9" t="s">
        <v>201</v>
      </c>
      <c r="I1000" s="9" t="b">
        <f>TRUE()</f>
        <v>1</v>
      </c>
      <c r="J1000" s="9" t="s">
        <v>152</v>
      </c>
      <c r="K1000" s="9" t="s">
        <v>153</v>
      </c>
      <c r="L1000" s="10">
        <v>45984</v>
      </c>
      <c r="M1000" s="10">
        <v>45997</v>
      </c>
      <c r="N1000" s="10"/>
      <c r="O1000" s="10">
        <v>46010</v>
      </c>
      <c r="P1000" s="9" t="b">
        <f>TRUE()</f>
        <v>1</v>
      </c>
      <c r="Q1000" s="11">
        <v>869.43</v>
      </c>
    </row>
    <row r="1001" spans="1:17" ht="15" customHeight="1" x14ac:dyDescent="0.2">
      <c r="A1001" s="9" t="s">
        <v>1144</v>
      </c>
      <c r="B1001" s="10">
        <v>45720</v>
      </c>
      <c r="C1001" s="10">
        <v>45717</v>
      </c>
      <c r="D1001" s="9" t="s">
        <v>20</v>
      </c>
      <c r="E1001" s="9" t="s">
        <v>24</v>
      </c>
      <c r="F1001" s="9" t="s">
        <v>155</v>
      </c>
      <c r="G1001" s="9" t="s">
        <v>156</v>
      </c>
      <c r="H1001" s="9" t="s">
        <v>189</v>
      </c>
      <c r="I1001" s="9" t="b">
        <f>TRUE()</f>
        <v>1</v>
      </c>
      <c r="J1001" s="9" t="s">
        <v>152</v>
      </c>
      <c r="K1001" s="9" t="s">
        <v>163</v>
      </c>
      <c r="L1001" s="10"/>
      <c r="M1001" s="10"/>
      <c r="N1001" s="10"/>
      <c r="O1001" s="10">
        <v>45734</v>
      </c>
      <c r="P1001" s="9" t="b">
        <f>TRUE()</f>
        <v>1</v>
      </c>
      <c r="Q1001" s="11">
        <v>500.51</v>
      </c>
    </row>
  </sheetData>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Q221"/>
  <sheetViews>
    <sheetView zoomScaleNormal="100" workbookViewId="0">
      <pane ySplit="1" topLeftCell="A38" activePane="bottomLeft" state="frozen"/>
      <selection pane="bottomLeft" activeCell="E14" sqref="E14"/>
    </sheetView>
  </sheetViews>
  <sheetFormatPr defaultColWidth="8.7109375" defaultRowHeight="15" x14ac:dyDescent="0.25"/>
  <cols>
    <col min="1" max="1" width="13" style="2" customWidth="1"/>
    <col min="2" max="2" width="11" style="2" customWidth="1"/>
    <col min="3" max="3" width="18" style="2" customWidth="1"/>
    <col min="4" max="4" width="12" style="2" customWidth="1"/>
    <col min="5" max="5" width="17" style="2" customWidth="1"/>
    <col min="6" max="6" width="27" style="2" customWidth="1"/>
    <col min="7" max="8" width="16" style="2" customWidth="1"/>
    <col min="9" max="9" width="20" style="2" customWidth="1"/>
    <col min="10" max="11" width="14" style="2" customWidth="1"/>
    <col min="12" max="12" width="18" style="2" customWidth="1"/>
    <col min="13" max="13" width="17" style="2" customWidth="1"/>
    <col min="14" max="14" width="28" style="2" customWidth="1"/>
    <col min="15" max="15" width="12" style="2" customWidth="1"/>
    <col min="16" max="16" width="30" style="2" customWidth="1"/>
    <col min="17" max="17" width="18" style="2" customWidth="1"/>
  </cols>
  <sheetData>
    <row r="1" spans="1:17" ht="23.25" customHeight="1" x14ac:dyDescent="0.2">
      <c r="A1" s="8" t="s">
        <v>41</v>
      </c>
      <c r="B1" s="8" t="s">
        <v>29</v>
      </c>
      <c r="C1" s="8" t="s">
        <v>1145</v>
      </c>
      <c r="D1" s="8" t="s">
        <v>40</v>
      </c>
      <c r="E1" s="8" t="s">
        <v>33</v>
      </c>
      <c r="F1" s="8" t="s">
        <v>1146</v>
      </c>
      <c r="G1" s="8" t="s">
        <v>1147</v>
      </c>
      <c r="H1" s="8" t="s">
        <v>17</v>
      </c>
      <c r="I1" s="8" t="s">
        <v>140</v>
      </c>
      <c r="J1" s="8" t="s">
        <v>23</v>
      </c>
      <c r="K1" s="8" t="s">
        <v>39</v>
      </c>
      <c r="L1" s="8" t="s">
        <v>42</v>
      </c>
      <c r="M1" s="8" t="s">
        <v>34</v>
      </c>
      <c r="N1" s="8" t="s">
        <v>1148</v>
      </c>
      <c r="O1" s="8" t="s">
        <v>102</v>
      </c>
      <c r="P1" s="8" t="s">
        <v>32</v>
      </c>
      <c r="Q1" s="8" t="s">
        <v>1149</v>
      </c>
    </row>
    <row r="2" spans="1:17" ht="15" customHeight="1" x14ac:dyDescent="0.2">
      <c r="A2" s="9" t="s">
        <v>1150</v>
      </c>
      <c r="B2" s="9" t="s">
        <v>173</v>
      </c>
      <c r="C2" s="9" t="b">
        <f>TRUE()</f>
        <v>1</v>
      </c>
      <c r="D2" s="10">
        <v>46023</v>
      </c>
      <c r="E2" s="10">
        <v>46065</v>
      </c>
      <c r="F2" s="9" t="b">
        <f>TRUE()</f>
        <v>1</v>
      </c>
      <c r="G2" s="9" t="b">
        <f>TRUE()</f>
        <v>1</v>
      </c>
      <c r="H2" s="9" t="s">
        <v>22</v>
      </c>
      <c r="I2" s="9" t="s">
        <v>155</v>
      </c>
      <c r="J2" s="9" t="s">
        <v>27</v>
      </c>
      <c r="K2" s="9" t="s">
        <v>165</v>
      </c>
      <c r="L2" s="9" t="s">
        <v>150</v>
      </c>
      <c r="M2" s="9" t="s">
        <v>1151</v>
      </c>
      <c r="N2" s="9" t="s">
        <v>1151</v>
      </c>
      <c r="O2" s="10"/>
      <c r="P2" s="11">
        <v>6898.05</v>
      </c>
      <c r="Q2" s="9">
        <f t="shared" ref="Q2:Q65" si="0">IF(G2=TRUE(),E2-D2,"")</f>
        <v>42</v>
      </c>
    </row>
    <row r="3" spans="1:17" ht="15" customHeight="1" x14ac:dyDescent="0.2">
      <c r="A3" s="9" t="s">
        <v>1152</v>
      </c>
      <c r="B3" s="9" t="s">
        <v>175</v>
      </c>
      <c r="C3" s="9" t="b">
        <f>TRUE()</f>
        <v>1</v>
      </c>
      <c r="D3" s="10">
        <v>45842</v>
      </c>
      <c r="E3" s="10">
        <v>45876</v>
      </c>
      <c r="F3" s="9" t="b">
        <f>TRUE()</f>
        <v>1</v>
      </c>
      <c r="G3" s="9" t="b">
        <f>TRUE()</f>
        <v>1</v>
      </c>
      <c r="H3" s="9" t="s">
        <v>21</v>
      </c>
      <c r="I3" s="9" t="s">
        <v>149</v>
      </c>
      <c r="J3" s="9" t="s">
        <v>27</v>
      </c>
      <c r="K3" s="9" t="s">
        <v>176</v>
      </c>
      <c r="L3" s="9" t="s">
        <v>156</v>
      </c>
      <c r="M3" s="9" t="s">
        <v>1151</v>
      </c>
      <c r="N3" s="9" t="s">
        <v>1151</v>
      </c>
      <c r="O3" s="10"/>
      <c r="P3" s="11">
        <v>732.38</v>
      </c>
      <c r="Q3" s="9">
        <f t="shared" si="0"/>
        <v>34</v>
      </c>
    </row>
    <row r="4" spans="1:17" ht="15" customHeight="1" x14ac:dyDescent="0.2">
      <c r="A4" s="9" t="s">
        <v>1153</v>
      </c>
      <c r="B4" s="9" t="s">
        <v>180</v>
      </c>
      <c r="C4" s="9" t="b">
        <f>TRUE()</f>
        <v>1</v>
      </c>
      <c r="D4" s="10">
        <v>45759</v>
      </c>
      <c r="E4" s="10">
        <v>45776</v>
      </c>
      <c r="F4" s="9" t="b">
        <f>TRUE()</f>
        <v>1</v>
      </c>
      <c r="G4" s="9" t="b">
        <f>TRUE()</f>
        <v>1</v>
      </c>
      <c r="H4" s="9" t="s">
        <v>19</v>
      </c>
      <c r="I4" s="9" t="s">
        <v>155</v>
      </c>
      <c r="J4" s="9" t="s">
        <v>26</v>
      </c>
      <c r="K4" s="9" t="s">
        <v>179</v>
      </c>
      <c r="L4" s="9" t="s">
        <v>161</v>
      </c>
      <c r="M4" s="9" t="s">
        <v>1151</v>
      </c>
      <c r="N4" s="9" t="s">
        <v>1151</v>
      </c>
      <c r="O4" s="10"/>
      <c r="P4" s="11">
        <v>1713.23</v>
      </c>
      <c r="Q4" s="9">
        <f t="shared" si="0"/>
        <v>17</v>
      </c>
    </row>
    <row r="5" spans="1:17" ht="15" customHeight="1" x14ac:dyDescent="0.2">
      <c r="A5" s="9" t="s">
        <v>1154</v>
      </c>
      <c r="B5" s="9" t="s">
        <v>181</v>
      </c>
      <c r="C5" s="9" t="b">
        <f>TRUE()</f>
        <v>1</v>
      </c>
      <c r="D5" s="10">
        <v>45821</v>
      </c>
      <c r="E5" s="10">
        <v>45850</v>
      </c>
      <c r="F5" s="9" t="b">
        <f>TRUE()</f>
        <v>1</v>
      </c>
      <c r="G5" s="9" t="b">
        <f>TRUE()</f>
        <v>1</v>
      </c>
      <c r="H5" s="9" t="s">
        <v>22</v>
      </c>
      <c r="I5" s="9" t="s">
        <v>149</v>
      </c>
      <c r="J5" s="9" t="s">
        <v>25</v>
      </c>
      <c r="K5" s="9" t="s">
        <v>151</v>
      </c>
      <c r="L5" s="9" t="s">
        <v>161</v>
      </c>
      <c r="M5" s="9" t="s">
        <v>1155</v>
      </c>
      <c r="N5" s="9" t="s">
        <v>1155</v>
      </c>
      <c r="O5" s="10">
        <v>45941</v>
      </c>
      <c r="P5" s="11">
        <v>2249.42</v>
      </c>
      <c r="Q5" s="9">
        <f t="shared" si="0"/>
        <v>29</v>
      </c>
    </row>
    <row r="6" spans="1:17" ht="15" customHeight="1" x14ac:dyDescent="0.2">
      <c r="A6" s="9" t="s">
        <v>1156</v>
      </c>
      <c r="B6" s="9" t="s">
        <v>195</v>
      </c>
      <c r="C6" s="9" t="b">
        <f>TRUE()</f>
        <v>1</v>
      </c>
      <c r="D6" s="10">
        <v>46043</v>
      </c>
      <c r="E6" s="10">
        <v>46057</v>
      </c>
      <c r="F6" s="9" t="b">
        <f>TRUE()</f>
        <v>1</v>
      </c>
      <c r="G6" s="9" t="b">
        <f>TRUE()</f>
        <v>1</v>
      </c>
      <c r="H6" s="9" t="s">
        <v>22</v>
      </c>
      <c r="I6" s="9" t="s">
        <v>186</v>
      </c>
      <c r="J6" s="9" t="s">
        <v>25</v>
      </c>
      <c r="K6" s="9" t="s">
        <v>165</v>
      </c>
      <c r="L6" s="9" t="s">
        <v>156</v>
      </c>
      <c r="M6" s="9" t="s">
        <v>1151</v>
      </c>
      <c r="N6" s="9" t="s">
        <v>1151</v>
      </c>
      <c r="O6" s="10"/>
      <c r="P6" s="11">
        <v>670.98</v>
      </c>
      <c r="Q6" s="9">
        <f t="shared" si="0"/>
        <v>14</v>
      </c>
    </row>
    <row r="7" spans="1:17" ht="15" customHeight="1" x14ac:dyDescent="0.2">
      <c r="A7" s="9" t="s">
        <v>81</v>
      </c>
      <c r="B7" s="9" t="s">
        <v>1157</v>
      </c>
      <c r="C7" s="9" t="b">
        <f>FALSE()</f>
        <v>0</v>
      </c>
      <c r="D7" s="10">
        <v>46004</v>
      </c>
      <c r="E7" s="10">
        <v>46035</v>
      </c>
      <c r="F7" s="9" t="b">
        <f>TRUE()</f>
        <v>1</v>
      </c>
      <c r="G7" s="9" t="b">
        <f>TRUE()</f>
        <v>1</v>
      </c>
      <c r="H7" s="9" t="s">
        <v>22</v>
      </c>
      <c r="I7" s="9" t="s">
        <v>149</v>
      </c>
      <c r="J7" s="9" t="s">
        <v>25</v>
      </c>
      <c r="K7" s="9" t="s">
        <v>165</v>
      </c>
      <c r="L7" s="9" t="s">
        <v>156</v>
      </c>
      <c r="M7" s="9" t="s">
        <v>1151</v>
      </c>
      <c r="N7" s="9" t="s">
        <v>1151</v>
      </c>
      <c r="O7" s="10"/>
      <c r="P7" s="11">
        <v>725.29</v>
      </c>
      <c r="Q7" s="9">
        <f t="shared" si="0"/>
        <v>31</v>
      </c>
    </row>
    <row r="8" spans="1:17" ht="15" customHeight="1" x14ac:dyDescent="0.2">
      <c r="A8" s="9" t="s">
        <v>1158</v>
      </c>
      <c r="B8" s="9" t="s">
        <v>206</v>
      </c>
      <c r="C8" s="9" t="b">
        <f>TRUE()</f>
        <v>1</v>
      </c>
      <c r="D8" s="10">
        <v>45700</v>
      </c>
      <c r="E8" s="10">
        <v>45711</v>
      </c>
      <c r="F8" s="9" t="b">
        <f>TRUE()</f>
        <v>1</v>
      </c>
      <c r="G8" s="9" t="b">
        <f>TRUE()</f>
        <v>1</v>
      </c>
      <c r="H8" s="9" t="s">
        <v>19</v>
      </c>
      <c r="I8" s="9" t="s">
        <v>149</v>
      </c>
      <c r="J8" s="9" t="s">
        <v>26</v>
      </c>
      <c r="K8" s="9" t="s">
        <v>207</v>
      </c>
      <c r="L8" s="9" t="s">
        <v>156</v>
      </c>
      <c r="M8" s="9" t="s">
        <v>1151</v>
      </c>
      <c r="N8" s="9" t="s">
        <v>1151</v>
      </c>
      <c r="O8" s="10"/>
      <c r="P8" s="11">
        <v>1113.1099999999999</v>
      </c>
      <c r="Q8" s="9">
        <f t="shared" si="0"/>
        <v>11</v>
      </c>
    </row>
    <row r="9" spans="1:17" ht="15" customHeight="1" x14ac:dyDescent="0.2">
      <c r="A9" s="9" t="s">
        <v>1159</v>
      </c>
      <c r="B9" s="9" t="s">
        <v>211</v>
      </c>
      <c r="C9" s="9" t="b">
        <f>TRUE()</f>
        <v>1</v>
      </c>
      <c r="D9" s="10">
        <v>45717</v>
      </c>
      <c r="E9" s="10"/>
      <c r="F9" s="9" t="b">
        <f>TRUE()</f>
        <v>1</v>
      </c>
      <c r="G9" s="9" t="b">
        <f>FALSE()</f>
        <v>0</v>
      </c>
      <c r="H9" s="9" t="s">
        <v>21</v>
      </c>
      <c r="I9" s="9" t="s">
        <v>149</v>
      </c>
      <c r="J9" s="9" t="s">
        <v>27</v>
      </c>
      <c r="K9" s="9" t="s">
        <v>176</v>
      </c>
      <c r="L9" s="9" t="s">
        <v>161</v>
      </c>
      <c r="M9" s="9" t="s">
        <v>1160</v>
      </c>
      <c r="N9" s="9" t="s">
        <v>1160</v>
      </c>
      <c r="O9" s="10"/>
      <c r="P9" s="11">
        <v>3476.46</v>
      </c>
      <c r="Q9" s="9" t="str">
        <f t="shared" si="0"/>
        <v/>
      </c>
    </row>
    <row r="10" spans="1:17" ht="15" customHeight="1" x14ac:dyDescent="0.2">
      <c r="A10" s="9" t="s">
        <v>1161</v>
      </c>
      <c r="B10" s="9" t="s">
        <v>214</v>
      </c>
      <c r="C10" s="9" t="b">
        <f>TRUE()</f>
        <v>1</v>
      </c>
      <c r="D10" s="10">
        <v>45741</v>
      </c>
      <c r="E10" s="10">
        <v>45778</v>
      </c>
      <c r="F10" s="9" t="b">
        <f>TRUE()</f>
        <v>1</v>
      </c>
      <c r="G10" s="9" t="b">
        <f>TRUE()</f>
        <v>1</v>
      </c>
      <c r="H10" s="9" t="s">
        <v>22</v>
      </c>
      <c r="I10" s="9" t="s">
        <v>186</v>
      </c>
      <c r="J10" s="9" t="s">
        <v>27</v>
      </c>
      <c r="K10" s="9" t="s">
        <v>165</v>
      </c>
      <c r="L10" s="9" t="s">
        <v>150</v>
      </c>
      <c r="M10" s="9" t="s">
        <v>1151</v>
      </c>
      <c r="N10" s="9" t="s">
        <v>1151</v>
      </c>
      <c r="O10" s="10"/>
      <c r="P10" s="11">
        <v>5529.48</v>
      </c>
      <c r="Q10" s="9">
        <f t="shared" si="0"/>
        <v>37</v>
      </c>
    </row>
    <row r="11" spans="1:17" ht="15" customHeight="1" x14ac:dyDescent="0.2">
      <c r="A11" s="9" t="s">
        <v>1162</v>
      </c>
      <c r="B11" s="9" t="s">
        <v>219</v>
      </c>
      <c r="C11" s="9" t="b">
        <f>TRUE()</f>
        <v>1</v>
      </c>
      <c r="D11" s="10">
        <v>45952</v>
      </c>
      <c r="E11" s="10">
        <v>45983</v>
      </c>
      <c r="F11" s="9" t="b">
        <f>TRUE()</f>
        <v>1</v>
      </c>
      <c r="G11" s="9" t="b">
        <f>TRUE()</f>
        <v>1</v>
      </c>
      <c r="H11" s="9" t="s">
        <v>22</v>
      </c>
      <c r="I11" s="9" t="s">
        <v>149</v>
      </c>
      <c r="J11" s="9" t="s">
        <v>25</v>
      </c>
      <c r="K11" s="9" t="s">
        <v>151</v>
      </c>
      <c r="L11" s="9" t="s">
        <v>156</v>
      </c>
      <c r="M11" s="9" t="s">
        <v>1151</v>
      </c>
      <c r="N11" s="9" t="s">
        <v>1151</v>
      </c>
      <c r="O11" s="10"/>
      <c r="P11" s="11">
        <v>823.17</v>
      </c>
      <c r="Q11" s="9">
        <f t="shared" si="0"/>
        <v>31</v>
      </c>
    </row>
    <row r="12" spans="1:17" ht="15" customHeight="1" x14ac:dyDescent="0.2">
      <c r="A12" s="9" t="s">
        <v>1163</v>
      </c>
      <c r="B12" s="9" t="s">
        <v>49</v>
      </c>
      <c r="C12" s="9" t="b">
        <f>TRUE()</f>
        <v>1</v>
      </c>
      <c r="D12" s="10">
        <v>45923</v>
      </c>
      <c r="E12" s="10">
        <v>45929</v>
      </c>
      <c r="F12" s="9" t="b">
        <f>TRUE()</f>
        <v>1</v>
      </c>
      <c r="G12" s="9" t="b">
        <f>TRUE()</f>
        <v>1</v>
      </c>
      <c r="H12" s="9" t="s">
        <v>20</v>
      </c>
      <c r="I12" s="9" t="s">
        <v>155</v>
      </c>
      <c r="J12" s="9" t="s">
        <v>27</v>
      </c>
      <c r="K12" s="9" t="s">
        <v>189</v>
      </c>
      <c r="L12" s="9" t="s">
        <v>156</v>
      </c>
      <c r="M12" s="9" t="s">
        <v>1151</v>
      </c>
      <c r="N12" s="9" t="s">
        <v>1151</v>
      </c>
      <c r="O12" s="10"/>
      <c r="P12" s="11">
        <v>682.3</v>
      </c>
      <c r="Q12" s="9">
        <f t="shared" si="0"/>
        <v>6</v>
      </c>
    </row>
    <row r="13" spans="1:17" ht="15" customHeight="1" x14ac:dyDescent="0.2">
      <c r="A13" s="9" t="s">
        <v>1164</v>
      </c>
      <c r="B13" s="9" t="s">
        <v>229</v>
      </c>
      <c r="C13" s="9" t="b">
        <f>TRUE()</f>
        <v>1</v>
      </c>
      <c r="D13" s="10">
        <v>45757</v>
      </c>
      <c r="E13" s="10">
        <v>45798</v>
      </c>
      <c r="F13" s="9" t="b">
        <f>TRUE()</f>
        <v>1</v>
      </c>
      <c r="G13" s="9" t="b">
        <f>TRUE()</f>
        <v>1</v>
      </c>
      <c r="H13" s="9" t="s">
        <v>22</v>
      </c>
      <c r="I13" s="9" t="s">
        <v>186</v>
      </c>
      <c r="J13" s="9" t="s">
        <v>26</v>
      </c>
      <c r="K13" s="9" t="s">
        <v>165</v>
      </c>
      <c r="L13" s="9" t="s">
        <v>156</v>
      </c>
      <c r="M13" s="9" t="s">
        <v>1151</v>
      </c>
      <c r="N13" s="9" t="s">
        <v>1151</v>
      </c>
      <c r="O13" s="10"/>
      <c r="P13" s="11">
        <v>710.84</v>
      </c>
      <c r="Q13" s="9">
        <f t="shared" si="0"/>
        <v>41</v>
      </c>
    </row>
    <row r="14" spans="1:17" ht="15" customHeight="1" x14ac:dyDescent="0.2">
      <c r="A14" s="9" t="s">
        <v>93</v>
      </c>
      <c r="B14" s="9" t="s">
        <v>235</v>
      </c>
      <c r="C14" s="9" t="b">
        <f>TRUE()</f>
        <v>1</v>
      </c>
      <c r="D14" s="10">
        <v>46021</v>
      </c>
      <c r="E14" s="10">
        <v>46019</v>
      </c>
      <c r="F14" s="9" t="b">
        <f>FALSE()</f>
        <v>0</v>
      </c>
      <c r="G14" s="9" t="b">
        <f>FALSE()</f>
        <v>0</v>
      </c>
      <c r="H14" s="9" t="s">
        <v>22</v>
      </c>
      <c r="I14" s="9" t="s">
        <v>186</v>
      </c>
      <c r="J14" s="9" t="s">
        <v>28</v>
      </c>
      <c r="K14" s="9" t="s">
        <v>165</v>
      </c>
      <c r="L14" s="9" t="s">
        <v>156</v>
      </c>
      <c r="M14" s="9" t="s">
        <v>1151</v>
      </c>
      <c r="N14" s="9" t="s">
        <v>1151</v>
      </c>
      <c r="O14" s="10"/>
      <c r="P14" s="11">
        <v>565.82000000000005</v>
      </c>
      <c r="Q14" s="9" t="str">
        <f t="shared" si="0"/>
        <v/>
      </c>
    </row>
    <row r="15" spans="1:17" ht="15" customHeight="1" x14ac:dyDescent="0.2">
      <c r="A15" s="9" t="s">
        <v>1165</v>
      </c>
      <c r="B15" s="9" t="s">
        <v>240</v>
      </c>
      <c r="C15" s="9" t="b">
        <f>TRUE()</f>
        <v>1</v>
      </c>
      <c r="D15" s="10">
        <v>45828</v>
      </c>
      <c r="E15" s="10">
        <v>45854</v>
      </c>
      <c r="F15" s="9" t="b">
        <f>TRUE()</f>
        <v>1</v>
      </c>
      <c r="G15" s="9" t="b">
        <f>TRUE()</f>
        <v>1</v>
      </c>
      <c r="H15" s="9" t="s">
        <v>20</v>
      </c>
      <c r="I15" s="9" t="s">
        <v>149</v>
      </c>
      <c r="J15" s="9" t="s">
        <v>25</v>
      </c>
      <c r="K15" s="9" t="s">
        <v>189</v>
      </c>
      <c r="L15" s="9" t="s">
        <v>156</v>
      </c>
      <c r="M15" s="9" t="s">
        <v>1151</v>
      </c>
      <c r="N15" s="9" t="s">
        <v>1151</v>
      </c>
      <c r="O15" s="10"/>
      <c r="P15" s="11">
        <v>601.64</v>
      </c>
      <c r="Q15" s="9">
        <f t="shared" si="0"/>
        <v>26</v>
      </c>
    </row>
    <row r="16" spans="1:17" ht="15" customHeight="1" x14ac:dyDescent="0.2">
      <c r="A16" s="9" t="s">
        <v>1166</v>
      </c>
      <c r="B16" s="9" t="s">
        <v>243</v>
      </c>
      <c r="C16" s="9" t="b">
        <f>TRUE()</f>
        <v>1</v>
      </c>
      <c r="D16" s="10">
        <v>45769</v>
      </c>
      <c r="E16" s="10">
        <v>45796</v>
      </c>
      <c r="F16" s="9" t="b">
        <f>TRUE()</f>
        <v>1</v>
      </c>
      <c r="G16" s="9" t="b">
        <f>TRUE()</f>
        <v>1</v>
      </c>
      <c r="H16" s="9" t="s">
        <v>22</v>
      </c>
      <c r="I16" s="9" t="s">
        <v>160</v>
      </c>
      <c r="J16" s="9" t="s">
        <v>25</v>
      </c>
      <c r="K16" s="9" t="s">
        <v>165</v>
      </c>
      <c r="L16" s="9" t="s">
        <v>156</v>
      </c>
      <c r="M16" s="9" t="s">
        <v>1151</v>
      </c>
      <c r="N16" s="9" t="s">
        <v>1151</v>
      </c>
      <c r="O16" s="10"/>
      <c r="P16" s="11">
        <v>594.28</v>
      </c>
      <c r="Q16" s="9">
        <f t="shared" si="0"/>
        <v>27</v>
      </c>
    </row>
    <row r="17" spans="1:17" ht="15" customHeight="1" x14ac:dyDescent="0.2">
      <c r="A17" s="9" t="s">
        <v>1167</v>
      </c>
      <c r="B17" s="9" t="s">
        <v>245</v>
      </c>
      <c r="C17" s="9" t="b">
        <f>TRUE()</f>
        <v>1</v>
      </c>
      <c r="D17" s="10">
        <v>45989</v>
      </c>
      <c r="E17" s="10">
        <v>45991</v>
      </c>
      <c r="F17" s="9" t="b">
        <f>TRUE()</f>
        <v>1</v>
      </c>
      <c r="G17" s="9" t="b">
        <f>TRUE()</f>
        <v>1</v>
      </c>
      <c r="H17" s="9" t="s">
        <v>20</v>
      </c>
      <c r="I17" s="9" t="s">
        <v>186</v>
      </c>
      <c r="J17" s="9" t="s">
        <v>24</v>
      </c>
      <c r="K17" s="9" t="s">
        <v>167</v>
      </c>
      <c r="L17" s="9" t="s">
        <v>156</v>
      </c>
      <c r="M17" s="9" t="s">
        <v>1151</v>
      </c>
      <c r="N17" s="9" t="s">
        <v>1151</v>
      </c>
      <c r="O17" s="10"/>
      <c r="P17" s="11">
        <v>755.27</v>
      </c>
      <c r="Q17" s="9">
        <f t="shared" si="0"/>
        <v>2</v>
      </c>
    </row>
    <row r="18" spans="1:17" ht="15" customHeight="1" x14ac:dyDescent="0.2">
      <c r="A18" s="9" t="s">
        <v>1168</v>
      </c>
      <c r="B18" s="9" t="s">
        <v>246</v>
      </c>
      <c r="C18" s="9" t="b">
        <f>TRUE()</f>
        <v>1</v>
      </c>
      <c r="D18" s="10">
        <v>45824</v>
      </c>
      <c r="E18" s="10">
        <v>45827</v>
      </c>
      <c r="F18" s="9" t="b">
        <f>TRUE()</f>
        <v>1</v>
      </c>
      <c r="G18" s="9" t="b">
        <f>TRUE()</f>
        <v>1</v>
      </c>
      <c r="H18" s="9" t="s">
        <v>19</v>
      </c>
      <c r="I18" s="9" t="s">
        <v>149</v>
      </c>
      <c r="J18" s="9" t="s">
        <v>26</v>
      </c>
      <c r="K18" s="9" t="s">
        <v>179</v>
      </c>
      <c r="L18" s="9" t="s">
        <v>161</v>
      </c>
      <c r="M18" s="9" t="s">
        <v>1151</v>
      </c>
      <c r="N18" s="9" t="s">
        <v>1151</v>
      </c>
      <c r="O18" s="10"/>
      <c r="P18" s="11">
        <v>2303.13</v>
      </c>
      <c r="Q18" s="9">
        <f t="shared" si="0"/>
        <v>3</v>
      </c>
    </row>
    <row r="19" spans="1:17" ht="15" customHeight="1" x14ac:dyDescent="0.2">
      <c r="A19" s="9" t="s">
        <v>1169</v>
      </c>
      <c r="B19" s="9" t="s">
        <v>253</v>
      </c>
      <c r="C19" s="9" t="b">
        <f>TRUE()</f>
        <v>1</v>
      </c>
      <c r="D19" s="10">
        <v>45879</v>
      </c>
      <c r="E19" s="10">
        <v>45897</v>
      </c>
      <c r="F19" s="9" t="b">
        <f>TRUE()</f>
        <v>1</v>
      </c>
      <c r="G19" s="9" t="b">
        <f>TRUE()</f>
        <v>1</v>
      </c>
      <c r="H19" s="9" t="s">
        <v>21</v>
      </c>
      <c r="I19" s="9" t="s">
        <v>186</v>
      </c>
      <c r="J19" s="9" t="s">
        <v>26</v>
      </c>
      <c r="K19" s="9" t="s">
        <v>176</v>
      </c>
      <c r="L19" s="9" t="s">
        <v>161</v>
      </c>
      <c r="M19" s="9" t="s">
        <v>1151</v>
      </c>
      <c r="N19" s="9" t="s">
        <v>1151</v>
      </c>
      <c r="O19" s="10"/>
      <c r="P19" s="11">
        <v>2363.89</v>
      </c>
      <c r="Q19" s="9">
        <f t="shared" si="0"/>
        <v>18</v>
      </c>
    </row>
    <row r="20" spans="1:17" ht="15" customHeight="1" x14ac:dyDescent="0.2">
      <c r="A20" s="9" t="s">
        <v>1170</v>
      </c>
      <c r="B20" s="9" t="s">
        <v>254</v>
      </c>
      <c r="C20" s="9" t="b">
        <f>TRUE()</f>
        <v>1</v>
      </c>
      <c r="D20" s="10">
        <v>45963</v>
      </c>
      <c r="E20" s="10"/>
      <c r="F20" s="9" t="b">
        <f>TRUE()</f>
        <v>1</v>
      </c>
      <c r="G20" s="9" t="b">
        <f>FALSE()</f>
        <v>0</v>
      </c>
      <c r="H20" s="9" t="s">
        <v>19</v>
      </c>
      <c r="I20" s="9" t="s">
        <v>149</v>
      </c>
      <c r="J20" s="9" t="s">
        <v>25</v>
      </c>
      <c r="K20" s="9" t="s">
        <v>179</v>
      </c>
      <c r="L20" s="9" t="s">
        <v>156</v>
      </c>
      <c r="M20" s="9" t="s">
        <v>1160</v>
      </c>
      <c r="N20" s="9" t="s">
        <v>1160</v>
      </c>
      <c r="O20" s="10"/>
      <c r="P20" s="11">
        <v>1129.44</v>
      </c>
      <c r="Q20" s="9" t="str">
        <f t="shared" si="0"/>
        <v/>
      </c>
    </row>
    <row r="21" spans="1:17" ht="15" customHeight="1" x14ac:dyDescent="0.2">
      <c r="A21" s="9" t="s">
        <v>76</v>
      </c>
      <c r="B21" s="9" t="s">
        <v>258</v>
      </c>
      <c r="C21" s="9" t="b">
        <f>TRUE()</f>
        <v>1</v>
      </c>
      <c r="D21" s="10">
        <v>45746</v>
      </c>
      <c r="E21" s="10">
        <v>45793</v>
      </c>
      <c r="F21" s="9" t="b">
        <f>TRUE()</f>
        <v>1</v>
      </c>
      <c r="G21" s="9" t="b">
        <f>TRUE()</f>
        <v>1</v>
      </c>
      <c r="H21" s="9" t="s">
        <v>20</v>
      </c>
      <c r="I21" s="9" t="s">
        <v>149</v>
      </c>
      <c r="J21" s="9" t="s">
        <v>26</v>
      </c>
      <c r="K21" s="9" t="s">
        <v>192</v>
      </c>
      <c r="L21" s="9" t="s">
        <v>150</v>
      </c>
      <c r="M21" s="9" t="s">
        <v>1151</v>
      </c>
      <c r="N21" s="9" t="s">
        <v>1151</v>
      </c>
      <c r="O21" s="10"/>
      <c r="P21" s="11">
        <v>6878.5</v>
      </c>
      <c r="Q21" s="9">
        <f t="shared" si="0"/>
        <v>47</v>
      </c>
    </row>
    <row r="22" spans="1:17" ht="15" customHeight="1" x14ac:dyDescent="0.2">
      <c r="A22" s="9" t="s">
        <v>82</v>
      </c>
      <c r="B22" s="9" t="s">
        <v>1157</v>
      </c>
      <c r="C22" s="9" t="b">
        <f>FALSE()</f>
        <v>0</v>
      </c>
      <c r="D22" s="10">
        <v>45740</v>
      </c>
      <c r="E22" s="10">
        <v>45796</v>
      </c>
      <c r="F22" s="9" t="b">
        <f>TRUE()</f>
        <v>1</v>
      </c>
      <c r="G22" s="9" t="b">
        <f>TRUE()</f>
        <v>1</v>
      </c>
      <c r="H22" s="9" t="s">
        <v>20</v>
      </c>
      <c r="I22" s="9" t="s">
        <v>149</v>
      </c>
      <c r="J22" s="9" t="s">
        <v>26</v>
      </c>
      <c r="K22" s="9" t="s">
        <v>192</v>
      </c>
      <c r="L22" s="9" t="s">
        <v>161</v>
      </c>
      <c r="M22" s="9" t="s">
        <v>1151</v>
      </c>
      <c r="N22" s="9" t="s">
        <v>1151</v>
      </c>
      <c r="O22" s="10"/>
      <c r="P22" s="11">
        <v>2560.4699999999998</v>
      </c>
      <c r="Q22" s="9">
        <f t="shared" si="0"/>
        <v>56</v>
      </c>
    </row>
    <row r="23" spans="1:17" ht="15" customHeight="1" x14ac:dyDescent="0.2">
      <c r="A23" s="9" t="s">
        <v>1171</v>
      </c>
      <c r="B23" s="9" t="s">
        <v>261</v>
      </c>
      <c r="C23" s="9" t="b">
        <f>TRUE()</f>
        <v>1</v>
      </c>
      <c r="D23" s="10">
        <v>45821</v>
      </c>
      <c r="E23" s="10">
        <v>45837</v>
      </c>
      <c r="F23" s="9" t="b">
        <f>TRUE()</f>
        <v>1</v>
      </c>
      <c r="G23" s="9" t="b">
        <f>TRUE()</f>
        <v>1</v>
      </c>
      <c r="H23" s="9" t="s">
        <v>21</v>
      </c>
      <c r="I23" s="9" t="s">
        <v>149</v>
      </c>
      <c r="J23" s="9" t="s">
        <v>26</v>
      </c>
      <c r="K23" s="9" t="s">
        <v>162</v>
      </c>
      <c r="L23" s="9" t="s">
        <v>150</v>
      </c>
      <c r="M23" s="9" t="s">
        <v>1151</v>
      </c>
      <c r="N23" s="9" t="s">
        <v>1151</v>
      </c>
      <c r="O23" s="10"/>
      <c r="P23" s="11">
        <v>8785.69</v>
      </c>
      <c r="Q23" s="9">
        <f t="shared" si="0"/>
        <v>16</v>
      </c>
    </row>
    <row r="24" spans="1:17" ht="15" customHeight="1" x14ac:dyDescent="0.2">
      <c r="A24" s="9" t="s">
        <v>1172</v>
      </c>
      <c r="B24" s="9" t="s">
        <v>262</v>
      </c>
      <c r="C24" s="9" t="b">
        <f>TRUE()</f>
        <v>1</v>
      </c>
      <c r="D24" s="10">
        <v>46000</v>
      </c>
      <c r="E24" s="10">
        <v>46043</v>
      </c>
      <c r="F24" s="9" t="b">
        <f>TRUE()</f>
        <v>1</v>
      </c>
      <c r="G24" s="9" t="b">
        <f>TRUE()</f>
        <v>1</v>
      </c>
      <c r="H24" s="9" t="s">
        <v>19</v>
      </c>
      <c r="I24" s="9" t="s">
        <v>149</v>
      </c>
      <c r="J24" s="9" t="s">
        <v>25</v>
      </c>
      <c r="K24" s="9" t="s">
        <v>207</v>
      </c>
      <c r="L24" s="9" t="s">
        <v>161</v>
      </c>
      <c r="M24" s="9" t="s">
        <v>1151</v>
      </c>
      <c r="N24" s="9" t="s">
        <v>1151</v>
      </c>
      <c r="O24" s="10"/>
      <c r="P24" s="11">
        <v>2533.19</v>
      </c>
      <c r="Q24" s="9">
        <f t="shared" si="0"/>
        <v>43</v>
      </c>
    </row>
    <row r="25" spans="1:17" ht="15" customHeight="1" x14ac:dyDescent="0.2">
      <c r="A25" s="9" t="s">
        <v>85</v>
      </c>
      <c r="B25" s="9" t="s">
        <v>264</v>
      </c>
      <c r="C25" s="9" t="b">
        <f>TRUE()</f>
        <v>1</v>
      </c>
      <c r="D25" s="10">
        <v>45750</v>
      </c>
      <c r="E25" s="10">
        <v>45760</v>
      </c>
      <c r="F25" s="9" t="b">
        <f>TRUE()</f>
        <v>1</v>
      </c>
      <c r="G25" s="9" t="b">
        <f>TRUE()</f>
        <v>1</v>
      </c>
      <c r="H25" s="9" t="s">
        <v>21</v>
      </c>
      <c r="I25" s="9" t="s">
        <v>160</v>
      </c>
      <c r="J25" s="9" t="s">
        <v>25</v>
      </c>
      <c r="K25" s="9" t="s">
        <v>162</v>
      </c>
      <c r="L25" s="9" t="s">
        <v>1173</v>
      </c>
      <c r="M25" s="9" t="s">
        <v>1151</v>
      </c>
      <c r="N25" s="9" t="s">
        <v>1151</v>
      </c>
      <c r="O25" s="10"/>
      <c r="P25" s="11">
        <v>585.85</v>
      </c>
      <c r="Q25" s="9">
        <f t="shared" si="0"/>
        <v>10</v>
      </c>
    </row>
    <row r="26" spans="1:17" ht="15" customHeight="1" x14ac:dyDescent="0.2">
      <c r="A26" s="9" t="s">
        <v>1174</v>
      </c>
      <c r="B26" s="9" t="s">
        <v>276</v>
      </c>
      <c r="C26" s="9" t="b">
        <f>TRUE()</f>
        <v>1</v>
      </c>
      <c r="D26" s="10">
        <v>45761</v>
      </c>
      <c r="E26" s="10">
        <v>45778</v>
      </c>
      <c r="F26" s="9" t="b">
        <f>TRUE()</f>
        <v>1</v>
      </c>
      <c r="G26" s="9" t="b">
        <f>TRUE()</f>
        <v>1</v>
      </c>
      <c r="H26" s="9" t="s">
        <v>19</v>
      </c>
      <c r="I26" s="9" t="s">
        <v>155</v>
      </c>
      <c r="J26" s="9" t="s">
        <v>26</v>
      </c>
      <c r="K26" s="9" t="s">
        <v>179</v>
      </c>
      <c r="L26" s="9" t="s">
        <v>161</v>
      </c>
      <c r="M26" s="9" t="s">
        <v>1151</v>
      </c>
      <c r="N26" s="9" t="s">
        <v>1151</v>
      </c>
      <c r="O26" s="10"/>
      <c r="P26" s="11">
        <v>2145.83</v>
      </c>
      <c r="Q26" s="9">
        <f t="shared" si="0"/>
        <v>17</v>
      </c>
    </row>
    <row r="27" spans="1:17" ht="15" customHeight="1" x14ac:dyDescent="0.2">
      <c r="A27" s="9" t="s">
        <v>1175</v>
      </c>
      <c r="B27" s="9" t="s">
        <v>278</v>
      </c>
      <c r="C27" s="9" t="b">
        <f>TRUE()</f>
        <v>1</v>
      </c>
      <c r="D27" s="10">
        <v>45869</v>
      </c>
      <c r="E27" s="10">
        <v>45883</v>
      </c>
      <c r="F27" s="9" t="b">
        <f>TRUE()</f>
        <v>1</v>
      </c>
      <c r="G27" s="9" t="b">
        <f>TRUE()</f>
        <v>1</v>
      </c>
      <c r="H27" s="9" t="s">
        <v>21</v>
      </c>
      <c r="I27" s="9" t="s">
        <v>160</v>
      </c>
      <c r="J27" s="9" t="s">
        <v>26</v>
      </c>
      <c r="K27" s="9" t="s">
        <v>162</v>
      </c>
      <c r="L27" s="9" t="s">
        <v>156</v>
      </c>
      <c r="M27" s="9" t="s">
        <v>1151</v>
      </c>
      <c r="N27" s="9" t="s">
        <v>1151</v>
      </c>
      <c r="O27" s="10"/>
      <c r="P27" s="11">
        <v>921.4</v>
      </c>
      <c r="Q27" s="9">
        <f t="shared" si="0"/>
        <v>14</v>
      </c>
    </row>
    <row r="28" spans="1:17" ht="15" customHeight="1" x14ac:dyDescent="0.2">
      <c r="A28" s="9" t="s">
        <v>1176</v>
      </c>
      <c r="B28" s="9" t="s">
        <v>280</v>
      </c>
      <c r="C28" s="9" t="b">
        <f>TRUE()</f>
        <v>1</v>
      </c>
      <c r="D28" s="10">
        <v>45985</v>
      </c>
      <c r="E28" s="10">
        <v>46029</v>
      </c>
      <c r="F28" s="9" t="b">
        <f>TRUE()</f>
        <v>1</v>
      </c>
      <c r="G28" s="9" t="b">
        <f>TRUE()</f>
        <v>1</v>
      </c>
      <c r="H28" s="9" t="s">
        <v>18</v>
      </c>
      <c r="I28" s="9" t="s">
        <v>160</v>
      </c>
      <c r="J28" s="9" t="s">
        <v>25</v>
      </c>
      <c r="K28" s="9" t="s">
        <v>157</v>
      </c>
      <c r="L28" s="9" t="s">
        <v>161</v>
      </c>
      <c r="M28" s="9" t="s">
        <v>1151</v>
      </c>
      <c r="N28" s="9" t="s">
        <v>1151</v>
      </c>
      <c r="O28" s="10"/>
      <c r="P28" s="11">
        <v>2768.87</v>
      </c>
      <c r="Q28" s="9">
        <f t="shared" si="0"/>
        <v>44</v>
      </c>
    </row>
    <row r="29" spans="1:17" ht="15" customHeight="1" x14ac:dyDescent="0.2">
      <c r="A29" s="9" t="s">
        <v>1177</v>
      </c>
      <c r="B29" s="9" t="s">
        <v>283</v>
      </c>
      <c r="C29" s="9" t="b">
        <f>TRUE()</f>
        <v>1</v>
      </c>
      <c r="D29" s="10">
        <v>45891</v>
      </c>
      <c r="E29" s="10">
        <v>45918</v>
      </c>
      <c r="F29" s="9" t="b">
        <f>TRUE()</f>
        <v>1</v>
      </c>
      <c r="G29" s="9" t="b">
        <f>TRUE()</f>
        <v>1</v>
      </c>
      <c r="H29" s="9" t="s">
        <v>19</v>
      </c>
      <c r="I29" s="9" t="s">
        <v>149</v>
      </c>
      <c r="J29" s="9" t="s">
        <v>25</v>
      </c>
      <c r="K29" s="9" t="s">
        <v>179</v>
      </c>
      <c r="L29" s="9" t="s">
        <v>161</v>
      </c>
      <c r="M29" s="9" t="s">
        <v>1151</v>
      </c>
      <c r="N29" s="9" t="s">
        <v>1151</v>
      </c>
      <c r="O29" s="10"/>
      <c r="P29" s="11">
        <v>2084.0500000000002</v>
      </c>
      <c r="Q29" s="9">
        <f t="shared" si="0"/>
        <v>27</v>
      </c>
    </row>
    <row r="30" spans="1:17" ht="15" customHeight="1" x14ac:dyDescent="0.2">
      <c r="A30" s="9" t="s">
        <v>1178</v>
      </c>
      <c r="B30" s="9" t="s">
        <v>284</v>
      </c>
      <c r="C30" s="9" t="b">
        <f>TRUE()</f>
        <v>1</v>
      </c>
      <c r="D30" s="10">
        <v>45879</v>
      </c>
      <c r="E30" s="10">
        <v>45923</v>
      </c>
      <c r="F30" s="9" t="b">
        <f>TRUE()</f>
        <v>1</v>
      </c>
      <c r="G30" s="9" t="b">
        <f>TRUE()</f>
        <v>1</v>
      </c>
      <c r="H30" s="9" t="s">
        <v>19</v>
      </c>
      <c r="I30" s="9" t="s">
        <v>149</v>
      </c>
      <c r="J30" s="9" t="s">
        <v>25</v>
      </c>
      <c r="K30" s="9" t="s">
        <v>179</v>
      </c>
      <c r="L30" s="9" t="s">
        <v>161</v>
      </c>
      <c r="M30" s="9" t="s">
        <v>1151</v>
      </c>
      <c r="N30" s="9" t="s">
        <v>1151</v>
      </c>
      <c r="O30" s="10"/>
      <c r="P30" s="11">
        <v>2684.85</v>
      </c>
      <c r="Q30" s="9">
        <f t="shared" si="0"/>
        <v>44</v>
      </c>
    </row>
    <row r="31" spans="1:17" ht="15" customHeight="1" x14ac:dyDescent="0.2">
      <c r="A31" s="9" t="s">
        <v>86</v>
      </c>
      <c r="B31" s="9" t="s">
        <v>285</v>
      </c>
      <c r="C31" s="9" t="b">
        <f>TRUE()</f>
        <v>1</v>
      </c>
      <c r="D31" s="10">
        <v>45801</v>
      </c>
      <c r="E31" s="10">
        <v>45814</v>
      </c>
      <c r="F31" s="9" t="b">
        <f>TRUE()</f>
        <v>1</v>
      </c>
      <c r="G31" s="9" t="b">
        <f>TRUE()</f>
        <v>1</v>
      </c>
      <c r="H31" s="9" t="s">
        <v>21</v>
      </c>
      <c r="I31" s="9" t="s">
        <v>149</v>
      </c>
      <c r="J31" s="9" t="s">
        <v>27</v>
      </c>
      <c r="K31" s="9" t="s">
        <v>162</v>
      </c>
      <c r="L31" s="9" t="s">
        <v>1173</v>
      </c>
      <c r="M31" s="9" t="s">
        <v>1155</v>
      </c>
      <c r="N31" s="9" t="s">
        <v>1155</v>
      </c>
      <c r="O31" s="10">
        <v>45889</v>
      </c>
      <c r="P31" s="11">
        <v>10631.28</v>
      </c>
      <c r="Q31" s="9">
        <f t="shared" si="0"/>
        <v>13</v>
      </c>
    </row>
    <row r="32" spans="1:17" ht="15" customHeight="1" x14ac:dyDescent="0.2">
      <c r="A32" s="9" t="s">
        <v>1179</v>
      </c>
      <c r="B32" s="9" t="s">
        <v>287</v>
      </c>
      <c r="C32" s="9" t="b">
        <f>TRUE()</f>
        <v>1</v>
      </c>
      <c r="D32" s="10">
        <v>45936</v>
      </c>
      <c r="E32" s="10">
        <v>45981</v>
      </c>
      <c r="F32" s="9" t="b">
        <f>TRUE()</f>
        <v>1</v>
      </c>
      <c r="G32" s="9" t="b">
        <f>TRUE()</f>
        <v>1</v>
      </c>
      <c r="H32" s="9" t="s">
        <v>22</v>
      </c>
      <c r="I32" s="9" t="s">
        <v>186</v>
      </c>
      <c r="J32" s="9" t="s">
        <v>27</v>
      </c>
      <c r="K32" s="9" t="s">
        <v>151</v>
      </c>
      <c r="L32" s="9" t="s">
        <v>156</v>
      </c>
      <c r="M32" s="9" t="s">
        <v>1151</v>
      </c>
      <c r="N32" s="9" t="s">
        <v>1151</v>
      </c>
      <c r="O32" s="10"/>
      <c r="P32" s="11">
        <v>843.9</v>
      </c>
      <c r="Q32" s="9">
        <f t="shared" si="0"/>
        <v>45</v>
      </c>
    </row>
    <row r="33" spans="1:17" ht="15" customHeight="1" x14ac:dyDescent="0.2">
      <c r="A33" s="9" t="s">
        <v>1180</v>
      </c>
      <c r="B33" s="9" t="s">
        <v>297</v>
      </c>
      <c r="C33" s="9" t="b">
        <f>TRUE()</f>
        <v>1</v>
      </c>
      <c r="D33" s="10">
        <v>45763</v>
      </c>
      <c r="E33" s="10">
        <v>45767</v>
      </c>
      <c r="F33" s="9" t="b">
        <f>TRUE()</f>
        <v>1</v>
      </c>
      <c r="G33" s="9" t="b">
        <f>TRUE()</f>
        <v>1</v>
      </c>
      <c r="H33" s="9" t="s">
        <v>20</v>
      </c>
      <c r="I33" s="9" t="s">
        <v>149</v>
      </c>
      <c r="J33" s="9" t="s">
        <v>28</v>
      </c>
      <c r="K33" s="9" t="s">
        <v>167</v>
      </c>
      <c r="L33" s="9" t="s">
        <v>156</v>
      </c>
      <c r="M33" s="9" t="s">
        <v>1151</v>
      </c>
      <c r="N33" s="9" t="s">
        <v>1151</v>
      </c>
      <c r="O33" s="10"/>
      <c r="P33" s="11">
        <v>1012.09</v>
      </c>
      <c r="Q33" s="9">
        <f t="shared" si="0"/>
        <v>4</v>
      </c>
    </row>
    <row r="34" spans="1:17" ht="15" customHeight="1" x14ac:dyDescent="0.2">
      <c r="A34" s="9" t="s">
        <v>1181</v>
      </c>
      <c r="B34" s="9" t="s">
        <v>298</v>
      </c>
      <c r="C34" s="9" t="b">
        <f>TRUE()</f>
        <v>1</v>
      </c>
      <c r="D34" s="10">
        <v>45941</v>
      </c>
      <c r="E34" s="10">
        <v>46007</v>
      </c>
      <c r="F34" s="9" t="b">
        <f>TRUE()</f>
        <v>1</v>
      </c>
      <c r="G34" s="9" t="b">
        <f>TRUE()</f>
        <v>1</v>
      </c>
      <c r="H34" s="9" t="s">
        <v>20</v>
      </c>
      <c r="I34" s="9" t="s">
        <v>149</v>
      </c>
      <c r="J34" s="9" t="s">
        <v>26</v>
      </c>
      <c r="K34" s="9" t="s">
        <v>192</v>
      </c>
      <c r="L34" s="9" t="s">
        <v>150</v>
      </c>
      <c r="M34" s="9" t="s">
        <v>1151</v>
      </c>
      <c r="N34" s="9" t="s">
        <v>1151</v>
      </c>
      <c r="O34" s="10"/>
      <c r="P34" s="11">
        <v>10550.44</v>
      </c>
      <c r="Q34" s="9">
        <f t="shared" si="0"/>
        <v>66</v>
      </c>
    </row>
    <row r="35" spans="1:17" ht="15" customHeight="1" x14ac:dyDescent="0.2">
      <c r="A35" s="9" t="s">
        <v>1182</v>
      </c>
      <c r="B35" s="9" t="s">
        <v>68</v>
      </c>
      <c r="C35" s="9" t="b">
        <f>TRUE()</f>
        <v>1</v>
      </c>
      <c r="D35" s="10">
        <v>45878</v>
      </c>
      <c r="E35" s="10">
        <v>45906</v>
      </c>
      <c r="F35" s="9" t="b">
        <f>TRUE()</f>
        <v>1</v>
      </c>
      <c r="G35" s="9" t="b">
        <f>TRUE()</f>
        <v>1</v>
      </c>
      <c r="H35" s="9" t="s">
        <v>18</v>
      </c>
      <c r="I35" s="9" t="s">
        <v>149</v>
      </c>
      <c r="J35" s="9" t="s">
        <v>25</v>
      </c>
      <c r="K35" s="9" t="s">
        <v>251</v>
      </c>
      <c r="L35" s="9" t="s">
        <v>156</v>
      </c>
      <c r="M35" s="9" t="s">
        <v>1151</v>
      </c>
      <c r="N35" s="9" t="s">
        <v>1151</v>
      </c>
      <c r="O35" s="10"/>
      <c r="P35" s="11">
        <v>994.66</v>
      </c>
      <c r="Q35" s="9">
        <f t="shared" si="0"/>
        <v>28</v>
      </c>
    </row>
    <row r="36" spans="1:17" ht="15" customHeight="1" x14ac:dyDescent="0.2">
      <c r="A36" s="9" t="s">
        <v>1183</v>
      </c>
      <c r="B36" s="9" t="s">
        <v>303</v>
      </c>
      <c r="C36" s="9" t="b">
        <f>TRUE()</f>
        <v>1</v>
      </c>
      <c r="D36" s="10">
        <v>45741</v>
      </c>
      <c r="E36" s="10">
        <v>45786</v>
      </c>
      <c r="F36" s="9" t="b">
        <f>TRUE()</f>
        <v>1</v>
      </c>
      <c r="G36" s="9" t="b">
        <f>TRUE()</f>
        <v>1</v>
      </c>
      <c r="H36" s="9" t="s">
        <v>19</v>
      </c>
      <c r="I36" s="9" t="s">
        <v>155</v>
      </c>
      <c r="J36" s="9" t="s">
        <v>25</v>
      </c>
      <c r="K36" s="9" t="s">
        <v>210</v>
      </c>
      <c r="L36" s="9" t="s">
        <v>161</v>
      </c>
      <c r="M36" s="9" t="s">
        <v>1151</v>
      </c>
      <c r="N36" s="9" t="s">
        <v>1151</v>
      </c>
      <c r="O36" s="10"/>
      <c r="P36" s="11">
        <v>1434.56</v>
      </c>
      <c r="Q36" s="9">
        <f t="shared" si="0"/>
        <v>45</v>
      </c>
    </row>
    <row r="37" spans="1:17" ht="15" customHeight="1" x14ac:dyDescent="0.2">
      <c r="A37" s="9" t="s">
        <v>1184</v>
      </c>
      <c r="B37" s="9" t="s">
        <v>306</v>
      </c>
      <c r="C37" s="9" t="b">
        <f>TRUE()</f>
        <v>1</v>
      </c>
      <c r="D37" s="10">
        <v>45777</v>
      </c>
      <c r="E37" s="10">
        <v>45814</v>
      </c>
      <c r="F37" s="9" t="b">
        <f>TRUE()</f>
        <v>1</v>
      </c>
      <c r="G37" s="9" t="b">
        <f>TRUE()</f>
        <v>1</v>
      </c>
      <c r="H37" s="9" t="s">
        <v>18</v>
      </c>
      <c r="I37" s="9" t="s">
        <v>149</v>
      </c>
      <c r="J37" s="9" t="s">
        <v>27</v>
      </c>
      <c r="K37" s="9" t="s">
        <v>201</v>
      </c>
      <c r="L37" s="9" t="s">
        <v>150</v>
      </c>
      <c r="M37" s="9" t="s">
        <v>1151</v>
      </c>
      <c r="N37" s="9" t="s">
        <v>1151</v>
      </c>
      <c r="O37" s="10"/>
      <c r="P37" s="11">
        <v>6669.82</v>
      </c>
      <c r="Q37" s="9">
        <f t="shared" si="0"/>
        <v>37</v>
      </c>
    </row>
    <row r="38" spans="1:17" ht="15" customHeight="1" x14ac:dyDescent="0.2">
      <c r="A38" s="9" t="s">
        <v>1185</v>
      </c>
      <c r="B38" s="9" t="s">
        <v>307</v>
      </c>
      <c r="C38" s="9" t="b">
        <f>TRUE()</f>
        <v>1</v>
      </c>
      <c r="D38" s="10">
        <v>45977</v>
      </c>
      <c r="E38" s="10">
        <v>46015</v>
      </c>
      <c r="F38" s="9" t="b">
        <f>TRUE()</f>
        <v>1</v>
      </c>
      <c r="G38" s="9" t="b">
        <f>TRUE()</f>
        <v>1</v>
      </c>
      <c r="H38" s="9" t="s">
        <v>19</v>
      </c>
      <c r="I38" s="9" t="s">
        <v>149</v>
      </c>
      <c r="J38" s="9" t="s">
        <v>25</v>
      </c>
      <c r="K38" s="9" t="s">
        <v>210</v>
      </c>
      <c r="L38" s="9" t="s">
        <v>161</v>
      </c>
      <c r="M38" s="9" t="s">
        <v>1151</v>
      </c>
      <c r="N38" s="9" t="s">
        <v>1151</v>
      </c>
      <c r="O38" s="10"/>
      <c r="P38" s="11">
        <v>3313.31</v>
      </c>
      <c r="Q38" s="9">
        <f t="shared" si="0"/>
        <v>38</v>
      </c>
    </row>
    <row r="39" spans="1:17" ht="15" customHeight="1" x14ac:dyDescent="0.2">
      <c r="A39" s="9" t="s">
        <v>1186</v>
      </c>
      <c r="B39" s="9" t="s">
        <v>312</v>
      </c>
      <c r="C39" s="9" t="b">
        <f>TRUE()</f>
        <v>1</v>
      </c>
      <c r="D39" s="10">
        <v>45828</v>
      </c>
      <c r="E39" s="10">
        <v>45838</v>
      </c>
      <c r="F39" s="9" t="b">
        <f>TRUE()</f>
        <v>1</v>
      </c>
      <c r="G39" s="9" t="b">
        <f>TRUE()</f>
        <v>1</v>
      </c>
      <c r="H39" s="9" t="s">
        <v>22</v>
      </c>
      <c r="I39" s="9" t="s">
        <v>186</v>
      </c>
      <c r="J39" s="9" t="s">
        <v>25</v>
      </c>
      <c r="K39" s="9" t="s">
        <v>165</v>
      </c>
      <c r="L39" s="9" t="s">
        <v>156</v>
      </c>
      <c r="M39" s="9" t="s">
        <v>1151</v>
      </c>
      <c r="N39" s="9" t="s">
        <v>1151</v>
      </c>
      <c r="O39" s="10"/>
      <c r="P39" s="11">
        <v>879.21</v>
      </c>
      <c r="Q39" s="9">
        <f t="shared" si="0"/>
        <v>10</v>
      </c>
    </row>
    <row r="40" spans="1:17" ht="15" customHeight="1" x14ac:dyDescent="0.2">
      <c r="A40" s="9" t="s">
        <v>1187</v>
      </c>
      <c r="B40" s="9" t="s">
        <v>313</v>
      </c>
      <c r="C40" s="9" t="b">
        <f>TRUE()</f>
        <v>1</v>
      </c>
      <c r="D40" s="10">
        <v>45751</v>
      </c>
      <c r="E40" s="10">
        <v>45774</v>
      </c>
      <c r="F40" s="9" t="b">
        <f>TRUE()</f>
        <v>1</v>
      </c>
      <c r="G40" s="9" t="b">
        <f>TRUE()</f>
        <v>1</v>
      </c>
      <c r="H40" s="9" t="s">
        <v>21</v>
      </c>
      <c r="I40" s="9" t="s">
        <v>149</v>
      </c>
      <c r="J40" s="9" t="s">
        <v>25</v>
      </c>
      <c r="K40" s="9" t="s">
        <v>183</v>
      </c>
      <c r="L40" s="9" t="s">
        <v>156</v>
      </c>
      <c r="M40" s="9" t="s">
        <v>1151</v>
      </c>
      <c r="N40" s="9" t="s">
        <v>1151</v>
      </c>
      <c r="O40" s="10"/>
      <c r="P40" s="11">
        <v>1001.56</v>
      </c>
      <c r="Q40" s="9">
        <f t="shared" si="0"/>
        <v>23</v>
      </c>
    </row>
    <row r="41" spans="1:17" ht="15" customHeight="1" x14ac:dyDescent="0.2">
      <c r="A41" s="9" t="s">
        <v>1188</v>
      </c>
      <c r="B41" s="9" t="s">
        <v>318</v>
      </c>
      <c r="C41" s="9" t="b">
        <f>TRUE()</f>
        <v>1</v>
      </c>
      <c r="D41" s="10">
        <v>45847</v>
      </c>
      <c r="E41" s="10"/>
      <c r="F41" s="9" t="b">
        <f>TRUE()</f>
        <v>1</v>
      </c>
      <c r="G41" s="9" t="b">
        <f>FALSE()</f>
        <v>0</v>
      </c>
      <c r="H41" s="9" t="s">
        <v>20</v>
      </c>
      <c r="I41" s="9" t="s">
        <v>155</v>
      </c>
      <c r="J41" s="9" t="s">
        <v>24</v>
      </c>
      <c r="K41" s="9" t="s">
        <v>189</v>
      </c>
      <c r="L41" s="9" t="s">
        <v>156</v>
      </c>
      <c r="M41" s="9" t="s">
        <v>1160</v>
      </c>
      <c r="N41" s="9" t="s">
        <v>1160</v>
      </c>
      <c r="O41" s="10"/>
      <c r="P41" s="11">
        <v>435.5</v>
      </c>
      <c r="Q41" s="9" t="str">
        <f t="shared" si="0"/>
        <v/>
      </c>
    </row>
    <row r="42" spans="1:17" ht="15" customHeight="1" x14ac:dyDescent="0.2">
      <c r="A42" s="9" t="s">
        <v>96</v>
      </c>
      <c r="B42" s="9" t="s">
        <v>319</v>
      </c>
      <c r="C42" s="9" t="b">
        <f>TRUE()</f>
        <v>1</v>
      </c>
      <c r="D42" s="10">
        <v>45702</v>
      </c>
      <c r="E42" s="10"/>
      <c r="F42" s="9" t="b">
        <f>TRUE()</f>
        <v>1</v>
      </c>
      <c r="G42" s="9" t="b">
        <f>FALSE()</f>
        <v>0</v>
      </c>
      <c r="H42" s="9" t="s">
        <v>22</v>
      </c>
      <c r="I42" s="9" t="s">
        <v>149</v>
      </c>
      <c r="J42" s="9" t="s">
        <v>26</v>
      </c>
      <c r="K42" s="9" t="s">
        <v>170</v>
      </c>
      <c r="L42" s="9" t="s">
        <v>161</v>
      </c>
      <c r="M42" s="9" t="s">
        <v>1151</v>
      </c>
      <c r="N42" s="9" t="s">
        <v>1189</v>
      </c>
      <c r="O42" s="10"/>
      <c r="P42" s="11">
        <v>2195.9899999999998</v>
      </c>
      <c r="Q42" s="9" t="str">
        <f t="shared" si="0"/>
        <v/>
      </c>
    </row>
    <row r="43" spans="1:17" ht="15" customHeight="1" x14ac:dyDescent="0.2">
      <c r="A43" s="9" t="s">
        <v>1190</v>
      </c>
      <c r="B43" s="9" t="s">
        <v>323</v>
      </c>
      <c r="C43" s="9" t="b">
        <f>TRUE()</f>
        <v>1</v>
      </c>
      <c r="D43" s="10">
        <v>45898</v>
      </c>
      <c r="E43" s="10">
        <v>45939</v>
      </c>
      <c r="F43" s="9" t="b">
        <f>TRUE()</f>
        <v>1</v>
      </c>
      <c r="G43" s="9" t="b">
        <f>TRUE()</f>
        <v>1</v>
      </c>
      <c r="H43" s="9" t="s">
        <v>20</v>
      </c>
      <c r="I43" s="9" t="s">
        <v>160</v>
      </c>
      <c r="J43" s="9" t="s">
        <v>25</v>
      </c>
      <c r="K43" s="9" t="s">
        <v>192</v>
      </c>
      <c r="L43" s="9" t="s">
        <v>161</v>
      </c>
      <c r="M43" s="9" t="s">
        <v>1151</v>
      </c>
      <c r="N43" s="9" t="s">
        <v>1151</v>
      </c>
      <c r="O43" s="10"/>
      <c r="P43" s="11">
        <v>1822.37</v>
      </c>
      <c r="Q43" s="9">
        <f t="shared" si="0"/>
        <v>41</v>
      </c>
    </row>
    <row r="44" spans="1:17" ht="15" customHeight="1" x14ac:dyDescent="0.2">
      <c r="A44" s="9" t="s">
        <v>1191</v>
      </c>
      <c r="B44" s="9" t="s">
        <v>327</v>
      </c>
      <c r="C44" s="9" t="b">
        <f>TRUE()</f>
        <v>1</v>
      </c>
      <c r="D44" s="10">
        <v>45807</v>
      </c>
      <c r="E44" s="10">
        <v>45850</v>
      </c>
      <c r="F44" s="9" t="b">
        <f>TRUE()</f>
        <v>1</v>
      </c>
      <c r="G44" s="9" t="b">
        <f>TRUE()</f>
        <v>1</v>
      </c>
      <c r="H44" s="9" t="s">
        <v>21</v>
      </c>
      <c r="I44" s="9" t="s">
        <v>155</v>
      </c>
      <c r="J44" s="9" t="s">
        <v>27</v>
      </c>
      <c r="K44" s="9" t="s">
        <v>162</v>
      </c>
      <c r="L44" s="9" t="s">
        <v>161</v>
      </c>
      <c r="M44" s="9" t="s">
        <v>1151</v>
      </c>
      <c r="N44" s="9" t="s">
        <v>1151</v>
      </c>
      <c r="O44" s="10"/>
      <c r="P44" s="11">
        <v>1392.53</v>
      </c>
      <c r="Q44" s="9">
        <f t="shared" si="0"/>
        <v>43</v>
      </c>
    </row>
    <row r="45" spans="1:17" ht="15" customHeight="1" x14ac:dyDescent="0.2">
      <c r="A45" s="9" t="s">
        <v>101</v>
      </c>
      <c r="B45" s="9" t="s">
        <v>333</v>
      </c>
      <c r="C45" s="9" t="b">
        <f>TRUE()</f>
        <v>1</v>
      </c>
      <c r="D45" s="10">
        <v>45896</v>
      </c>
      <c r="E45" s="10">
        <v>45922</v>
      </c>
      <c r="F45" s="9" t="b">
        <f>TRUE()</f>
        <v>1</v>
      </c>
      <c r="G45" s="9" t="b">
        <f>TRUE()</f>
        <v>1</v>
      </c>
      <c r="H45" s="9" t="s">
        <v>20</v>
      </c>
      <c r="I45" s="9" t="s">
        <v>155</v>
      </c>
      <c r="J45" s="9" t="s">
        <v>25</v>
      </c>
      <c r="K45" s="9" t="s">
        <v>189</v>
      </c>
      <c r="L45" s="9" t="s">
        <v>161</v>
      </c>
      <c r="M45" s="9" t="s">
        <v>1155</v>
      </c>
      <c r="N45" s="9" t="s">
        <v>1155</v>
      </c>
      <c r="O45" s="10"/>
      <c r="P45" s="11">
        <v>2050.27</v>
      </c>
      <c r="Q45" s="9">
        <f t="shared" si="0"/>
        <v>26</v>
      </c>
    </row>
    <row r="46" spans="1:17" ht="15" customHeight="1" x14ac:dyDescent="0.2">
      <c r="A46" s="9" t="s">
        <v>1192</v>
      </c>
      <c r="B46" s="9" t="s">
        <v>336</v>
      </c>
      <c r="C46" s="9" t="b">
        <f>TRUE()</f>
        <v>1</v>
      </c>
      <c r="D46" s="10">
        <v>45881</v>
      </c>
      <c r="E46" s="10">
        <v>45924</v>
      </c>
      <c r="F46" s="9" t="b">
        <f>TRUE()</f>
        <v>1</v>
      </c>
      <c r="G46" s="9" t="b">
        <f>TRUE()</f>
        <v>1</v>
      </c>
      <c r="H46" s="9" t="s">
        <v>20</v>
      </c>
      <c r="I46" s="9" t="s">
        <v>160</v>
      </c>
      <c r="J46" s="9" t="s">
        <v>26</v>
      </c>
      <c r="K46" s="9" t="s">
        <v>189</v>
      </c>
      <c r="L46" s="9" t="s">
        <v>161</v>
      </c>
      <c r="M46" s="9" t="s">
        <v>1151</v>
      </c>
      <c r="N46" s="9" t="s">
        <v>1151</v>
      </c>
      <c r="O46" s="10"/>
      <c r="P46" s="11">
        <v>1977.9</v>
      </c>
      <c r="Q46" s="9">
        <f t="shared" si="0"/>
        <v>43</v>
      </c>
    </row>
    <row r="47" spans="1:17" ht="15" customHeight="1" x14ac:dyDescent="0.2">
      <c r="A47" s="9" t="s">
        <v>1193</v>
      </c>
      <c r="B47" s="9" t="s">
        <v>337</v>
      </c>
      <c r="C47" s="9" t="b">
        <f>TRUE()</f>
        <v>1</v>
      </c>
      <c r="D47" s="10">
        <v>45784</v>
      </c>
      <c r="E47" s="10">
        <v>45803</v>
      </c>
      <c r="F47" s="9" t="b">
        <f>TRUE()</f>
        <v>1</v>
      </c>
      <c r="G47" s="9" t="b">
        <f>TRUE()</f>
        <v>1</v>
      </c>
      <c r="H47" s="9" t="s">
        <v>20</v>
      </c>
      <c r="I47" s="9" t="s">
        <v>149</v>
      </c>
      <c r="J47" s="9" t="s">
        <v>24</v>
      </c>
      <c r="K47" s="9" t="s">
        <v>192</v>
      </c>
      <c r="L47" s="9" t="s">
        <v>156</v>
      </c>
      <c r="M47" s="9" t="s">
        <v>1151</v>
      </c>
      <c r="N47" s="9" t="s">
        <v>1151</v>
      </c>
      <c r="O47" s="10"/>
      <c r="P47" s="11">
        <v>1018.13</v>
      </c>
      <c r="Q47" s="9">
        <f t="shared" si="0"/>
        <v>19</v>
      </c>
    </row>
    <row r="48" spans="1:17" ht="15" customHeight="1" x14ac:dyDescent="0.2">
      <c r="A48" s="9" t="s">
        <v>1194</v>
      </c>
      <c r="B48" s="9" t="s">
        <v>352</v>
      </c>
      <c r="C48" s="9" t="b">
        <f>TRUE()</f>
        <v>1</v>
      </c>
      <c r="D48" s="10">
        <v>46023</v>
      </c>
      <c r="E48" s="10"/>
      <c r="F48" s="9" t="b">
        <f>TRUE()</f>
        <v>1</v>
      </c>
      <c r="G48" s="9" t="b">
        <f>FALSE()</f>
        <v>0</v>
      </c>
      <c r="H48" s="9" t="s">
        <v>20</v>
      </c>
      <c r="I48" s="9" t="s">
        <v>160</v>
      </c>
      <c r="J48" s="9" t="s">
        <v>27</v>
      </c>
      <c r="K48" s="9" t="s">
        <v>192</v>
      </c>
      <c r="L48" s="9" t="s">
        <v>161</v>
      </c>
      <c r="M48" s="9" t="s">
        <v>1160</v>
      </c>
      <c r="N48" s="9" t="s">
        <v>1160</v>
      </c>
      <c r="O48" s="10"/>
      <c r="P48" s="11">
        <v>3214.92</v>
      </c>
      <c r="Q48" s="9" t="str">
        <f t="shared" si="0"/>
        <v/>
      </c>
    </row>
    <row r="49" spans="1:17" ht="15" customHeight="1" x14ac:dyDescent="0.2">
      <c r="A49" s="9" t="s">
        <v>1195</v>
      </c>
      <c r="B49" s="9" t="s">
        <v>357</v>
      </c>
      <c r="C49" s="9" t="b">
        <f>TRUE()</f>
        <v>1</v>
      </c>
      <c r="D49" s="10">
        <v>45987</v>
      </c>
      <c r="E49" s="10"/>
      <c r="F49" s="9" t="b">
        <f>TRUE()</f>
        <v>1</v>
      </c>
      <c r="G49" s="9" t="b">
        <f>FALSE()</f>
        <v>0</v>
      </c>
      <c r="H49" s="9" t="s">
        <v>21</v>
      </c>
      <c r="I49" s="9" t="s">
        <v>160</v>
      </c>
      <c r="J49" s="9" t="s">
        <v>25</v>
      </c>
      <c r="K49" s="9" t="s">
        <v>176</v>
      </c>
      <c r="L49" s="9" t="s">
        <v>161</v>
      </c>
      <c r="M49" s="9" t="s">
        <v>1160</v>
      </c>
      <c r="N49" s="9" t="s">
        <v>1160</v>
      </c>
      <c r="O49" s="10"/>
      <c r="P49" s="11">
        <v>2603.91</v>
      </c>
      <c r="Q49" s="9" t="str">
        <f t="shared" si="0"/>
        <v/>
      </c>
    </row>
    <row r="50" spans="1:17" ht="15" customHeight="1" x14ac:dyDescent="0.2">
      <c r="A50" s="9" t="s">
        <v>1196</v>
      </c>
      <c r="B50" s="9" t="s">
        <v>360</v>
      </c>
      <c r="C50" s="9" t="b">
        <f>TRUE()</f>
        <v>1</v>
      </c>
      <c r="D50" s="10">
        <v>45899</v>
      </c>
      <c r="E50" s="10">
        <v>45916</v>
      </c>
      <c r="F50" s="9" t="b">
        <f>TRUE()</f>
        <v>1</v>
      </c>
      <c r="G50" s="9" t="b">
        <f>TRUE()</f>
        <v>1</v>
      </c>
      <c r="H50" s="9" t="s">
        <v>19</v>
      </c>
      <c r="I50" s="9" t="s">
        <v>149</v>
      </c>
      <c r="J50" s="9" t="s">
        <v>25</v>
      </c>
      <c r="K50" s="9" t="s">
        <v>179</v>
      </c>
      <c r="L50" s="9" t="s">
        <v>156</v>
      </c>
      <c r="M50" s="9" t="s">
        <v>1151</v>
      </c>
      <c r="N50" s="9" t="s">
        <v>1151</v>
      </c>
      <c r="O50" s="10"/>
      <c r="P50" s="11">
        <v>616.57000000000005</v>
      </c>
      <c r="Q50" s="9">
        <f t="shared" si="0"/>
        <v>17</v>
      </c>
    </row>
    <row r="51" spans="1:17" ht="15" customHeight="1" x14ac:dyDescent="0.2">
      <c r="A51" s="9" t="s">
        <v>97</v>
      </c>
      <c r="B51" s="9" t="s">
        <v>363</v>
      </c>
      <c r="C51" s="9" t="b">
        <f>TRUE()</f>
        <v>1</v>
      </c>
      <c r="D51" s="10">
        <v>45939</v>
      </c>
      <c r="E51" s="10"/>
      <c r="F51" s="9" t="b">
        <f>TRUE()</f>
        <v>1</v>
      </c>
      <c r="G51" s="9" t="b">
        <f>FALSE()</f>
        <v>0</v>
      </c>
      <c r="H51" s="9" t="s">
        <v>22</v>
      </c>
      <c r="I51" s="9" t="s">
        <v>155</v>
      </c>
      <c r="J51" s="9" t="s">
        <v>24</v>
      </c>
      <c r="K51" s="9" t="s">
        <v>165</v>
      </c>
      <c r="L51" s="9" t="s">
        <v>161</v>
      </c>
      <c r="M51" s="9" t="s">
        <v>1151</v>
      </c>
      <c r="N51" s="9" t="s">
        <v>1189</v>
      </c>
      <c r="O51" s="10"/>
      <c r="P51" s="11">
        <v>1203.6400000000001</v>
      </c>
      <c r="Q51" s="9" t="str">
        <f t="shared" si="0"/>
        <v/>
      </c>
    </row>
    <row r="52" spans="1:17" ht="15" customHeight="1" x14ac:dyDescent="0.2">
      <c r="A52" s="9" t="s">
        <v>1197</v>
      </c>
      <c r="B52" s="9" t="s">
        <v>368</v>
      </c>
      <c r="C52" s="9" t="b">
        <f>TRUE()</f>
        <v>1</v>
      </c>
      <c r="D52" s="10">
        <v>45836</v>
      </c>
      <c r="E52" s="10">
        <v>45859</v>
      </c>
      <c r="F52" s="9" t="b">
        <f>TRUE()</f>
        <v>1</v>
      </c>
      <c r="G52" s="9" t="b">
        <f>TRUE()</f>
        <v>1</v>
      </c>
      <c r="H52" s="9" t="s">
        <v>22</v>
      </c>
      <c r="I52" s="9" t="s">
        <v>186</v>
      </c>
      <c r="J52" s="9" t="s">
        <v>26</v>
      </c>
      <c r="K52" s="9" t="s">
        <v>165</v>
      </c>
      <c r="L52" s="9" t="s">
        <v>156</v>
      </c>
      <c r="M52" s="9" t="s">
        <v>1151</v>
      </c>
      <c r="N52" s="9" t="s">
        <v>1151</v>
      </c>
      <c r="O52" s="10"/>
      <c r="P52" s="11">
        <v>711.74</v>
      </c>
      <c r="Q52" s="9">
        <f t="shared" si="0"/>
        <v>23</v>
      </c>
    </row>
    <row r="53" spans="1:17" ht="15" customHeight="1" x14ac:dyDescent="0.2">
      <c r="A53" s="9" t="s">
        <v>87</v>
      </c>
      <c r="B53" s="9" t="s">
        <v>369</v>
      </c>
      <c r="C53" s="9" t="b">
        <f>TRUE()</f>
        <v>1</v>
      </c>
      <c r="D53" s="10">
        <v>45841</v>
      </c>
      <c r="E53" s="10"/>
      <c r="F53" s="9" t="b">
        <f>TRUE()</f>
        <v>1</v>
      </c>
      <c r="G53" s="9" t="b">
        <f>FALSE()</f>
        <v>0</v>
      </c>
      <c r="H53" s="9" t="s">
        <v>22</v>
      </c>
      <c r="I53" s="9" t="s">
        <v>149</v>
      </c>
      <c r="J53" s="9" t="s">
        <v>26</v>
      </c>
      <c r="K53" s="9" t="s">
        <v>170</v>
      </c>
      <c r="L53" s="9" t="s">
        <v>1173</v>
      </c>
      <c r="M53" s="9" t="s">
        <v>1160</v>
      </c>
      <c r="N53" s="9" t="s">
        <v>1160</v>
      </c>
      <c r="O53" s="10"/>
      <c r="P53" s="11">
        <v>1083.67</v>
      </c>
      <c r="Q53" s="9" t="str">
        <f t="shared" si="0"/>
        <v/>
      </c>
    </row>
    <row r="54" spans="1:17" ht="15" customHeight="1" x14ac:dyDescent="0.2">
      <c r="A54" s="9" t="s">
        <v>98</v>
      </c>
      <c r="B54" s="9" t="s">
        <v>372</v>
      </c>
      <c r="C54" s="9" t="b">
        <f>TRUE()</f>
        <v>1</v>
      </c>
      <c r="D54" s="10">
        <v>46037</v>
      </c>
      <c r="E54" s="10"/>
      <c r="F54" s="9" t="b">
        <f>TRUE()</f>
        <v>1</v>
      </c>
      <c r="G54" s="9" t="b">
        <f>FALSE()</f>
        <v>0</v>
      </c>
      <c r="H54" s="9" t="s">
        <v>22</v>
      </c>
      <c r="I54" s="9" t="s">
        <v>149</v>
      </c>
      <c r="J54" s="9" t="s">
        <v>26</v>
      </c>
      <c r="K54" s="9" t="s">
        <v>151</v>
      </c>
      <c r="L54" s="9" t="s">
        <v>156</v>
      </c>
      <c r="M54" s="9" t="s">
        <v>1151</v>
      </c>
      <c r="N54" s="9" t="s">
        <v>1189</v>
      </c>
      <c r="O54" s="10"/>
      <c r="P54" s="11">
        <v>848.18</v>
      </c>
      <c r="Q54" s="9" t="str">
        <f t="shared" si="0"/>
        <v/>
      </c>
    </row>
    <row r="55" spans="1:17" ht="15" customHeight="1" x14ac:dyDescent="0.2">
      <c r="A55" s="9" t="s">
        <v>1198</v>
      </c>
      <c r="B55" s="9" t="s">
        <v>378</v>
      </c>
      <c r="C55" s="9" t="b">
        <f>TRUE()</f>
        <v>1</v>
      </c>
      <c r="D55" s="10">
        <v>45887</v>
      </c>
      <c r="E55" s="10">
        <v>45915</v>
      </c>
      <c r="F55" s="9" t="b">
        <f>TRUE()</f>
        <v>1</v>
      </c>
      <c r="G55" s="9" t="b">
        <f>TRUE()</f>
        <v>1</v>
      </c>
      <c r="H55" s="9" t="s">
        <v>22</v>
      </c>
      <c r="I55" s="9" t="s">
        <v>149</v>
      </c>
      <c r="J55" s="9" t="s">
        <v>25</v>
      </c>
      <c r="K55" s="9" t="s">
        <v>151</v>
      </c>
      <c r="L55" s="9" t="s">
        <v>156</v>
      </c>
      <c r="M55" s="9" t="s">
        <v>1151</v>
      </c>
      <c r="N55" s="9" t="s">
        <v>1151</v>
      </c>
      <c r="O55" s="10"/>
      <c r="P55" s="11">
        <v>732.17</v>
      </c>
      <c r="Q55" s="9">
        <f t="shared" si="0"/>
        <v>28</v>
      </c>
    </row>
    <row r="56" spans="1:17" ht="15" customHeight="1" x14ac:dyDescent="0.2">
      <c r="A56" s="9" t="s">
        <v>1199</v>
      </c>
      <c r="B56" s="9" t="s">
        <v>384</v>
      </c>
      <c r="C56" s="9" t="b">
        <f>TRUE()</f>
        <v>1</v>
      </c>
      <c r="D56" s="10">
        <v>45903</v>
      </c>
      <c r="E56" s="10"/>
      <c r="F56" s="9" t="b">
        <f>TRUE()</f>
        <v>1</v>
      </c>
      <c r="G56" s="9" t="b">
        <f>FALSE()</f>
        <v>0</v>
      </c>
      <c r="H56" s="9" t="s">
        <v>19</v>
      </c>
      <c r="I56" s="9" t="s">
        <v>160</v>
      </c>
      <c r="J56" s="9" t="s">
        <v>25</v>
      </c>
      <c r="K56" s="9" t="s">
        <v>179</v>
      </c>
      <c r="L56" s="9" t="s">
        <v>150</v>
      </c>
      <c r="M56" s="9" t="s">
        <v>1160</v>
      </c>
      <c r="N56" s="9" t="s">
        <v>1160</v>
      </c>
      <c r="O56" s="10"/>
      <c r="P56" s="11">
        <v>5993.39</v>
      </c>
      <c r="Q56" s="9" t="str">
        <f t="shared" si="0"/>
        <v/>
      </c>
    </row>
    <row r="57" spans="1:17" ht="15" customHeight="1" x14ac:dyDescent="0.2">
      <c r="A57" s="9" t="s">
        <v>1200</v>
      </c>
      <c r="B57" s="9" t="s">
        <v>385</v>
      </c>
      <c r="C57" s="9" t="b">
        <f>TRUE()</f>
        <v>1</v>
      </c>
      <c r="D57" s="10">
        <v>46049</v>
      </c>
      <c r="E57" s="10">
        <v>46077</v>
      </c>
      <c r="F57" s="9" t="b">
        <f>TRUE()</f>
        <v>1</v>
      </c>
      <c r="G57" s="9" t="b">
        <f>TRUE()</f>
        <v>1</v>
      </c>
      <c r="H57" s="9" t="s">
        <v>18</v>
      </c>
      <c r="I57" s="9" t="s">
        <v>186</v>
      </c>
      <c r="J57" s="9" t="s">
        <v>24</v>
      </c>
      <c r="K57" s="9" t="s">
        <v>251</v>
      </c>
      <c r="L57" s="9" t="s">
        <v>161</v>
      </c>
      <c r="M57" s="9" t="s">
        <v>1151</v>
      </c>
      <c r="N57" s="9" t="s">
        <v>1151</v>
      </c>
      <c r="O57" s="10"/>
      <c r="P57" s="11">
        <v>2794.31</v>
      </c>
      <c r="Q57" s="9">
        <f t="shared" si="0"/>
        <v>28</v>
      </c>
    </row>
    <row r="58" spans="1:17" ht="15" customHeight="1" x14ac:dyDescent="0.2">
      <c r="A58" s="9" t="s">
        <v>1201</v>
      </c>
      <c r="B58" s="9" t="s">
        <v>390</v>
      </c>
      <c r="C58" s="9" t="b">
        <f>TRUE()</f>
        <v>1</v>
      </c>
      <c r="D58" s="10">
        <v>45772</v>
      </c>
      <c r="E58" s="10">
        <v>45792</v>
      </c>
      <c r="F58" s="9" t="b">
        <f>TRUE()</f>
        <v>1</v>
      </c>
      <c r="G58" s="9" t="b">
        <f>TRUE()</f>
        <v>1</v>
      </c>
      <c r="H58" s="9" t="s">
        <v>20</v>
      </c>
      <c r="I58" s="9" t="s">
        <v>186</v>
      </c>
      <c r="J58" s="9" t="s">
        <v>25</v>
      </c>
      <c r="K58" s="9" t="s">
        <v>189</v>
      </c>
      <c r="L58" s="9" t="s">
        <v>161</v>
      </c>
      <c r="M58" s="9" t="s">
        <v>1151</v>
      </c>
      <c r="N58" s="9" t="s">
        <v>1151</v>
      </c>
      <c r="O58" s="10"/>
      <c r="P58" s="11">
        <v>2371.38</v>
      </c>
      <c r="Q58" s="9">
        <f t="shared" si="0"/>
        <v>20</v>
      </c>
    </row>
    <row r="59" spans="1:17" ht="15" customHeight="1" x14ac:dyDescent="0.2">
      <c r="A59" s="9" t="s">
        <v>1202</v>
      </c>
      <c r="B59" s="9" t="s">
        <v>397</v>
      </c>
      <c r="C59" s="9" t="b">
        <f>TRUE()</f>
        <v>1</v>
      </c>
      <c r="D59" s="10">
        <v>46000</v>
      </c>
      <c r="E59" s="10">
        <v>46024</v>
      </c>
      <c r="F59" s="9" t="b">
        <f>TRUE()</f>
        <v>1</v>
      </c>
      <c r="G59" s="9" t="b">
        <f>TRUE()</f>
        <v>1</v>
      </c>
      <c r="H59" s="9" t="s">
        <v>19</v>
      </c>
      <c r="I59" s="9" t="s">
        <v>149</v>
      </c>
      <c r="J59" s="9" t="s">
        <v>25</v>
      </c>
      <c r="K59" s="9" t="s">
        <v>179</v>
      </c>
      <c r="L59" s="9" t="s">
        <v>156</v>
      </c>
      <c r="M59" s="9" t="s">
        <v>1151</v>
      </c>
      <c r="N59" s="9" t="s">
        <v>1151</v>
      </c>
      <c r="O59" s="10"/>
      <c r="P59" s="11">
        <v>714.73</v>
      </c>
      <c r="Q59" s="9">
        <f t="shared" si="0"/>
        <v>24</v>
      </c>
    </row>
    <row r="60" spans="1:17" ht="15" customHeight="1" x14ac:dyDescent="0.2">
      <c r="A60" s="9" t="s">
        <v>1203</v>
      </c>
      <c r="B60" s="9" t="s">
        <v>399</v>
      </c>
      <c r="C60" s="9" t="b">
        <f>TRUE()</f>
        <v>1</v>
      </c>
      <c r="D60" s="10">
        <v>45895</v>
      </c>
      <c r="E60" s="10">
        <v>45940</v>
      </c>
      <c r="F60" s="9" t="b">
        <f>TRUE()</f>
        <v>1</v>
      </c>
      <c r="G60" s="9" t="b">
        <f>TRUE()</f>
        <v>1</v>
      </c>
      <c r="H60" s="9" t="s">
        <v>18</v>
      </c>
      <c r="I60" s="9" t="s">
        <v>186</v>
      </c>
      <c r="J60" s="9" t="s">
        <v>27</v>
      </c>
      <c r="K60" s="9" t="s">
        <v>157</v>
      </c>
      <c r="L60" s="9" t="s">
        <v>150</v>
      </c>
      <c r="M60" s="9" t="s">
        <v>1151</v>
      </c>
      <c r="N60" s="9" t="s">
        <v>1151</v>
      </c>
      <c r="O60" s="10"/>
      <c r="P60" s="11">
        <v>7135</v>
      </c>
      <c r="Q60" s="9">
        <f t="shared" si="0"/>
        <v>45</v>
      </c>
    </row>
    <row r="61" spans="1:17" ht="15" customHeight="1" x14ac:dyDescent="0.2">
      <c r="A61" s="9" t="s">
        <v>1204</v>
      </c>
      <c r="B61" s="9" t="s">
        <v>402</v>
      </c>
      <c r="C61" s="9" t="b">
        <f>TRUE()</f>
        <v>1</v>
      </c>
      <c r="D61" s="10">
        <v>45718</v>
      </c>
      <c r="E61" s="10">
        <v>45754</v>
      </c>
      <c r="F61" s="9" t="b">
        <f>TRUE()</f>
        <v>1</v>
      </c>
      <c r="G61" s="9" t="b">
        <f>TRUE()</f>
        <v>1</v>
      </c>
      <c r="H61" s="9" t="s">
        <v>20</v>
      </c>
      <c r="I61" s="9" t="s">
        <v>186</v>
      </c>
      <c r="J61" s="9" t="s">
        <v>25</v>
      </c>
      <c r="K61" s="9" t="s">
        <v>192</v>
      </c>
      <c r="L61" s="9" t="s">
        <v>156</v>
      </c>
      <c r="M61" s="9" t="s">
        <v>1151</v>
      </c>
      <c r="N61" s="9" t="s">
        <v>1151</v>
      </c>
      <c r="O61" s="10"/>
      <c r="P61" s="11">
        <v>703.07</v>
      </c>
      <c r="Q61" s="9">
        <f t="shared" si="0"/>
        <v>36</v>
      </c>
    </row>
    <row r="62" spans="1:17" ht="15" customHeight="1" x14ac:dyDescent="0.2">
      <c r="A62" s="9" t="s">
        <v>94</v>
      </c>
      <c r="B62" s="9" t="s">
        <v>405</v>
      </c>
      <c r="C62" s="9" t="b">
        <f>TRUE()</f>
        <v>1</v>
      </c>
      <c r="D62" s="10">
        <v>45988</v>
      </c>
      <c r="E62" s="10">
        <v>45987</v>
      </c>
      <c r="F62" s="9" t="b">
        <f>FALSE()</f>
        <v>0</v>
      </c>
      <c r="G62" s="9" t="b">
        <f>FALSE()</f>
        <v>0</v>
      </c>
      <c r="H62" s="9" t="s">
        <v>21</v>
      </c>
      <c r="I62" s="9" t="s">
        <v>186</v>
      </c>
      <c r="J62" s="9" t="s">
        <v>25</v>
      </c>
      <c r="K62" s="9" t="s">
        <v>183</v>
      </c>
      <c r="L62" s="9" t="s">
        <v>161</v>
      </c>
      <c r="M62" s="9" t="s">
        <v>1151</v>
      </c>
      <c r="N62" s="9" t="s">
        <v>1151</v>
      </c>
      <c r="O62" s="10"/>
      <c r="P62" s="11">
        <v>2725.98</v>
      </c>
      <c r="Q62" s="9" t="str">
        <f t="shared" si="0"/>
        <v/>
      </c>
    </row>
    <row r="63" spans="1:17" ht="15" customHeight="1" x14ac:dyDescent="0.2">
      <c r="A63" s="9" t="s">
        <v>1205</v>
      </c>
      <c r="B63" s="9" t="s">
        <v>406</v>
      </c>
      <c r="C63" s="9" t="b">
        <f>TRUE()</f>
        <v>1</v>
      </c>
      <c r="D63" s="10">
        <v>45917</v>
      </c>
      <c r="E63" s="10">
        <v>45920</v>
      </c>
      <c r="F63" s="9" t="b">
        <f>TRUE()</f>
        <v>1</v>
      </c>
      <c r="G63" s="9" t="b">
        <f>TRUE()</f>
        <v>1</v>
      </c>
      <c r="H63" s="9" t="s">
        <v>20</v>
      </c>
      <c r="I63" s="9" t="s">
        <v>155</v>
      </c>
      <c r="J63" s="9" t="s">
        <v>24</v>
      </c>
      <c r="K63" s="9" t="s">
        <v>167</v>
      </c>
      <c r="L63" s="9" t="s">
        <v>150</v>
      </c>
      <c r="M63" s="9" t="s">
        <v>1151</v>
      </c>
      <c r="N63" s="9" t="s">
        <v>1151</v>
      </c>
      <c r="O63" s="10"/>
      <c r="P63" s="11">
        <v>6448.96</v>
      </c>
      <c r="Q63" s="9">
        <f t="shared" si="0"/>
        <v>3</v>
      </c>
    </row>
    <row r="64" spans="1:17" ht="15" customHeight="1" x14ac:dyDescent="0.2">
      <c r="A64" s="9" t="s">
        <v>1206</v>
      </c>
      <c r="B64" s="9" t="s">
        <v>407</v>
      </c>
      <c r="C64" s="9" t="b">
        <f>TRUE()</f>
        <v>1</v>
      </c>
      <c r="D64" s="10">
        <v>45697</v>
      </c>
      <c r="E64" s="10">
        <v>45709</v>
      </c>
      <c r="F64" s="9" t="b">
        <f>TRUE()</f>
        <v>1</v>
      </c>
      <c r="G64" s="9" t="b">
        <f>TRUE()</f>
        <v>1</v>
      </c>
      <c r="H64" s="9" t="s">
        <v>19</v>
      </c>
      <c r="I64" s="9" t="s">
        <v>149</v>
      </c>
      <c r="J64" s="9" t="s">
        <v>27</v>
      </c>
      <c r="K64" s="9" t="s">
        <v>207</v>
      </c>
      <c r="L64" s="9" t="s">
        <v>156</v>
      </c>
      <c r="M64" s="9" t="s">
        <v>1151</v>
      </c>
      <c r="N64" s="9" t="s">
        <v>1151</v>
      </c>
      <c r="O64" s="10"/>
      <c r="P64" s="11">
        <v>765.02</v>
      </c>
      <c r="Q64" s="9">
        <f t="shared" si="0"/>
        <v>12</v>
      </c>
    </row>
    <row r="65" spans="1:17" ht="15" customHeight="1" x14ac:dyDescent="0.2">
      <c r="A65" s="9" t="s">
        <v>1207</v>
      </c>
      <c r="B65" s="9" t="s">
        <v>408</v>
      </c>
      <c r="C65" s="9" t="b">
        <f>TRUE()</f>
        <v>1</v>
      </c>
      <c r="D65" s="10">
        <v>45807</v>
      </c>
      <c r="E65" s="10"/>
      <c r="F65" s="9" t="b">
        <f>TRUE()</f>
        <v>1</v>
      </c>
      <c r="G65" s="9" t="b">
        <f>FALSE()</f>
        <v>0</v>
      </c>
      <c r="H65" s="9" t="s">
        <v>20</v>
      </c>
      <c r="I65" s="9" t="s">
        <v>186</v>
      </c>
      <c r="J65" s="9" t="s">
        <v>26</v>
      </c>
      <c r="K65" s="9" t="s">
        <v>167</v>
      </c>
      <c r="L65" s="9" t="s">
        <v>156</v>
      </c>
      <c r="M65" s="9" t="s">
        <v>1160</v>
      </c>
      <c r="N65" s="9" t="s">
        <v>1160</v>
      </c>
      <c r="O65" s="10"/>
      <c r="P65" s="11">
        <v>777.05</v>
      </c>
      <c r="Q65" s="9" t="str">
        <f t="shared" si="0"/>
        <v/>
      </c>
    </row>
    <row r="66" spans="1:17" ht="15" customHeight="1" x14ac:dyDescent="0.2">
      <c r="A66" s="9" t="s">
        <v>1208</v>
      </c>
      <c r="B66" s="9" t="s">
        <v>409</v>
      </c>
      <c r="C66" s="9" t="b">
        <f>TRUE()</f>
        <v>1</v>
      </c>
      <c r="D66" s="10">
        <v>45804</v>
      </c>
      <c r="E66" s="10">
        <v>45869</v>
      </c>
      <c r="F66" s="9" t="b">
        <f>TRUE()</f>
        <v>1</v>
      </c>
      <c r="G66" s="9" t="b">
        <f>TRUE()</f>
        <v>1</v>
      </c>
      <c r="H66" s="9" t="s">
        <v>20</v>
      </c>
      <c r="I66" s="9" t="s">
        <v>155</v>
      </c>
      <c r="J66" s="9" t="s">
        <v>26</v>
      </c>
      <c r="K66" s="9" t="s">
        <v>192</v>
      </c>
      <c r="L66" s="9" t="s">
        <v>156</v>
      </c>
      <c r="M66" s="9" t="s">
        <v>1151</v>
      </c>
      <c r="N66" s="9" t="s">
        <v>1151</v>
      </c>
      <c r="O66" s="10"/>
      <c r="P66" s="11">
        <v>540.37</v>
      </c>
      <c r="Q66" s="9">
        <f t="shared" ref="Q66:Q129" si="1">IF(G66=TRUE(),E66-D66,"")</f>
        <v>65</v>
      </c>
    </row>
    <row r="67" spans="1:17" ht="15" customHeight="1" x14ac:dyDescent="0.2">
      <c r="A67" s="9" t="s">
        <v>1209</v>
      </c>
      <c r="B67" s="9" t="s">
        <v>411</v>
      </c>
      <c r="C67" s="9" t="b">
        <f>TRUE()</f>
        <v>1</v>
      </c>
      <c r="D67" s="10">
        <v>45868</v>
      </c>
      <c r="E67" s="10">
        <v>45891</v>
      </c>
      <c r="F67" s="9" t="b">
        <f>TRUE()</f>
        <v>1</v>
      </c>
      <c r="G67" s="9" t="b">
        <f>TRUE()</f>
        <v>1</v>
      </c>
      <c r="H67" s="9" t="s">
        <v>19</v>
      </c>
      <c r="I67" s="9" t="s">
        <v>149</v>
      </c>
      <c r="J67" s="9" t="s">
        <v>25</v>
      </c>
      <c r="K67" s="9" t="s">
        <v>207</v>
      </c>
      <c r="L67" s="9" t="s">
        <v>156</v>
      </c>
      <c r="M67" s="9" t="s">
        <v>1155</v>
      </c>
      <c r="N67" s="9" t="s">
        <v>1155</v>
      </c>
      <c r="O67" s="10">
        <v>45955</v>
      </c>
      <c r="P67" s="11">
        <v>1005.07</v>
      </c>
      <c r="Q67" s="9">
        <f t="shared" si="1"/>
        <v>23</v>
      </c>
    </row>
    <row r="68" spans="1:17" ht="15" customHeight="1" x14ac:dyDescent="0.2">
      <c r="A68" s="9" t="s">
        <v>88</v>
      </c>
      <c r="B68" s="9" t="s">
        <v>416</v>
      </c>
      <c r="C68" s="9" t="b">
        <f>TRUE()</f>
        <v>1</v>
      </c>
      <c r="D68" s="10">
        <v>45942</v>
      </c>
      <c r="E68" s="10"/>
      <c r="F68" s="9" t="b">
        <f>TRUE()</f>
        <v>1</v>
      </c>
      <c r="G68" s="9" t="b">
        <f>FALSE()</f>
        <v>0</v>
      </c>
      <c r="H68" s="9" t="s">
        <v>19</v>
      </c>
      <c r="I68" s="9" t="s">
        <v>149</v>
      </c>
      <c r="J68" s="9" t="s">
        <v>28</v>
      </c>
      <c r="K68" s="9" t="s">
        <v>179</v>
      </c>
      <c r="L68" s="9" t="s">
        <v>1173</v>
      </c>
      <c r="M68" s="9" t="s">
        <v>1160</v>
      </c>
      <c r="N68" s="9" t="s">
        <v>1160</v>
      </c>
      <c r="O68" s="10"/>
      <c r="P68" s="11">
        <v>982.51</v>
      </c>
      <c r="Q68" s="9" t="str">
        <f t="shared" si="1"/>
        <v/>
      </c>
    </row>
    <row r="69" spans="1:17" ht="15" customHeight="1" x14ac:dyDescent="0.2">
      <c r="A69" s="9" t="s">
        <v>1210</v>
      </c>
      <c r="B69" s="9" t="s">
        <v>423</v>
      </c>
      <c r="C69" s="9" t="b">
        <f>TRUE()</f>
        <v>1</v>
      </c>
      <c r="D69" s="10">
        <v>45963</v>
      </c>
      <c r="E69" s="10">
        <v>45993</v>
      </c>
      <c r="F69" s="9" t="b">
        <f>TRUE()</f>
        <v>1</v>
      </c>
      <c r="G69" s="9" t="b">
        <f>TRUE()</f>
        <v>1</v>
      </c>
      <c r="H69" s="9" t="s">
        <v>22</v>
      </c>
      <c r="I69" s="9" t="s">
        <v>160</v>
      </c>
      <c r="J69" s="9" t="s">
        <v>26</v>
      </c>
      <c r="K69" s="9" t="s">
        <v>170</v>
      </c>
      <c r="L69" s="9" t="s">
        <v>156</v>
      </c>
      <c r="M69" s="9" t="s">
        <v>1151</v>
      </c>
      <c r="N69" s="9" t="s">
        <v>1151</v>
      </c>
      <c r="O69" s="10"/>
      <c r="P69" s="11">
        <v>919.94</v>
      </c>
      <c r="Q69" s="9">
        <f t="shared" si="1"/>
        <v>30</v>
      </c>
    </row>
    <row r="70" spans="1:17" ht="15" customHeight="1" x14ac:dyDescent="0.2">
      <c r="A70" s="9" t="s">
        <v>1211</v>
      </c>
      <c r="B70" s="9" t="s">
        <v>430</v>
      </c>
      <c r="C70" s="9" t="b">
        <f>TRUE()</f>
        <v>1</v>
      </c>
      <c r="D70" s="10">
        <v>45831</v>
      </c>
      <c r="E70" s="10">
        <v>45856</v>
      </c>
      <c r="F70" s="9" t="b">
        <f>TRUE()</f>
        <v>1</v>
      </c>
      <c r="G70" s="9" t="b">
        <f>TRUE()</f>
        <v>1</v>
      </c>
      <c r="H70" s="9" t="s">
        <v>19</v>
      </c>
      <c r="I70" s="9" t="s">
        <v>149</v>
      </c>
      <c r="J70" s="9" t="s">
        <v>25</v>
      </c>
      <c r="K70" s="9" t="s">
        <v>179</v>
      </c>
      <c r="L70" s="9" t="s">
        <v>150</v>
      </c>
      <c r="M70" s="9" t="s">
        <v>1151</v>
      </c>
      <c r="N70" s="9" t="s">
        <v>1151</v>
      </c>
      <c r="O70" s="10"/>
      <c r="P70" s="11">
        <v>10436.51</v>
      </c>
      <c r="Q70" s="9">
        <f t="shared" si="1"/>
        <v>25</v>
      </c>
    </row>
    <row r="71" spans="1:17" ht="15" customHeight="1" x14ac:dyDescent="0.2">
      <c r="A71" s="9" t="s">
        <v>1212</v>
      </c>
      <c r="B71" s="9" t="s">
        <v>435</v>
      </c>
      <c r="C71" s="9" t="b">
        <f>TRUE()</f>
        <v>1</v>
      </c>
      <c r="D71" s="10">
        <v>45814</v>
      </c>
      <c r="E71" s="10">
        <v>45852</v>
      </c>
      <c r="F71" s="9" t="b">
        <f>TRUE()</f>
        <v>1</v>
      </c>
      <c r="G71" s="9" t="b">
        <f>TRUE()</f>
        <v>1</v>
      </c>
      <c r="H71" s="9" t="s">
        <v>19</v>
      </c>
      <c r="I71" s="9" t="s">
        <v>160</v>
      </c>
      <c r="J71" s="9" t="s">
        <v>27</v>
      </c>
      <c r="K71" s="9" t="s">
        <v>179</v>
      </c>
      <c r="L71" s="9" t="s">
        <v>161</v>
      </c>
      <c r="M71" s="9" t="s">
        <v>1151</v>
      </c>
      <c r="N71" s="9" t="s">
        <v>1151</v>
      </c>
      <c r="O71" s="10"/>
      <c r="P71" s="11">
        <v>2697.38</v>
      </c>
      <c r="Q71" s="9">
        <f t="shared" si="1"/>
        <v>38</v>
      </c>
    </row>
    <row r="72" spans="1:17" ht="15" customHeight="1" x14ac:dyDescent="0.2">
      <c r="A72" s="9" t="s">
        <v>1213</v>
      </c>
      <c r="B72" s="9" t="s">
        <v>437</v>
      </c>
      <c r="C72" s="9" t="b">
        <f>TRUE()</f>
        <v>1</v>
      </c>
      <c r="D72" s="10">
        <v>45846</v>
      </c>
      <c r="E72" s="10">
        <v>45852</v>
      </c>
      <c r="F72" s="9" t="b">
        <f>TRUE()</f>
        <v>1</v>
      </c>
      <c r="G72" s="9" t="b">
        <f>TRUE()</f>
        <v>1</v>
      </c>
      <c r="H72" s="9" t="s">
        <v>18</v>
      </c>
      <c r="I72" s="9" t="s">
        <v>149</v>
      </c>
      <c r="J72" s="9" t="s">
        <v>27</v>
      </c>
      <c r="K72" s="9" t="s">
        <v>157</v>
      </c>
      <c r="L72" s="9" t="s">
        <v>156</v>
      </c>
      <c r="M72" s="9" t="s">
        <v>1151</v>
      </c>
      <c r="N72" s="9" t="s">
        <v>1151</v>
      </c>
      <c r="O72" s="10"/>
      <c r="P72" s="11">
        <v>1094.9000000000001</v>
      </c>
      <c r="Q72" s="9">
        <f t="shared" si="1"/>
        <v>6</v>
      </c>
    </row>
    <row r="73" spans="1:17" ht="15" customHeight="1" x14ac:dyDescent="0.2">
      <c r="A73" s="9" t="s">
        <v>1214</v>
      </c>
      <c r="B73" s="9" t="s">
        <v>447</v>
      </c>
      <c r="C73" s="9" t="b">
        <f>TRUE()</f>
        <v>1</v>
      </c>
      <c r="D73" s="10">
        <v>45849</v>
      </c>
      <c r="E73" s="10">
        <v>45872</v>
      </c>
      <c r="F73" s="9" t="b">
        <f>TRUE()</f>
        <v>1</v>
      </c>
      <c r="G73" s="9" t="b">
        <f>TRUE()</f>
        <v>1</v>
      </c>
      <c r="H73" s="9" t="s">
        <v>20</v>
      </c>
      <c r="I73" s="9" t="s">
        <v>155</v>
      </c>
      <c r="J73" s="9" t="s">
        <v>24</v>
      </c>
      <c r="K73" s="9" t="s">
        <v>189</v>
      </c>
      <c r="L73" s="9" t="s">
        <v>156</v>
      </c>
      <c r="M73" s="9" t="s">
        <v>1151</v>
      </c>
      <c r="N73" s="9" t="s">
        <v>1151</v>
      </c>
      <c r="O73" s="10"/>
      <c r="P73" s="11">
        <v>446.26</v>
      </c>
      <c r="Q73" s="9">
        <f t="shared" si="1"/>
        <v>23</v>
      </c>
    </row>
    <row r="74" spans="1:17" ht="15" customHeight="1" x14ac:dyDescent="0.2">
      <c r="A74" s="9" t="s">
        <v>1215</v>
      </c>
      <c r="B74" s="9" t="s">
        <v>449</v>
      </c>
      <c r="C74" s="9" t="b">
        <f>TRUE()</f>
        <v>1</v>
      </c>
      <c r="D74" s="10">
        <v>46002</v>
      </c>
      <c r="E74" s="10">
        <v>46033</v>
      </c>
      <c r="F74" s="9" t="b">
        <f>TRUE()</f>
        <v>1</v>
      </c>
      <c r="G74" s="9" t="b">
        <f>TRUE()</f>
        <v>1</v>
      </c>
      <c r="H74" s="9" t="s">
        <v>19</v>
      </c>
      <c r="I74" s="9" t="s">
        <v>149</v>
      </c>
      <c r="J74" s="9" t="s">
        <v>25</v>
      </c>
      <c r="K74" s="9" t="s">
        <v>207</v>
      </c>
      <c r="L74" s="9" t="s">
        <v>156</v>
      </c>
      <c r="M74" s="9" t="s">
        <v>1151</v>
      </c>
      <c r="N74" s="9" t="s">
        <v>1151</v>
      </c>
      <c r="O74" s="10"/>
      <c r="P74" s="11">
        <v>807.92</v>
      </c>
      <c r="Q74" s="9">
        <f t="shared" si="1"/>
        <v>31</v>
      </c>
    </row>
    <row r="75" spans="1:17" ht="15" customHeight="1" x14ac:dyDescent="0.2">
      <c r="A75" s="9" t="s">
        <v>1216</v>
      </c>
      <c r="B75" s="9" t="s">
        <v>452</v>
      </c>
      <c r="C75" s="9" t="b">
        <f>TRUE()</f>
        <v>1</v>
      </c>
      <c r="D75" s="10">
        <v>45769</v>
      </c>
      <c r="E75" s="10">
        <v>45797</v>
      </c>
      <c r="F75" s="9" t="b">
        <f>TRUE()</f>
        <v>1</v>
      </c>
      <c r="G75" s="9" t="b">
        <f>TRUE()</f>
        <v>1</v>
      </c>
      <c r="H75" s="9" t="s">
        <v>20</v>
      </c>
      <c r="I75" s="9" t="s">
        <v>155</v>
      </c>
      <c r="J75" s="9" t="s">
        <v>24</v>
      </c>
      <c r="K75" s="9" t="s">
        <v>189</v>
      </c>
      <c r="L75" s="9" t="s">
        <v>150</v>
      </c>
      <c r="M75" s="9" t="s">
        <v>1151</v>
      </c>
      <c r="N75" s="9" t="s">
        <v>1151</v>
      </c>
      <c r="O75" s="10"/>
      <c r="P75" s="11">
        <v>6517.51</v>
      </c>
      <c r="Q75" s="9">
        <f t="shared" si="1"/>
        <v>28</v>
      </c>
    </row>
    <row r="76" spans="1:17" ht="15" customHeight="1" x14ac:dyDescent="0.2">
      <c r="A76" s="9" t="s">
        <v>1217</v>
      </c>
      <c r="B76" s="9" t="s">
        <v>453</v>
      </c>
      <c r="C76" s="9" t="b">
        <f>TRUE()</f>
        <v>1</v>
      </c>
      <c r="D76" s="10">
        <v>45789</v>
      </c>
      <c r="E76" s="10"/>
      <c r="F76" s="9" t="b">
        <f>TRUE()</f>
        <v>1</v>
      </c>
      <c r="G76" s="9" t="b">
        <f>FALSE()</f>
        <v>0</v>
      </c>
      <c r="H76" s="9" t="s">
        <v>21</v>
      </c>
      <c r="I76" s="9" t="s">
        <v>155</v>
      </c>
      <c r="J76" s="9" t="s">
        <v>25</v>
      </c>
      <c r="K76" s="9" t="s">
        <v>162</v>
      </c>
      <c r="L76" s="9" t="s">
        <v>156</v>
      </c>
      <c r="M76" s="9" t="s">
        <v>1160</v>
      </c>
      <c r="N76" s="9" t="s">
        <v>1160</v>
      </c>
      <c r="O76" s="10"/>
      <c r="P76" s="11">
        <v>706</v>
      </c>
      <c r="Q76" s="9" t="str">
        <f t="shared" si="1"/>
        <v/>
      </c>
    </row>
    <row r="77" spans="1:17" ht="15" customHeight="1" x14ac:dyDescent="0.2">
      <c r="A77" s="9" t="s">
        <v>1218</v>
      </c>
      <c r="B77" s="9" t="s">
        <v>458</v>
      </c>
      <c r="C77" s="9" t="b">
        <f>TRUE()</f>
        <v>1</v>
      </c>
      <c r="D77" s="10">
        <v>45839</v>
      </c>
      <c r="E77" s="10"/>
      <c r="F77" s="9" t="b">
        <f>TRUE()</f>
        <v>1</v>
      </c>
      <c r="G77" s="9" t="b">
        <f>FALSE()</f>
        <v>0</v>
      </c>
      <c r="H77" s="9" t="s">
        <v>20</v>
      </c>
      <c r="I77" s="9" t="s">
        <v>149</v>
      </c>
      <c r="J77" s="9" t="s">
        <v>28</v>
      </c>
      <c r="K77" s="9" t="s">
        <v>189</v>
      </c>
      <c r="L77" s="9" t="s">
        <v>156</v>
      </c>
      <c r="M77" s="9" t="s">
        <v>1160</v>
      </c>
      <c r="N77" s="9" t="s">
        <v>1160</v>
      </c>
      <c r="O77" s="10"/>
      <c r="P77" s="11">
        <v>758.21</v>
      </c>
      <c r="Q77" s="9" t="str">
        <f t="shared" si="1"/>
        <v/>
      </c>
    </row>
    <row r="78" spans="1:17" ht="15" customHeight="1" x14ac:dyDescent="0.2">
      <c r="A78" s="9" t="s">
        <v>1219</v>
      </c>
      <c r="B78" s="9" t="s">
        <v>461</v>
      </c>
      <c r="C78" s="9" t="b">
        <f>TRUE()</f>
        <v>1</v>
      </c>
      <c r="D78" s="10">
        <v>45844</v>
      </c>
      <c r="E78" s="10">
        <v>45859</v>
      </c>
      <c r="F78" s="9" t="b">
        <f>TRUE()</f>
        <v>1</v>
      </c>
      <c r="G78" s="9" t="b">
        <f>TRUE()</f>
        <v>1</v>
      </c>
      <c r="H78" s="9" t="s">
        <v>21</v>
      </c>
      <c r="I78" s="9" t="s">
        <v>160</v>
      </c>
      <c r="J78" s="9" t="s">
        <v>25</v>
      </c>
      <c r="K78" s="9" t="s">
        <v>162</v>
      </c>
      <c r="L78" s="9" t="s">
        <v>161</v>
      </c>
      <c r="M78" s="9" t="s">
        <v>1151</v>
      </c>
      <c r="N78" s="9" t="s">
        <v>1151</v>
      </c>
      <c r="O78" s="10"/>
      <c r="P78" s="11">
        <v>2807.03</v>
      </c>
      <c r="Q78" s="9">
        <f t="shared" si="1"/>
        <v>15</v>
      </c>
    </row>
    <row r="79" spans="1:17" ht="15" customHeight="1" x14ac:dyDescent="0.2">
      <c r="A79" s="9" t="s">
        <v>1220</v>
      </c>
      <c r="B79" s="9" t="s">
        <v>463</v>
      </c>
      <c r="C79" s="9" t="b">
        <f>TRUE()</f>
        <v>1</v>
      </c>
      <c r="D79" s="10">
        <v>45737</v>
      </c>
      <c r="E79" s="10"/>
      <c r="F79" s="9" t="b">
        <f>TRUE()</f>
        <v>1</v>
      </c>
      <c r="G79" s="9" t="b">
        <f>FALSE()</f>
        <v>0</v>
      </c>
      <c r="H79" s="9" t="s">
        <v>20</v>
      </c>
      <c r="I79" s="9" t="s">
        <v>186</v>
      </c>
      <c r="J79" s="9" t="s">
        <v>25</v>
      </c>
      <c r="K79" s="9" t="s">
        <v>189</v>
      </c>
      <c r="L79" s="9" t="s">
        <v>156</v>
      </c>
      <c r="M79" s="9" t="s">
        <v>1160</v>
      </c>
      <c r="N79" s="9" t="s">
        <v>1160</v>
      </c>
      <c r="O79" s="10"/>
      <c r="P79" s="11">
        <v>784.27</v>
      </c>
      <c r="Q79" s="9" t="str">
        <f t="shared" si="1"/>
        <v/>
      </c>
    </row>
    <row r="80" spans="1:17" ht="15" customHeight="1" x14ac:dyDescent="0.2">
      <c r="A80" s="9" t="s">
        <v>1221</v>
      </c>
      <c r="B80" s="9" t="s">
        <v>465</v>
      </c>
      <c r="C80" s="9" t="b">
        <f>TRUE()</f>
        <v>1</v>
      </c>
      <c r="D80" s="10">
        <v>45806</v>
      </c>
      <c r="E80" s="10">
        <v>45837</v>
      </c>
      <c r="F80" s="9" t="b">
        <f>TRUE()</f>
        <v>1</v>
      </c>
      <c r="G80" s="9" t="b">
        <f>TRUE()</f>
        <v>1</v>
      </c>
      <c r="H80" s="9" t="s">
        <v>18</v>
      </c>
      <c r="I80" s="9" t="s">
        <v>186</v>
      </c>
      <c r="J80" s="9" t="s">
        <v>24</v>
      </c>
      <c r="K80" s="9" t="s">
        <v>201</v>
      </c>
      <c r="L80" s="9" t="s">
        <v>156</v>
      </c>
      <c r="M80" s="9" t="s">
        <v>1155</v>
      </c>
      <c r="N80" s="9" t="s">
        <v>1155</v>
      </c>
      <c r="O80" s="10">
        <v>45907</v>
      </c>
      <c r="P80" s="11">
        <v>733.76</v>
      </c>
      <c r="Q80" s="9">
        <f t="shared" si="1"/>
        <v>31</v>
      </c>
    </row>
    <row r="81" spans="1:17" ht="15" customHeight="1" x14ac:dyDescent="0.2">
      <c r="A81" s="9" t="s">
        <v>1222</v>
      </c>
      <c r="B81" s="9" t="s">
        <v>466</v>
      </c>
      <c r="C81" s="9" t="b">
        <f>TRUE()</f>
        <v>1</v>
      </c>
      <c r="D81" s="10">
        <v>45711</v>
      </c>
      <c r="E81" s="10">
        <v>45719</v>
      </c>
      <c r="F81" s="9" t="b">
        <f>TRUE()</f>
        <v>1</v>
      </c>
      <c r="G81" s="9" t="b">
        <f>TRUE()</f>
        <v>1</v>
      </c>
      <c r="H81" s="9" t="s">
        <v>22</v>
      </c>
      <c r="I81" s="9" t="s">
        <v>186</v>
      </c>
      <c r="J81" s="9" t="s">
        <v>28</v>
      </c>
      <c r="K81" s="9" t="s">
        <v>170</v>
      </c>
      <c r="L81" s="9" t="s">
        <v>150</v>
      </c>
      <c r="M81" s="9" t="s">
        <v>1151</v>
      </c>
      <c r="N81" s="9" t="s">
        <v>1151</v>
      </c>
      <c r="O81" s="10"/>
      <c r="P81" s="11">
        <v>5537.49</v>
      </c>
      <c r="Q81" s="9">
        <f t="shared" si="1"/>
        <v>8</v>
      </c>
    </row>
    <row r="82" spans="1:17" ht="15" customHeight="1" x14ac:dyDescent="0.2">
      <c r="A82" s="9" t="s">
        <v>1223</v>
      </c>
      <c r="B82" s="9" t="s">
        <v>474</v>
      </c>
      <c r="C82" s="9" t="b">
        <f>TRUE()</f>
        <v>1</v>
      </c>
      <c r="D82" s="10">
        <v>45779</v>
      </c>
      <c r="E82" s="10">
        <v>45785</v>
      </c>
      <c r="F82" s="9" t="b">
        <f>TRUE()</f>
        <v>1</v>
      </c>
      <c r="G82" s="9" t="b">
        <f>TRUE()</f>
        <v>1</v>
      </c>
      <c r="H82" s="9" t="s">
        <v>22</v>
      </c>
      <c r="I82" s="9" t="s">
        <v>186</v>
      </c>
      <c r="J82" s="9" t="s">
        <v>25</v>
      </c>
      <c r="K82" s="9" t="s">
        <v>165</v>
      </c>
      <c r="L82" s="9" t="s">
        <v>150</v>
      </c>
      <c r="M82" s="9" t="s">
        <v>1151</v>
      </c>
      <c r="N82" s="9" t="s">
        <v>1151</v>
      </c>
      <c r="O82" s="10"/>
      <c r="P82" s="11">
        <v>6198.69</v>
      </c>
      <c r="Q82" s="9">
        <f t="shared" si="1"/>
        <v>6</v>
      </c>
    </row>
    <row r="83" spans="1:17" ht="15" customHeight="1" x14ac:dyDescent="0.2">
      <c r="A83" s="9" t="s">
        <v>1224</v>
      </c>
      <c r="B83" s="9" t="s">
        <v>476</v>
      </c>
      <c r="C83" s="9" t="b">
        <f>TRUE()</f>
        <v>1</v>
      </c>
      <c r="D83" s="10">
        <v>45900</v>
      </c>
      <c r="E83" s="10"/>
      <c r="F83" s="9" t="b">
        <f>TRUE()</f>
        <v>1</v>
      </c>
      <c r="G83" s="9" t="b">
        <f>FALSE()</f>
        <v>0</v>
      </c>
      <c r="H83" s="9" t="s">
        <v>21</v>
      </c>
      <c r="I83" s="9" t="s">
        <v>149</v>
      </c>
      <c r="J83" s="9" t="s">
        <v>27</v>
      </c>
      <c r="K83" s="9" t="s">
        <v>176</v>
      </c>
      <c r="L83" s="9" t="s">
        <v>161</v>
      </c>
      <c r="M83" s="9" t="s">
        <v>1160</v>
      </c>
      <c r="N83" s="9" t="s">
        <v>1160</v>
      </c>
      <c r="O83" s="10"/>
      <c r="P83" s="11">
        <v>3464.47</v>
      </c>
      <c r="Q83" s="9" t="str">
        <f t="shared" si="1"/>
        <v/>
      </c>
    </row>
    <row r="84" spans="1:17" ht="15" customHeight="1" x14ac:dyDescent="0.2">
      <c r="A84" s="9" t="s">
        <v>1225</v>
      </c>
      <c r="B84" s="9" t="s">
        <v>477</v>
      </c>
      <c r="C84" s="9" t="b">
        <f>TRUE()</f>
        <v>1</v>
      </c>
      <c r="D84" s="10">
        <v>46028</v>
      </c>
      <c r="E84" s="10">
        <v>46053</v>
      </c>
      <c r="F84" s="9" t="b">
        <f>TRUE()</f>
        <v>1</v>
      </c>
      <c r="G84" s="9" t="b">
        <f>TRUE()</f>
        <v>1</v>
      </c>
      <c r="H84" s="9" t="s">
        <v>21</v>
      </c>
      <c r="I84" s="9" t="s">
        <v>155</v>
      </c>
      <c r="J84" s="9" t="s">
        <v>25</v>
      </c>
      <c r="K84" s="9" t="s">
        <v>183</v>
      </c>
      <c r="L84" s="9" t="s">
        <v>150</v>
      </c>
      <c r="M84" s="9" t="s">
        <v>1151</v>
      </c>
      <c r="N84" s="9" t="s">
        <v>1151</v>
      </c>
      <c r="O84" s="10"/>
      <c r="P84" s="11">
        <v>3840.21</v>
      </c>
      <c r="Q84" s="9">
        <f t="shared" si="1"/>
        <v>25</v>
      </c>
    </row>
    <row r="85" spans="1:17" ht="15" customHeight="1" x14ac:dyDescent="0.2">
      <c r="A85" s="9" t="s">
        <v>1226</v>
      </c>
      <c r="B85" s="9" t="s">
        <v>485</v>
      </c>
      <c r="C85" s="9" t="b">
        <f>TRUE()</f>
        <v>1</v>
      </c>
      <c r="D85" s="10">
        <v>45982</v>
      </c>
      <c r="E85" s="10">
        <v>46010</v>
      </c>
      <c r="F85" s="9" t="b">
        <f>TRUE()</f>
        <v>1</v>
      </c>
      <c r="G85" s="9" t="b">
        <f>TRUE()</f>
        <v>1</v>
      </c>
      <c r="H85" s="9" t="s">
        <v>18</v>
      </c>
      <c r="I85" s="9" t="s">
        <v>149</v>
      </c>
      <c r="J85" s="9" t="s">
        <v>24</v>
      </c>
      <c r="K85" s="9" t="s">
        <v>157</v>
      </c>
      <c r="L85" s="9" t="s">
        <v>150</v>
      </c>
      <c r="M85" s="9" t="s">
        <v>1151</v>
      </c>
      <c r="N85" s="9" t="s">
        <v>1151</v>
      </c>
      <c r="O85" s="10"/>
      <c r="P85" s="11">
        <v>10097.299999999999</v>
      </c>
      <c r="Q85" s="9">
        <f t="shared" si="1"/>
        <v>28</v>
      </c>
    </row>
    <row r="86" spans="1:17" ht="15" customHeight="1" x14ac:dyDescent="0.2">
      <c r="A86" s="9" t="s">
        <v>1227</v>
      </c>
      <c r="B86" s="9" t="s">
        <v>486</v>
      </c>
      <c r="C86" s="9" t="b">
        <f>TRUE()</f>
        <v>1</v>
      </c>
      <c r="D86" s="10">
        <v>45919</v>
      </c>
      <c r="E86" s="10">
        <v>45945</v>
      </c>
      <c r="F86" s="9" t="b">
        <f>TRUE()</f>
        <v>1</v>
      </c>
      <c r="G86" s="9" t="b">
        <f>TRUE()</f>
        <v>1</v>
      </c>
      <c r="H86" s="9" t="s">
        <v>20</v>
      </c>
      <c r="I86" s="9" t="s">
        <v>149</v>
      </c>
      <c r="J86" s="9" t="s">
        <v>25</v>
      </c>
      <c r="K86" s="9" t="s">
        <v>192</v>
      </c>
      <c r="L86" s="9" t="s">
        <v>150</v>
      </c>
      <c r="M86" s="9" t="s">
        <v>1151</v>
      </c>
      <c r="N86" s="9" t="s">
        <v>1151</v>
      </c>
      <c r="O86" s="10"/>
      <c r="P86" s="11">
        <v>9640.93</v>
      </c>
      <c r="Q86" s="9">
        <f t="shared" si="1"/>
        <v>26</v>
      </c>
    </row>
    <row r="87" spans="1:17" ht="15" customHeight="1" x14ac:dyDescent="0.2">
      <c r="A87" s="9" t="s">
        <v>79</v>
      </c>
      <c r="B87" s="9" t="s">
        <v>496</v>
      </c>
      <c r="C87" s="9" t="b">
        <f>TRUE()</f>
        <v>1</v>
      </c>
      <c r="D87" s="10">
        <v>45736</v>
      </c>
      <c r="E87" s="10">
        <v>45767</v>
      </c>
      <c r="F87" s="9" t="b">
        <f>TRUE()</f>
        <v>1</v>
      </c>
      <c r="G87" s="9" t="b">
        <f>TRUE()</f>
        <v>1</v>
      </c>
      <c r="H87" s="9" t="s">
        <v>21</v>
      </c>
      <c r="I87" s="9" t="s">
        <v>186</v>
      </c>
      <c r="J87" s="9" t="s">
        <v>25</v>
      </c>
      <c r="K87" s="9" t="s">
        <v>176</v>
      </c>
      <c r="L87" s="9" t="s">
        <v>161</v>
      </c>
      <c r="M87" s="9" t="s">
        <v>1155</v>
      </c>
      <c r="N87" s="9" t="s">
        <v>1155</v>
      </c>
      <c r="O87" s="10">
        <v>45886</v>
      </c>
      <c r="P87" s="11">
        <v>2559.14</v>
      </c>
      <c r="Q87" s="9">
        <f t="shared" si="1"/>
        <v>31</v>
      </c>
    </row>
    <row r="88" spans="1:17" ht="15" customHeight="1" x14ac:dyDescent="0.2">
      <c r="A88" s="9" t="s">
        <v>1228</v>
      </c>
      <c r="B88" s="9" t="s">
        <v>500</v>
      </c>
      <c r="C88" s="9" t="b">
        <f>TRUE()</f>
        <v>1</v>
      </c>
      <c r="D88" s="10">
        <v>45746</v>
      </c>
      <c r="E88" s="10">
        <v>45753</v>
      </c>
      <c r="F88" s="9" t="b">
        <f>TRUE()</f>
        <v>1</v>
      </c>
      <c r="G88" s="9" t="b">
        <f>TRUE()</f>
        <v>1</v>
      </c>
      <c r="H88" s="9" t="s">
        <v>19</v>
      </c>
      <c r="I88" s="9" t="s">
        <v>155</v>
      </c>
      <c r="J88" s="9" t="s">
        <v>25</v>
      </c>
      <c r="K88" s="9" t="s">
        <v>210</v>
      </c>
      <c r="L88" s="9" t="s">
        <v>150</v>
      </c>
      <c r="M88" s="9" t="s">
        <v>1151</v>
      </c>
      <c r="N88" s="9" t="s">
        <v>1151</v>
      </c>
      <c r="O88" s="10"/>
      <c r="P88" s="11">
        <v>5133.84</v>
      </c>
      <c r="Q88" s="9">
        <f t="shared" si="1"/>
        <v>7</v>
      </c>
    </row>
    <row r="89" spans="1:17" ht="15" customHeight="1" x14ac:dyDescent="0.2">
      <c r="A89" s="9" t="s">
        <v>1229</v>
      </c>
      <c r="B89" s="9" t="s">
        <v>501</v>
      </c>
      <c r="C89" s="9" t="b">
        <f>TRUE()</f>
        <v>1</v>
      </c>
      <c r="D89" s="10">
        <v>46028</v>
      </c>
      <c r="E89" s="10">
        <v>46061</v>
      </c>
      <c r="F89" s="9" t="b">
        <f>TRUE()</f>
        <v>1</v>
      </c>
      <c r="G89" s="9" t="b">
        <f>TRUE()</f>
        <v>1</v>
      </c>
      <c r="H89" s="9" t="s">
        <v>18</v>
      </c>
      <c r="I89" s="9" t="s">
        <v>186</v>
      </c>
      <c r="J89" s="9" t="s">
        <v>26</v>
      </c>
      <c r="K89" s="9" t="s">
        <v>201</v>
      </c>
      <c r="L89" s="9" t="s">
        <v>156</v>
      </c>
      <c r="M89" s="9" t="s">
        <v>1151</v>
      </c>
      <c r="N89" s="9" t="s">
        <v>1151</v>
      </c>
      <c r="O89" s="10"/>
      <c r="P89" s="11">
        <v>751.66</v>
      </c>
      <c r="Q89" s="9">
        <f t="shared" si="1"/>
        <v>33</v>
      </c>
    </row>
    <row r="90" spans="1:17" ht="15" customHeight="1" x14ac:dyDescent="0.2">
      <c r="A90" s="9" t="s">
        <v>1230</v>
      </c>
      <c r="B90" s="9" t="s">
        <v>503</v>
      </c>
      <c r="C90" s="9" t="b">
        <f>TRUE()</f>
        <v>1</v>
      </c>
      <c r="D90" s="10">
        <v>45717</v>
      </c>
      <c r="E90" s="10"/>
      <c r="F90" s="9" t="b">
        <f>TRUE()</f>
        <v>1</v>
      </c>
      <c r="G90" s="9" t="b">
        <f>FALSE()</f>
        <v>0</v>
      </c>
      <c r="H90" s="9" t="s">
        <v>22</v>
      </c>
      <c r="I90" s="9" t="s">
        <v>149</v>
      </c>
      <c r="J90" s="9" t="s">
        <v>25</v>
      </c>
      <c r="K90" s="9" t="s">
        <v>170</v>
      </c>
      <c r="L90" s="9" t="s">
        <v>156</v>
      </c>
      <c r="M90" s="9" t="s">
        <v>1160</v>
      </c>
      <c r="N90" s="9" t="s">
        <v>1160</v>
      </c>
      <c r="O90" s="10"/>
      <c r="P90" s="11">
        <v>904.76</v>
      </c>
      <c r="Q90" s="9" t="str">
        <f t="shared" si="1"/>
        <v/>
      </c>
    </row>
    <row r="91" spans="1:17" ht="15" customHeight="1" x14ac:dyDescent="0.2">
      <c r="A91" s="9" t="s">
        <v>1231</v>
      </c>
      <c r="B91" s="9" t="s">
        <v>517</v>
      </c>
      <c r="C91" s="9" t="b">
        <f>TRUE()</f>
        <v>1</v>
      </c>
      <c r="D91" s="10">
        <v>45716</v>
      </c>
      <c r="E91" s="10">
        <v>45742</v>
      </c>
      <c r="F91" s="9" t="b">
        <f>TRUE()</f>
        <v>1</v>
      </c>
      <c r="G91" s="9" t="b">
        <f>TRUE()</f>
        <v>1</v>
      </c>
      <c r="H91" s="9" t="s">
        <v>19</v>
      </c>
      <c r="I91" s="9" t="s">
        <v>155</v>
      </c>
      <c r="J91" s="9" t="s">
        <v>25</v>
      </c>
      <c r="K91" s="9" t="s">
        <v>210</v>
      </c>
      <c r="L91" s="9" t="s">
        <v>150</v>
      </c>
      <c r="M91" s="9" t="s">
        <v>1151</v>
      </c>
      <c r="N91" s="9" t="s">
        <v>1151</v>
      </c>
      <c r="O91" s="10"/>
      <c r="P91" s="11">
        <v>6559.66</v>
      </c>
      <c r="Q91" s="9">
        <f t="shared" si="1"/>
        <v>26</v>
      </c>
    </row>
    <row r="92" spans="1:17" ht="15" customHeight="1" x14ac:dyDescent="0.2">
      <c r="A92" s="9" t="s">
        <v>1232</v>
      </c>
      <c r="B92" s="9" t="s">
        <v>518</v>
      </c>
      <c r="C92" s="9" t="b">
        <f>TRUE()</f>
        <v>1</v>
      </c>
      <c r="D92" s="10">
        <v>45716</v>
      </c>
      <c r="E92" s="10">
        <v>45726</v>
      </c>
      <c r="F92" s="9" t="b">
        <f>TRUE()</f>
        <v>1</v>
      </c>
      <c r="G92" s="9" t="b">
        <f>TRUE()</f>
        <v>1</v>
      </c>
      <c r="H92" s="9" t="s">
        <v>18</v>
      </c>
      <c r="I92" s="9" t="s">
        <v>149</v>
      </c>
      <c r="J92" s="9" t="s">
        <v>28</v>
      </c>
      <c r="K92" s="9" t="s">
        <v>201</v>
      </c>
      <c r="L92" s="9" t="s">
        <v>150</v>
      </c>
      <c r="M92" s="9" t="s">
        <v>1155</v>
      </c>
      <c r="N92" s="9" t="s">
        <v>1155</v>
      </c>
      <c r="O92" s="10">
        <v>45904</v>
      </c>
      <c r="P92" s="11">
        <v>10492.14</v>
      </c>
      <c r="Q92" s="9">
        <f t="shared" si="1"/>
        <v>10</v>
      </c>
    </row>
    <row r="93" spans="1:17" ht="15" customHeight="1" x14ac:dyDescent="0.2">
      <c r="A93" s="9" t="s">
        <v>1233</v>
      </c>
      <c r="B93" s="9" t="s">
        <v>520</v>
      </c>
      <c r="C93" s="9" t="b">
        <f>TRUE()</f>
        <v>1</v>
      </c>
      <c r="D93" s="10">
        <v>45962</v>
      </c>
      <c r="E93" s="10">
        <v>45975</v>
      </c>
      <c r="F93" s="9" t="b">
        <f>TRUE()</f>
        <v>1</v>
      </c>
      <c r="G93" s="9" t="b">
        <f>TRUE()</f>
        <v>1</v>
      </c>
      <c r="H93" s="9" t="s">
        <v>20</v>
      </c>
      <c r="I93" s="9" t="s">
        <v>186</v>
      </c>
      <c r="J93" s="9" t="s">
        <v>25</v>
      </c>
      <c r="K93" s="9" t="s">
        <v>192</v>
      </c>
      <c r="L93" s="9" t="s">
        <v>156</v>
      </c>
      <c r="M93" s="9" t="s">
        <v>1151</v>
      </c>
      <c r="N93" s="9" t="s">
        <v>1151</v>
      </c>
      <c r="O93" s="10"/>
      <c r="P93" s="11">
        <v>635.51</v>
      </c>
      <c r="Q93" s="9">
        <f t="shared" si="1"/>
        <v>13</v>
      </c>
    </row>
    <row r="94" spans="1:17" ht="15" customHeight="1" x14ac:dyDescent="0.2">
      <c r="A94" s="9" t="s">
        <v>1234</v>
      </c>
      <c r="B94" s="9" t="s">
        <v>524</v>
      </c>
      <c r="C94" s="9" t="b">
        <f>TRUE()</f>
        <v>1</v>
      </c>
      <c r="D94" s="10">
        <v>45937</v>
      </c>
      <c r="E94" s="10"/>
      <c r="F94" s="9" t="b">
        <f>TRUE()</f>
        <v>1</v>
      </c>
      <c r="G94" s="9" t="b">
        <f>FALSE()</f>
        <v>0</v>
      </c>
      <c r="H94" s="9" t="s">
        <v>20</v>
      </c>
      <c r="I94" s="9" t="s">
        <v>149</v>
      </c>
      <c r="J94" s="9" t="s">
        <v>28</v>
      </c>
      <c r="K94" s="9" t="s">
        <v>167</v>
      </c>
      <c r="L94" s="9" t="s">
        <v>161</v>
      </c>
      <c r="M94" s="9" t="s">
        <v>1160</v>
      </c>
      <c r="N94" s="9" t="s">
        <v>1160</v>
      </c>
      <c r="O94" s="10"/>
      <c r="P94" s="11">
        <v>2812.76</v>
      </c>
      <c r="Q94" s="9" t="str">
        <f t="shared" si="1"/>
        <v/>
      </c>
    </row>
    <row r="95" spans="1:17" ht="15" customHeight="1" x14ac:dyDescent="0.2">
      <c r="A95" s="9" t="s">
        <v>1235</v>
      </c>
      <c r="B95" s="9" t="s">
        <v>531</v>
      </c>
      <c r="C95" s="9" t="b">
        <f>TRUE()</f>
        <v>1</v>
      </c>
      <c r="D95" s="10">
        <v>45958</v>
      </c>
      <c r="E95" s="10">
        <v>45979</v>
      </c>
      <c r="F95" s="9" t="b">
        <f>TRUE()</f>
        <v>1</v>
      </c>
      <c r="G95" s="9" t="b">
        <f>TRUE()</f>
        <v>1</v>
      </c>
      <c r="H95" s="9" t="s">
        <v>19</v>
      </c>
      <c r="I95" s="9" t="s">
        <v>149</v>
      </c>
      <c r="J95" s="9" t="s">
        <v>26</v>
      </c>
      <c r="K95" s="9" t="s">
        <v>210</v>
      </c>
      <c r="L95" s="9" t="s">
        <v>156</v>
      </c>
      <c r="M95" s="9" t="s">
        <v>1151</v>
      </c>
      <c r="N95" s="9" t="s">
        <v>1151</v>
      </c>
      <c r="O95" s="10"/>
      <c r="P95" s="11">
        <v>598.11</v>
      </c>
      <c r="Q95" s="9">
        <f t="shared" si="1"/>
        <v>21</v>
      </c>
    </row>
    <row r="96" spans="1:17" ht="15" customHeight="1" x14ac:dyDescent="0.2">
      <c r="A96" s="9" t="s">
        <v>1236</v>
      </c>
      <c r="B96" s="9" t="s">
        <v>532</v>
      </c>
      <c r="C96" s="9" t="b">
        <f>TRUE()</f>
        <v>1</v>
      </c>
      <c r="D96" s="10">
        <v>45855</v>
      </c>
      <c r="E96" s="10">
        <v>45882</v>
      </c>
      <c r="F96" s="9" t="b">
        <f>TRUE()</f>
        <v>1</v>
      </c>
      <c r="G96" s="9" t="b">
        <f>TRUE()</f>
        <v>1</v>
      </c>
      <c r="H96" s="9" t="s">
        <v>21</v>
      </c>
      <c r="I96" s="9" t="s">
        <v>155</v>
      </c>
      <c r="J96" s="9" t="s">
        <v>25</v>
      </c>
      <c r="K96" s="9" t="s">
        <v>183</v>
      </c>
      <c r="L96" s="9" t="s">
        <v>156</v>
      </c>
      <c r="M96" s="9" t="s">
        <v>1151</v>
      </c>
      <c r="N96" s="9" t="s">
        <v>1151</v>
      </c>
      <c r="O96" s="10"/>
      <c r="P96" s="11">
        <v>542.29</v>
      </c>
      <c r="Q96" s="9">
        <f t="shared" si="1"/>
        <v>27</v>
      </c>
    </row>
    <row r="97" spans="1:17" ht="15" customHeight="1" x14ac:dyDescent="0.2">
      <c r="A97" s="9" t="s">
        <v>1237</v>
      </c>
      <c r="B97" s="9" t="s">
        <v>534</v>
      </c>
      <c r="C97" s="9" t="b">
        <f>TRUE()</f>
        <v>1</v>
      </c>
      <c r="D97" s="10">
        <v>45882</v>
      </c>
      <c r="E97" s="10">
        <v>45909</v>
      </c>
      <c r="F97" s="9" t="b">
        <f>TRUE()</f>
        <v>1</v>
      </c>
      <c r="G97" s="9" t="b">
        <f>TRUE()</f>
        <v>1</v>
      </c>
      <c r="H97" s="9" t="s">
        <v>19</v>
      </c>
      <c r="I97" s="9" t="s">
        <v>149</v>
      </c>
      <c r="J97" s="9" t="s">
        <v>28</v>
      </c>
      <c r="K97" s="9" t="s">
        <v>207</v>
      </c>
      <c r="L97" s="9" t="s">
        <v>156</v>
      </c>
      <c r="M97" s="9" t="s">
        <v>1155</v>
      </c>
      <c r="N97" s="9" t="s">
        <v>1155</v>
      </c>
      <c r="O97" s="10">
        <v>45982</v>
      </c>
      <c r="P97" s="11">
        <v>1018.33</v>
      </c>
      <c r="Q97" s="9">
        <f t="shared" si="1"/>
        <v>27</v>
      </c>
    </row>
    <row r="98" spans="1:17" ht="15" customHeight="1" x14ac:dyDescent="0.2">
      <c r="A98" s="9" t="s">
        <v>1238</v>
      </c>
      <c r="B98" s="9" t="s">
        <v>537</v>
      </c>
      <c r="C98" s="9" t="b">
        <f>TRUE()</f>
        <v>1</v>
      </c>
      <c r="D98" s="10">
        <v>45995</v>
      </c>
      <c r="E98" s="10">
        <v>46020</v>
      </c>
      <c r="F98" s="9" t="b">
        <f>TRUE()</f>
        <v>1</v>
      </c>
      <c r="G98" s="9" t="b">
        <f>TRUE()</f>
        <v>1</v>
      </c>
      <c r="H98" s="9" t="s">
        <v>20</v>
      </c>
      <c r="I98" s="9" t="s">
        <v>149</v>
      </c>
      <c r="J98" s="9" t="s">
        <v>27</v>
      </c>
      <c r="K98" s="9" t="s">
        <v>192</v>
      </c>
      <c r="L98" s="9" t="s">
        <v>156</v>
      </c>
      <c r="M98" s="9" t="s">
        <v>1151</v>
      </c>
      <c r="N98" s="9" t="s">
        <v>1151</v>
      </c>
      <c r="O98" s="10"/>
      <c r="P98" s="11">
        <v>849.91</v>
      </c>
      <c r="Q98" s="9">
        <f t="shared" si="1"/>
        <v>25</v>
      </c>
    </row>
    <row r="99" spans="1:17" ht="15" customHeight="1" x14ac:dyDescent="0.2">
      <c r="A99" s="9" t="s">
        <v>1239</v>
      </c>
      <c r="B99" s="9" t="s">
        <v>539</v>
      </c>
      <c r="C99" s="9" t="b">
        <f>TRUE()</f>
        <v>1</v>
      </c>
      <c r="D99" s="10">
        <v>45934</v>
      </c>
      <c r="E99" s="10">
        <v>45963</v>
      </c>
      <c r="F99" s="9" t="b">
        <f>TRUE()</f>
        <v>1</v>
      </c>
      <c r="G99" s="9" t="b">
        <f>TRUE()</f>
        <v>1</v>
      </c>
      <c r="H99" s="9" t="s">
        <v>21</v>
      </c>
      <c r="I99" s="9" t="s">
        <v>149</v>
      </c>
      <c r="J99" s="9" t="s">
        <v>26</v>
      </c>
      <c r="K99" s="9" t="s">
        <v>183</v>
      </c>
      <c r="L99" s="9" t="s">
        <v>156</v>
      </c>
      <c r="M99" s="9" t="s">
        <v>1151</v>
      </c>
      <c r="N99" s="9" t="s">
        <v>1151</v>
      </c>
      <c r="O99" s="10"/>
      <c r="P99" s="11">
        <v>697.3</v>
      </c>
      <c r="Q99" s="9">
        <f t="shared" si="1"/>
        <v>29</v>
      </c>
    </row>
    <row r="100" spans="1:17" ht="15" customHeight="1" x14ac:dyDescent="0.2">
      <c r="A100" s="9" t="s">
        <v>1240</v>
      </c>
      <c r="B100" s="9" t="s">
        <v>540</v>
      </c>
      <c r="C100" s="9" t="b">
        <f>TRUE()</f>
        <v>1</v>
      </c>
      <c r="D100" s="10">
        <v>45793</v>
      </c>
      <c r="E100" s="10">
        <v>45834</v>
      </c>
      <c r="F100" s="9" t="b">
        <f>TRUE()</f>
        <v>1</v>
      </c>
      <c r="G100" s="9" t="b">
        <f>TRUE()</f>
        <v>1</v>
      </c>
      <c r="H100" s="9" t="s">
        <v>20</v>
      </c>
      <c r="I100" s="9" t="s">
        <v>149</v>
      </c>
      <c r="J100" s="9" t="s">
        <v>25</v>
      </c>
      <c r="K100" s="9" t="s">
        <v>189</v>
      </c>
      <c r="L100" s="9" t="s">
        <v>150</v>
      </c>
      <c r="M100" s="9" t="s">
        <v>1155</v>
      </c>
      <c r="N100" s="9" t="s">
        <v>1155</v>
      </c>
      <c r="O100" s="10">
        <v>45983</v>
      </c>
      <c r="P100" s="11">
        <v>6827.52</v>
      </c>
      <c r="Q100" s="9">
        <f t="shared" si="1"/>
        <v>41</v>
      </c>
    </row>
    <row r="101" spans="1:17" ht="15" customHeight="1" x14ac:dyDescent="0.2">
      <c r="A101" s="9" t="s">
        <v>1241</v>
      </c>
      <c r="B101" s="9" t="s">
        <v>542</v>
      </c>
      <c r="C101" s="9" t="b">
        <f>TRUE()</f>
        <v>1</v>
      </c>
      <c r="D101" s="10">
        <v>45990</v>
      </c>
      <c r="E101" s="10">
        <v>46005</v>
      </c>
      <c r="F101" s="9" t="b">
        <f>TRUE()</f>
        <v>1</v>
      </c>
      <c r="G101" s="9" t="b">
        <f>TRUE()</f>
        <v>1</v>
      </c>
      <c r="H101" s="9" t="s">
        <v>19</v>
      </c>
      <c r="I101" s="9" t="s">
        <v>149</v>
      </c>
      <c r="J101" s="9" t="s">
        <v>25</v>
      </c>
      <c r="K101" s="9" t="s">
        <v>179</v>
      </c>
      <c r="L101" s="9" t="s">
        <v>156</v>
      </c>
      <c r="M101" s="9" t="s">
        <v>1151</v>
      </c>
      <c r="N101" s="9" t="s">
        <v>1151</v>
      </c>
      <c r="O101" s="10"/>
      <c r="P101" s="11">
        <v>878.74</v>
      </c>
      <c r="Q101" s="9">
        <f t="shared" si="1"/>
        <v>15</v>
      </c>
    </row>
    <row r="102" spans="1:17" ht="15" customHeight="1" x14ac:dyDescent="0.2">
      <c r="A102" s="9" t="s">
        <v>1242</v>
      </c>
      <c r="B102" s="9" t="s">
        <v>543</v>
      </c>
      <c r="C102" s="9" t="b">
        <f>TRUE()</f>
        <v>1</v>
      </c>
      <c r="D102" s="10">
        <v>46036</v>
      </c>
      <c r="E102" s="10"/>
      <c r="F102" s="9" t="b">
        <f>TRUE()</f>
        <v>1</v>
      </c>
      <c r="G102" s="9" t="b">
        <f>FALSE()</f>
        <v>0</v>
      </c>
      <c r="H102" s="9" t="s">
        <v>21</v>
      </c>
      <c r="I102" s="9" t="s">
        <v>149</v>
      </c>
      <c r="J102" s="9" t="s">
        <v>28</v>
      </c>
      <c r="K102" s="9" t="s">
        <v>183</v>
      </c>
      <c r="L102" s="9" t="s">
        <v>156</v>
      </c>
      <c r="M102" s="9" t="s">
        <v>1160</v>
      </c>
      <c r="N102" s="9" t="s">
        <v>1160</v>
      </c>
      <c r="O102" s="10"/>
      <c r="P102" s="11">
        <v>725.42</v>
      </c>
      <c r="Q102" s="9" t="str">
        <f t="shared" si="1"/>
        <v/>
      </c>
    </row>
    <row r="103" spans="1:17" ht="15" customHeight="1" x14ac:dyDescent="0.2">
      <c r="A103" s="9" t="s">
        <v>83</v>
      </c>
      <c r="B103" s="9" t="s">
        <v>1157</v>
      </c>
      <c r="C103" s="9" t="b">
        <f>FALSE()</f>
        <v>0</v>
      </c>
      <c r="D103" s="10">
        <v>45684</v>
      </c>
      <c r="E103" s="10">
        <v>45690</v>
      </c>
      <c r="F103" s="9" t="b">
        <f>TRUE()</f>
        <v>1</v>
      </c>
      <c r="G103" s="9" t="b">
        <f>TRUE()</f>
        <v>1</v>
      </c>
      <c r="H103" s="9" t="s">
        <v>22</v>
      </c>
      <c r="I103" s="9" t="s">
        <v>155</v>
      </c>
      <c r="J103" s="9" t="s">
        <v>27</v>
      </c>
      <c r="K103" s="9" t="s">
        <v>170</v>
      </c>
      <c r="L103" s="9" t="s">
        <v>161</v>
      </c>
      <c r="M103" s="9" t="s">
        <v>1151</v>
      </c>
      <c r="N103" s="9" t="s">
        <v>1151</v>
      </c>
      <c r="O103" s="10"/>
      <c r="P103" s="11">
        <v>1561.49</v>
      </c>
      <c r="Q103" s="9">
        <f t="shared" si="1"/>
        <v>6</v>
      </c>
    </row>
    <row r="104" spans="1:17" ht="15" customHeight="1" x14ac:dyDescent="0.2">
      <c r="A104" s="9" t="s">
        <v>1243</v>
      </c>
      <c r="B104" s="9" t="s">
        <v>553</v>
      </c>
      <c r="C104" s="9" t="b">
        <f>TRUE()</f>
        <v>1</v>
      </c>
      <c r="D104" s="10">
        <v>45921</v>
      </c>
      <c r="E104" s="10">
        <v>45958</v>
      </c>
      <c r="F104" s="9" t="b">
        <f>TRUE()</f>
        <v>1</v>
      </c>
      <c r="G104" s="9" t="b">
        <f>TRUE()</f>
        <v>1</v>
      </c>
      <c r="H104" s="9" t="s">
        <v>19</v>
      </c>
      <c r="I104" s="9" t="s">
        <v>186</v>
      </c>
      <c r="J104" s="9" t="s">
        <v>25</v>
      </c>
      <c r="K104" s="9" t="s">
        <v>210</v>
      </c>
      <c r="L104" s="9" t="s">
        <v>156</v>
      </c>
      <c r="M104" s="9" t="s">
        <v>1151</v>
      </c>
      <c r="N104" s="9" t="s">
        <v>1151</v>
      </c>
      <c r="O104" s="10"/>
      <c r="P104" s="11">
        <v>880.85</v>
      </c>
      <c r="Q104" s="9">
        <f t="shared" si="1"/>
        <v>37</v>
      </c>
    </row>
    <row r="105" spans="1:17" ht="15" customHeight="1" x14ac:dyDescent="0.2">
      <c r="A105" s="9" t="s">
        <v>1244</v>
      </c>
      <c r="B105" s="9" t="s">
        <v>554</v>
      </c>
      <c r="C105" s="9" t="b">
        <f>TRUE()</f>
        <v>1</v>
      </c>
      <c r="D105" s="10">
        <v>45787</v>
      </c>
      <c r="E105" s="10">
        <v>45827</v>
      </c>
      <c r="F105" s="9" t="b">
        <f>TRUE()</f>
        <v>1</v>
      </c>
      <c r="G105" s="9" t="b">
        <f>TRUE()</f>
        <v>1</v>
      </c>
      <c r="H105" s="9" t="s">
        <v>22</v>
      </c>
      <c r="I105" s="9" t="s">
        <v>149</v>
      </c>
      <c r="J105" s="9" t="s">
        <v>25</v>
      </c>
      <c r="K105" s="9" t="s">
        <v>165</v>
      </c>
      <c r="L105" s="9" t="s">
        <v>156</v>
      </c>
      <c r="M105" s="9" t="s">
        <v>1151</v>
      </c>
      <c r="N105" s="9" t="s">
        <v>1151</v>
      </c>
      <c r="O105" s="10"/>
      <c r="P105" s="11">
        <v>765.99</v>
      </c>
      <c r="Q105" s="9">
        <f t="shared" si="1"/>
        <v>40</v>
      </c>
    </row>
    <row r="106" spans="1:17" ht="15" customHeight="1" x14ac:dyDescent="0.2">
      <c r="A106" s="9" t="s">
        <v>103</v>
      </c>
      <c r="B106" s="9" t="s">
        <v>565</v>
      </c>
      <c r="C106" s="9" t="b">
        <f>TRUE()</f>
        <v>1</v>
      </c>
      <c r="D106" s="10">
        <v>45769</v>
      </c>
      <c r="E106" s="10">
        <v>45801</v>
      </c>
      <c r="F106" s="9" t="b">
        <f>TRUE()</f>
        <v>1</v>
      </c>
      <c r="G106" s="9" t="b">
        <f>TRUE()</f>
        <v>1</v>
      </c>
      <c r="H106" s="9" t="s">
        <v>18</v>
      </c>
      <c r="I106" s="9" t="s">
        <v>155</v>
      </c>
      <c r="J106" s="9" t="s">
        <v>27</v>
      </c>
      <c r="K106" s="9" t="s">
        <v>201</v>
      </c>
      <c r="L106" s="9" t="s">
        <v>156</v>
      </c>
      <c r="M106" s="9" t="s">
        <v>1155</v>
      </c>
      <c r="N106" s="9" t="s">
        <v>1155</v>
      </c>
      <c r="O106" s="10"/>
      <c r="P106" s="11">
        <v>615.38</v>
      </c>
      <c r="Q106" s="9">
        <f t="shared" si="1"/>
        <v>32</v>
      </c>
    </row>
    <row r="107" spans="1:17" ht="15" customHeight="1" x14ac:dyDescent="0.2">
      <c r="A107" s="9" t="s">
        <v>1245</v>
      </c>
      <c r="B107" s="9" t="s">
        <v>574</v>
      </c>
      <c r="C107" s="9" t="b">
        <f>TRUE()</f>
        <v>1</v>
      </c>
      <c r="D107" s="10">
        <v>45766</v>
      </c>
      <c r="E107" s="10">
        <v>45784</v>
      </c>
      <c r="F107" s="9" t="b">
        <f>TRUE()</f>
        <v>1</v>
      </c>
      <c r="G107" s="9" t="b">
        <f>TRUE()</f>
        <v>1</v>
      </c>
      <c r="H107" s="9" t="s">
        <v>21</v>
      </c>
      <c r="I107" s="9" t="s">
        <v>149</v>
      </c>
      <c r="J107" s="9" t="s">
        <v>24</v>
      </c>
      <c r="K107" s="9" t="s">
        <v>162</v>
      </c>
      <c r="L107" s="9" t="s">
        <v>156</v>
      </c>
      <c r="M107" s="9" t="s">
        <v>1151</v>
      </c>
      <c r="N107" s="9" t="s">
        <v>1151</v>
      </c>
      <c r="O107" s="10"/>
      <c r="P107" s="11">
        <v>748.72</v>
      </c>
      <c r="Q107" s="9">
        <f t="shared" si="1"/>
        <v>18</v>
      </c>
    </row>
    <row r="108" spans="1:17" ht="15" customHeight="1" x14ac:dyDescent="0.2">
      <c r="A108" s="9" t="s">
        <v>1246</v>
      </c>
      <c r="B108" s="9" t="s">
        <v>584</v>
      </c>
      <c r="C108" s="9" t="b">
        <f>TRUE()</f>
        <v>1</v>
      </c>
      <c r="D108" s="10">
        <v>45724</v>
      </c>
      <c r="E108" s="10">
        <v>45766</v>
      </c>
      <c r="F108" s="9" t="b">
        <f>TRUE()</f>
        <v>1</v>
      </c>
      <c r="G108" s="9" t="b">
        <f>TRUE()</f>
        <v>1</v>
      </c>
      <c r="H108" s="9" t="s">
        <v>22</v>
      </c>
      <c r="I108" s="9" t="s">
        <v>186</v>
      </c>
      <c r="J108" s="9" t="s">
        <v>27</v>
      </c>
      <c r="K108" s="9" t="s">
        <v>165</v>
      </c>
      <c r="L108" s="9" t="s">
        <v>156</v>
      </c>
      <c r="M108" s="9" t="s">
        <v>1151</v>
      </c>
      <c r="N108" s="9" t="s">
        <v>1151</v>
      </c>
      <c r="O108" s="10"/>
      <c r="P108" s="11">
        <v>819.04</v>
      </c>
      <c r="Q108" s="9">
        <f t="shared" si="1"/>
        <v>42</v>
      </c>
    </row>
    <row r="109" spans="1:17" ht="15" customHeight="1" x14ac:dyDescent="0.2">
      <c r="A109" s="9" t="s">
        <v>1247</v>
      </c>
      <c r="B109" s="9" t="s">
        <v>585</v>
      </c>
      <c r="C109" s="9" t="b">
        <f>TRUE()</f>
        <v>1</v>
      </c>
      <c r="D109" s="10">
        <v>45806</v>
      </c>
      <c r="E109" s="10">
        <v>45846</v>
      </c>
      <c r="F109" s="9" t="b">
        <f>TRUE()</f>
        <v>1</v>
      </c>
      <c r="G109" s="9" t="b">
        <f>TRUE()</f>
        <v>1</v>
      </c>
      <c r="H109" s="9" t="s">
        <v>22</v>
      </c>
      <c r="I109" s="9" t="s">
        <v>149</v>
      </c>
      <c r="J109" s="9" t="s">
        <v>25</v>
      </c>
      <c r="K109" s="9" t="s">
        <v>170</v>
      </c>
      <c r="L109" s="9" t="s">
        <v>156</v>
      </c>
      <c r="M109" s="9" t="s">
        <v>1151</v>
      </c>
      <c r="N109" s="9" t="s">
        <v>1151</v>
      </c>
      <c r="O109" s="10"/>
      <c r="P109" s="11">
        <v>763.39</v>
      </c>
      <c r="Q109" s="9">
        <f t="shared" si="1"/>
        <v>40</v>
      </c>
    </row>
    <row r="110" spans="1:17" ht="15" customHeight="1" x14ac:dyDescent="0.2">
      <c r="A110" s="9" t="s">
        <v>1248</v>
      </c>
      <c r="B110" s="9" t="s">
        <v>586</v>
      </c>
      <c r="C110" s="9" t="b">
        <f>TRUE()</f>
        <v>1</v>
      </c>
      <c r="D110" s="10">
        <v>45780</v>
      </c>
      <c r="E110" s="10">
        <v>45798</v>
      </c>
      <c r="F110" s="9" t="b">
        <f>TRUE()</f>
        <v>1</v>
      </c>
      <c r="G110" s="9" t="b">
        <f>TRUE()</f>
        <v>1</v>
      </c>
      <c r="H110" s="9" t="s">
        <v>21</v>
      </c>
      <c r="I110" s="9" t="s">
        <v>149</v>
      </c>
      <c r="J110" s="9" t="s">
        <v>26</v>
      </c>
      <c r="K110" s="9" t="s">
        <v>176</v>
      </c>
      <c r="L110" s="9" t="s">
        <v>161</v>
      </c>
      <c r="M110" s="9" t="s">
        <v>1155</v>
      </c>
      <c r="N110" s="9" t="s">
        <v>1155</v>
      </c>
      <c r="O110" s="10">
        <v>45953</v>
      </c>
      <c r="P110" s="11">
        <v>2809.94</v>
      </c>
      <c r="Q110" s="9">
        <f t="shared" si="1"/>
        <v>18</v>
      </c>
    </row>
    <row r="111" spans="1:17" ht="15" customHeight="1" x14ac:dyDescent="0.2">
      <c r="A111" s="9" t="s">
        <v>1249</v>
      </c>
      <c r="B111" s="9" t="s">
        <v>591</v>
      </c>
      <c r="C111" s="9" t="b">
        <f>TRUE()</f>
        <v>1</v>
      </c>
      <c r="D111" s="10">
        <v>45993</v>
      </c>
      <c r="E111" s="10">
        <v>46037</v>
      </c>
      <c r="F111" s="9" t="b">
        <f>TRUE()</f>
        <v>1</v>
      </c>
      <c r="G111" s="9" t="b">
        <f>TRUE()</f>
        <v>1</v>
      </c>
      <c r="H111" s="9" t="s">
        <v>22</v>
      </c>
      <c r="I111" s="9" t="s">
        <v>149</v>
      </c>
      <c r="J111" s="9" t="s">
        <v>26</v>
      </c>
      <c r="K111" s="9" t="s">
        <v>170</v>
      </c>
      <c r="L111" s="9" t="s">
        <v>161</v>
      </c>
      <c r="M111" s="9" t="s">
        <v>1151</v>
      </c>
      <c r="N111" s="9" t="s">
        <v>1151</v>
      </c>
      <c r="O111" s="10"/>
      <c r="P111" s="11">
        <v>3061.41</v>
      </c>
      <c r="Q111" s="9">
        <f t="shared" si="1"/>
        <v>44</v>
      </c>
    </row>
    <row r="112" spans="1:17" ht="15" customHeight="1" x14ac:dyDescent="0.2">
      <c r="A112" s="9" t="s">
        <v>1250</v>
      </c>
      <c r="B112" s="9" t="s">
        <v>596</v>
      </c>
      <c r="C112" s="9" t="b">
        <f>TRUE()</f>
        <v>1</v>
      </c>
      <c r="D112" s="10">
        <v>45904</v>
      </c>
      <c r="E112" s="10">
        <v>45949</v>
      </c>
      <c r="F112" s="9" t="b">
        <f>TRUE()</f>
        <v>1</v>
      </c>
      <c r="G112" s="9" t="b">
        <f>TRUE()</f>
        <v>1</v>
      </c>
      <c r="H112" s="9" t="s">
        <v>22</v>
      </c>
      <c r="I112" s="9" t="s">
        <v>186</v>
      </c>
      <c r="J112" s="9" t="s">
        <v>25</v>
      </c>
      <c r="K112" s="9" t="s">
        <v>170</v>
      </c>
      <c r="L112" s="9" t="s">
        <v>156</v>
      </c>
      <c r="M112" s="9" t="s">
        <v>1151</v>
      </c>
      <c r="N112" s="9" t="s">
        <v>1151</v>
      </c>
      <c r="O112" s="10"/>
      <c r="P112" s="11">
        <v>834.52</v>
      </c>
      <c r="Q112" s="9">
        <f t="shared" si="1"/>
        <v>45</v>
      </c>
    </row>
    <row r="113" spans="1:17" ht="15" customHeight="1" x14ac:dyDescent="0.2">
      <c r="A113" s="9" t="s">
        <v>1251</v>
      </c>
      <c r="B113" s="9" t="s">
        <v>606</v>
      </c>
      <c r="C113" s="9" t="b">
        <f>TRUE()</f>
        <v>1</v>
      </c>
      <c r="D113" s="10">
        <v>45741</v>
      </c>
      <c r="E113" s="10"/>
      <c r="F113" s="9" t="b">
        <f>TRUE()</f>
        <v>1</v>
      </c>
      <c r="G113" s="9" t="b">
        <f>FALSE()</f>
        <v>0</v>
      </c>
      <c r="H113" s="9" t="s">
        <v>20</v>
      </c>
      <c r="I113" s="9" t="s">
        <v>149</v>
      </c>
      <c r="J113" s="9" t="s">
        <v>27</v>
      </c>
      <c r="K113" s="9" t="s">
        <v>192</v>
      </c>
      <c r="L113" s="9" t="s">
        <v>156</v>
      </c>
      <c r="M113" s="9" t="s">
        <v>1160</v>
      </c>
      <c r="N113" s="9" t="s">
        <v>1160</v>
      </c>
      <c r="O113" s="10"/>
      <c r="P113" s="11">
        <v>699.36</v>
      </c>
      <c r="Q113" s="9" t="str">
        <f t="shared" si="1"/>
        <v/>
      </c>
    </row>
    <row r="114" spans="1:17" ht="15" customHeight="1" x14ac:dyDescent="0.2">
      <c r="A114" s="9" t="s">
        <v>1252</v>
      </c>
      <c r="B114" s="9" t="s">
        <v>621</v>
      </c>
      <c r="C114" s="9" t="b">
        <f>TRUE()</f>
        <v>1</v>
      </c>
      <c r="D114" s="10">
        <v>45980</v>
      </c>
      <c r="E114" s="10">
        <v>46014</v>
      </c>
      <c r="F114" s="9" t="b">
        <f>TRUE()</f>
        <v>1</v>
      </c>
      <c r="G114" s="9" t="b">
        <f>TRUE()</f>
        <v>1</v>
      </c>
      <c r="H114" s="9" t="s">
        <v>19</v>
      </c>
      <c r="I114" s="9" t="s">
        <v>186</v>
      </c>
      <c r="J114" s="9" t="s">
        <v>26</v>
      </c>
      <c r="K114" s="9" t="s">
        <v>210</v>
      </c>
      <c r="L114" s="9" t="s">
        <v>156</v>
      </c>
      <c r="M114" s="9" t="s">
        <v>1151</v>
      </c>
      <c r="N114" s="9" t="s">
        <v>1151</v>
      </c>
      <c r="O114" s="10"/>
      <c r="P114" s="11">
        <v>840.18</v>
      </c>
      <c r="Q114" s="9">
        <f t="shared" si="1"/>
        <v>34</v>
      </c>
    </row>
    <row r="115" spans="1:17" ht="15" customHeight="1" x14ac:dyDescent="0.2">
      <c r="A115" s="9" t="s">
        <v>1253</v>
      </c>
      <c r="B115" s="9" t="s">
        <v>622</v>
      </c>
      <c r="C115" s="9" t="b">
        <f>TRUE()</f>
        <v>1</v>
      </c>
      <c r="D115" s="10">
        <v>45700</v>
      </c>
      <c r="E115" s="10">
        <v>45720</v>
      </c>
      <c r="F115" s="9" t="b">
        <f>TRUE()</f>
        <v>1</v>
      </c>
      <c r="G115" s="9" t="b">
        <f>TRUE()</f>
        <v>1</v>
      </c>
      <c r="H115" s="9" t="s">
        <v>20</v>
      </c>
      <c r="I115" s="9" t="s">
        <v>155</v>
      </c>
      <c r="J115" s="9" t="s">
        <v>25</v>
      </c>
      <c r="K115" s="9" t="s">
        <v>192</v>
      </c>
      <c r="L115" s="9" t="s">
        <v>156</v>
      </c>
      <c r="M115" s="9" t="s">
        <v>1151</v>
      </c>
      <c r="N115" s="9" t="s">
        <v>1151</v>
      </c>
      <c r="O115" s="10"/>
      <c r="P115" s="11">
        <v>522.46</v>
      </c>
      <c r="Q115" s="9">
        <f t="shared" si="1"/>
        <v>20</v>
      </c>
    </row>
    <row r="116" spans="1:17" ht="15" customHeight="1" x14ac:dyDescent="0.2">
      <c r="A116" s="9" t="s">
        <v>1254</v>
      </c>
      <c r="B116" s="9" t="s">
        <v>626</v>
      </c>
      <c r="C116" s="9" t="b">
        <f>TRUE()</f>
        <v>1</v>
      </c>
      <c r="D116" s="10">
        <v>45883</v>
      </c>
      <c r="E116" s="10"/>
      <c r="F116" s="9" t="b">
        <f>TRUE()</f>
        <v>1</v>
      </c>
      <c r="G116" s="9" t="b">
        <f>FALSE()</f>
        <v>0</v>
      </c>
      <c r="H116" s="9" t="s">
        <v>20</v>
      </c>
      <c r="I116" s="9" t="s">
        <v>160</v>
      </c>
      <c r="J116" s="9" t="s">
        <v>25</v>
      </c>
      <c r="K116" s="9" t="s">
        <v>192</v>
      </c>
      <c r="L116" s="9" t="s">
        <v>156</v>
      </c>
      <c r="M116" s="9" t="s">
        <v>1160</v>
      </c>
      <c r="N116" s="9" t="s">
        <v>1160</v>
      </c>
      <c r="O116" s="10"/>
      <c r="P116" s="11">
        <v>822.3</v>
      </c>
      <c r="Q116" s="9" t="str">
        <f t="shared" si="1"/>
        <v/>
      </c>
    </row>
    <row r="117" spans="1:17" ht="15" customHeight="1" x14ac:dyDescent="0.2">
      <c r="A117" s="9" t="s">
        <v>1255</v>
      </c>
      <c r="B117" s="9" t="s">
        <v>55</v>
      </c>
      <c r="C117" s="9" t="b">
        <f>TRUE()</f>
        <v>1</v>
      </c>
      <c r="D117" s="10">
        <v>46025</v>
      </c>
      <c r="E117" s="10"/>
      <c r="F117" s="9" t="b">
        <f>TRUE()</f>
        <v>1</v>
      </c>
      <c r="G117" s="9" t="b">
        <f>FALSE()</f>
        <v>0</v>
      </c>
      <c r="H117" s="9" t="s">
        <v>20</v>
      </c>
      <c r="I117" s="9" t="s">
        <v>160</v>
      </c>
      <c r="J117" s="9" t="s">
        <v>25</v>
      </c>
      <c r="K117" s="9" t="s">
        <v>167</v>
      </c>
      <c r="L117" s="9" t="s">
        <v>161</v>
      </c>
      <c r="M117" s="9" t="s">
        <v>1160</v>
      </c>
      <c r="N117" s="9" t="s">
        <v>1160</v>
      </c>
      <c r="O117" s="10"/>
      <c r="P117" s="11">
        <v>1889.8</v>
      </c>
      <c r="Q117" s="9" t="str">
        <f t="shared" si="1"/>
        <v/>
      </c>
    </row>
    <row r="118" spans="1:17" ht="15" customHeight="1" x14ac:dyDescent="0.2">
      <c r="A118" s="9" t="s">
        <v>1256</v>
      </c>
      <c r="B118" s="9" t="s">
        <v>635</v>
      </c>
      <c r="C118" s="9" t="b">
        <f>TRUE()</f>
        <v>1</v>
      </c>
      <c r="D118" s="10">
        <v>45720</v>
      </c>
      <c r="E118" s="10">
        <v>45762</v>
      </c>
      <c r="F118" s="9" t="b">
        <f>TRUE()</f>
        <v>1</v>
      </c>
      <c r="G118" s="9" t="b">
        <f>TRUE()</f>
        <v>1</v>
      </c>
      <c r="H118" s="9" t="s">
        <v>20</v>
      </c>
      <c r="I118" s="9" t="s">
        <v>149</v>
      </c>
      <c r="J118" s="9" t="s">
        <v>24</v>
      </c>
      <c r="K118" s="9" t="s">
        <v>192</v>
      </c>
      <c r="L118" s="9" t="s">
        <v>150</v>
      </c>
      <c r="M118" s="9" t="s">
        <v>1151</v>
      </c>
      <c r="N118" s="9" t="s">
        <v>1151</v>
      </c>
      <c r="O118" s="10"/>
      <c r="P118" s="11">
        <v>8251.14</v>
      </c>
      <c r="Q118" s="9">
        <f t="shared" si="1"/>
        <v>42</v>
      </c>
    </row>
    <row r="119" spans="1:17" ht="15" customHeight="1" x14ac:dyDescent="0.2">
      <c r="A119" s="9" t="s">
        <v>1257</v>
      </c>
      <c r="B119" s="9" t="s">
        <v>639</v>
      </c>
      <c r="C119" s="9" t="b">
        <f>TRUE()</f>
        <v>1</v>
      </c>
      <c r="D119" s="10">
        <v>45879</v>
      </c>
      <c r="E119" s="10">
        <v>45891</v>
      </c>
      <c r="F119" s="9" t="b">
        <f>TRUE()</f>
        <v>1</v>
      </c>
      <c r="G119" s="9" t="b">
        <f>TRUE()</f>
        <v>1</v>
      </c>
      <c r="H119" s="9" t="s">
        <v>20</v>
      </c>
      <c r="I119" s="9" t="s">
        <v>155</v>
      </c>
      <c r="J119" s="9" t="s">
        <v>25</v>
      </c>
      <c r="K119" s="9" t="s">
        <v>189</v>
      </c>
      <c r="L119" s="9" t="s">
        <v>156</v>
      </c>
      <c r="M119" s="9" t="s">
        <v>1151</v>
      </c>
      <c r="N119" s="9" t="s">
        <v>1151</v>
      </c>
      <c r="O119" s="10"/>
      <c r="P119" s="11">
        <v>673.11</v>
      </c>
      <c r="Q119" s="9">
        <f t="shared" si="1"/>
        <v>12</v>
      </c>
    </row>
    <row r="120" spans="1:17" ht="15" customHeight="1" x14ac:dyDescent="0.2">
      <c r="A120" s="9" t="s">
        <v>1258</v>
      </c>
      <c r="B120" s="9" t="s">
        <v>645</v>
      </c>
      <c r="C120" s="9" t="b">
        <f>TRUE()</f>
        <v>1</v>
      </c>
      <c r="D120" s="10">
        <v>45688</v>
      </c>
      <c r="E120" s="10">
        <v>45706</v>
      </c>
      <c r="F120" s="9" t="b">
        <f>TRUE()</f>
        <v>1</v>
      </c>
      <c r="G120" s="9" t="b">
        <f>TRUE()</f>
        <v>1</v>
      </c>
      <c r="H120" s="9" t="s">
        <v>18</v>
      </c>
      <c r="I120" s="9" t="s">
        <v>149</v>
      </c>
      <c r="J120" s="9" t="s">
        <v>24</v>
      </c>
      <c r="K120" s="9" t="s">
        <v>251</v>
      </c>
      <c r="L120" s="9" t="s">
        <v>161</v>
      </c>
      <c r="M120" s="9" t="s">
        <v>1151</v>
      </c>
      <c r="N120" s="9" t="s">
        <v>1151</v>
      </c>
      <c r="O120" s="10"/>
      <c r="P120" s="11">
        <v>2163.86</v>
      </c>
      <c r="Q120" s="9">
        <f t="shared" si="1"/>
        <v>18</v>
      </c>
    </row>
    <row r="121" spans="1:17" ht="15" customHeight="1" x14ac:dyDescent="0.2">
      <c r="A121" s="9" t="s">
        <v>1259</v>
      </c>
      <c r="B121" s="9" t="s">
        <v>653</v>
      </c>
      <c r="C121" s="9" t="b">
        <f>TRUE()</f>
        <v>1</v>
      </c>
      <c r="D121" s="10">
        <v>45896</v>
      </c>
      <c r="E121" s="10">
        <v>45941</v>
      </c>
      <c r="F121" s="9" t="b">
        <f>TRUE()</f>
        <v>1</v>
      </c>
      <c r="G121" s="9" t="b">
        <f>TRUE()</f>
        <v>1</v>
      </c>
      <c r="H121" s="9" t="s">
        <v>22</v>
      </c>
      <c r="I121" s="9" t="s">
        <v>149</v>
      </c>
      <c r="J121" s="9" t="s">
        <v>24</v>
      </c>
      <c r="K121" s="9" t="s">
        <v>165</v>
      </c>
      <c r="L121" s="9" t="s">
        <v>161</v>
      </c>
      <c r="M121" s="9" t="s">
        <v>1151</v>
      </c>
      <c r="N121" s="9" t="s">
        <v>1151</v>
      </c>
      <c r="O121" s="10"/>
      <c r="P121" s="11">
        <v>3086.02</v>
      </c>
      <c r="Q121" s="9">
        <f t="shared" si="1"/>
        <v>45</v>
      </c>
    </row>
    <row r="122" spans="1:17" ht="15" customHeight="1" x14ac:dyDescent="0.2">
      <c r="A122" s="9" t="s">
        <v>1260</v>
      </c>
      <c r="B122" s="9" t="s">
        <v>655</v>
      </c>
      <c r="C122" s="9" t="b">
        <f>TRUE()</f>
        <v>1</v>
      </c>
      <c r="D122" s="10">
        <v>45856</v>
      </c>
      <c r="E122" s="10">
        <v>45899</v>
      </c>
      <c r="F122" s="9" t="b">
        <f>TRUE()</f>
        <v>1</v>
      </c>
      <c r="G122" s="9" t="b">
        <f>TRUE()</f>
        <v>1</v>
      </c>
      <c r="H122" s="9" t="s">
        <v>22</v>
      </c>
      <c r="I122" s="9" t="s">
        <v>160</v>
      </c>
      <c r="J122" s="9" t="s">
        <v>26</v>
      </c>
      <c r="K122" s="9" t="s">
        <v>151</v>
      </c>
      <c r="L122" s="9" t="s">
        <v>156</v>
      </c>
      <c r="M122" s="9" t="s">
        <v>1151</v>
      </c>
      <c r="N122" s="9" t="s">
        <v>1151</v>
      </c>
      <c r="O122" s="10"/>
      <c r="P122" s="11">
        <v>846.03</v>
      </c>
      <c r="Q122" s="9">
        <f t="shared" si="1"/>
        <v>43</v>
      </c>
    </row>
    <row r="123" spans="1:17" ht="15" customHeight="1" x14ac:dyDescent="0.2">
      <c r="A123" s="9" t="s">
        <v>1261</v>
      </c>
      <c r="B123" s="9" t="s">
        <v>69</v>
      </c>
      <c r="C123" s="9" t="b">
        <f>TRUE()</f>
        <v>1</v>
      </c>
      <c r="D123" s="10">
        <v>45712</v>
      </c>
      <c r="E123" s="10">
        <v>45741</v>
      </c>
      <c r="F123" s="9" t="b">
        <f>TRUE()</f>
        <v>1</v>
      </c>
      <c r="G123" s="9" t="b">
        <f>TRUE()</f>
        <v>1</v>
      </c>
      <c r="H123" s="9" t="s">
        <v>22</v>
      </c>
      <c r="I123" s="9" t="s">
        <v>160</v>
      </c>
      <c r="J123" s="9" t="s">
        <v>27</v>
      </c>
      <c r="K123" s="9" t="s">
        <v>170</v>
      </c>
      <c r="L123" s="9" t="s">
        <v>156</v>
      </c>
      <c r="M123" s="9" t="s">
        <v>1155</v>
      </c>
      <c r="N123" s="9" t="s">
        <v>1155</v>
      </c>
      <c r="O123" s="10">
        <v>45939</v>
      </c>
      <c r="P123" s="11">
        <v>918.35</v>
      </c>
      <c r="Q123" s="9">
        <f t="shared" si="1"/>
        <v>29</v>
      </c>
    </row>
    <row r="124" spans="1:17" ht="15" customHeight="1" x14ac:dyDescent="0.2">
      <c r="A124" s="9" t="s">
        <v>1262</v>
      </c>
      <c r="B124" s="9" t="s">
        <v>664</v>
      </c>
      <c r="C124" s="9" t="b">
        <f>TRUE()</f>
        <v>1</v>
      </c>
      <c r="D124" s="10">
        <v>45782</v>
      </c>
      <c r="E124" s="10">
        <v>45831</v>
      </c>
      <c r="F124" s="9" t="b">
        <f>TRUE()</f>
        <v>1</v>
      </c>
      <c r="G124" s="9" t="b">
        <f>TRUE()</f>
        <v>1</v>
      </c>
      <c r="H124" s="9" t="s">
        <v>20</v>
      </c>
      <c r="I124" s="9" t="s">
        <v>149</v>
      </c>
      <c r="J124" s="9" t="s">
        <v>26</v>
      </c>
      <c r="K124" s="9" t="s">
        <v>167</v>
      </c>
      <c r="L124" s="9" t="s">
        <v>161</v>
      </c>
      <c r="M124" s="9" t="s">
        <v>1151</v>
      </c>
      <c r="N124" s="9" t="s">
        <v>1151</v>
      </c>
      <c r="O124" s="10"/>
      <c r="P124" s="11">
        <v>3027.87</v>
      </c>
      <c r="Q124" s="9">
        <f t="shared" si="1"/>
        <v>49</v>
      </c>
    </row>
    <row r="125" spans="1:17" ht="15" customHeight="1" x14ac:dyDescent="0.2">
      <c r="A125" s="9" t="s">
        <v>1263</v>
      </c>
      <c r="B125" s="9" t="s">
        <v>665</v>
      </c>
      <c r="C125" s="9" t="b">
        <f>TRUE()</f>
        <v>1</v>
      </c>
      <c r="D125" s="10">
        <v>45920</v>
      </c>
      <c r="E125" s="10">
        <v>45956</v>
      </c>
      <c r="F125" s="9" t="b">
        <f>TRUE()</f>
        <v>1</v>
      </c>
      <c r="G125" s="9" t="b">
        <f>TRUE()</f>
        <v>1</v>
      </c>
      <c r="H125" s="9" t="s">
        <v>22</v>
      </c>
      <c r="I125" s="9" t="s">
        <v>186</v>
      </c>
      <c r="J125" s="9" t="s">
        <v>25</v>
      </c>
      <c r="K125" s="9" t="s">
        <v>165</v>
      </c>
      <c r="L125" s="9" t="s">
        <v>156</v>
      </c>
      <c r="M125" s="9" t="s">
        <v>1151</v>
      </c>
      <c r="N125" s="9" t="s">
        <v>1151</v>
      </c>
      <c r="O125" s="10"/>
      <c r="P125" s="11">
        <v>590.99</v>
      </c>
      <c r="Q125" s="9">
        <f t="shared" si="1"/>
        <v>36</v>
      </c>
    </row>
    <row r="126" spans="1:17" ht="15" customHeight="1" x14ac:dyDescent="0.2">
      <c r="A126" s="9" t="s">
        <v>1264</v>
      </c>
      <c r="B126" s="9" t="s">
        <v>672</v>
      </c>
      <c r="C126" s="9" t="b">
        <f>TRUE()</f>
        <v>1</v>
      </c>
      <c r="D126" s="10">
        <v>45965</v>
      </c>
      <c r="E126" s="10">
        <v>45983</v>
      </c>
      <c r="F126" s="9" t="b">
        <f>TRUE()</f>
        <v>1</v>
      </c>
      <c r="G126" s="9" t="b">
        <f>TRUE()</f>
        <v>1</v>
      </c>
      <c r="H126" s="9" t="s">
        <v>22</v>
      </c>
      <c r="I126" s="9" t="s">
        <v>186</v>
      </c>
      <c r="J126" s="9" t="s">
        <v>26</v>
      </c>
      <c r="K126" s="9" t="s">
        <v>170</v>
      </c>
      <c r="L126" s="9" t="s">
        <v>150</v>
      </c>
      <c r="M126" s="9" t="s">
        <v>1151</v>
      </c>
      <c r="N126" s="9" t="s">
        <v>1151</v>
      </c>
      <c r="O126" s="10"/>
      <c r="P126" s="11">
        <v>6825.3</v>
      </c>
      <c r="Q126" s="9">
        <f t="shared" si="1"/>
        <v>18</v>
      </c>
    </row>
    <row r="127" spans="1:17" ht="15" customHeight="1" x14ac:dyDescent="0.2">
      <c r="A127" s="9" t="s">
        <v>89</v>
      </c>
      <c r="B127" s="9" t="s">
        <v>674</v>
      </c>
      <c r="C127" s="9" t="b">
        <f>TRUE()</f>
        <v>1</v>
      </c>
      <c r="D127" s="10">
        <v>45810</v>
      </c>
      <c r="E127" s="10">
        <v>45829</v>
      </c>
      <c r="F127" s="9" t="b">
        <f>TRUE()</f>
        <v>1</v>
      </c>
      <c r="G127" s="9" t="b">
        <f>TRUE()</f>
        <v>1</v>
      </c>
      <c r="H127" s="9" t="s">
        <v>19</v>
      </c>
      <c r="I127" s="9" t="s">
        <v>186</v>
      </c>
      <c r="J127" s="9" t="s">
        <v>25</v>
      </c>
      <c r="K127" s="9" t="s">
        <v>210</v>
      </c>
      <c r="L127" s="9" t="s">
        <v>1173</v>
      </c>
      <c r="M127" s="9" t="s">
        <v>1151</v>
      </c>
      <c r="N127" s="9" t="s">
        <v>1151</v>
      </c>
      <c r="O127" s="10"/>
      <c r="P127" s="11">
        <v>687.3</v>
      </c>
      <c r="Q127" s="9">
        <f t="shared" si="1"/>
        <v>19</v>
      </c>
    </row>
    <row r="128" spans="1:17" ht="15" customHeight="1" x14ac:dyDescent="0.2">
      <c r="A128" s="9" t="s">
        <v>1265</v>
      </c>
      <c r="B128" s="9" t="s">
        <v>679</v>
      </c>
      <c r="C128" s="9" t="b">
        <f>TRUE()</f>
        <v>1</v>
      </c>
      <c r="D128" s="10">
        <v>45899</v>
      </c>
      <c r="E128" s="10">
        <v>45913</v>
      </c>
      <c r="F128" s="9" t="b">
        <f>TRUE()</f>
        <v>1</v>
      </c>
      <c r="G128" s="9" t="b">
        <f>TRUE()</f>
        <v>1</v>
      </c>
      <c r="H128" s="9" t="s">
        <v>18</v>
      </c>
      <c r="I128" s="9" t="s">
        <v>160</v>
      </c>
      <c r="J128" s="9" t="s">
        <v>26</v>
      </c>
      <c r="K128" s="9" t="s">
        <v>157</v>
      </c>
      <c r="L128" s="9" t="s">
        <v>150</v>
      </c>
      <c r="M128" s="9" t="s">
        <v>1151</v>
      </c>
      <c r="N128" s="9" t="s">
        <v>1151</v>
      </c>
      <c r="O128" s="10"/>
      <c r="P128" s="11">
        <v>5691.94</v>
      </c>
      <c r="Q128" s="9">
        <f t="shared" si="1"/>
        <v>14</v>
      </c>
    </row>
    <row r="129" spans="1:17" ht="15" customHeight="1" x14ac:dyDescent="0.2">
      <c r="A129" s="9" t="s">
        <v>84</v>
      </c>
      <c r="B129" s="9" t="s">
        <v>1157</v>
      </c>
      <c r="C129" s="9" t="b">
        <f>FALSE()</f>
        <v>0</v>
      </c>
      <c r="D129" s="10">
        <v>45968</v>
      </c>
      <c r="E129" s="10"/>
      <c r="F129" s="9" t="b">
        <f>TRUE()</f>
        <v>1</v>
      </c>
      <c r="G129" s="9" t="b">
        <f>FALSE()</f>
        <v>0</v>
      </c>
      <c r="H129" s="9" t="s">
        <v>22</v>
      </c>
      <c r="I129" s="9" t="s">
        <v>149</v>
      </c>
      <c r="J129" s="9" t="s">
        <v>25</v>
      </c>
      <c r="K129" s="9" t="s">
        <v>165</v>
      </c>
      <c r="L129" s="9" t="s">
        <v>156</v>
      </c>
      <c r="M129" s="9" t="s">
        <v>1160</v>
      </c>
      <c r="N129" s="9" t="s">
        <v>1160</v>
      </c>
      <c r="O129" s="10"/>
      <c r="P129" s="11">
        <v>799.37</v>
      </c>
      <c r="Q129" s="9" t="str">
        <f t="shared" si="1"/>
        <v/>
      </c>
    </row>
    <row r="130" spans="1:17" ht="15" customHeight="1" x14ac:dyDescent="0.2">
      <c r="A130" s="9" t="s">
        <v>1266</v>
      </c>
      <c r="B130" s="9" t="s">
        <v>685</v>
      </c>
      <c r="C130" s="9" t="b">
        <f>TRUE()</f>
        <v>1</v>
      </c>
      <c r="D130" s="10">
        <v>45715</v>
      </c>
      <c r="E130" s="10">
        <v>45728</v>
      </c>
      <c r="F130" s="9" t="b">
        <f>TRUE()</f>
        <v>1</v>
      </c>
      <c r="G130" s="9" t="b">
        <f>TRUE()</f>
        <v>1</v>
      </c>
      <c r="H130" s="9" t="s">
        <v>22</v>
      </c>
      <c r="I130" s="9" t="s">
        <v>149</v>
      </c>
      <c r="J130" s="9" t="s">
        <v>27</v>
      </c>
      <c r="K130" s="9" t="s">
        <v>170</v>
      </c>
      <c r="L130" s="9" t="s">
        <v>161</v>
      </c>
      <c r="M130" s="9" t="s">
        <v>1151</v>
      </c>
      <c r="N130" s="9" t="s">
        <v>1151</v>
      </c>
      <c r="O130" s="10"/>
      <c r="P130" s="11">
        <v>2684.85</v>
      </c>
      <c r="Q130" s="9">
        <f t="shared" ref="Q130:Q193" si="2">IF(G130=TRUE(),E130-D130,"")</f>
        <v>13</v>
      </c>
    </row>
    <row r="131" spans="1:17" ht="15" customHeight="1" x14ac:dyDescent="0.2">
      <c r="A131" s="9" t="s">
        <v>1267</v>
      </c>
      <c r="B131" s="9" t="s">
        <v>686</v>
      </c>
      <c r="C131" s="9" t="b">
        <f>TRUE()</f>
        <v>1</v>
      </c>
      <c r="D131" s="10">
        <v>45960</v>
      </c>
      <c r="E131" s="10">
        <v>45971</v>
      </c>
      <c r="F131" s="9" t="b">
        <f>TRUE()</f>
        <v>1</v>
      </c>
      <c r="G131" s="9" t="b">
        <f>TRUE()</f>
        <v>1</v>
      </c>
      <c r="H131" s="9" t="s">
        <v>22</v>
      </c>
      <c r="I131" s="9" t="s">
        <v>149</v>
      </c>
      <c r="J131" s="9" t="s">
        <v>25</v>
      </c>
      <c r="K131" s="9" t="s">
        <v>165</v>
      </c>
      <c r="L131" s="9" t="s">
        <v>156</v>
      </c>
      <c r="M131" s="9" t="s">
        <v>1151</v>
      </c>
      <c r="N131" s="9" t="s">
        <v>1151</v>
      </c>
      <c r="O131" s="10"/>
      <c r="P131" s="11">
        <v>609.73</v>
      </c>
      <c r="Q131" s="9">
        <f t="shared" si="2"/>
        <v>11</v>
      </c>
    </row>
    <row r="132" spans="1:17" ht="15" customHeight="1" x14ac:dyDescent="0.2">
      <c r="A132" s="9" t="s">
        <v>1268</v>
      </c>
      <c r="B132" s="9" t="s">
        <v>687</v>
      </c>
      <c r="C132" s="9" t="b">
        <f>TRUE()</f>
        <v>1</v>
      </c>
      <c r="D132" s="10">
        <v>45779</v>
      </c>
      <c r="E132" s="10"/>
      <c r="F132" s="9" t="b">
        <f>TRUE()</f>
        <v>1</v>
      </c>
      <c r="G132" s="9" t="b">
        <f>FALSE()</f>
        <v>0</v>
      </c>
      <c r="H132" s="9" t="s">
        <v>20</v>
      </c>
      <c r="I132" s="9" t="s">
        <v>155</v>
      </c>
      <c r="J132" s="9" t="s">
        <v>28</v>
      </c>
      <c r="K132" s="9" t="s">
        <v>189</v>
      </c>
      <c r="L132" s="9" t="s">
        <v>161</v>
      </c>
      <c r="M132" s="9" t="s">
        <v>1160</v>
      </c>
      <c r="N132" s="9" t="s">
        <v>1160</v>
      </c>
      <c r="O132" s="10"/>
      <c r="P132" s="11">
        <v>1328.09</v>
      </c>
      <c r="Q132" s="9" t="str">
        <f t="shared" si="2"/>
        <v/>
      </c>
    </row>
    <row r="133" spans="1:17" ht="15" customHeight="1" x14ac:dyDescent="0.2">
      <c r="A133" s="9" t="s">
        <v>1269</v>
      </c>
      <c r="B133" s="9" t="s">
        <v>696</v>
      </c>
      <c r="C133" s="9" t="b">
        <f>TRUE()</f>
        <v>1</v>
      </c>
      <c r="D133" s="10">
        <v>45693</v>
      </c>
      <c r="E133" s="10">
        <v>45720</v>
      </c>
      <c r="F133" s="9" t="b">
        <f>TRUE()</f>
        <v>1</v>
      </c>
      <c r="G133" s="9" t="b">
        <f>TRUE()</f>
        <v>1</v>
      </c>
      <c r="H133" s="9" t="s">
        <v>20</v>
      </c>
      <c r="I133" s="9" t="s">
        <v>160</v>
      </c>
      <c r="J133" s="9" t="s">
        <v>27</v>
      </c>
      <c r="K133" s="9" t="s">
        <v>167</v>
      </c>
      <c r="L133" s="9" t="s">
        <v>150</v>
      </c>
      <c r="M133" s="9" t="s">
        <v>1151</v>
      </c>
      <c r="N133" s="9" t="s">
        <v>1151</v>
      </c>
      <c r="O133" s="10"/>
      <c r="P133" s="11">
        <v>9137.25</v>
      </c>
      <c r="Q133" s="9">
        <f t="shared" si="2"/>
        <v>27</v>
      </c>
    </row>
    <row r="134" spans="1:17" ht="15" customHeight="1" x14ac:dyDescent="0.2">
      <c r="A134" s="9" t="s">
        <v>1270</v>
      </c>
      <c r="B134" s="9" t="s">
        <v>711</v>
      </c>
      <c r="C134" s="9" t="b">
        <f>TRUE()</f>
        <v>1</v>
      </c>
      <c r="D134" s="10">
        <v>45785</v>
      </c>
      <c r="E134" s="10">
        <v>45798</v>
      </c>
      <c r="F134" s="9" t="b">
        <f>TRUE()</f>
        <v>1</v>
      </c>
      <c r="G134" s="9" t="b">
        <f>TRUE()</f>
        <v>1</v>
      </c>
      <c r="H134" s="9" t="s">
        <v>19</v>
      </c>
      <c r="I134" s="9" t="s">
        <v>186</v>
      </c>
      <c r="J134" s="9" t="s">
        <v>26</v>
      </c>
      <c r="K134" s="9" t="s">
        <v>179</v>
      </c>
      <c r="L134" s="9" t="s">
        <v>150</v>
      </c>
      <c r="M134" s="9" t="s">
        <v>1151</v>
      </c>
      <c r="N134" s="9" t="s">
        <v>1151</v>
      </c>
      <c r="O134" s="10"/>
      <c r="P134" s="11">
        <v>8612.4599999999991</v>
      </c>
      <c r="Q134" s="9">
        <f t="shared" si="2"/>
        <v>13</v>
      </c>
    </row>
    <row r="135" spans="1:17" ht="15" customHeight="1" x14ac:dyDescent="0.2">
      <c r="A135" s="9" t="s">
        <v>1271</v>
      </c>
      <c r="B135" s="9" t="s">
        <v>718</v>
      </c>
      <c r="C135" s="9" t="b">
        <f>TRUE()</f>
        <v>1</v>
      </c>
      <c r="D135" s="10">
        <v>46037</v>
      </c>
      <c r="E135" s="10"/>
      <c r="F135" s="9" t="b">
        <f>TRUE()</f>
        <v>1</v>
      </c>
      <c r="G135" s="9" t="b">
        <f>FALSE()</f>
        <v>0</v>
      </c>
      <c r="H135" s="9" t="s">
        <v>18</v>
      </c>
      <c r="I135" s="9" t="s">
        <v>160</v>
      </c>
      <c r="J135" s="9" t="s">
        <v>26</v>
      </c>
      <c r="K135" s="9" t="s">
        <v>201</v>
      </c>
      <c r="L135" s="9" t="s">
        <v>156</v>
      </c>
      <c r="M135" s="9" t="s">
        <v>1160</v>
      </c>
      <c r="N135" s="9" t="s">
        <v>1160</v>
      </c>
      <c r="O135" s="10"/>
      <c r="P135" s="11">
        <v>627.35</v>
      </c>
      <c r="Q135" s="9" t="str">
        <f t="shared" si="2"/>
        <v/>
      </c>
    </row>
    <row r="136" spans="1:17" ht="15" customHeight="1" x14ac:dyDescent="0.2">
      <c r="A136" s="9" t="s">
        <v>99</v>
      </c>
      <c r="B136" s="9" t="s">
        <v>720</v>
      </c>
      <c r="C136" s="9" t="b">
        <f>TRUE()</f>
        <v>1</v>
      </c>
      <c r="D136" s="10">
        <v>45724</v>
      </c>
      <c r="E136" s="10"/>
      <c r="F136" s="9" t="b">
        <f>TRUE()</f>
        <v>1</v>
      </c>
      <c r="G136" s="9" t="b">
        <f>FALSE()</f>
        <v>0</v>
      </c>
      <c r="H136" s="9" t="s">
        <v>20</v>
      </c>
      <c r="I136" s="9" t="s">
        <v>186</v>
      </c>
      <c r="J136" s="9" t="s">
        <v>25</v>
      </c>
      <c r="K136" s="9" t="s">
        <v>192</v>
      </c>
      <c r="L136" s="9" t="s">
        <v>156</v>
      </c>
      <c r="M136" s="9" t="s">
        <v>1151</v>
      </c>
      <c r="N136" s="9" t="s">
        <v>1189</v>
      </c>
      <c r="O136" s="10"/>
      <c r="P136" s="11">
        <v>673.59</v>
      </c>
      <c r="Q136" s="9" t="str">
        <f t="shared" si="2"/>
        <v/>
      </c>
    </row>
    <row r="137" spans="1:17" ht="15" customHeight="1" x14ac:dyDescent="0.2">
      <c r="A137" s="9" t="s">
        <v>1272</v>
      </c>
      <c r="B137" s="9" t="s">
        <v>721</v>
      </c>
      <c r="C137" s="9" t="b">
        <f>TRUE()</f>
        <v>1</v>
      </c>
      <c r="D137" s="10">
        <v>45859</v>
      </c>
      <c r="E137" s="10"/>
      <c r="F137" s="9" t="b">
        <f>TRUE()</f>
        <v>1</v>
      </c>
      <c r="G137" s="9" t="b">
        <f>FALSE()</f>
        <v>0</v>
      </c>
      <c r="H137" s="9" t="s">
        <v>20</v>
      </c>
      <c r="I137" s="9" t="s">
        <v>155</v>
      </c>
      <c r="J137" s="9" t="s">
        <v>25</v>
      </c>
      <c r="K137" s="9" t="s">
        <v>167</v>
      </c>
      <c r="L137" s="9" t="s">
        <v>156</v>
      </c>
      <c r="M137" s="9" t="s">
        <v>1160</v>
      </c>
      <c r="N137" s="9" t="s">
        <v>1160</v>
      </c>
      <c r="O137" s="10"/>
      <c r="P137" s="11">
        <v>657.93</v>
      </c>
      <c r="Q137" s="9" t="str">
        <f t="shared" si="2"/>
        <v/>
      </c>
    </row>
    <row r="138" spans="1:17" ht="15" customHeight="1" x14ac:dyDescent="0.2">
      <c r="A138" s="9" t="s">
        <v>1273</v>
      </c>
      <c r="B138" s="9" t="s">
        <v>723</v>
      </c>
      <c r="C138" s="9" t="b">
        <f>TRUE()</f>
        <v>1</v>
      </c>
      <c r="D138" s="10">
        <v>46011</v>
      </c>
      <c r="E138" s="10">
        <v>46017</v>
      </c>
      <c r="F138" s="9" t="b">
        <f>TRUE()</f>
        <v>1</v>
      </c>
      <c r="G138" s="9" t="b">
        <f>TRUE()</f>
        <v>1</v>
      </c>
      <c r="H138" s="9" t="s">
        <v>22</v>
      </c>
      <c r="I138" s="9" t="s">
        <v>186</v>
      </c>
      <c r="J138" s="9" t="s">
        <v>27</v>
      </c>
      <c r="K138" s="9" t="s">
        <v>165</v>
      </c>
      <c r="L138" s="9" t="s">
        <v>156</v>
      </c>
      <c r="M138" s="9" t="s">
        <v>1151</v>
      </c>
      <c r="N138" s="9" t="s">
        <v>1151</v>
      </c>
      <c r="O138" s="10"/>
      <c r="P138" s="11">
        <v>849.15</v>
      </c>
      <c r="Q138" s="9">
        <f t="shared" si="2"/>
        <v>6</v>
      </c>
    </row>
    <row r="139" spans="1:17" ht="15" customHeight="1" x14ac:dyDescent="0.2">
      <c r="A139" s="9" t="s">
        <v>1274</v>
      </c>
      <c r="B139" s="9" t="s">
        <v>735</v>
      </c>
      <c r="C139" s="9" t="b">
        <f>TRUE()</f>
        <v>1</v>
      </c>
      <c r="D139" s="10">
        <v>45810</v>
      </c>
      <c r="E139" s="10">
        <v>45829</v>
      </c>
      <c r="F139" s="9" t="b">
        <f>TRUE()</f>
        <v>1</v>
      </c>
      <c r="G139" s="9" t="b">
        <f>TRUE()</f>
        <v>1</v>
      </c>
      <c r="H139" s="9" t="s">
        <v>20</v>
      </c>
      <c r="I139" s="9" t="s">
        <v>186</v>
      </c>
      <c r="J139" s="9" t="s">
        <v>25</v>
      </c>
      <c r="K139" s="9" t="s">
        <v>189</v>
      </c>
      <c r="L139" s="9" t="s">
        <v>161</v>
      </c>
      <c r="M139" s="9" t="s">
        <v>1151</v>
      </c>
      <c r="N139" s="9" t="s">
        <v>1151</v>
      </c>
      <c r="O139" s="10"/>
      <c r="P139" s="11">
        <v>2736.44</v>
      </c>
      <c r="Q139" s="9">
        <f t="shared" si="2"/>
        <v>19</v>
      </c>
    </row>
    <row r="140" spans="1:17" ht="15" customHeight="1" x14ac:dyDescent="0.2">
      <c r="A140" s="9" t="s">
        <v>1275</v>
      </c>
      <c r="B140" s="9" t="s">
        <v>736</v>
      </c>
      <c r="C140" s="9" t="b">
        <f>TRUE()</f>
        <v>1</v>
      </c>
      <c r="D140" s="10">
        <v>45826</v>
      </c>
      <c r="E140" s="10">
        <v>45831</v>
      </c>
      <c r="F140" s="9" t="b">
        <f>TRUE()</f>
        <v>1</v>
      </c>
      <c r="G140" s="9" t="b">
        <f>TRUE()</f>
        <v>1</v>
      </c>
      <c r="H140" s="9" t="s">
        <v>21</v>
      </c>
      <c r="I140" s="9" t="s">
        <v>160</v>
      </c>
      <c r="J140" s="9" t="s">
        <v>25</v>
      </c>
      <c r="K140" s="9" t="s">
        <v>183</v>
      </c>
      <c r="L140" s="9" t="s">
        <v>161</v>
      </c>
      <c r="M140" s="9" t="s">
        <v>1155</v>
      </c>
      <c r="N140" s="9" t="s">
        <v>1155</v>
      </c>
      <c r="O140" s="10">
        <v>45988</v>
      </c>
      <c r="P140" s="11">
        <v>1713.99</v>
      </c>
      <c r="Q140" s="9">
        <f t="shared" si="2"/>
        <v>5</v>
      </c>
    </row>
    <row r="141" spans="1:17" ht="15" customHeight="1" x14ac:dyDescent="0.2">
      <c r="A141" s="9" t="s">
        <v>1276</v>
      </c>
      <c r="B141" s="9" t="s">
        <v>57</v>
      </c>
      <c r="C141" s="9" t="b">
        <f>TRUE()</f>
        <v>1</v>
      </c>
      <c r="D141" s="10">
        <v>45762</v>
      </c>
      <c r="E141" s="10"/>
      <c r="F141" s="9" t="b">
        <f>TRUE()</f>
        <v>1</v>
      </c>
      <c r="G141" s="9" t="b">
        <f>FALSE()</f>
        <v>0</v>
      </c>
      <c r="H141" s="9" t="s">
        <v>20</v>
      </c>
      <c r="I141" s="9" t="s">
        <v>149</v>
      </c>
      <c r="J141" s="9" t="s">
        <v>25</v>
      </c>
      <c r="K141" s="9" t="s">
        <v>192</v>
      </c>
      <c r="L141" s="9" t="s">
        <v>161</v>
      </c>
      <c r="M141" s="9" t="s">
        <v>1160</v>
      </c>
      <c r="N141" s="9" t="s">
        <v>1160</v>
      </c>
      <c r="O141" s="10"/>
      <c r="P141" s="11">
        <v>1958.34</v>
      </c>
      <c r="Q141" s="9" t="str">
        <f t="shared" si="2"/>
        <v/>
      </c>
    </row>
    <row r="142" spans="1:17" ht="15" customHeight="1" x14ac:dyDescent="0.2">
      <c r="A142" s="9" t="s">
        <v>1277</v>
      </c>
      <c r="B142" s="9" t="s">
        <v>742</v>
      </c>
      <c r="C142" s="9" t="b">
        <f>TRUE()</f>
        <v>1</v>
      </c>
      <c r="D142" s="10">
        <v>46035</v>
      </c>
      <c r="E142" s="10">
        <v>46043</v>
      </c>
      <c r="F142" s="9" t="b">
        <f>TRUE()</f>
        <v>1</v>
      </c>
      <c r="G142" s="9" t="b">
        <f>TRUE()</f>
        <v>1</v>
      </c>
      <c r="H142" s="9" t="s">
        <v>18</v>
      </c>
      <c r="I142" s="9" t="s">
        <v>155</v>
      </c>
      <c r="J142" s="9" t="s">
        <v>26</v>
      </c>
      <c r="K142" s="9" t="s">
        <v>157</v>
      </c>
      <c r="L142" s="9" t="s">
        <v>156</v>
      </c>
      <c r="M142" s="9" t="s">
        <v>1151</v>
      </c>
      <c r="N142" s="9" t="s">
        <v>1151</v>
      </c>
      <c r="O142" s="10"/>
      <c r="P142" s="11">
        <v>605.41</v>
      </c>
      <c r="Q142" s="9">
        <f t="shared" si="2"/>
        <v>8</v>
      </c>
    </row>
    <row r="143" spans="1:17" ht="15" customHeight="1" x14ac:dyDescent="0.2">
      <c r="A143" s="9" t="s">
        <v>1278</v>
      </c>
      <c r="B143" s="9" t="s">
        <v>746</v>
      </c>
      <c r="C143" s="9" t="b">
        <f>TRUE()</f>
        <v>1</v>
      </c>
      <c r="D143" s="10">
        <v>45912</v>
      </c>
      <c r="E143" s="10">
        <v>45957</v>
      </c>
      <c r="F143" s="9" t="b">
        <f>TRUE()</f>
        <v>1</v>
      </c>
      <c r="G143" s="9" t="b">
        <f>TRUE()</f>
        <v>1</v>
      </c>
      <c r="H143" s="9" t="s">
        <v>21</v>
      </c>
      <c r="I143" s="9" t="s">
        <v>149</v>
      </c>
      <c r="J143" s="9" t="s">
        <v>25</v>
      </c>
      <c r="K143" s="9" t="s">
        <v>176</v>
      </c>
      <c r="L143" s="9" t="s">
        <v>156</v>
      </c>
      <c r="M143" s="9" t="s">
        <v>1151</v>
      </c>
      <c r="N143" s="9" t="s">
        <v>1151</v>
      </c>
      <c r="O143" s="10"/>
      <c r="P143" s="11">
        <v>776.55</v>
      </c>
      <c r="Q143" s="9">
        <f t="shared" si="2"/>
        <v>45</v>
      </c>
    </row>
    <row r="144" spans="1:17" ht="15" customHeight="1" x14ac:dyDescent="0.2">
      <c r="A144" s="9" t="s">
        <v>1279</v>
      </c>
      <c r="B144" s="9" t="s">
        <v>750</v>
      </c>
      <c r="C144" s="9" t="b">
        <f>TRUE()</f>
        <v>1</v>
      </c>
      <c r="D144" s="10">
        <v>45997</v>
      </c>
      <c r="E144" s="10">
        <v>46030</v>
      </c>
      <c r="F144" s="9" t="b">
        <f>TRUE()</f>
        <v>1</v>
      </c>
      <c r="G144" s="9" t="b">
        <f>TRUE()</f>
        <v>1</v>
      </c>
      <c r="H144" s="9" t="s">
        <v>20</v>
      </c>
      <c r="I144" s="9" t="s">
        <v>149</v>
      </c>
      <c r="J144" s="9" t="s">
        <v>24</v>
      </c>
      <c r="K144" s="9" t="s">
        <v>192</v>
      </c>
      <c r="L144" s="9" t="s">
        <v>150</v>
      </c>
      <c r="M144" s="9" t="s">
        <v>1151</v>
      </c>
      <c r="N144" s="9" t="s">
        <v>1151</v>
      </c>
      <c r="O144" s="10"/>
      <c r="P144" s="11">
        <v>10577.12</v>
      </c>
      <c r="Q144" s="9">
        <f t="shared" si="2"/>
        <v>33</v>
      </c>
    </row>
    <row r="145" spans="1:17" ht="15" customHeight="1" x14ac:dyDescent="0.2">
      <c r="A145" s="9" t="s">
        <v>1280</v>
      </c>
      <c r="B145" s="9" t="s">
        <v>754</v>
      </c>
      <c r="C145" s="9" t="b">
        <f>TRUE()</f>
        <v>1</v>
      </c>
      <c r="D145" s="10">
        <v>46033</v>
      </c>
      <c r="E145" s="10"/>
      <c r="F145" s="9" t="b">
        <f>TRUE()</f>
        <v>1</v>
      </c>
      <c r="G145" s="9" t="b">
        <f>FALSE()</f>
        <v>0</v>
      </c>
      <c r="H145" s="9" t="s">
        <v>22</v>
      </c>
      <c r="I145" s="9" t="s">
        <v>160</v>
      </c>
      <c r="J145" s="9" t="s">
        <v>24</v>
      </c>
      <c r="K145" s="9" t="s">
        <v>165</v>
      </c>
      <c r="L145" s="9" t="s">
        <v>156</v>
      </c>
      <c r="M145" s="9" t="s">
        <v>1160</v>
      </c>
      <c r="N145" s="9" t="s">
        <v>1160</v>
      </c>
      <c r="O145" s="10"/>
      <c r="P145" s="11">
        <v>553.88</v>
      </c>
      <c r="Q145" s="9" t="str">
        <f t="shared" si="2"/>
        <v/>
      </c>
    </row>
    <row r="146" spans="1:17" ht="15" customHeight="1" x14ac:dyDescent="0.2">
      <c r="A146" s="9" t="s">
        <v>1281</v>
      </c>
      <c r="B146" s="9" t="s">
        <v>760</v>
      </c>
      <c r="C146" s="9" t="b">
        <f>TRUE()</f>
        <v>1</v>
      </c>
      <c r="D146" s="10">
        <v>45918</v>
      </c>
      <c r="E146" s="10">
        <v>45921</v>
      </c>
      <c r="F146" s="9" t="b">
        <f>TRUE()</f>
        <v>1</v>
      </c>
      <c r="G146" s="9" t="b">
        <f>TRUE()</f>
        <v>1</v>
      </c>
      <c r="H146" s="9" t="s">
        <v>21</v>
      </c>
      <c r="I146" s="9" t="s">
        <v>149</v>
      </c>
      <c r="J146" s="9" t="s">
        <v>25</v>
      </c>
      <c r="K146" s="9" t="s">
        <v>176</v>
      </c>
      <c r="L146" s="9" t="s">
        <v>156</v>
      </c>
      <c r="M146" s="9" t="s">
        <v>1151</v>
      </c>
      <c r="N146" s="9" t="s">
        <v>1151</v>
      </c>
      <c r="O146" s="10"/>
      <c r="P146" s="11">
        <v>794.5</v>
      </c>
      <c r="Q146" s="9">
        <f t="shared" si="2"/>
        <v>3</v>
      </c>
    </row>
    <row r="147" spans="1:17" ht="15" customHeight="1" x14ac:dyDescent="0.2">
      <c r="A147" s="9" t="s">
        <v>1282</v>
      </c>
      <c r="B147" s="9" t="s">
        <v>769</v>
      </c>
      <c r="C147" s="9" t="b">
        <f>TRUE()</f>
        <v>1</v>
      </c>
      <c r="D147" s="10">
        <v>45968</v>
      </c>
      <c r="E147" s="10">
        <v>45997</v>
      </c>
      <c r="F147" s="9" t="b">
        <f>TRUE()</f>
        <v>1</v>
      </c>
      <c r="G147" s="9" t="b">
        <f>TRUE()</f>
        <v>1</v>
      </c>
      <c r="H147" s="9" t="s">
        <v>18</v>
      </c>
      <c r="I147" s="9" t="s">
        <v>186</v>
      </c>
      <c r="J147" s="9" t="s">
        <v>28</v>
      </c>
      <c r="K147" s="9" t="s">
        <v>251</v>
      </c>
      <c r="L147" s="9" t="s">
        <v>150</v>
      </c>
      <c r="M147" s="9" t="s">
        <v>1151</v>
      </c>
      <c r="N147" s="9" t="s">
        <v>1151</v>
      </c>
      <c r="O147" s="10"/>
      <c r="P147" s="11">
        <v>5268.6</v>
      </c>
      <c r="Q147" s="9">
        <f t="shared" si="2"/>
        <v>29</v>
      </c>
    </row>
    <row r="148" spans="1:17" ht="15" customHeight="1" x14ac:dyDescent="0.2">
      <c r="A148" s="9" t="s">
        <v>1283</v>
      </c>
      <c r="B148" s="9" t="s">
        <v>774</v>
      </c>
      <c r="C148" s="9" t="b">
        <f>TRUE()</f>
        <v>1</v>
      </c>
      <c r="D148" s="10">
        <v>45828</v>
      </c>
      <c r="E148" s="10">
        <v>45858</v>
      </c>
      <c r="F148" s="9" t="b">
        <f>TRUE()</f>
        <v>1</v>
      </c>
      <c r="G148" s="9" t="b">
        <f>TRUE()</f>
        <v>1</v>
      </c>
      <c r="H148" s="9" t="s">
        <v>18</v>
      </c>
      <c r="I148" s="9" t="s">
        <v>155</v>
      </c>
      <c r="J148" s="9" t="s">
        <v>25</v>
      </c>
      <c r="K148" s="9" t="s">
        <v>251</v>
      </c>
      <c r="L148" s="9" t="s">
        <v>150</v>
      </c>
      <c r="M148" s="9" t="s">
        <v>1151</v>
      </c>
      <c r="N148" s="9" t="s">
        <v>1151</v>
      </c>
      <c r="O148" s="10"/>
      <c r="P148" s="11">
        <v>6559.39</v>
      </c>
      <c r="Q148" s="9">
        <f t="shared" si="2"/>
        <v>30</v>
      </c>
    </row>
    <row r="149" spans="1:17" ht="15" customHeight="1" x14ac:dyDescent="0.2">
      <c r="A149" s="9" t="s">
        <v>90</v>
      </c>
      <c r="B149" s="9" t="s">
        <v>776</v>
      </c>
      <c r="C149" s="9" t="b">
        <f>TRUE()</f>
        <v>1</v>
      </c>
      <c r="D149" s="10">
        <v>45970</v>
      </c>
      <c r="E149" s="10">
        <v>45976</v>
      </c>
      <c r="F149" s="9" t="b">
        <f>TRUE()</f>
        <v>1</v>
      </c>
      <c r="G149" s="9" t="b">
        <f>TRUE()</f>
        <v>1</v>
      </c>
      <c r="H149" s="9" t="s">
        <v>21</v>
      </c>
      <c r="I149" s="9" t="s">
        <v>149</v>
      </c>
      <c r="J149" s="9" t="s">
        <v>25</v>
      </c>
      <c r="K149" s="9" t="s">
        <v>176</v>
      </c>
      <c r="L149" s="9" t="s">
        <v>1173</v>
      </c>
      <c r="M149" s="9" t="s">
        <v>1151</v>
      </c>
      <c r="N149" s="9" t="s">
        <v>1151</v>
      </c>
      <c r="O149" s="10"/>
      <c r="P149" s="11">
        <v>733.94</v>
      </c>
      <c r="Q149" s="9">
        <f t="shared" si="2"/>
        <v>6</v>
      </c>
    </row>
    <row r="150" spans="1:17" ht="15" customHeight="1" x14ac:dyDescent="0.2">
      <c r="A150" s="9" t="s">
        <v>1284</v>
      </c>
      <c r="B150" s="9" t="s">
        <v>779</v>
      </c>
      <c r="C150" s="9" t="b">
        <f>TRUE()</f>
        <v>1</v>
      </c>
      <c r="D150" s="10">
        <v>46005</v>
      </c>
      <c r="E150" s="10"/>
      <c r="F150" s="9" t="b">
        <f>TRUE()</f>
        <v>1</v>
      </c>
      <c r="G150" s="9" t="b">
        <f>FALSE()</f>
        <v>0</v>
      </c>
      <c r="H150" s="9" t="s">
        <v>20</v>
      </c>
      <c r="I150" s="9" t="s">
        <v>149</v>
      </c>
      <c r="J150" s="9" t="s">
        <v>25</v>
      </c>
      <c r="K150" s="9" t="s">
        <v>192</v>
      </c>
      <c r="L150" s="9" t="s">
        <v>161</v>
      </c>
      <c r="M150" s="9" t="s">
        <v>1160</v>
      </c>
      <c r="N150" s="9" t="s">
        <v>1160</v>
      </c>
      <c r="O150" s="10"/>
      <c r="P150" s="11">
        <v>2171.0100000000002</v>
      </c>
      <c r="Q150" s="9" t="str">
        <f t="shared" si="2"/>
        <v/>
      </c>
    </row>
    <row r="151" spans="1:17" ht="15" customHeight="1" x14ac:dyDescent="0.2">
      <c r="A151" s="9" t="s">
        <v>1285</v>
      </c>
      <c r="B151" s="9" t="s">
        <v>784</v>
      </c>
      <c r="C151" s="9" t="b">
        <f>TRUE()</f>
        <v>1</v>
      </c>
      <c r="D151" s="10">
        <v>45959</v>
      </c>
      <c r="E151" s="10">
        <v>45972</v>
      </c>
      <c r="F151" s="9" t="b">
        <f>TRUE()</f>
        <v>1</v>
      </c>
      <c r="G151" s="9" t="b">
        <f>TRUE()</f>
        <v>1</v>
      </c>
      <c r="H151" s="9" t="s">
        <v>22</v>
      </c>
      <c r="I151" s="9" t="s">
        <v>149</v>
      </c>
      <c r="J151" s="9" t="s">
        <v>26</v>
      </c>
      <c r="K151" s="9" t="s">
        <v>151</v>
      </c>
      <c r="L151" s="9" t="s">
        <v>161</v>
      </c>
      <c r="M151" s="9" t="s">
        <v>1151</v>
      </c>
      <c r="N151" s="9" t="s">
        <v>1151</v>
      </c>
      <c r="O151" s="10"/>
      <c r="P151" s="11">
        <v>2212.92</v>
      </c>
      <c r="Q151" s="9">
        <f t="shared" si="2"/>
        <v>13</v>
      </c>
    </row>
    <row r="152" spans="1:17" ht="15" customHeight="1" x14ac:dyDescent="0.2">
      <c r="A152" s="9" t="s">
        <v>1286</v>
      </c>
      <c r="B152" s="9" t="s">
        <v>789</v>
      </c>
      <c r="C152" s="9" t="b">
        <f>TRUE()</f>
        <v>1</v>
      </c>
      <c r="D152" s="10">
        <v>45934</v>
      </c>
      <c r="E152" s="10">
        <v>45939</v>
      </c>
      <c r="F152" s="9" t="b">
        <f>TRUE()</f>
        <v>1</v>
      </c>
      <c r="G152" s="9" t="b">
        <f>TRUE()</f>
        <v>1</v>
      </c>
      <c r="H152" s="9" t="s">
        <v>21</v>
      </c>
      <c r="I152" s="9" t="s">
        <v>149</v>
      </c>
      <c r="J152" s="9" t="s">
        <v>26</v>
      </c>
      <c r="K152" s="9" t="s">
        <v>183</v>
      </c>
      <c r="L152" s="9" t="s">
        <v>161</v>
      </c>
      <c r="M152" s="9" t="s">
        <v>1151</v>
      </c>
      <c r="N152" s="9" t="s">
        <v>1151</v>
      </c>
      <c r="O152" s="10"/>
      <c r="P152" s="11">
        <v>2878.06</v>
      </c>
      <c r="Q152" s="9">
        <f t="shared" si="2"/>
        <v>5</v>
      </c>
    </row>
    <row r="153" spans="1:17" ht="15" customHeight="1" x14ac:dyDescent="0.2">
      <c r="A153" s="9" t="s">
        <v>1287</v>
      </c>
      <c r="B153" s="9" t="s">
        <v>799</v>
      </c>
      <c r="C153" s="9" t="b">
        <f>TRUE()</f>
        <v>1</v>
      </c>
      <c r="D153" s="10">
        <v>45940</v>
      </c>
      <c r="E153" s="10">
        <v>45956</v>
      </c>
      <c r="F153" s="9" t="b">
        <f>TRUE()</f>
        <v>1</v>
      </c>
      <c r="G153" s="9" t="b">
        <f>TRUE()</f>
        <v>1</v>
      </c>
      <c r="H153" s="9" t="s">
        <v>19</v>
      </c>
      <c r="I153" s="9" t="s">
        <v>149</v>
      </c>
      <c r="J153" s="9" t="s">
        <v>25</v>
      </c>
      <c r="K153" s="9" t="s">
        <v>179</v>
      </c>
      <c r="L153" s="9" t="s">
        <v>156</v>
      </c>
      <c r="M153" s="9" t="s">
        <v>1151</v>
      </c>
      <c r="N153" s="9" t="s">
        <v>1151</v>
      </c>
      <c r="O153" s="10"/>
      <c r="P153" s="11">
        <v>775.08</v>
      </c>
      <c r="Q153" s="9">
        <f t="shared" si="2"/>
        <v>16</v>
      </c>
    </row>
    <row r="154" spans="1:17" ht="15" customHeight="1" x14ac:dyDescent="0.2">
      <c r="A154" s="9" t="s">
        <v>1288</v>
      </c>
      <c r="B154" s="9" t="s">
        <v>807</v>
      </c>
      <c r="C154" s="9" t="b">
        <f>TRUE()</f>
        <v>1</v>
      </c>
      <c r="D154" s="10">
        <v>45726</v>
      </c>
      <c r="E154" s="10"/>
      <c r="F154" s="9" t="b">
        <f>TRUE()</f>
        <v>1</v>
      </c>
      <c r="G154" s="9" t="b">
        <f>FALSE()</f>
        <v>0</v>
      </c>
      <c r="H154" s="9" t="s">
        <v>20</v>
      </c>
      <c r="I154" s="9" t="s">
        <v>149</v>
      </c>
      <c r="J154" s="9" t="s">
        <v>26</v>
      </c>
      <c r="K154" s="9" t="s">
        <v>189</v>
      </c>
      <c r="L154" s="9" t="s">
        <v>156</v>
      </c>
      <c r="M154" s="9" t="s">
        <v>1160</v>
      </c>
      <c r="N154" s="9" t="s">
        <v>1160</v>
      </c>
      <c r="O154" s="10"/>
      <c r="P154" s="11">
        <v>604.07000000000005</v>
      </c>
      <c r="Q154" s="9" t="str">
        <f t="shared" si="2"/>
        <v/>
      </c>
    </row>
    <row r="155" spans="1:17" ht="15" customHeight="1" x14ac:dyDescent="0.2">
      <c r="A155" s="9" t="s">
        <v>1289</v>
      </c>
      <c r="B155" s="9" t="s">
        <v>810</v>
      </c>
      <c r="C155" s="9" t="b">
        <f>TRUE()</f>
        <v>1</v>
      </c>
      <c r="D155" s="10">
        <v>45812</v>
      </c>
      <c r="E155" s="10">
        <v>45820</v>
      </c>
      <c r="F155" s="9" t="b">
        <f>TRUE()</f>
        <v>1</v>
      </c>
      <c r="G155" s="9" t="b">
        <f>TRUE()</f>
        <v>1</v>
      </c>
      <c r="H155" s="9" t="s">
        <v>21</v>
      </c>
      <c r="I155" s="9" t="s">
        <v>160</v>
      </c>
      <c r="J155" s="9" t="s">
        <v>26</v>
      </c>
      <c r="K155" s="9" t="s">
        <v>162</v>
      </c>
      <c r="L155" s="9" t="s">
        <v>156</v>
      </c>
      <c r="M155" s="9" t="s">
        <v>1155</v>
      </c>
      <c r="N155" s="9" t="s">
        <v>1155</v>
      </c>
      <c r="O155" s="10">
        <v>45890</v>
      </c>
      <c r="P155" s="11">
        <v>955.93</v>
      </c>
      <c r="Q155" s="9">
        <f t="shared" si="2"/>
        <v>8</v>
      </c>
    </row>
    <row r="156" spans="1:17" ht="15" customHeight="1" x14ac:dyDescent="0.2">
      <c r="A156" s="9" t="s">
        <v>1290</v>
      </c>
      <c r="B156" s="9" t="s">
        <v>813</v>
      </c>
      <c r="C156" s="9" t="b">
        <f>TRUE()</f>
        <v>1</v>
      </c>
      <c r="D156" s="10">
        <v>46003</v>
      </c>
      <c r="E156" s="10">
        <v>46022</v>
      </c>
      <c r="F156" s="9" t="b">
        <f>TRUE()</f>
        <v>1</v>
      </c>
      <c r="G156" s="9" t="b">
        <f>TRUE()</f>
        <v>1</v>
      </c>
      <c r="H156" s="9" t="s">
        <v>20</v>
      </c>
      <c r="I156" s="9" t="s">
        <v>149</v>
      </c>
      <c r="J156" s="9" t="s">
        <v>25</v>
      </c>
      <c r="K156" s="9" t="s">
        <v>192</v>
      </c>
      <c r="L156" s="9" t="s">
        <v>156</v>
      </c>
      <c r="M156" s="9" t="s">
        <v>1151</v>
      </c>
      <c r="N156" s="9" t="s">
        <v>1151</v>
      </c>
      <c r="O156" s="10"/>
      <c r="P156" s="11">
        <v>783.14</v>
      </c>
      <c r="Q156" s="9">
        <f t="shared" si="2"/>
        <v>19</v>
      </c>
    </row>
    <row r="157" spans="1:17" ht="15" customHeight="1" x14ac:dyDescent="0.2">
      <c r="A157" s="9" t="s">
        <v>1291</v>
      </c>
      <c r="B157" s="9" t="s">
        <v>820</v>
      </c>
      <c r="C157" s="9" t="b">
        <f>TRUE()</f>
        <v>1</v>
      </c>
      <c r="D157" s="10">
        <v>45990</v>
      </c>
      <c r="E157" s="10">
        <v>46032</v>
      </c>
      <c r="F157" s="9" t="b">
        <f>TRUE()</f>
        <v>1</v>
      </c>
      <c r="G157" s="9" t="b">
        <f>TRUE()</f>
        <v>1</v>
      </c>
      <c r="H157" s="9" t="s">
        <v>22</v>
      </c>
      <c r="I157" s="9" t="s">
        <v>155</v>
      </c>
      <c r="J157" s="9" t="s">
        <v>28</v>
      </c>
      <c r="K157" s="9" t="s">
        <v>151</v>
      </c>
      <c r="L157" s="9" t="s">
        <v>156</v>
      </c>
      <c r="M157" s="9" t="s">
        <v>1151</v>
      </c>
      <c r="N157" s="9" t="s">
        <v>1151</v>
      </c>
      <c r="O157" s="10"/>
      <c r="P157" s="11">
        <v>385</v>
      </c>
      <c r="Q157" s="9">
        <f t="shared" si="2"/>
        <v>42</v>
      </c>
    </row>
    <row r="158" spans="1:17" ht="15" customHeight="1" x14ac:dyDescent="0.2">
      <c r="A158" s="9" t="s">
        <v>1292</v>
      </c>
      <c r="B158" s="9" t="s">
        <v>822</v>
      </c>
      <c r="C158" s="9" t="b">
        <f>TRUE()</f>
        <v>1</v>
      </c>
      <c r="D158" s="10">
        <v>45914</v>
      </c>
      <c r="E158" s="10">
        <v>45952</v>
      </c>
      <c r="F158" s="9" t="b">
        <f>TRUE()</f>
        <v>1</v>
      </c>
      <c r="G158" s="9" t="b">
        <f>TRUE()</f>
        <v>1</v>
      </c>
      <c r="H158" s="9" t="s">
        <v>18</v>
      </c>
      <c r="I158" s="9" t="s">
        <v>186</v>
      </c>
      <c r="J158" s="9" t="s">
        <v>26</v>
      </c>
      <c r="K158" s="9" t="s">
        <v>251</v>
      </c>
      <c r="L158" s="9" t="s">
        <v>150</v>
      </c>
      <c r="M158" s="9" t="s">
        <v>1151</v>
      </c>
      <c r="N158" s="9" t="s">
        <v>1151</v>
      </c>
      <c r="O158" s="10"/>
      <c r="P158" s="11">
        <v>8147.72</v>
      </c>
      <c r="Q158" s="9">
        <f t="shared" si="2"/>
        <v>38</v>
      </c>
    </row>
    <row r="159" spans="1:17" ht="15" customHeight="1" x14ac:dyDescent="0.2">
      <c r="A159" s="9" t="s">
        <v>1293</v>
      </c>
      <c r="B159" s="9" t="s">
        <v>824</v>
      </c>
      <c r="C159" s="9" t="b">
        <f>TRUE()</f>
        <v>1</v>
      </c>
      <c r="D159" s="10">
        <v>46042</v>
      </c>
      <c r="E159" s="10">
        <v>46072</v>
      </c>
      <c r="F159" s="9" t="b">
        <f>TRUE()</f>
        <v>1</v>
      </c>
      <c r="G159" s="9" t="b">
        <f>TRUE()</f>
        <v>1</v>
      </c>
      <c r="H159" s="9" t="s">
        <v>18</v>
      </c>
      <c r="I159" s="9" t="s">
        <v>160</v>
      </c>
      <c r="J159" s="9" t="s">
        <v>26</v>
      </c>
      <c r="K159" s="9" t="s">
        <v>157</v>
      </c>
      <c r="L159" s="9" t="s">
        <v>161</v>
      </c>
      <c r="M159" s="9" t="s">
        <v>1151</v>
      </c>
      <c r="N159" s="9" t="s">
        <v>1151</v>
      </c>
      <c r="O159" s="10"/>
      <c r="P159" s="11">
        <v>1970.71</v>
      </c>
      <c r="Q159" s="9">
        <f t="shared" si="2"/>
        <v>30</v>
      </c>
    </row>
    <row r="160" spans="1:17" ht="15" customHeight="1" x14ac:dyDescent="0.2">
      <c r="A160" s="9" t="s">
        <v>1294</v>
      </c>
      <c r="B160" s="9" t="s">
        <v>831</v>
      </c>
      <c r="C160" s="9" t="b">
        <f>TRUE()</f>
        <v>1</v>
      </c>
      <c r="D160" s="10">
        <v>45983</v>
      </c>
      <c r="E160" s="10"/>
      <c r="F160" s="9" t="b">
        <f>TRUE()</f>
        <v>1</v>
      </c>
      <c r="G160" s="9" t="b">
        <f>FALSE()</f>
        <v>0</v>
      </c>
      <c r="H160" s="9" t="s">
        <v>22</v>
      </c>
      <c r="I160" s="9" t="s">
        <v>155</v>
      </c>
      <c r="J160" s="9" t="s">
        <v>28</v>
      </c>
      <c r="K160" s="9" t="s">
        <v>165</v>
      </c>
      <c r="L160" s="9" t="s">
        <v>161</v>
      </c>
      <c r="M160" s="9" t="s">
        <v>1160</v>
      </c>
      <c r="N160" s="9" t="s">
        <v>1160</v>
      </c>
      <c r="O160" s="10"/>
      <c r="P160" s="11">
        <v>1999.69</v>
      </c>
      <c r="Q160" s="9" t="str">
        <f t="shared" si="2"/>
        <v/>
      </c>
    </row>
    <row r="161" spans="1:17" ht="15" customHeight="1" x14ac:dyDescent="0.2">
      <c r="A161" s="9" t="s">
        <v>1295</v>
      </c>
      <c r="B161" s="9" t="s">
        <v>832</v>
      </c>
      <c r="C161" s="9" t="b">
        <f>TRUE()</f>
        <v>1</v>
      </c>
      <c r="D161" s="10">
        <v>46029</v>
      </c>
      <c r="E161" s="10"/>
      <c r="F161" s="9" t="b">
        <f>TRUE()</f>
        <v>1</v>
      </c>
      <c r="G161" s="9" t="b">
        <f>FALSE()</f>
        <v>0</v>
      </c>
      <c r="H161" s="9" t="s">
        <v>20</v>
      </c>
      <c r="I161" s="9" t="s">
        <v>186</v>
      </c>
      <c r="J161" s="9" t="s">
        <v>25</v>
      </c>
      <c r="K161" s="9" t="s">
        <v>189</v>
      </c>
      <c r="L161" s="9" t="s">
        <v>156</v>
      </c>
      <c r="M161" s="9" t="s">
        <v>1160</v>
      </c>
      <c r="N161" s="9" t="s">
        <v>1160</v>
      </c>
      <c r="O161" s="10"/>
      <c r="P161" s="11">
        <v>886.41</v>
      </c>
      <c r="Q161" s="9" t="str">
        <f t="shared" si="2"/>
        <v/>
      </c>
    </row>
    <row r="162" spans="1:17" ht="15" customHeight="1" x14ac:dyDescent="0.2">
      <c r="A162" s="9" t="s">
        <v>1296</v>
      </c>
      <c r="B162" s="9" t="s">
        <v>839</v>
      </c>
      <c r="C162" s="9" t="b">
        <f>TRUE()</f>
        <v>1</v>
      </c>
      <c r="D162" s="10">
        <v>45757</v>
      </c>
      <c r="E162" s="10">
        <v>45771</v>
      </c>
      <c r="F162" s="9" t="b">
        <f>TRUE()</f>
        <v>1</v>
      </c>
      <c r="G162" s="9" t="b">
        <f>TRUE()</f>
        <v>1</v>
      </c>
      <c r="H162" s="9" t="s">
        <v>22</v>
      </c>
      <c r="I162" s="9" t="s">
        <v>155</v>
      </c>
      <c r="J162" s="9" t="s">
        <v>25</v>
      </c>
      <c r="K162" s="9" t="s">
        <v>151</v>
      </c>
      <c r="L162" s="9" t="s">
        <v>161</v>
      </c>
      <c r="M162" s="9" t="s">
        <v>1151</v>
      </c>
      <c r="N162" s="9" t="s">
        <v>1151</v>
      </c>
      <c r="O162" s="10"/>
      <c r="P162" s="11">
        <v>1873.77</v>
      </c>
      <c r="Q162" s="9">
        <f t="shared" si="2"/>
        <v>14</v>
      </c>
    </row>
    <row r="163" spans="1:17" ht="15" customHeight="1" x14ac:dyDescent="0.2">
      <c r="A163" s="9" t="s">
        <v>1297</v>
      </c>
      <c r="B163" s="9" t="s">
        <v>841</v>
      </c>
      <c r="C163" s="9" t="b">
        <f>TRUE()</f>
        <v>1</v>
      </c>
      <c r="D163" s="10">
        <v>45699</v>
      </c>
      <c r="E163" s="10">
        <v>45710</v>
      </c>
      <c r="F163" s="9" t="b">
        <f>TRUE()</f>
        <v>1</v>
      </c>
      <c r="G163" s="9" t="b">
        <f>TRUE()</f>
        <v>1</v>
      </c>
      <c r="H163" s="9" t="s">
        <v>19</v>
      </c>
      <c r="I163" s="9" t="s">
        <v>186</v>
      </c>
      <c r="J163" s="9" t="s">
        <v>25</v>
      </c>
      <c r="K163" s="9" t="s">
        <v>210</v>
      </c>
      <c r="L163" s="9" t="s">
        <v>150</v>
      </c>
      <c r="M163" s="9" t="s">
        <v>1151</v>
      </c>
      <c r="N163" s="9" t="s">
        <v>1151</v>
      </c>
      <c r="O163" s="10"/>
      <c r="P163" s="11">
        <v>5649.33</v>
      </c>
      <c r="Q163" s="9">
        <f t="shared" si="2"/>
        <v>11</v>
      </c>
    </row>
    <row r="164" spans="1:17" ht="15" customHeight="1" x14ac:dyDescent="0.2">
      <c r="A164" s="9" t="s">
        <v>1298</v>
      </c>
      <c r="B164" s="9" t="s">
        <v>847</v>
      </c>
      <c r="C164" s="9" t="b">
        <f>TRUE()</f>
        <v>1</v>
      </c>
      <c r="D164" s="10">
        <v>45817</v>
      </c>
      <c r="E164" s="10">
        <v>45856</v>
      </c>
      <c r="F164" s="9" t="b">
        <f>TRUE()</f>
        <v>1</v>
      </c>
      <c r="G164" s="9" t="b">
        <f>TRUE()</f>
        <v>1</v>
      </c>
      <c r="H164" s="9" t="s">
        <v>22</v>
      </c>
      <c r="I164" s="9" t="s">
        <v>149</v>
      </c>
      <c r="J164" s="9" t="s">
        <v>25</v>
      </c>
      <c r="K164" s="9" t="s">
        <v>151</v>
      </c>
      <c r="L164" s="9" t="s">
        <v>156</v>
      </c>
      <c r="M164" s="9" t="s">
        <v>1151</v>
      </c>
      <c r="N164" s="9" t="s">
        <v>1151</v>
      </c>
      <c r="O164" s="10"/>
      <c r="P164" s="11">
        <v>823.24</v>
      </c>
      <c r="Q164" s="9">
        <f t="shared" si="2"/>
        <v>39</v>
      </c>
    </row>
    <row r="165" spans="1:17" ht="15" customHeight="1" x14ac:dyDescent="0.2">
      <c r="A165" s="9" t="s">
        <v>1299</v>
      </c>
      <c r="B165" s="9" t="s">
        <v>848</v>
      </c>
      <c r="C165" s="9" t="b">
        <f>TRUE()</f>
        <v>1</v>
      </c>
      <c r="D165" s="10">
        <v>46051</v>
      </c>
      <c r="E165" s="10">
        <v>46085</v>
      </c>
      <c r="F165" s="9" t="b">
        <f>TRUE()</f>
        <v>1</v>
      </c>
      <c r="G165" s="9" t="b">
        <f>TRUE()</f>
        <v>1</v>
      </c>
      <c r="H165" s="9" t="s">
        <v>22</v>
      </c>
      <c r="I165" s="9" t="s">
        <v>160</v>
      </c>
      <c r="J165" s="9" t="s">
        <v>25</v>
      </c>
      <c r="K165" s="9" t="s">
        <v>170</v>
      </c>
      <c r="L165" s="9" t="s">
        <v>161</v>
      </c>
      <c r="M165" s="9" t="s">
        <v>1151</v>
      </c>
      <c r="N165" s="9" t="s">
        <v>1151</v>
      </c>
      <c r="O165" s="10"/>
      <c r="P165" s="11">
        <v>2599.6799999999998</v>
      </c>
      <c r="Q165" s="9">
        <f t="shared" si="2"/>
        <v>34</v>
      </c>
    </row>
    <row r="166" spans="1:17" ht="15" customHeight="1" x14ac:dyDescent="0.2">
      <c r="A166" s="9" t="s">
        <v>1300</v>
      </c>
      <c r="B166" s="9" t="s">
        <v>870</v>
      </c>
      <c r="C166" s="9" t="b">
        <f>TRUE()</f>
        <v>1</v>
      </c>
      <c r="D166" s="10">
        <v>46005</v>
      </c>
      <c r="E166" s="10"/>
      <c r="F166" s="9" t="b">
        <f>TRUE()</f>
        <v>1</v>
      </c>
      <c r="G166" s="9" t="b">
        <f>FALSE()</f>
        <v>0</v>
      </c>
      <c r="H166" s="9" t="s">
        <v>21</v>
      </c>
      <c r="I166" s="9" t="s">
        <v>149</v>
      </c>
      <c r="J166" s="9" t="s">
        <v>28</v>
      </c>
      <c r="K166" s="9" t="s">
        <v>162</v>
      </c>
      <c r="L166" s="9" t="s">
        <v>156</v>
      </c>
      <c r="M166" s="9" t="s">
        <v>1160</v>
      </c>
      <c r="N166" s="9" t="s">
        <v>1160</v>
      </c>
      <c r="O166" s="10"/>
      <c r="P166" s="11">
        <v>638.5</v>
      </c>
      <c r="Q166" s="9" t="str">
        <f t="shared" si="2"/>
        <v/>
      </c>
    </row>
    <row r="167" spans="1:17" ht="15" customHeight="1" x14ac:dyDescent="0.2">
      <c r="A167" s="9" t="s">
        <v>78</v>
      </c>
      <c r="B167" s="9" t="s">
        <v>875</v>
      </c>
      <c r="C167" s="9" t="b">
        <f>TRUE()</f>
        <v>1</v>
      </c>
      <c r="D167" s="10">
        <v>45903</v>
      </c>
      <c r="E167" s="10">
        <v>45927</v>
      </c>
      <c r="F167" s="9" t="b">
        <f>TRUE()</f>
        <v>1</v>
      </c>
      <c r="G167" s="9" t="b">
        <f>TRUE()</f>
        <v>1</v>
      </c>
      <c r="H167" s="9" t="s">
        <v>19</v>
      </c>
      <c r="I167" s="9" t="s">
        <v>155</v>
      </c>
      <c r="J167" s="9" t="s">
        <v>25</v>
      </c>
      <c r="K167" s="9" t="s">
        <v>207</v>
      </c>
      <c r="L167" s="9" t="s">
        <v>156</v>
      </c>
      <c r="M167" s="9" t="s">
        <v>1151</v>
      </c>
      <c r="N167" s="9" t="s">
        <v>1151</v>
      </c>
      <c r="O167" s="10"/>
      <c r="P167" s="11">
        <v>598.77</v>
      </c>
      <c r="Q167" s="9">
        <f t="shared" si="2"/>
        <v>24</v>
      </c>
    </row>
    <row r="168" spans="1:17" ht="15" customHeight="1" x14ac:dyDescent="0.2">
      <c r="A168" s="9" t="s">
        <v>1301</v>
      </c>
      <c r="B168" s="9" t="s">
        <v>876</v>
      </c>
      <c r="C168" s="9" t="b">
        <f>TRUE()</f>
        <v>1</v>
      </c>
      <c r="D168" s="10">
        <v>45915</v>
      </c>
      <c r="E168" s="10">
        <v>45924</v>
      </c>
      <c r="F168" s="9" t="b">
        <f>TRUE()</f>
        <v>1</v>
      </c>
      <c r="G168" s="9" t="b">
        <f>TRUE()</f>
        <v>1</v>
      </c>
      <c r="H168" s="9" t="s">
        <v>18</v>
      </c>
      <c r="I168" s="9" t="s">
        <v>186</v>
      </c>
      <c r="J168" s="9" t="s">
        <v>25</v>
      </c>
      <c r="K168" s="9" t="s">
        <v>157</v>
      </c>
      <c r="L168" s="9" t="s">
        <v>161</v>
      </c>
      <c r="M168" s="9" t="s">
        <v>1151</v>
      </c>
      <c r="N168" s="9" t="s">
        <v>1151</v>
      </c>
      <c r="O168" s="10"/>
      <c r="P168" s="11">
        <v>1511.29</v>
      </c>
      <c r="Q168" s="9">
        <f t="shared" si="2"/>
        <v>9</v>
      </c>
    </row>
    <row r="169" spans="1:17" ht="15" customHeight="1" x14ac:dyDescent="0.2">
      <c r="A169" s="9" t="s">
        <v>1302</v>
      </c>
      <c r="B169" s="9" t="s">
        <v>879</v>
      </c>
      <c r="C169" s="9" t="b">
        <f>TRUE()</f>
        <v>1</v>
      </c>
      <c r="D169" s="10">
        <v>45962</v>
      </c>
      <c r="E169" s="10"/>
      <c r="F169" s="9" t="b">
        <f>TRUE()</f>
        <v>1</v>
      </c>
      <c r="G169" s="9" t="b">
        <f>FALSE()</f>
        <v>0</v>
      </c>
      <c r="H169" s="9" t="s">
        <v>20</v>
      </c>
      <c r="I169" s="9" t="s">
        <v>160</v>
      </c>
      <c r="J169" s="9" t="s">
        <v>26</v>
      </c>
      <c r="K169" s="9" t="s">
        <v>167</v>
      </c>
      <c r="L169" s="9" t="s">
        <v>161</v>
      </c>
      <c r="M169" s="9" t="s">
        <v>1160</v>
      </c>
      <c r="N169" s="9" t="s">
        <v>1160</v>
      </c>
      <c r="O169" s="10"/>
      <c r="P169" s="11">
        <v>2345.0300000000002</v>
      </c>
      <c r="Q169" s="9" t="str">
        <f t="shared" si="2"/>
        <v/>
      </c>
    </row>
    <row r="170" spans="1:17" ht="15" customHeight="1" x14ac:dyDescent="0.2">
      <c r="A170" s="9" t="s">
        <v>1303</v>
      </c>
      <c r="B170" s="9" t="s">
        <v>882</v>
      </c>
      <c r="C170" s="9" t="b">
        <f>TRUE()</f>
        <v>1</v>
      </c>
      <c r="D170" s="10">
        <v>45862</v>
      </c>
      <c r="E170" s="10">
        <v>45899</v>
      </c>
      <c r="F170" s="9" t="b">
        <f>TRUE()</f>
        <v>1</v>
      </c>
      <c r="G170" s="9" t="b">
        <f>TRUE()</f>
        <v>1</v>
      </c>
      <c r="H170" s="9" t="s">
        <v>18</v>
      </c>
      <c r="I170" s="9" t="s">
        <v>149</v>
      </c>
      <c r="J170" s="9" t="s">
        <v>24</v>
      </c>
      <c r="K170" s="9" t="s">
        <v>251</v>
      </c>
      <c r="L170" s="9" t="s">
        <v>161</v>
      </c>
      <c r="M170" s="9" t="s">
        <v>1151</v>
      </c>
      <c r="N170" s="9" t="s">
        <v>1151</v>
      </c>
      <c r="O170" s="10"/>
      <c r="P170" s="11">
        <v>3160.18</v>
      </c>
      <c r="Q170" s="9">
        <f t="shared" si="2"/>
        <v>37</v>
      </c>
    </row>
    <row r="171" spans="1:17" ht="15" customHeight="1" x14ac:dyDescent="0.2">
      <c r="A171" s="9" t="s">
        <v>1304</v>
      </c>
      <c r="B171" s="9" t="s">
        <v>886</v>
      </c>
      <c r="C171" s="9" t="b">
        <f>TRUE()</f>
        <v>1</v>
      </c>
      <c r="D171" s="10">
        <v>45744</v>
      </c>
      <c r="E171" s="10">
        <v>45770</v>
      </c>
      <c r="F171" s="9" t="b">
        <f>TRUE()</f>
        <v>1</v>
      </c>
      <c r="G171" s="9" t="b">
        <f>TRUE()</f>
        <v>1</v>
      </c>
      <c r="H171" s="9" t="s">
        <v>22</v>
      </c>
      <c r="I171" s="9" t="s">
        <v>155</v>
      </c>
      <c r="J171" s="9" t="s">
        <v>28</v>
      </c>
      <c r="K171" s="9" t="s">
        <v>165</v>
      </c>
      <c r="L171" s="9" t="s">
        <v>156</v>
      </c>
      <c r="M171" s="9" t="s">
        <v>1155</v>
      </c>
      <c r="N171" s="9" t="s">
        <v>1155</v>
      </c>
      <c r="O171" s="10">
        <v>45901</v>
      </c>
      <c r="P171" s="11">
        <v>704.68</v>
      </c>
      <c r="Q171" s="9">
        <f t="shared" si="2"/>
        <v>26</v>
      </c>
    </row>
    <row r="172" spans="1:17" ht="15" customHeight="1" x14ac:dyDescent="0.2">
      <c r="A172" s="9" t="s">
        <v>1305</v>
      </c>
      <c r="B172" s="9" t="s">
        <v>887</v>
      </c>
      <c r="C172" s="9" t="b">
        <f>TRUE()</f>
        <v>1</v>
      </c>
      <c r="D172" s="10">
        <v>45864</v>
      </c>
      <c r="E172" s="10">
        <v>45901</v>
      </c>
      <c r="F172" s="9" t="b">
        <f>TRUE()</f>
        <v>1</v>
      </c>
      <c r="G172" s="9" t="b">
        <f>TRUE()</f>
        <v>1</v>
      </c>
      <c r="H172" s="9" t="s">
        <v>20</v>
      </c>
      <c r="I172" s="9" t="s">
        <v>149</v>
      </c>
      <c r="J172" s="9" t="s">
        <v>25</v>
      </c>
      <c r="K172" s="9" t="s">
        <v>167</v>
      </c>
      <c r="L172" s="9" t="s">
        <v>150</v>
      </c>
      <c r="M172" s="9" t="s">
        <v>1151</v>
      </c>
      <c r="N172" s="9" t="s">
        <v>1151</v>
      </c>
      <c r="O172" s="10"/>
      <c r="P172" s="11">
        <v>7405.37</v>
      </c>
      <c r="Q172" s="9">
        <f t="shared" si="2"/>
        <v>37</v>
      </c>
    </row>
    <row r="173" spans="1:17" ht="15" customHeight="1" x14ac:dyDescent="0.2">
      <c r="A173" s="9" t="s">
        <v>1306</v>
      </c>
      <c r="B173" s="9" t="s">
        <v>888</v>
      </c>
      <c r="C173" s="9" t="b">
        <f>TRUE()</f>
        <v>1</v>
      </c>
      <c r="D173" s="10">
        <v>45984</v>
      </c>
      <c r="E173" s="10">
        <v>45996</v>
      </c>
      <c r="F173" s="9" t="b">
        <f>TRUE()</f>
        <v>1</v>
      </c>
      <c r="G173" s="9" t="b">
        <f>TRUE()</f>
        <v>1</v>
      </c>
      <c r="H173" s="9" t="s">
        <v>21</v>
      </c>
      <c r="I173" s="9" t="s">
        <v>160</v>
      </c>
      <c r="J173" s="9" t="s">
        <v>25</v>
      </c>
      <c r="K173" s="9" t="s">
        <v>183</v>
      </c>
      <c r="L173" s="9" t="s">
        <v>156</v>
      </c>
      <c r="M173" s="9" t="s">
        <v>1151</v>
      </c>
      <c r="N173" s="9" t="s">
        <v>1151</v>
      </c>
      <c r="O173" s="10"/>
      <c r="P173" s="11">
        <v>948.19</v>
      </c>
      <c r="Q173" s="9">
        <f t="shared" si="2"/>
        <v>12</v>
      </c>
    </row>
    <row r="174" spans="1:17" ht="15" customHeight="1" x14ac:dyDescent="0.2">
      <c r="A174" s="9" t="s">
        <v>1307</v>
      </c>
      <c r="B174" s="9" t="s">
        <v>894</v>
      </c>
      <c r="C174" s="9" t="b">
        <f>TRUE()</f>
        <v>1</v>
      </c>
      <c r="D174" s="10">
        <v>45727</v>
      </c>
      <c r="E174" s="10">
        <v>45736</v>
      </c>
      <c r="F174" s="9" t="b">
        <f>TRUE()</f>
        <v>1</v>
      </c>
      <c r="G174" s="9" t="b">
        <f>TRUE()</f>
        <v>1</v>
      </c>
      <c r="H174" s="9" t="s">
        <v>18</v>
      </c>
      <c r="I174" s="9" t="s">
        <v>149</v>
      </c>
      <c r="J174" s="9" t="s">
        <v>24</v>
      </c>
      <c r="K174" s="9" t="s">
        <v>157</v>
      </c>
      <c r="L174" s="9" t="s">
        <v>156</v>
      </c>
      <c r="M174" s="9" t="s">
        <v>1151</v>
      </c>
      <c r="N174" s="9" t="s">
        <v>1151</v>
      </c>
      <c r="O174" s="10"/>
      <c r="P174" s="11">
        <v>615.98</v>
      </c>
      <c r="Q174" s="9">
        <f t="shared" si="2"/>
        <v>9</v>
      </c>
    </row>
    <row r="175" spans="1:17" ht="15" customHeight="1" x14ac:dyDescent="0.2">
      <c r="A175" s="9" t="s">
        <v>100</v>
      </c>
      <c r="B175" s="9" t="s">
        <v>896</v>
      </c>
      <c r="C175" s="9" t="b">
        <f>TRUE()</f>
        <v>1</v>
      </c>
      <c r="D175" s="10">
        <v>45861</v>
      </c>
      <c r="E175" s="10"/>
      <c r="F175" s="9" t="b">
        <f>TRUE()</f>
        <v>1</v>
      </c>
      <c r="G175" s="9" t="b">
        <f>FALSE()</f>
        <v>0</v>
      </c>
      <c r="H175" s="9" t="s">
        <v>20</v>
      </c>
      <c r="I175" s="9" t="s">
        <v>149</v>
      </c>
      <c r="J175" s="9" t="s">
        <v>24</v>
      </c>
      <c r="K175" s="9" t="s">
        <v>192</v>
      </c>
      <c r="L175" s="9" t="s">
        <v>156</v>
      </c>
      <c r="M175" s="9" t="s">
        <v>1151</v>
      </c>
      <c r="N175" s="9" t="s">
        <v>1189</v>
      </c>
      <c r="O175" s="10"/>
      <c r="P175" s="11">
        <v>1056.8</v>
      </c>
      <c r="Q175" s="9" t="str">
        <f t="shared" si="2"/>
        <v/>
      </c>
    </row>
    <row r="176" spans="1:17" ht="15" customHeight="1" x14ac:dyDescent="0.2">
      <c r="A176" s="9" t="s">
        <v>1308</v>
      </c>
      <c r="B176" s="9" t="s">
        <v>64</v>
      </c>
      <c r="C176" s="9" t="b">
        <f>TRUE()</f>
        <v>1</v>
      </c>
      <c r="D176" s="10">
        <v>45978</v>
      </c>
      <c r="E176" s="10">
        <v>45988</v>
      </c>
      <c r="F176" s="9" t="b">
        <f>TRUE()</f>
        <v>1</v>
      </c>
      <c r="G176" s="9" t="b">
        <f>TRUE()</f>
        <v>1</v>
      </c>
      <c r="H176" s="9" t="s">
        <v>21</v>
      </c>
      <c r="I176" s="9" t="s">
        <v>149</v>
      </c>
      <c r="J176" s="9" t="s">
        <v>25</v>
      </c>
      <c r="K176" s="9" t="s">
        <v>265</v>
      </c>
      <c r="L176" s="9" t="s">
        <v>161</v>
      </c>
      <c r="M176" s="9" t="s">
        <v>1151</v>
      </c>
      <c r="N176" s="9" t="s">
        <v>1151</v>
      </c>
      <c r="O176" s="10"/>
      <c r="P176" s="11">
        <v>2765.94</v>
      </c>
      <c r="Q176" s="9">
        <f t="shared" si="2"/>
        <v>10</v>
      </c>
    </row>
    <row r="177" spans="1:17" ht="15" customHeight="1" x14ac:dyDescent="0.2">
      <c r="A177" s="9" t="s">
        <v>1309</v>
      </c>
      <c r="B177" s="9" t="s">
        <v>913</v>
      </c>
      <c r="C177" s="9" t="b">
        <f>TRUE()</f>
        <v>1</v>
      </c>
      <c r="D177" s="10">
        <v>45756</v>
      </c>
      <c r="E177" s="10">
        <v>45795</v>
      </c>
      <c r="F177" s="9" t="b">
        <f>TRUE()</f>
        <v>1</v>
      </c>
      <c r="G177" s="9" t="b">
        <f>TRUE()</f>
        <v>1</v>
      </c>
      <c r="H177" s="9" t="s">
        <v>20</v>
      </c>
      <c r="I177" s="9" t="s">
        <v>160</v>
      </c>
      <c r="J177" s="9" t="s">
        <v>25</v>
      </c>
      <c r="K177" s="9" t="s">
        <v>167</v>
      </c>
      <c r="L177" s="9" t="s">
        <v>156</v>
      </c>
      <c r="M177" s="9" t="s">
        <v>1151</v>
      </c>
      <c r="N177" s="9" t="s">
        <v>1151</v>
      </c>
      <c r="O177" s="10"/>
      <c r="P177" s="11">
        <v>583.16999999999996</v>
      </c>
      <c r="Q177" s="9">
        <f t="shared" si="2"/>
        <v>39</v>
      </c>
    </row>
    <row r="178" spans="1:17" ht="15" customHeight="1" x14ac:dyDescent="0.2">
      <c r="A178" s="9" t="s">
        <v>1310</v>
      </c>
      <c r="B178" s="9" t="s">
        <v>58</v>
      </c>
      <c r="C178" s="9" t="b">
        <f>TRUE()</f>
        <v>1</v>
      </c>
      <c r="D178" s="10">
        <v>45769</v>
      </c>
      <c r="E178" s="10"/>
      <c r="F178" s="9" t="b">
        <f>TRUE()</f>
        <v>1</v>
      </c>
      <c r="G178" s="9" t="b">
        <f>FALSE()</f>
        <v>0</v>
      </c>
      <c r="H178" s="9" t="s">
        <v>20</v>
      </c>
      <c r="I178" s="9" t="s">
        <v>160</v>
      </c>
      <c r="J178" s="9" t="s">
        <v>25</v>
      </c>
      <c r="K178" s="9" t="s">
        <v>167</v>
      </c>
      <c r="L178" s="9" t="s">
        <v>156</v>
      </c>
      <c r="M178" s="9" t="s">
        <v>1160</v>
      </c>
      <c r="N178" s="9" t="s">
        <v>1160</v>
      </c>
      <c r="O178" s="10"/>
      <c r="P178" s="11">
        <v>911.67</v>
      </c>
      <c r="Q178" s="9" t="str">
        <f t="shared" si="2"/>
        <v/>
      </c>
    </row>
    <row r="179" spans="1:17" ht="15" customHeight="1" x14ac:dyDescent="0.2">
      <c r="A179" s="9" t="s">
        <v>1311</v>
      </c>
      <c r="B179" s="9" t="s">
        <v>70</v>
      </c>
      <c r="C179" s="9" t="b">
        <f>TRUE()</f>
        <v>1</v>
      </c>
      <c r="D179" s="10">
        <v>45779</v>
      </c>
      <c r="E179" s="10"/>
      <c r="F179" s="9" t="b">
        <f>TRUE()</f>
        <v>1</v>
      </c>
      <c r="G179" s="9" t="b">
        <f>FALSE()</f>
        <v>0</v>
      </c>
      <c r="H179" s="9" t="s">
        <v>18</v>
      </c>
      <c r="I179" s="9" t="s">
        <v>149</v>
      </c>
      <c r="J179" s="9" t="s">
        <v>27</v>
      </c>
      <c r="K179" s="9" t="s">
        <v>157</v>
      </c>
      <c r="L179" s="9" t="s">
        <v>161</v>
      </c>
      <c r="M179" s="9" t="s">
        <v>1160</v>
      </c>
      <c r="N179" s="9" t="s">
        <v>1160</v>
      </c>
      <c r="O179" s="10"/>
      <c r="P179" s="11">
        <v>2988.94</v>
      </c>
      <c r="Q179" s="9" t="str">
        <f t="shared" si="2"/>
        <v/>
      </c>
    </row>
    <row r="180" spans="1:17" ht="15" customHeight="1" x14ac:dyDescent="0.2">
      <c r="A180" s="9" t="s">
        <v>1312</v>
      </c>
      <c r="B180" s="9" t="s">
        <v>923</v>
      </c>
      <c r="C180" s="9" t="b">
        <f>TRUE()</f>
        <v>1</v>
      </c>
      <c r="D180" s="10">
        <v>45812</v>
      </c>
      <c r="E180" s="10">
        <v>45826</v>
      </c>
      <c r="F180" s="9" t="b">
        <f>TRUE()</f>
        <v>1</v>
      </c>
      <c r="G180" s="9" t="b">
        <f>TRUE()</f>
        <v>1</v>
      </c>
      <c r="H180" s="9" t="s">
        <v>21</v>
      </c>
      <c r="I180" s="9" t="s">
        <v>149</v>
      </c>
      <c r="J180" s="9" t="s">
        <v>24</v>
      </c>
      <c r="K180" s="9" t="s">
        <v>176</v>
      </c>
      <c r="L180" s="9" t="s">
        <v>161</v>
      </c>
      <c r="M180" s="9" t="s">
        <v>1151</v>
      </c>
      <c r="N180" s="9" t="s">
        <v>1151</v>
      </c>
      <c r="O180" s="10"/>
      <c r="P180" s="11">
        <v>2470.5700000000002</v>
      </c>
      <c r="Q180" s="9">
        <f t="shared" si="2"/>
        <v>14</v>
      </c>
    </row>
    <row r="181" spans="1:17" ht="15" customHeight="1" x14ac:dyDescent="0.2">
      <c r="A181" s="9" t="s">
        <v>91</v>
      </c>
      <c r="B181" s="9" t="s">
        <v>929</v>
      </c>
      <c r="C181" s="9" t="b">
        <f>TRUE()</f>
        <v>1</v>
      </c>
      <c r="D181" s="10">
        <v>45695</v>
      </c>
      <c r="E181" s="10">
        <v>45700</v>
      </c>
      <c r="F181" s="9" t="b">
        <f>TRUE()</f>
        <v>1</v>
      </c>
      <c r="G181" s="9" t="b">
        <f>TRUE()</f>
        <v>1</v>
      </c>
      <c r="H181" s="9" t="s">
        <v>20</v>
      </c>
      <c r="I181" s="9" t="s">
        <v>149</v>
      </c>
      <c r="J181" s="9" t="s">
        <v>24</v>
      </c>
      <c r="K181" s="9" t="s">
        <v>192</v>
      </c>
      <c r="L181" s="9" t="s">
        <v>1173</v>
      </c>
      <c r="M181" s="9" t="s">
        <v>1151</v>
      </c>
      <c r="N181" s="9" t="s">
        <v>1151</v>
      </c>
      <c r="O181" s="10"/>
      <c r="P181" s="11">
        <v>3276.01</v>
      </c>
      <c r="Q181" s="9">
        <f t="shared" si="2"/>
        <v>5</v>
      </c>
    </row>
    <row r="182" spans="1:17" ht="15" customHeight="1" x14ac:dyDescent="0.2">
      <c r="A182" s="9" t="s">
        <v>1313</v>
      </c>
      <c r="B182" s="9" t="s">
        <v>941</v>
      </c>
      <c r="C182" s="9" t="b">
        <f>TRUE()</f>
        <v>1</v>
      </c>
      <c r="D182" s="10">
        <v>45995</v>
      </c>
      <c r="E182" s="10">
        <v>46002</v>
      </c>
      <c r="F182" s="9" t="b">
        <f>TRUE()</f>
        <v>1</v>
      </c>
      <c r="G182" s="9" t="b">
        <f>TRUE()</f>
        <v>1</v>
      </c>
      <c r="H182" s="9" t="s">
        <v>21</v>
      </c>
      <c r="I182" s="9" t="s">
        <v>186</v>
      </c>
      <c r="J182" s="9" t="s">
        <v>27</v>
      </c>
      <c r="K182" s="9" t="s">
        <v>176</v>
      </c>
      <c r="L182" s="9" t="s">
        <v>161</v>
      </c>
      <c r="M182" s="9" t="s">
        <v>1151</v>
      </c>
      <c r="N182" s="9" t="s">
        <v>1151</v>
      </c>
      <c r="O182" s="10"/>
      <c r="P182" s="11">
        <v>2600.23</v>
      </c>
      <c r="Q182" s="9">
        <f t="shared" si="2"/>
        <v>7</v>
      </c>
    </row>
    <row r="183" spans="1:17" ht="15" customHeight="1" x14ac:dyDescent="0.2">
      <c r="A183" s="9" t="s">
        <v>1314</v>
      </c>
      <c r="B183" s="9" t="s">
        <v>943</v>
      </c>
      <c r="C183" s="9" t="b">
        <f>TRUE()</f>
        <v>1</v>
      </c>
      <c r="D183" s="10">
        <v>45878</v>
      </c>
      <c r="E183" s="10">
        <v>45903</v>
      </c>
      <c r="F183" s="9" t="b">
        <f>TRUE()</f>
        <v>1</v>
      </c>
      <c r="G183" s="9" t="b">
        <f>TRUE()</f>
        <v>1</v>
      </c>
      <c r="H183" s="9" t="s">
        <v>21</v>
      </c>
      <c r="I183" s="9" t="s">
        <v>155</v>
      </c>
      <c r="J183" s="9" t="s">
        <v>28</v>
      </c>
      <c r="K183" s="9" t="s">
        <v>176</v>
      </c>
      <c r="L183" s="9" t="s">
        <v>156</v>
      </c>
      <c r="M183" s="9" t="s">
        <v>1151</v>
      </c>
      <c r="N183" s="9" t="s">
        <v>1151</v>
      </c>
      <c r="O183" s="10"/>
      <c r="P183" s="11">
        <v>530.54</v>
      </c>
      <c r="Q183" s="9">
        <f t="shared" si="2"/>
        <v>25</v>
      </c>
    </row>
    <row r="184" spans="1:17" ht="15" customHeight="1" x14ac:dyDescent="0.2">
      <c r="A184" s="9" t="s">
        <v>1315</v>
      </c>
      <c r="B184" s="9" t="s">
        <v>944</v>
      </c>
      <c r="C184" s="9" t="b">
        <f>TRUE()</f>
        <v>1</v>
      </c>
      <c r="D184" s="10">
        <v>45841</v>
      </c>
      <c r="E184" s="10"/>
      <c r="F184" s="9" t="b">
        <f>TRUE()</f>
        <v>1</v>
      </c>
      <c r="G184" s="9" t="b">
        <f>FALSE()</f>
        <v>0</v>
      </c>
      <c r="H184" s="9" t="s">
        <v>20</v>
      </c>
      <c r="I184" s="9" t="s">
        <v>149</v>
      </c>
      <c r="J184" s="9" t="s">
        <v>26</v>
      </c>
      <c r="K184" s="9" t="s">
        <v>189</v>
      </c>
      <c r="L184" s="9" t="s">
        <v>161</v>
      </c>
      <c r="M184" s="9" t="s">
        <v>1160</v>
      </c>
      <c r="N184" s="9" t="s">
        <v>1160</v>
      </c>
      <c r="O184" s="10"/>
      <c r="P184" s="11">
        <v>3026.62</v>
      </c>
      <c r="Q184" s="9" t="str">
        <f t="shared" si="2"/>
        <v/>
      </c>
    </row>
    <row r="185" spans="1:17" ht="15" customHeight="1" x14ac:dyDescent="0.2">
      <c r="A185" s="9" t="s">
        <v>1316</v>
      </c>
      <c r="B185" s="9" t="s">
        <v>956</v>
      </c>
      <c r="C185" s="9" t="b">
        <f>TRUE()</f>
        <v>1</v>
      </c>
      <c r="D185" s="10">
        <v>45962</v>
      </c>
      <c r="E185" s="10"/>
      <c r="F185" s="9" t="b">
        <f>TRUE()</f>
        <v>1</v>
      </c>
      <c r="G185" s="9" t="b">
        <f>FALSE()</f>
        <v>0</v>
      </c>
      <c r="H185" s="9" t="s">
        <v>22</v>
      </c>
      <c r="I185" s="9" t="s">
        <v>160</v>
      </c>
      <c r="J185" s="9" t="s">
        <v>25</v>
      </c>
      <c r="K185" s="9" t="s">
        <v>151</v>
      </c>
      <c r="L185" s="9" t="s">
        <v>156</v>
      </c>
      <c r="M185" s="9" t="s">
        <v>1160</v>
      </c>
      <c r="N185" s="9" t="s">
        <v>1160</v>
      </c>
      <c r="O185" s="10"/>
      <c r="P185" s="11">
        <v>549.32000000000005</v>
      </c>
      <c r="Q185" s="9" t="str">
        <f t="shared" si="2"/>
        <v/>
      </c>
    </row>
    <row r="186" spans="1:17" ht="15" customHeight="1" x14ac:dyDescent="0.2">
      <c r="A186" s="9" t="s">
        <v>1317</v>
      </c>
      <c r="B186" s="9" t="s">
        <v>970</v>
      </c>
      <c r="C186" s="9" t="b">
        <f>TRUE()</f>
        <v>1</v>
      </c>
      <c r="D186" s="10">
        <v>45721</v>
      </c>
      <c r="E186" s="10">
        <v>45731</v>
      </c>
      <c r="F186" s="9" t="b">
        <f>TRUE()</f>
        <v>1</v>
      </c>
      <c r="G186" s="9" t="b">
        <f>TRUE()</f>
        <v>1</v>
      </c>
      <c r="H186" s="9" t="s">
        <v>21</v>
      </c>
      <c r="I186" s="9" t="s">
        <v>149</v>
      </c>
      <c r="J186" s="9" t="s">
        <v>27</v>
      </c>
      <c r="K186" s="9" t="s">
        <v>162</v>
      </c>
      <c r="L186" s="9" t="s">
        <v>156</v>
      </c>
      <c r="M186" s="9" t="s">
        <v>1151</v>
      </c>
      <c r="N186" s="9" t="s">
        <v>1151</v>
      </c>
      <c r="O186" s="10"/>
      <c r="P186" s="11">
        <v>910.5</v>
      </c>
      <c r="Q186" s="9">
        <f t="shared" si="2"/>
        <v>10</v>
      </c>
    </row>
    <row r="187" spans="1:17" ht="15" customHeight="1" x14ac:dyDescent="0.2">
      <c r="A187" s="9" t="s">
        <v>104</v>
      </c>
      <c r="B187" s="9" t="s">
        <v>986</v>
      </c>
      <c r="C187" s="9" t="b">
        <f>TRUE()</f>
        <v>1</v>
      </c>
      <c r="D187" s="10">
        <v>45807</v>
      </c>
      <c r="E187" s="10">
        <v>45848</v>
      </c>
      <c r="F187" s="9" t="b">
        <f>TRUE()</f>
        <v>1</v>
      </c>
      <c r="G187" s="9" t="b">
        <f>TRUE()</f>
        <v>1</v>
      </c>
      <c r="H187" s="9" t="s">
        <v>21</v>
      </c>
      <c r="I187" s="9" t="s">
        <v>186</v>
      </c>
      <c r="J187" s="9" t="s">
        <v>25</v>
      </c>
      <c r="K187" s="9" t="s">
        <v>176</v>
      </c>
      <c r="L187" s="9" t="s">
        <v>161</v>
      </c>
      <c r="M187" s="9" t="s">
        <v>1155</v>
      </c>
      <c r="N187" s="9" t="s">
        <v>1155</v>
      </c>
      <c r="O187" s="10"/>
      <c r="P187" s="11">
        <v>2405.5</v>
      </c>
      <c r="Q187" s="9">
        <f t="shared" si="2"/>
        <v>41</v>
      </c>
    </row>
    <row r="188" spans="1:17" ht="15" customHeight="1" x14ac:dyDescent="0.2">
      <c r="A188" s="9" t="s">
        <v>1318</v>
      </c>
      <c r="B188" s="9" t="s">
        <v>990</v>
      </c>
      <c r="C188" s="9" t="b">
        <f>TRUE()</f>
        <v>1</v>
      </c>
      <c r="D188" s="10">
        <v>46013</v>
      </c>
      <c r="E188" s="10">
        <v>46023</v>
      </c>
      <c r="F188" s="9" t="b">
        <f>TRUE()</f>
        <v>1</v>
      </c>
      <c r="G188" s="9" t="b">
        <f>TRUE()</f>
        <v>1</v>
      </c>
      <c r="H188" s="9" t="s">
        <v>22</v>
      </c>
      <c r="I188" s="9" t="s">
        <v>155</v>
      </c>
      <c r="J188" s="9" t="s">
        <v>25</v>
      </c>
      <c r="K188" s="9" t="s">
        <v>170</v>
      </c>
      <c r="L188" s="9" t="s">
        <v>161</v>
      </c>
      <c r="M188" s="9" t="s">
        <v>1151</v>
      </c>
      <c r="N188" s="9" t="s">
        <v>1151</v>
      </c>
      <c r="O188" s="10"/>
      <c r="P188" s="11">
        <v>1895.23</v>
      </c>
      <c r="Q188" s="9">
        <f t="shared" si="2"/>
        <v>10</v>
      </c>
    </row>
    <row r="189" spans="1:17" ht="15" customHeight="1" x14ac:dyDescent="0.2">
      <c r="A189" s="9" t="s">
        <v>1319</v>
      </c>
      <c r="B189" s="9" t="s">
        <v>992</v>
      </c>
      <c r="C189" s="9" t="b">
        <f>TRUE()</f>
        <v>1</v>
      </c>
      <c r="D189" s="10">
        <v>46012</v>
      </c>
      <c r="E189" s="10">
        <v>46041</v>
      </c>
      <c r="F189" s="9" t="b">
        <f>TRUE()</f>
        <v>1</v>
      </c>
      <c r="G189" s="9" t="b">
        <f>TRUE()</f>
        <v>1</v>
      </c>
      <c r="H189" s="9" t="s">
        <v>20</v>
      </c>
      <c r="I189" s="9" t="s">
        <v>149</v>
      </c>
      <c r="J189" s="9" t="s">
        <v>27</v>
      </c>
      <c r="K189" s="9" t="s">
        <v>192</v>
      </c>
      <c r="L189" s="9" t="s">
        <v>156</v>
      </c>
      <c r="M189" s="9" t="s">
        <v>1151</v>
      </c>
      <c r="N189" s="9" t="s">
        <v>1151</v>
      </c>
      <c r="O189" s="10"/>
      <c r="P189" s="11">
        <v>877.11</v>
      </c>
      <c r="Q189" s="9">
        <f t="shared" si="2"/>
        <v>29</v>
      </c>
    </row>
    <row r="190" spans="1:17" ht="15" customHeight="1" x14ac:dyDescent="0.2">
      <c r="A190" s="9" t="s">
        <v>1320</v>
      </c>
      <c r="B190" s="9" t="s">
        <v>996</v>
      </c>
      <c r="C190" s="9" t="b">
        <f>TRUE()</f>
        <v>1</v>
      </c>
      <c r="D190" s="10">
        <v>46048</v>
      </c>
      <c r="E190" s="10">
        <v>46112</v>
      </c>
      <c r="F190" s="9" t="b">
        <f>TRUE()</f>
        <v>1</v>
      </c>
      <c r="G190" s="9" t="b">
        <f>TRUE()</f>
        <v>1</v>
      </c>
      <c r="H190" s="9" t="s">
        <v>20</v>
      </c>
      <c r="I190" s="9" t="s">
        <v>149</v>
      </c>
      <c r="J190" s="9" t="s">
        <v>26</v>
      </c>
      <c r="K190" s="9" t="s">
        <v>189</v>
      </c>
      <c r="L190" s="9" t="s">
        <v>156</v>
      </c>
      <c r="M190" s="9" t="s">
        <v>1151</v>
      </c>
      <c r="N190" s="9" t="s">
        <v>1151</v>
      </c>
      <c r="O190" s="10"/>
      <c r="P190" s="11">
        <v>724.86</v>
      </c>
      <c r="Q190" s="9">
        <f t="shared" si="2"/>
        <v>64</v>
      </c>
    </row>
    <row r="191" spans="1:17" ht="15" customHeight="1" x14ac:dyDescent="0.2">
      <c r="A191" s="9" t="s">
        <v>95</v>
      </c>
      <c r="B191" s="9" t="s">
        <v>1001</v>
      </c>
      <c r="C191" s="9" t="b">
        <f>TRUE()</f>
        <v>1</v>
      </c>
      <c r="D191" s="10">
        <v>45843</v>
      </c>
      <c r="E191" s="10">
        <v>45842</v>
      </c>
      <c r="F191" s="9" t="b">
        <f>FALSE()</f>
        <v>0</v>
      </c>
      <c r="G191" s="9" t="b">
        <f>FALSE()</f>
        <v>0</v>
      </c>
      <c r="H191" s="9" t="s">
        <v>19</v>
      </c>
      <c r="I191" s="9" t="s">
        <v>160</v>
      </c>
      <c r="J191" s="9" t="s">
        <v>26</v>
      </c>
      <c r="K191" s="9" t="s">
        <v>179</v>
      </c>
      <c r="L191" s="9" t="s">
        <v>150</v>
      </c>
      <c r="M191" s="9" t="s">
        <v>1151</v>
      </c>
      <c r="N191" s="9" t="s">
        <v>1151</v>
      </c>
      <c r="O191" s="10"/>
      <c r="P191" s="11">
        <v>9018.4699999999993</v>
      </c>
      <c r="Q191" s="9" t="str">
        <f t="shared" si="2"/>
        <v/>
      </c>
    </row>
    <row r="192" spans="1:17" ht="15" customHeight="1" x14ac:dyDescent="0.2">
      <c r="A192" s="9" t="s">
        <v>1321</v>
      </c>
      <c r="B192" s="9" t="s">
        <v>1016</v>
      </c>
      <c r="C192" s="9" t="b">
        <f>TRUE()</f>
        <v>1</v>
      </c>
      <c r="D192" s="10">
        <v>45773</v>
      </c>
      <c r="E192" s="10">
        <v>45786</v>
      </c>
      <c r="F192" s="9" t="b">
        <f>TRUE()</f>
        <v>1</v>
      </c>
      <c r="G192" s="9" t="b">
        <f>TRUE()</f>
        <v>1</v>
      </c>
      <c r="H192" s="9" t="s">
        <v>20</v>
      </c>
      <c r="I192" s="9" t="s">
        <v>149</v>
      </c>
      <c r="J192" s="9" t="s">
        <v>25</v>
      </c>
      <c r="K192" s="9" t="s">
        <v>192</v>
      </c>
      <c r="L192" s="9" t="s">
        <v>156</v>
      </c>
      <c r="M192" s="9" t="s">
        <v>1151</v>
      </c>
      <c r="N192" s="9" t="s">
        <v>1151</v>
      </c>
      <c r="O192" s="10"/>
      <c r="P192" s="11">
        <v>1082.3800000000001</v>
      </c>
      <c r="Q192" s="9">
        <f t="shared" si="2"/>
        <v>13</v>
      </c>
    </row>
    <row r="193" spans="1:17" ht="15" customHeight="1" x14ac:dyDescent="0.2">
      <c r="A193" s="9" t="s">
        <v>1322</v>
      </c>
      <c r="B193" s="9" t="s">
        <v>1021</v>
      </c>
      <c r="C193" s="9" t="b">
        <f>TRUE()</f>
        <v>1</v>
      </c>
      <c r="D193" s="10">
        <v>45701</v>
      </c>
      <c r="E193" s="10">
        <v>45717</v>
      </c>
      <c r="F193" s="9" t="b">
        <f>TRUE()</f>
        <v>1</v>
      </c>
      <c r="G193" s="9" t="b">
        <f>TRUE()</f>
        <v>1</v>
      </c>
      <c r="H193" s="9" t="s">
        <v>20</v>
      </c>
      <c r="I193" s="9" t="s">
        <v>155</v>
      </c>
      <c r="J193" s="9" t="s">
        <v>25</v>
      </c>
      <c r="K193" s="9" t="s">
        <v>189</v>
      </c>
      <c r="L193" s="9" t="s">
        <v>161</v>
      </c>
      <c r="M193" s="9" t="s">
        <v>1151</v>
      </c>
      <c r="N193" s="9" t="s">
        <v>1151</v>
      </c>
      <c r="O193" s="10"/>
      <c r="P193" s="11">
        <v>2070.85</v>
      </c>
      <c r="Q193" s="9">
        <f t="shared" si="2"/>
        <v>16</v>
      </c>
    </row>
    <row r="194" spans="1:17" ht="15" customHeight="1" x14ac:dyDescent="0.2">
      <c r="A194" s="9" t="s">
        <v>1323</v>
      </c>
      <c r="B194" s="9" t="s">
        <v>1024</v>
      </c>
      <c r="C194" s="9" t="b">
        <f>TRUE()</f>
        <v>1</v>
      </c>
      <c r="D194" s="10">
        <v>46035</v>
      </c>
      <c r="E194" s="10">
        <v>46063</v>
      </c>
      <c r="F194" s="9" t="b">
        <f>TRUE()</f>
        <v>1</v>
      </c>
      <c r="G194" s="9" t="b">
        <f>TRUE()</f>
        <v>1</v>
      </c>
      <c r="H194" s="9" t="s">
        <v>19</v>
      </c>
      <c r="I194" s="9" t="s">
        <v>155</v>
      </c>
      <c r="J194" s="9" t="s">
        <v>27</v>
      </c>
      <c r="K194" s="9" t="s">
        <v>207</v>
      </c>
      <c r="L194" s="9" t="s">
        <v>156</v>
      </c>
      <c r="M194" s="9" t="s">
        <v>1151</v>
      </c>
      <c r="N194" s="9" t="s">
        <v>1151</v>
      </c>
      <c r="O194" s="10"/>
      <c r="P194" s="11">
        <v>616.03</v>
      </c>
      <c r="Q194" s="9">
        <f t="shared" ref="Q194:Q221" si="3">IF(G194=TRUE(),E194-D194,"")</f>
        <v>28</v>
      </c>
    </row>
    <row r="195" spans="1:17" ht="15" customHeight="1" x14ac:dyDescent="0.2">
      <c r="A195" s="9" t="s">
        <v>1324</v>
      </c>
      <c r="B195" s="9" t="s">
        <v>1029</v>
      </c>
      <c r="C195" s="9" t="b">
        <f>TRUE()</f>
        <v>1</v>
      </c>
      <c r="D195" s="10">
        <v>45735</v>
      </c>
      <c r="E195" s="10">
        <v>45759</v>
      </c>
      <c r="F195" s="9" t="b">
        <f>TRUE()</f>
        <v>1</v>
      </c>
      <c r="G195" s="9" t="b">
        <f>TRUE()</f>
        <v>1</v>
      </c>
      <c r="H195" s="9" t="s">
        <v>22</v>
      </c>
      <c r="I195" s="9" t="s">
        <v>160</v>
      </c>
      <c r="J195" s="9" t="s">
        <v>26</v>
      </c>
      <c r="K195" s="9" t="s">
        <v>165</v>
      </c>
      <c r="L195" s="9" t="s">
        <v>150</v>
      </c>
      <c r="M195" s="9" t="s">
        <v>1151</v>
      </c>
      <c r="N195" s="9" t="s">
        <v>1151</v>
      </c>
      <c r="O195" s="10"/>
      <c r="P195" s="11">
        <v>8730.02</v>
      </c>
      <c r="Q195" s="9">
        <f t="shared" si="3"/>
        <v>24</v>
      </c>
    </row>
    <row r="196" spans="1:17" ht="15" customHeight="1" x14ac:dyDescent="0.2">
      <c r="A196" s="9" t="s">
        <v>1325</v>
      </c>
      <c r="B196" s="9" t="s">
        <v>1041</v>
      </c>
      <c r="C196" s="9" t="b">
        <f>TRUE()</f>
        <v>1</v>
      </c>
      <c r="D196" s="10">
        <v>45971</v>
      </c>
      <c r="E196" s="10">
        <v>45998</v>
      </c>
      <c r="F196" s="9" t="b">
        <f>TRUE()</f>
        <v>1</v>
      </c>
      <c r="G196" s="9" t="b">
        <f>TRUE()</f>
        <v>1</v>
      </c>
      <c r="H196" s="9" t="s">
        <v>22</v>
      </c>
      <c r="I196" s="9" t="s">
        <v>149</v>
      </c>
      <c r="J196" s="9" t="s">
        <v>25</v>
      </c>
      <c r="K196" s="9" t="s">
        <v>170</v>
      </c>
      <c r="L196" s="9" t="s">
        <v>156</v>
      </c>
      <c r="M196" s="9" t="s">
        <v>1151</v>
      </c>
      <c r="N196" s="9" t="s">
        <v>1151</v>
      </c>
      <c r="O196" s="10"/>
      <c r="P196" s="11">
        <v>657.03</v>
      </c>
      <c r="Q196" s="9">
        <f t="shared" si="3"/>
        <v>27</v>
      </c>
    </row>
    <row r="197" spans="1:17" ht="15" customHeight="1" x14ac:dyDescent="0.2">
      <c r="A197" s="9" t="s">
        <v>1326</v>
      </c>
      <c r="B197" s="9" t="s">
        <v>1044</v>
      </c>
      <c r="C197" s="9" t="b">
        <f>TRUE()</f>
        <v>1</v>
      </c>
      <c r="D197" s="10">
        <v>46017</v>
      </c>
      <c r="E197" s="10">
        <v>46060</v>
      </c>
      <c r="F197" s="9" t="b">
        <f>TRUE()</f>
        <v>1</v>
      </c>
      <c r="G197" s="9" t="b">
        <f>TRUE()</f>
        <v>1</v>
      </c>
      <c r="H197" s="9" t="s">
        <v>19</v>
      </c>
      <c r="I197" s="9" t="s">
        <v>155</v>
      </c>
      <c r="J197" s="9" t="s">
        <v>25</v>
      </c>
      <c r="K197" s="9" t="s">
        <v>179</v>
      </c>
      <c r="L197" s="9" t="s">
        <v>156</v>
      </c>
      <c r="M197" s="9" t="s">
        <v>1151</v>
      </c>
      <c r="N197" s="9" t="s">
        <v>1151</v>
      </c>
      <c r="O197" s="10"/>
      <c r="P197" s="11">
        <v>400.96</v>
      </c>
      <c r="Q197" s="9">
        <f t="shared" si="3"/>
        <v>43</v>
      </c>
    </row>
    <row r="198" spans="1:17" ht="15" customHeight="1" x14ac:dyDescent="0.2">
      <c r="A198" s="9" t="s">
        <v>77</v>
      </c>
      <c r="B198" s="9" t="s">
        <v>1045</v>
      </c>
      <c r="C198" s="9" t="b">
        <f>TRUE()</f>
        <v>1</v>
      </c>
      <c r="D198" s="10">
        <v>45921</v>
      </c>
      <c r="E198" s="10">
        <v>45966</v>
      </c>
      <c r="F198" s="9" t="b">
        <f>TRUE()</f>
        <v>1</v>
      </c>
      <c r="G198" s="9" t="b">
        <f>TRUE()</f>
        <v>1</v>
      </c>
      <c r="H198" s="9" t="s">
        <v>22</v>
      </c>
      <c r="I198" s="9" t="s">
        <v>160</v>
      </c>
      <c r="J198" s="9" t="s">
        <v>24</v>
      </c>
      <c r="K198" s="9" t="s">
        <v>165</v>
      </c>
      <c r="L198" s="9" t="s">
        <v>156</v>
      </c>
      <c r="M198" s="9" t="s">
        <v>1151</v>
      </c>
      <c r="N198" s="9" t="s">
        <v>1151</v>
      </c>
      <c r="O198" s="10"/>
      <c r="P198" s="11">
        <v>1007.58</v>
      </c>
      <c r="Q198" s="9">
        <f t="shared" si="3"/>
        <v>45</v>
      </c>
    </row>
    <row r="199" spans="1:17" ht="15" customHeight="1" x14ac:dyDescent="0.2">
      <c r="A199" s="9" t="s">
        <v>1327</v>
      </c>
      <c r="B199" s="9" t="s">
        <v>1047</v>
      </c>
      <c r="C199" s="9" t="b">
        <f>TRUE()</f>
        <v>1</v>
      </c>
      <c r="D199" s="10">
        <v>45771</v>
      </c>
      <c r="E199" s="10">
        <v>45800</v>
      </c>
      <c r="F199" s="9" t="b">
        <f>TRUE()</f>
        <v>1</v>
      </c>
      <c r="G199" s="9" t="b">
        <f>TRUE()</f>
        <v>1</v>
      </c>
      <c r="H199" s="9" t="s">
        <v>22</v>
      </c>
      <c r="I199" s="9" t="s">
        <v>149</v>
      </c>
      <c r="J199" s="9" t="s">
        <v>28</v>
      </c>
      <c r="K199" s="9" t="s">
        <v>165</v>
      </c>
      <c r="L199" s="9" t="s">
        <v>161</v>
      </c>
      <c r="M199" s="9" t="s">
        <v>1151</v>
      </c>
      <c r="N199" s="9" t="s">
        <v>1151</v>
      </c>
      <c r="O199" s="10"/>
      <c r="P199" s="11">
        <v>2369.08</v>
      </c>
      <c r="Q199" s="9">
        <f t="shared" si="3"/>
        <v>29</v>
      </c>
    </row>
    <row r="200" spans="1:17" ht="15" customHeight="1" x14ac:dyDescent="0.2">
      <c r="A200" s="9" t="s">
        <v>1328</v>
      </c>
      <c r="B200" s="9" t="s">
        <v>1048</v>
      </c>
      <c r="C200" s="9" t="b">
        <f>TRUE()</f>
        <v>1</v>
      </c>
      <c r="D200" s="10">
        <v>46021</v>
      </c>
      <c r="E200" s="10">
        <v>46051</v>
      </c>
      <c r="F200" s="9" t="b">
        <f>TRUE()</f>
        <v>1</v>
      </c>
      <c r="G200" s="9" t="b">
        <f>TRUE()</f>
        <v>1</v>
      </c>
      <c r="H200" s="9" t="s">
        <v>18</v>
      </c>
      <c r="I200" s="9" t="s">
        <v>186</v>
      </c>
      <c r="J200" s="9" t="s">
        <v>27</v>
      </c>
      <c r="K200" s="9" t="s">
        <v>201</v>
      </c>
      <c r="L200" s="9" t="s">
        <v>156</v>
      </c>
      <c r="M200" s="9" t="s">
        <v>1151</v>
      </c>
      <c r="N200" s="9" t="s">
        <v>1151</v>
      </c>
      <c r="O200" s="10"/>
      <c r="P200" s="11">
        <v>709.55</v>
      </c>
      <c r="Q200" s="9">
        <f t="shared" si="3"/>
        <v>30</v>
      </c>
    </row>
    <row r="201" spans="1:17" ht="15" customHeight="1" x14ac:dyDescent="0.2">
      <c r="A201" s="9" t="s">
        <v>1329</v>
      </c>
      <c r="B201" s="9" t="s">
        <v>1049</v>
      </c>
      <c r="C201" s="9" t="b">
        <f>TRUE()</f>
        <v>1</v>
      </c>
      <c r="D201" s="10">
        <v>45877</v>
      </c>
      <c r="E201" s="10">
        <v>45904</v>
      </c>
      <c r="F201" s="9" t="b">
        <f>TRUE()</f>
        <v>1</v>
      </c>
      <c r="G201" s="9" t="b">
        <f>TRUE()</f>
        <v>1</v>
      </c>
      <c r="H201" s="9" t="s">
        <v>21</v>
      </c>
      <c r="I201" s="9" t="s">
        <v>186</v>
      </c>
      <c r="J201" s="9" t="s">
        <v>25</v>
      </c>
      <c r="K201" s="9" t="s">
        <v>176</v>
      </c>
      <c r="L201" s="9" t="s">
        <v>156</v>
      </c>
      <c r="M201" s="9" t="s">
        <v>1151</v>
      </c>
      <c r="N201" s="9" t="s">
        <v>1151</v>
      </c>
      <c r="O201" s="10"/>
      <c r="P201" s="11">
        <v>656.84</v>
      </c>
      <c r="Q201" s="9">
        <f t="shared" si="3"/>
        <v>27</v>
      </c>
    </row>
    <row r="202" spans="1:17" ht="15" customHeight="1" x14ac:dyDescent="0.2">
      <c r="A202" s="9" t="s">
        <v>1330</v>
      </c>
      <c r="B202" s="9" t="s">
        <v>1053</v>
      </c>
      <c r="C202" s="9" t="b">
        <f>TRUE()</f>
        <v>1</v>
      </c>
      <c r="D202" s="10">
        <v>45781</v>
      </c>
      <c r="E202" s="10"/>
      <c r="F202" s="9" t="b">
        <f>TRUE()</f>
        <v>1</v>
      </c>
      <c r="G202" s="9" t="b">
        <f>FALSE()</f>
        <v>0</v>
      </c>
      <c r="H202" s="9" t="s">
        <v>20</v>
      </c>
      <c r="I202" s="9" t="s">
        <v>186</v>
      </c>
      <c r="J202" s="9" t="s">
        <v>28</v>
      </c>
      <c r="K202" s="9" t="s">
        <v>192</v>
      </c>
      <c r="L202" s="9" t="s">
        <v>156</v>
      </c>
      <c r="M202" s="9" t="s">
        <v>1160</v>
      </c>
      <c r="N202" s="9" t="s">
        <v>1160</v>
      </c>
      <c r="O202" s="10"/>
      <c r="P202" s="11">
        <v>813.27</v>
      </c>
      <c r="Q202" s="9" t="str">
        <f t="shared" si="3"/>
        <v/>
      </c>
    </row>
    <row r="203" spans="1:17" ht="15" customHeight="1" x14ac:dyDescent="0.2">
      <c r="A203" s="9" t="s">
        <v>92</v>
      </c>
      <c r="B203" s="9" t="s">
        <v>1056</v>
      </c>
      <c r="C203" s="9" t="b">
        <f>TRUE()</f>
        <v>1</v>
      </c>
      <c r="D203" s="10">
        <v>46027</v>
      </c>
      <c r="E203" s="10">
        <v>46039</v>
      </c>
      <c r="F203" s="9" t="b">
        <f>TRUE()</f>
        <v>1</v>
      </c>
      <c r="G203" s="9" t="b">
        <f>TRUE()</f>
        <v>1</v>
      </c>
      <c r="H203" s="9" t="s">
        <v>18</v>
      </c>
      <c r="I203" s="9" t="s">
        <v>149</v>
      </c>
      <c r="J203" s="9" t="s">
        <v>25</v>
      </c>
      <c r="K203" s="9" t="s">
        <v>157</v>
      </c>
      <c r="L203" s="9" t="s">
        <v>1173</v>
      </c>
      <c r="M203" s="9" t="s">
        <v>1151</v>
      </c>
      <c r="N203" s="9" t="s">
        <v>1151</v>
      </c>
      <c r="O203" s="10"/>
      <c r="P203" s="11">
        <v>2585.65</v>
      </c>
      <c r="Q203" s="9">
        <f t="shared" si="3"/>
        <v>12</v>
      </c>
    </row>
    <row r="204" spans="1:17" ht="15" customHeight="1" x14ac:dyDescent="0.2">
      <c r="A204" s="9" t="s">
        <v>1331</v>
      </c>
      <c r="B204" s="9" t="s">
        <v>1059</v>
      </c>
      <c r="C204" s="9" t="b">
        <f>TRUE()</f>
        <v>1</v>
      </c>
      <c r="D204" s="10">
        <v>45838</v>
      </c>
      <c r="E204" s="10">
        <v>45876</v>
      </c>
      <c r="F204" s="9" t="b">
        <f>TRUE()</f>
        <v>1</v>
      </c>
      <c r="G204" s="9" t="b">
        <f>TRUE()</f>
        <v>1</v>
      </c>
      <c r="H204" s="9" t="s">
        <v>21</v>
      </c>
      <c r="I204" s="9" t="s">
        <v>149</v>
      </c>
      <c r="J204" s="9" t="s">
        <v>25</v>
      </c>
      <c r="K204" s="9" t="s">
        <v>176</v>
      </c>
      <c r="L204" s="9" t="s">
        <v>161</v>
      </c>
      <c r="M204" s="9" t="s">
        <v>1151</v>
      </c>
      <c r="N204" s="9" t="s">
        <v>1151</v>
      </c>
      <c r="O204" s="10"/>
      <c r="P204" s="11">
        <v>3011.2</v>
      </c>
      <c r="Q204" s="9">
        <f t="shared" si="3"/>
        <v>38</v>
      </c>
    </row>
    <row r="205" spans="1:17" ht="15" customHeight="1" x14ac:dyDescent="0.2">
      <c r="A205" s="9" t="s">
        <v>1332</v>
      </c>
      <c r="B205" s="9" t="s">
        <v>1070</v>
      </c>
      <c r="C205" s="9" t="b">
        <f>TRUE()</f>
        <v>1</v>
      </c>
      <c r="D205" s="10">
        <v>45945</v>
      </c>
      <c r="E205" s="10">
        <v>45952</v>
      </c>
      <c r="F205" s="9" t="b">
        <f>TRUE()</f>
        <v>1</v>
      </c>
      <c r="G205" s="9" t="b">
        <f>TRUE()</f>
        <v>1</v>
      </c>
      <c r="H205" s="9" t="s">
        <v>21</v>
      </c>
      <c r="I205" s="9" t="s">
        <v>155</v>
      </c>
      <c r="J205" s="9" t="s">
        <v>28</v>
      </c>
      <c r="K205" s="9" t="s">
        <v>162</v>
      </c>
      <c r="L205" s="9" t="s">
        <v>156</v>
      </c>
      <c r="M205" s="9" t="s">
        <v>1151</v>
      </c>
      <c r="N205" s="9" t="s">
        <v>1151</v>
      </c>
      <c r="O205" s="10"/>
      <c r="P205" s="11">
        <v>406.29</v>
      </c>
      <c r="Q205" s="9">
        <f t="shared" si="3"/>
        <v>7</v>
      </c>
    </row>
    <row r="206" spans="1:17" ht="15" customHeight="1" x14ac:dyDescent="0.2">
      <c r="A206" s="9" t="s">
        <v>1333</v>
      </c>
      <c r="B206" s="9" t="s">
        <v>50</v>
      </c>
      <c r="C206" s="9" t="b">
        <f>TRUE()</f>
        <v>1</v>
      </c>
      <c r="D206" s="10">
        <v>45969</v>
      </c>
      <c r="E206" s="10">
        <v>45991</v>
      </c>
      <c r="F206" s="9" t="b">
        <f>TRUE()</f>
        <v>1</v>
      </c>
      <c r="G206" s="9" t="b">
        <f>TRUE()</f>
        <v>1</v>
      </c>
      <c r="H206" s="9" t="s">
        <v>19</v>
      </c>
      <c r="I206" s="9" t="s">
        <v>149</v>
      </c>
      <c r="J206" s="9" t="s">
        <v>27</v>
      </c>
      <c r="K206" s="9" t="s">
        <v>210</v>
      </c>
      <c r="L206" s="9" t="s">
        <v>161</v>
      </c>
      <c r="M206" s="9" t="s">
        <v>1151</v>
      </c>
      <c r="N206" s="9" t="s">
        <v>1151</v>
      </c>
      <c r="O206" s="10"/>
      <c r="P206" s="11">
        <v>2002.83</v>
      </c>
      <c r="Q206" s="9">
        <f t="shared" si="3"/>
        <v>22</v>
      </c>
    </row>
    <row r="207" spans="1:17" ht="15" customHeight="1" x14ac:dyDescent="0.2">
      <c r="A207" s="9" t="s">
        <v>1334</v>
      </c>
      <c r="B207" s="9" t="s">
        <v>1081</v>
      </c>
      <c r="C207" s="9" t="b">
        <f>TRUE()</f>
        <v>1</v>
      </c>
      <c r="D207" s="10">
        <v>45910</v>
      </c>
      <c r="E207" s="10">
        <v>45922</v>
      </c>
      <c r="F207" s="9" t="b">
        <f>TRUE()</f>
        <v>1</v>
      </c>
      <c r="G207" s="9" t="b">
        <f>TRUE()</f>
        <v>1</v>
      </c>
      <c r="H207" s="9" t="s">
        <v>20</v>
      </c>
      <c r="I207" s="9" t="s">
        <v>160</v>
      </c>
      <c r="J207" s="9" t="s">
        <v>28</v>
      </c>
      <c r="K207" s="9" t="s">
        <v>167</v>
      </c>
      <c r="L207" s="9" t="s">
        <v>161</v>
      </c>
      <c r="M207" s="9" t="s">
        <v>1151</v>
      </c>
      <c r="N207" s="9" t="s">
        <v>1151</v>
      </c>
      <c r="O207" s="10"/>
      <c r="P207" s="11">
        <v>3068.21</v>
      </c>
      <c r="Q207" s="9">
        <f t="shared" si="3"/>
        <v>12</v>
      </c>
    </row>
    <row r="208" spans="1:17" ht="15" customHeight="1" x14ac:dyDescent="0.2">
      <c r="A208" s="9" t="s">
        <v>1335</v>
      </c>
      <c r="B208" s="9" t="s">
        <v>1083</v>
      </c>
      <c r="C208" s="9" t="b">
        <f>TRUE()</f>
        <v>1</v>
      </c>
      <c r="D208" s="10">
        <v>46025</v>
      </c>
      <c r="E208" s="10">
        <v>46042</v>
      </c>
      <c r="F208" s="9" t="b">
        <f>TRUE()</f>
        <v>1</v>
      </c>
      <c r="G208" s="9" t="b">
        <f>TRUE()</f>
        <v>1</v>
      </c>
      <c r="H208" s="9" t="s">
        <v>18</v>
      </c>
      <c r="I208" s="9" t="s">
        <v>160</v>
      </c>
      <c r="J208" s="9" t="s">
        <v>26</v>
      </c>
      <c r="K208" s="9" t="s">
        <v>157</v>
      </c>
      <c r="L208" s="9" t="s">
        <v>156</v>
      </c>
      <c r="M208" s="9" t="s">
        <v>1151</v>
      </c>
      <c r="N208" s="9" t="s">
        <v>1151</v>
      </c>
      <c r="O208" s="10"/>
      <c r="P208" s="11">
        <v>557.49</v>
      </c>
      <c r="Q208" s="9">
        <f t="shared" si="3"/>
        <v>17</v>
      </c>
    </row>
    <row r="209" spans="1:17" ht="15" customHeight="1" x14ac:dyDescent="0.2">
      <c r="A209" s="9" t="s">
        <v>1336</v>
      </c>
      <c r="B209" s="9" t="s">
        <v>1086</v>
      </c>
      <c r="C209" s="9" t="b">
        <f>TRUE()</f>
        <v>1</v>
      </c>
      <c r="D209" s="10">
        <v>46023</v>
      </c>
      <c r="E209" s="10">
        <v>46052</v>
      </c>
      <c r="F209" s="9" t="b">
        <f>TRUE()</f>
        <v>1</v>
      </c>
      <c r="G209" s="9" t="b">
        <f>TRUE()</f>
        <v>1</v>
      </c>
      <c r="H209" s="9" t="s">
        <v>21</v>
      </c>
      <c r="I209" s="9" t="s">
        <v>160</v>
      </c>
      <c r="J209" s="9" t="s">
        <v>28</v>
      </c>
      <c r="K209" s="9" t="s">
        <v>183</v>
      </c>
      <c r="L209" s="9" t="s">
        <v>156</v>
      </c>
      <c r="M209" s="9" t="s">
        <v>1151</v>
      </c>
      <c r="N209" s="9" t="s">
        <v>1151</v>
      </c>
      <c r="O209" s="10"/>
      <c r="P209" s="11">
        <v>1038.5999999999999</v>
      </c>
      <c r="Q209" s="9">
        <f t="shared" si="3"/>
        <v>29</v>
      </c>
    </row>
    <row r="210" spans="1:17" ht="15" customHeight="1" x14ac:dyDescent="0.2">
      <c r="A210" s="9" t="s">
        <v>1337</v>
      </c>
      <c r="B210" s="9" t="s">
        <v>1092</v>
      </c>
      <c r="C210" s="9" t="b">
        <f>TRUE()</f>
        <v>1</v>
      </c>
      <c r="D210" s="10">
        <v>45707</v>
      </c>
      <c r="E210" s="10">
        <v>45714</v>
      </c>
      <c r="F210" s="9" t="b">
        <f>TRUE()</f>
        <v>1</v>
      </c>
      <c r="G210" s="9" t="b">
        <f>TRUE()</f>
        <v>1</v>
      </c>
      <c r="H210" s="9" t="s">
        <v>19</v>
      </c>
      <c r="I210" s="9" t="s">
        <v>160</v>
      </c>
      <c r="J210" s="9" t="s">
        <v>25</v>
      </c>
      <c r="K210" s="9" t="s">
        <v>210</v>
      </c>
      <c r="L210" s="9" t="s">
        <v>156</v>
      </c>
      <c r="M210" s="9" t="s">
        <v>1151</v>
      </c>
      <c r="N210" s="9" t="s">
        <v>1151</v>
      </c>
      <c r="O210" s="10"/>
      <c r="P210" s="11">
        <v>988.22</v>
      </c>
      <c r="Q210" s="9">
        <f t="shared" si="3"/>
        <v>7</v>
      </c>
    </row>
    <row r="211" spans="1:17" ht="15" customHeight="1" x14ac:dyDescent="0.2">
      <c r="A211" s="9" t="s">
        <v>1338</v>
      </c>
      <c r="B211" s="9" t="s">
        <v>1101</v>
      </c>
      <c r="C211" s="9" t="b">
        <f>TRUE()</f>
        <v>1</v>
      </c>
      <c r="D211" s="10">
        <v>45967</v>
      </c>
      <c r="E211" s="10"/>
      <c r="F211" s="9" t="b">
        <f>TRUE()</f>
        <v>1</v>
      </c>
      <c r="G211" s="9" t="b">
        <f>FALSE()</f>
        <v>0</v>
      </c>
      <c r="H211" s="9" t="s">
        <v>22</v>
      </c>
      <c r="I211" s="9" t="s">
        <v>186</v>
      </c>
      <c r="J211" s="9" t="s">
        <v>27</v>
      </c>
      <c r="K211" s="9" t="s">
        <v>170</v>
      </c>
      <c r="L211" s="9" t="s">
        <v>156</v>
      </c>
      <c r="M211" s="9" t="s">
        <v>1160</v>
      </c>
      <c r="N211" s="9" t="s">
        <v>1160</v>
      </c>
      <c r="O211" s="10"/>
      <c r="P211" s="11">
        <v>476.64</v>
      </c>
      <c r="Q211" s="9" t="str">
        <f t="shared" si="3"/>
        <v/>
      </c>
    </row>
    <row r="212" spans="1:17" ht="15" customHeight="1" x14ac:dyDescent="0.2">
      <c r="A212" s="9" t="s">
        <v>1339</v>
      </c>
      <c r="B212" s="9" t="s">
        <v>1102</v>
      </c>
      <c r="C212" s="9" t="b">
        <f>TRUE()</f>
        <v>1</v>
      </c>
      <c r="D212" s="10">
        <v>45703</v>
      </c>
      <c r="E212" s="10"/>
      <c r="F212" s="9" t="b">
        <f>TRUE()</f>
        <v>1</v>
      </c>
      <c r="G212" s="9" t="b">
        <f>FALSE()</f>
        <v>0</v>
      </c>
      <c r="H212" s="9" t="s">
        <v>22</v>
      </c>
      <c r="I212" s="9" t="s">
        <v>155</v>
      </c>
      <c r="J212" s="9" t="s">
        <v>27</v>
      </c>
      <c r="K212" s="9" t="s">
        <v>170</v>
      </c>
      <c r="L212" s="9" t="s">
        <v>156</v>
      </c>
      <c r="M212" s="9" t="s">
        <v>1160</v>
      </c>
      <c r="N212" s="9" t="s">
        <v>1160</v>
      </c>
      <c r="O212" s="10"/>
      <c r="P212" s="11">
        <v>606.86</v>
      </c>
      <c r="Q212" s="9" t="str">
        <f t="shared" si="3"/>
        <v/>
      </c>
    </row>
    <row r="213" spans="1:17" ht="15" customHeight="1" x14ac:dyDescent="0.2">
      <c r="A213" s="9" t="s">
        <v>1340</v>
      </c>
      <c r="B213" s="9" t="s">
        <v>1103</v>
      </c>
      <c r="C213" s="9" t="b">
        <f>TRUE()</f>
        <v>1</v>
      </c>
      <c r="D213" s="10">
        <v>46028</v>
      </c>
      <c r="E213" s="10"/>
      <c r="F213" s="9" t="b">
        <f>TRUE()</f>
        <v>1</v>
      </c>
      <c r="G213" s="9" t="b">
        <f>FALSE()</f>
        <v>0</v>
      </c>
      <c r="H213" s="9" t="s">
        <v>21</v>
      </c>
      <c r="I213" s="9" t="s">
        <v>149</v>
      </c>
      <c r="J213" s="9" t="s">
        <v>28</v>
      </c>
      <c r="K213" s="9" t="s">
        <v>162</v>
      </c>
      <c r="L213" s="9" t="s">
        <v>156</v>
      </c>
      <c r="M213" s="9" t="s">
        <v>1160</v>
      </c>
      <c r="N213" s="9" t="s">
        <v>1160</v>
      </c>
      <c r="O213" s="10"/>
      <c r="P213" s="11">
        <v>742.89</v>
      </c>
      <c r="Q213" s="9" t="str">
        <f t="shared" si="3"/>
        <v/>
      </c>
    </row>
    <row r="214" spans="1:17" ht="15" customHeight="1" x14ac:dyDescent="0.2">
      <c r="A214" s="9" t="s">
        <v>1341</v>
      </c>
      <c r="B214" s="9" t="s">
        <v>1109</v>
      </c>
      <c r="C214" s="9" t="b">
        <f>TRUE()</f>
        <v>1</v>
      </c>
      <c r="D214" s="10">
        <v>45839</v>
      </c>
      <c r="E214" s="10"/>
      <c r="F214" s="9" t="b">
        <f>TRUE()</f>
        <v>1</v>
      </c>
      <c r="G214" s="9" t="b">
        <f>FALSE()</f>
        <v>0</v>
      </c>
      <c r="H214" s="9" t="s">
        <v>18</v>
      </c>
      <c r="I214" s="9" t="s">
        <v>149</v>
      </c>
      <c r="J214" s="9" t="s">
        <v>25</v>
      </c>
      <c r="K214" s="9" t="s">
        <v>157</v>
      </c>
      <c r="L214" s="9" t="s">
        <v>156</v>
      </c>
      <c r="M214" s="9" t="s">
        <v>1160</v>
      </c>
      <c r="N214" s="9" t="s">
        <v>1160</v>
      </c>
      <c r="O214" s="10"/>
      <c r="P214" s="11">
        <v>1021.18</v>
      </c>
      <c r="Q214" s="9" t="str">
        <f t="shared" si="3"/>
        <v/>
      </c>
    </row>
    <row r="215" spans="1:17" ht="15" customHeight="1" x14ac:dyDescent="0.2">
      <c r="A215" s="9" t="s">
        <v>1342</v>
      </c>
      <c r="B215" s="9" t="s">
        <v>1114</v>
      </c>
      <c r="C215" s="9" t="b">
        <f>TRUE()</f>
        <v>1</v>
      </c>
      <c r="D215" s="10">
        <v>45748</v>
      </c>
      <c r="E215" s="10"/>
      <c r="F215" s="9" t="b">
        <f>TRUE()</f>
        <v>1</v>
      </c>
      <c r="G215" s="9" t="b">
        <f>FALSE()</f>
        <v>0</v>
      </c>
      <c r="H215" s="9" t="s">
        <v>20</v>
      </c>
      <c r="I215" s="9" t="s">
        <v>149</v>
      </c>
      <c r="J215" s="9" t="s">
        <v>28</v>
      </c>
      <c r="K215" s="9" t="s">
        <v>192</v>
      </c>
      <c r="L215" s="9" t="s">
        <v>156</v>
      </c>
      <c r="M215" s="9" t="s">
        <v>1160</v>
      </c>
      <c r="N215" s="9" t="s">
        <v>1160</v>
      </c>
      <c r="O215" s="10"/>
      <c r="P215" s="11">
        <v>831.9</v>
      </c>
      <c r="Q215" s="9" t="str">
        <f t="shared" si="3"/>
        <v/>
      </c>
    </row>
    <row r="216" spans="1:17" ht="15" customHeight="1" x14ac:dyDescent="0.2">
      <c r="A216" s="9" t="s">
        <v>80</v>
      </c>
      <c r="B216" s="9" t="s">
        <v>61</v>
      </c>
      <c r="C216" s="9" t="b">
        <f>TRUE()</f>
        <v>1</v>
      </c>
      <c r="D216" s="10">
        <v>45787</v>
      </c>
      <c r="E216" s="10">
        <v>45795</v>
      </c>
      <c r="F216" s="9" t="b">
        <f>TRUE()</f>
        <v>1</v>
      </c>
      <c r="G216" s="9" t="b">
        <f>TRUE()</f>
        <v>1</v>
      </c>
      <c r="H216" s="9" t="s">
        <v>19</v>
      </c>
      <c r="I216" s="9" t="s">
        <v>149</v>
      </c>
      <c r="J216" s="9" t="s">
        <v>25</v>
      </c>
      <c r="K216" s="9" t="s">
        <v>210</v>
      </c>
      <c r="L216" s="9" t="s">
        <v>161</v>
      </c>
      <c r="M216" s="9" t="s">
        <v>1151</v>
      </c>
      <c r="N216" s="9" t="s">
        <v>1151</v>
      </c>
      <c r="O216" s="10"/>
      <c r="P216" s="11">
        <v>2695.93</v>
      </c>
      <c r="Q216" s="9">
        <f t="shared" si="3"/>
        <v>8</v>
      </c>
    </row>
    <row r="217" spans="1:17" ht="15" customHeight="1" x14ac:dyDescent="0.2">
      <c r="A217" s="9" t="s">
        <v>1343</v>
      </c>
      <c r="B217" s="9" t="s">
        <v>1121</v>
      </c>
      <c r="C217" s="9" t="b">
        <f>TRUE()</f>
        <v>1</v>
      </c>
      <c r="D217" s="10">
        <v>46002</v>
      </c>
      <c r="E217" s="10">
        <v>46013</v>
      </c>
      <c r="F217" s="9" t="b">
        <f>TRUE()</f>
        <v>1</v>
      </c>
      <c r="G217" s="9" t="b">
        <f>TRUE()</f>
        <v>1</v>
      </c>
      <c r="H217" s="9" t="s">
        <v>21</v>
      </c>
      <c r="I217" s="9" t="s">
        <v>160</v>
      </c>
      <c r="J217" s="9" t="s">
        <v>25</v>
      </c>
      <c r="K217" s="9" t="s">
        <v>162</v>
      </c>
      <c r="L217" s="9" t="s">
        <v>156</v>
      </c>
      <c r="M217" s="9" t="s">
        <v>1151</v>
      </c>
      <c r="N217" s="9" t="s">
        <v>1151</v>
      </c>
      <c r="O217" s="10"/>
      <c r="P217" s="11">
        <v>745.34</v>
      </c>
      <c r="Q217" s="9">
        <f t="shared" si="3"/>
        <v>11</v>
      </c>
    </row>
    <row r="218" spans="1:17" ht="15" customHeight="1" x14ac:dyDescent="0.2">
      <c r="A218" s="9" t="s">
        <v>1344</v>
      </c>
      <c r="B218" s="9" t="s">
        <v>1129</v>
      </c>
      <c r="C218" s="9" t="b">
        <f>TRUE()</f>
        <v>1</v>
      </c>
      <c r="D218" s="10">
        <v>46008</v>
      </c>
      <c r="E218" s="10">
        <v>46052</v>
      </c>
      <c r="F218" s="9" t="b">
        <f>TRUE()</f>
        <v>1</v>
      </c>
      <c r="G218" s="9" t="b">
        <f>TRUE()</f>
        <v>1</v>
      </c>
      <c r="H218" s="9" t="s">
        <v>22</v>
      </c>
      <c r="I218" s="9" t="s">
        <v>149</v>
      </c>
      <c r="J218" s="9" t="s">
        <v>28</v>
      </c>
      <c r="K218" s="9" t="s">
        <v>151</v>
      </c>
      <c r="L218" s="9" t="s">
        <v>156</v>
      </c>
      <c r="M218" s="9" t="s">
        <v>1151</v>
      </c>
      <c r="N218" s="9" t="s">
        <v>1151</v>
      </c>
      <c r="O218" s="10"/>
      <c r="P218" s="11">
        <v>957.64</v>
      </c>
      <c r="Q218" s="9">
        <f t="shared" si="3"/>
        <v>44</v>
      </c>
    </row>
    <row r="219" spans="1:17" ht="15" customHeight="1" x14ac:dyDescent="0.2">
      <c r="A219" s="9" t="s">
        <v>1345</v>
      </c>
      <c r="B219" s="9" t="s">
        <v>1131</v>
      </c>
      <c r="C219" s="9" t="b">
        <f>TRUE()</f>
        <v>1</v>
      </c>
      <c r="D219" s="10">
        <v>45688</v>
      </c>
      <c r="E219" s="10">
        <v>45693</v>
      </c>
      <c r="F219" s="9" t="b">
        <f>TRUE()</f>
        <v>1</v>
      </c>
      <c r="G219" s="9" t="b">
        <f>TRUE()</f>
        <v>1</v>
      </c>
      <c r="H219" s="9" t="s">
        <v>19</v>
      </c>
      <c r="I219" s="9" t="s">
        <v>186</v>
      </c>
      <c r="J219" s="9" t="s">
        <v>25</v>
      </c>
      <c r="K219" s="9" t="s">
        <v>210</v>
      </c>
      <c r="L219" s="9" t="s">
        <v>156</v>
      </c>
      <c r="M219" s="9" t="s">
        <v>1151</v>
      </c>
      <c r="N219" s="9" t="s">
        <v>1151</v>
      </c>
      <c r="O219" s="10"/>
      <c r="P219" s="11">
        <v>646.46</v>
      </c>
      <c r="Q219" s="9">
        <f t="shared" si="3"/>
        <v>5</v>
      </c>
    </row>
    <row r="220" spans="1:17" ht="15" customHeight="1" x14ac:dyDescent="0.2">
      <c r="A220" s="9" t="s">
        <v>1346</v>
      </c>
      <c r="B220" s="9" t="s">
        <v>1138</v>
      </c>
      <c r="C220" s="9" t="b">
        <f>TRUE()</f>
        <v>1</v>
      </c>
      <c r="D220" s="10">
        <v>46041</v>
      </c>
      <c r="E220" s="10">
        <v>46069</v>
      </c>
      <c r="F220" s="9" t="b">
        <f>TRUE()</f>
        <v>1</v>
      </c>
      <c r="G220" s="9" t="b">
        <f>TRUE()</f>
        <v>1</v>
      </c>
      <c r="H220" s="9" t="s">
        <v>18</v>
      </c>
      <c r="I220" s="9" t="s">
        <v>155</v>
      </c>
      <c r="J220" s="9" t="s">
        <v>25</v>
      </c>
      <c r="K220" s="9" t="s">
        <v>201</v>
      </c>
      <c r="L220" s="9" t="s">
        <v>156</v>
      </c>
      <c r="M220" s="9" t="s">
        <v>1151</v>
      </c>
      <c r="N220" s="9" t="s">
        <v>1151</v>
      </c>
      <c r="O220" s="10"/>
      <c r="P220" s="11">
        <v>372.79</v>
      </c>
      <c r="Q220" s="9">
        <f t="shared" si="3"/>
        <v>28</v>
      </c>
    </row>
    <row r="221" spans="1:17" ht="15" customHeight="1" x14ac:dyDescent="0.2">
      <c r="A221" s="9" t="s">
        <v>1347</v>
      </c>
      <c r="B221" s="9" t="s">
        <v>1141</v>
      </c>
      <c r="C221" s="9" t="b">
        <f>TRUE()</f>
        <v>1</v>
      </c>
      <c r="D221" s="10">
        <v>45833</v>
      </c>
      <c r="E221" s="10">
        <v>45853</v>
      </c>
      <c r="F221" s="9" t="b">
        <f>TRUE()</f>
        <v>1</v>
      </c>
      <c r="G221" s="9" t="b">
        <f>TRUE()</f>
        <v>1</v>
      </c>
      <c r="H221" s="9" t="s">
        <v>19</v>
      </c>
      <c r="I221" s="9" t="s">
        <v>155</v>
      </c>
      <c r="J221" s="9" t="s">
        <v>27</v>
      </c>
      <c r="K221" s="9" t="s">
        <v>207</v>
      </c>
      <c r="L221" s="9" t="s">
        <v>156</v>
      </c>
      <c r="M221" s="9" t="s">
        <v>1151</v>
      </c>
      <c r="N221" s="9" t="s">
        <v>1151</v>
      </c>
      <c r="O221" s="10"/>
      <c r="P221" s="11">
        <v>514.66999999999996</v>
      </c>
      <c r="Q221" s="9">
        <f t="shared" si="3"/>
        <v>20</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P1610"/>
  <sheetViews>
    <sheetView zoomScaleNormal="100" workbookViewId="0">
      <pane ySplit="1" topLeftCell="A2" activePane="bottomLeft" state="frozen"/>
      <selection pane="bottomLeft" activeCell="C9" sqref="C9"/>
    </sheetView>
  </sheetViews>
  <sheetFormatPr defaultColWidth="8.7109375" defaultRowHeight="15" x14ac:dyDescent="0.25"/>
  <cols>
    <col min="1" max="1" width="16" style="2" customWidth="1"/>
    <col min="2" max="2" width="13" style="2" customWidth="1"/>
    <col min="3" max="3" width="22" style="2" customWidth="1"/>
    <col min="4" max="4" width="18" style="2" customWidth="1"/>
    <col min="5" max="5" width="19" style="2" customWidth="1"/>
    <col min="6" max="6" width="18" style="2" customWidth="1"/>
    <col min="7" max="7" width="17" style="2" customWidth="1"/>
    <col min="8" max="8" width="13" style="2" customWidth="1"/>
    <col min="9" max="9" width="15" style="2" customWidth="1"/>
    <col min="10" max="10" width="20" style="2" customWidth="1"/>
    <col min="11" max="12" width="16" style="2" customWidth="1"/>
    <col min="13" max="16" width="20" style="2" customWidth="1"/>
  </cols>
  <sheetData>
    <row r="1" spans="1:16" ht="23.25" customHeight="1" x14ac:dyDescent="0.2">
      <c r="A1" s="8" t="s">
        <v>43</v>
      </c>
      <c r="B1" s="8" t="s">
        <v>41</v>
      </c>
      <c r="C1" s="8" t="s">
        <v>1348</v>
      </c>
      <c r="D1" s="8" t="s">
        <v>1349</v>
      </c>
      <c r="E1" s="8" t="s">
        <v>1350</v>
      </c>
      <c r="F1" s="8" t="s">
        <v>1351</v>
      </c>
      <c r="G1" s="8" t="s">
        <v>135</v>
      </c>
      <c r="H1" s="8" t="s">
        <v>35</v>
      </c>
      <c r="I1" s="8" t="s">
        <v>1352</v>
      </c>
      <c r="J1" s="8" t="s">
        <v>1353</v>
      </c>
      <c r="K1" s="8" t="s">
        <v>1354</v>
      </c>
      <c r="L1" s="8" t="s">
        <v>17</v>
      </c>
      <c r="M1" s="8" t="s">
        <v>1355</v>
      </c>
      <c r="N1" s="8" t="s">
        <v>1356</v>
      </c>
      <c r="O1" s="8" t="s">
        <v>1357</v>
      </c>
      <c r="P1" s="8" t="s">
        <v>1358</v>
      </c>
    </row>
    <row r="2" spans="1:16" ht="15" customHeight="1" x14ac:dyDescent="0.2">
      <c r="A2" s="9" t="s">
        <v>1359</v>
      </c>
      <c r="B2" s="9" t="s">
        <v>1152</v>
      </c>
      <c r="C2" s="9" t="b">
        <f>TRUE()</f>
        <v>1</v>
      </c>
      <c r="D2" s="10">
        <v>45887</v>
      </c>
      <c r="E2" s="10">
        <v>45870</v>
      </c>
      <c r="F2" s="9" t="s">
        <v>1360</v>
      </c>
      <c r="G2" s="11">
        <v>3084.52</v>
      </c>
      <c r="H2" s="11">
        <v>71.599999999999994</v>
      </c>
      <c r="I2" s="9" t="b">
        <f>TRUE()</f>
        <v>1</v>
      </c>
      <c r="J2" s="9" t="s">
        <v>1361</v>
      </c>
      <c r="K2" s="11">
        <v>71.599999999999994</v>
      </c>
      <c r="L2" s="9" t="s">
        <v>21</v>
      </c>
      <c r="M2" s="9" t="str">
        <f>IFERROR(INDEX(T_CleanCustomers[Sales_Rep_ID],MATCH(B2,T_CleanCustomers[Customer_ID],0)),"Unmatched")</f>
        <v>REP009</v>
      </c>
      <c r="N2" s="9" t="str">
        <f>IFERROR(INDEX(T_CleanCustomers[Channel],MATCH(B2,T_CleanCustomers[Customer_ID],0)),"Unmatched")</f>
        <v>Referral</v>
      </c>
      <c r="O2" s="9" t="str">
        <f>IFERROR(INDEX(T_CleanCustomers[Product],MATCH(B2,T_CleanCustomers[Customer_ID],0)),"Unmatched")</f>
        <v>Fuel Card</v>
      </c>
      <c r="P2" s="9" t="str">
        <f>IFERROR(INDEX(T_CleanCustomers[Customer_Segment],MATCH(B2,T_CleanCustomers[Customer_ID],0)),"Unmatched")</f>
        <v>SME</v>
      </c>
    </row>
    <row r="3" spans="1:16" ht="15" customHeight="1" x14ac:dyDescent="0.2">
      <c r="A3" s="9" t="s">
        <v>1362</v>
      </c>
      <c r="B3" s="9" t="s">
        <v>1152</v>
      </c>
      <c r="C3" s="9" t="b">
        <f>TRUE()</f>
        <v>1</v>
      </c>
      <c r="D3" s="10">
        <v>45876</v>
      </c>
      <c r="E3" s="10">
        <v>45870</v>
      </c>
      <c r="F3" s="9" t="s">
        <v>1360</v>
      </c>
      <c r="G3" s="11">
        <v>4576.08</v>
      </c>
      <c r="H3" s="11">
        <v>105.35</v>
      </c>
      <c r="I3" s="9" t="b">
        <f>TRUE()</f>
        <v>1</v>
      </c>
      <c r="J3" s="9" t="s">
        <v>1361</v>
      </c>
      <c r="K3" s="11">
        <v>105.35</v>
      </c>
      <c r="L3" s="9" t="s">
        <v>21</v>
      </c>
      <c r="M3" s="9" t="str">
        <f>IFERROR(INDEX(T_CleanCustomers[Sales_Rep_ID],MATCH(B3,T_CleanCustomers[Customer_ID],0)),"Unmatched")</f>
        <v>REP009</v>
      </c>
      <c r="N3" s="9" t="str">
        <f>IFERROR(INDEX(T_CleanCustomers[Channel],MATCH(B3,T_CleanCustomers[Customer_ID],0)),"Unmatched")</f>
        <v>Referral</v>
      </c>
      <c r="O3" s="9" t="str">
        <f>IFERROR(INDEX(T_CleanCustomers[Product],MATCH(B3,T_CleanCustomers[Customer_ID],0)),"Unmatched")</f>
        <v>Fuel Card</v>
      </c>
      <c r="P3" s="9" t="str">
        <f>IFERROR(INDEX(T_CleanCustomers[Customer_Segment],MATCH(B3,T_CleanCustomers[Customer_ID],0)),"Unmatched")</f>
        <v>SME</v>
      </c>
    </row>
    <row r="4" spans="1:16" ht="15" customHeight="1" x14ac:dyDescent="0.2">
      <c r="A4" s="9" t="s">
        <v>1363</v>
      </c>
      <c r="B4" s="9" t="s">
        <v>1152</v>
      </c>
      <c r="C4" s="9" t="b">
        <f>TRUE()</f>
        <v>1</v>
      </c>
      <c r="D4" s="10">
        <v>45917</v>
      </c>
      <c r="E4" s="10">
        <v>45901</v>
      </c>
      <c r="F4" s="9" t="s">
        <v>1360</v>
      </c>
      <c r="G4" s="11">
        <v>4134.54</v>
      </c>
      <c r="H4" s="11">
        <v>116.94</v>
      </c>
      <c r="I4" s="9" t="b">
        <f>TRUE()</f>
        <v>1</v>
      </c>
      <c r="J4" s="9" t="s">
        <v>1361</v>
      </c>
      <c r="K4" s="11">
        <v>116.94</v>
      </c>
      <c r="L4" s="9" t="s">
        <v>21</v>
      </c>
      <c r="M4" s="9" t="str">
        <f>IFERROR(INDEX(T_CleanCustomers[Sales_Rep_ID],MATCH(B4,T_CleanCustomers[Customer_ID],0)),"Unmatched")</f>
        <v>REP009</v>
      </c>
      <c r="N4" s="9" t="str">
        <f>IFERROR(INDEX(T_CleanCustomers[Channel],MATCH(B4,T_CleanCustomers[Customer_ID],0)),"Unmatched")</f>
        <v>Referral</v>
      </c>
      <c r="O4" s="9" t="str">
        <f>IFERROR(INDEX(T_CleanCustomers[Product],MATCH(B4,T_CleanCustomers[Customer_ID],0)),"Unmatched")</f>
        <v>Fuel Card</v>
      </c>
      <c r="P4" s="9" t="str">
        <f>IFERROR(INDEX(T_CleanCustomers[Customer_Segment],MATCH(B4,T_CleanCustomers[Customer_ID],0)),"Unmatched")</f>
        <v>SME</v>
      </c>
    </row>
    <row r="5" spans="1:16" ht="15" customHeight="1" x14ac:dyDescent="0.2">
      <c r="A5" s="9" t="s">
        <v>1364</v>
      </c>
      <c r="B5" s="9" t="s">
        <v>1152</v>
      </c>
      <c r="C5" s="9" t="b">
        <f>TRUE()</f>
        <v>1</v>
      </c>
      <c r="D5" s="10">
        <v>45913</v>
      </c>
      <c r="E5" s="10">
        <v>45901</v>
      </c>
      <c r="F5" s="9" t="s">
        <v>1360</v>
      </c>
      <c r="G5" s="11">
        <v>3812.91</v>
      </c>
      <c r="H5" s="11">
        <v>84.68</v>
      </c>
      <c r="I5" s="9" t="b">
        <f>TRUE()</f>
        <v>1</v>
      </c>
      <c r="J5" s="9" t="s">
        <v>1361</v>
      </c>
      <c r="K5" s="11">
        <v>84.68</v>
      </c>
      <c r="L5" s="9" t="s">
        <v>21</v>
      </c>
      <c r="M5" s="9" t="str">
        <f>IFERROR(INDEX(T_CleanCustomers[Sales_Rep_ID],MATCH(B5,T_CleanCustomers[Customer_ID],0)),"Unmatched")</f>
        <v>REP009</v>
      </c>
      <c r="N5" s="9" t="str">
        <f>IFERROR(INDEX(T_CleanCustomers[Channel],MATCH(B5,T_CleanCustomers[Customer_ID],0)),"Unmatched")</f>
        <v>Referral</v>
      </c>
      <c r="O5" s="9" t="str">
        <f>IFERROR(INDEX(T_CleanCustomers[Product],MATCH(B5,T_CleanCustomers[Customer_ID],0)),"Unmatched")</f>
        <v>Fuel Card</v>
      </c>
      <c r="P5" s="9" t="str">
        <f>IFERROR(INDEX(T_CleanCustomers[Customer_Segment],MATCH(B5,T_CleanCustomers[Customer_ID],0)),"Unmatched")</f>
        <v>SME</v>
      </c>
    </row>
    <row r="6" spans="1:16" ht="15" customHeight="1" x14ac:dyDescent="0.2">
      <c r="A6" s="9" t="s">
        <v>1365</v>
      </c>
      <c r="B6" s="9" t="s">
        <v>1152</v>
      </c>
      <c r="C6" s="9" t="b">
        <f>TRUE()</f>
        <v>1</v>
      </c>
      <c r="D6" s="10">
        <v>45946</v>
      </c>
      <c r="E6" s="10">
        <v>45931</v>
      </c>
      <c r="F6" s="9" t="s">
        <v>1360</v>
      </c>
      <c r="G6" s="11">
        <v>4003.93</v>
      </c>
      <c r="H6" s="11">
        <v>100.39</v>
      </c>
      <c r="I6" s="9" t="b">
        <f>TRUE()</f>
        <v>1</v>
      </c>
      <c r="J6" s="9" t="s">
        <v>1361</v>
      </c>
      <c r="K6" s="11">
        <v>100.39</v>
      </c>
      <c r="L6" s="9" t="s">
        <v>21</v>
      </c>
      <c r="M6" s="9" t="str">
        <f>IFERROR(INDEX(T_CleanCustomers[Sales_Rep_ID],MATCH(B6,T_CleanCustomers[Customer_ID],0)),"Unmatched")</f>
        <v>REP009</v>
      </c>
      <c r="N6" s="9" t="str">
        <f>IFERROR(INDEX(T_CleanCustomers[Channel],MATCH(B6,T_CleanCustomers[Customer_ID],0)),"Unmatched")</f>
        <v>Referral</v>
      </c>
      <c r="O6" s="9" t="str">
        <f>IFERROR(INDEX(T_CleanCustomers[Product],MATCH(B6,T_CleanCustomers[Customer_ID],0)),"Unmatched")</f>
        <v>Fuel Card</v>
      </c>
      <c r="P6" s="9" t="str">
        <f>IFERROR(INDEX(T_CleanCustomers[Customer_Segment],MATCH(B6,T_CleanCustomers[Customer_ID],0)),"Unmatched")</f>
        <v>SME</v>
      </c>
    </row>
    <row r="7" spans="1:16" ht="15" customHeight="1" x14ac:dyDescent="0.2">
      <c r="A7" s="9" t="s">
        <v>1366</v>
      </c>
      <c r="B7" s="9" t="s">
        <v>1152</v>
      </c>
      <c r="C7" s="9" t="b">
        <f>TRUE()</f>
        <v>1</v>
      </c>
      <c r="D7" s="10">
        <v>45942</v>
      </c>
      <c r="E7" s="10">
        <v>45931</v>
      </c>
      <c r="F7" s="9" t="s">
        <v>1360</v>
      </c>
      <c r="G7" s="11">
        <v>3911.11</v>
      </c>
      <c r="H7" s="11">
        <v>106.16</v>
      </c>
      <c r="I7" s="9" t="b">
        <f>TRUE()</f>
        <v>1</v>
      </c>
      <c r="J7" s="9" t="s">
        <v>1361</v>
      </c>
      <c r="K7" s="11">
        <v>106.16</v>
      </c>
      <c r="L7" s="9" t="s">
        <v>21</v>
      </c>
      <c r="M7" s="9" t="str">
        <f>IFERROR(INDEX(T_CleanCustomers[Sales_Rep_ID],MATCH(B7,T_CleanCustomers[Customer_ID],0)),"Unmatched")</f>
        <v>REP009</v>
      </c>
      <c r="N7" s="9" t="str">
        <f>IFERROR(INDEX(T_CleanCustomers[Channel],MATCH(B7,T_CleanCustomers[Customer_ID],0)),"Unmatched")</f>
        <v>Referral</v>
      </c>
      <c r="O7" s="9" t="str">
        <f>IFERROR(INDEX(T_CleanCustomers[Product],MATCH(B7,T_CleanCustomers[Customer_ID],0)),"Unmatched")</f>
        <v>Fuel Card</v>
      </c>
      <c r="P7" s="9" t="str">
        <f>IFERROR(INDEX(T_CleanCustomers[Customer_Segment],MATCH(B7,T_CleanCustomers[Customer_ID],0)),"Unmatched")</f>
        <v>SME</v>
      </c>
    </row>
    <row r="8" spans="1:16" ht="15" customHeight="1" x14ac:dyDescent="0.2">
      <c r="A8" s="9" t="s">
        <v>1367</v>
      </c>
      <c r="B8" s="9" t="s">
        <v>1152</v>
      </c>
      <c r="C8" s="9" t="b">
        <f>TRUE()</f>
        <v>1</v>
      </c>
      <c r="D8" s="10">
        <v>45948</v>
      </c>
      <c r="E8" s="10">
        <v>45931</v>
      </c>
      <c r="F8" s="9" t="s">
        <v>1360</v>
      </c>
      <c r="G8" s="11">
        <v>4879.3500000000004</v>
      </c>
      <c r="H8" s="11">
        <v>130.22999999999999</v>
      </c>
      <c r="I8" s="9" t="b">
        <f>TRUE()</f>
        <v>1</v>
      </c>
      <c r="J8" s="9" t="s">
        <v>1361</v>
      </c>
      <c r="K8" s="11">
        <v>130.22999999999999</v>
      </c>
      <c r="L8" s="9" t="s">
        <v>21</v>
      </c>
      <c r="M8" s="9" t="str">
        <f>IFERROR(INDEX(T_CleanCustomers[Sales_Rep_ID],MATCH(B8,T_CleanCustomers[Customer_ID],0)),"Unmatched")</f>
        <v>REP009</v>
      </c>
      <c r="N8" s="9" t="str">
        <f>IFERROR(INDEX(T_CleanCustomers[Channel],MATCH(B8,T_CleanCustomers[Customer_ID],0)),"Unmatched")</f>
        <v>Referral</v>
      </c>
      <c r="O8" s="9" t="str">
        <f>IFERROR(INDEX(T_CleanCustomers[Product],MATCH(B8,T_CleanCustomers[Customer_ID],0)),"Unmatched")</f>
        <v>Fuel Card</v>
      </c>
      <c r="P8" s="9" t="str">
        <f>IFERROR(INDEX(T_CleanCustomers[Customer_Segment],MATCH(B8,T_CleanCustomers[Customer_ID],0)),"Unmatched")</f>
        <v>SME</v>
      </c>
    </row>
    <row r="9" spans="1:16" ht="15" customHeight="1" x14ac:dyDescent="0.2">
      <c r="A9" s="9" t="s">
        <v>1368</v>
      </c>
      <c r="B9" s="9" t="s">
        <v>1152</v>
      </c>
      <c r="C9" s="9" t="b">
        <f>TRUE()</f>
        <v>1</v>
      </c>
      <c r="D9" s="10">
        <v>45981</v>
      </c>
      <c r="E9" s="10">
        <v>45962</v>
      </c>
      <c r="F9" s="9" t="s">
        <v>1360</v>
      </c>
      <c r="G9" s="11">
        <v>3325.52</v>
      </c>
      <c r="H9" s="11">
        <v>91.85</v>
      </c>
      <c r="I9" s="9" t="b">
        <f>TRUE()</f>
        <v>1</v>
      </c>
      <c r="J9" s="9" t="s">
        <v>1361</v>
      </c>
      <c r="K9" s="11">
        <v>91.85</v>
      </c>
      <c r="L9" s="9" t="s">
        <v>21</v>
      </c>
      <c r="M9" s="9" t="str">
        <f>IFERROR(INDEX(T_CleanCustomers[Sales_Rep_ID],MATCH(B9,T_CleanCustomers[Customer_ID],0)),"Unmatched")</f>
        <v>REP009</v>
      </c>
      <c r="N9" s="9" t="str">
        <f>IFERROR(INDEX(T_CleanCustomers[Channel],MATCH(B9,T_CleanCustomers[Customer_ID],0)),"Unmatched")</f>
        <v>Referral</v>
      </c>
      <c r="O9" s="9" t="str">
        <f>IFERROR(INDEX(T_CleanCustomers[Product],MATCH(B9,T_CleanCustomers[Customer_ID],0)),"Unmatched")</f>
        <v>Fuel Card</v>
      </c>
      <c r="P9" s="9" t="str">
        <f>IFERROR(INDEX(T_CleanCustomers[Customer_Segment],MATCH(B9,T_CleanCustomers[Customer_ID],0)),"Unmatched")</f>
        <v>SME</v>
      </c>
    </row>
    <row r="10" spans="1:16" ht="15" customHeight="1" x14ac:dyDescent="0.2">
      <c r="A10" s="9" t="s">
        <v>1369</v>
      </c>
      <c r="B10" s="9" t="s">
        <v>1152</v>
      </c>
      <c r="C10" s="9" t="b">
        <f>TRUE()</f>
        <v>1</v>
      </c>
      <c r="D10" s="10">
        <v>45972</v>
      </c>
      <c r="E10" s="10">
        <v>45962</v>
      </c>
      <c r="F10" s="9" t="s">
        <v>1360</v>
      </c>
      <c r="G10" s="11">
        <v>4233.7</v>
      </c>
      <c r="H10" s="11">
        <v>90.19</v>
      </c>
      <c r="I10" s="9" t="b">
        <f>TRUE()</f>
        <v>1</v>
      </c>
      <c r="J10" s="9" t="s">
        <v>1361</v>
      </c>
      <c r="K10" s="11">
        <v>90.19</v>
      </c>
      <c r="L10" s="9" t="s">
        <v>21</v>
      </c>
      <c r="M10" s="9" t="str">
        <f>IFERROR(INDEX(T_CleanCustomers[Sales_Rep_ID],MATCH(B10,T_CleanCustomers[Customer_ID],0)),"Unmatched")</f>
        <v>REP009</v>
      </c>
      <c r="N10" s="9" t="str">
        <f>IFERROR(INDEX(T_CleanCustomers[Channel],MATCH(B10,T_CleanCustomers[Customer_ID],0)),"Unmatched")</f>
        <v>Referral</v>
      </c>
      <c r="O10" s="9" t="str">
        <f>IFERROR(INDEX(T_CleanCustomers[Product],MATCH(B10,T_CleanCustomers[Customer_ID],0)),"Unmatched")</f>
        <v>Fuel Card</v>
      </c>
      <c r="P10" s="9" t="str">
        <f>IFERROR(INDEX(T_CleanCustomers[Customer_Segment],MATCH(B10,T_CleanCustomers[Customer_ID],0)),"Unmatched")</f>
        <v>SME</v>
      </c>
    </row>
    <row r="11" spans="1:16" ht="15" customHeight="1" x14ac:dyDescent="0.2">
      <c r="A11" s="9" t="s">
        <v>1370</v>
      </c>
      <c r="B11" s="9" t="s">
        <v>1152</v>
      </c>
      <c r="C11" s="9" t="b">
        <f>TRUE()</f>
        <v>1</v>
      </c>
      <c r="D11" s="10">
        <v>46008</v>
      </c>
      <c r="E11" s="10">
        <v>45992</v>
      </c>
      <c r="F11" s="9" t="s">
        <v>1360</v>
      </c>
      <c r="G11" s="11">
        <v>1355.81</v>
      </c>
      <c r="H11" s="11">
        <v>28.92</v>
      </c>
      <c r="I11" s="9" t="b">
        <f>TRUE()</f>
        <v>1</v>
      </c>
      <c r="J11" s="9" t="s">
        <v>1361</v>
      </c>
      <c r="K11" s="11">
        <v>28.92</v>
      </c>
      <c r="L11" s="9" t="s">
        <v>21</v>
      </c>
      <c r="M11" s="9" t="str">
        <f>IFERROR(INDEX(T_CleanCustomers[Sales_Rep_ID],MATCH(B11,T_CleanCustomers[Customer_ID],0)),"Unmatched")</f>
        <v>REP009</v>
      </c>
      <c r="N11" s="9" t="str">
        <f>IFERROR(INDEX(T_CleanCustomers[Channel],MATCH(B11,T_CleanCustomers[Customer_ID],0)),"Unmatched")</f>
        <v>Referral</v>
      </c>
      <c r="O11" s="9" t="str">
        <f>IFERROR(INDEX(T_CleanCustomers[Product],MATCH(B11,T_CleanCustomers[Customer_ID],0)),"Unmatched")</f>
        <v>Fuel Card</v>
      </c>
      <c r="P11" s="9" t="str">
        <f>IFERROR(INDEX(T_CleanCustomers[Customer_Segment],MATCH(B11,T_CleanCustomers[Customer_ID],0)),"Unmatched")</f>
        <v>SME</v>
      </c>
    </row>
    <row r="12" spans="1:16" ht="15" customHeight="1" x14ac:dyDescent="0.2">
      <c r="A12" s="9" t="s">
        <v>1371</v>
      </c>
      <c r="B12" s="9" t="s">
        <v>1152</v>
      </c>
      <c r="C12" s="9" t="b">
        <f>TRUE()</f>
        <v>1</v>
      </c>
      <c r="D12" s="10">
        <v>46007</v>
      </c>
      <c r="E12" s="10">
        <v>45992</v>
      </c>
      <c r="F12" s="9" t="s">
        <v>1360</v>
      </c>
      <c r="G12" s="11">
        <v>3327.6</v>
      </c>
      <c r="H12" s="11">
        <v>84.65</v>
      </c>
      <c r="I12" s="9" t="b">
        <f>TRUE()</f>
        <v>1</v>
      </c>
      <c r="J12" s="9" t="s">
        <v>1361</v>
      </c>
      <c r="K12" s="11">
        <v>84.65</v>
      </c>
      <c r="L12" s="9" t="s">
        <v>21</v>
      </c>
      <c r="M12" s="9" t="str">
        <f>IFERROR(INDEX(T_CleanCustomers[Sales_Rep_ID],MATCH(B12,T_CleanCustomers[Customer_ID],0)),"Unmatched")</f>
        <v>REP009</v>
      </c>
      <c r="N12" s="9" t="str">
        <f>IFERROR(INDEX(T_CleanCustomers[Channel],MATCH(B12,T_CleanCustomers[Customer_ID],0)),"Unmatched")</f>
        <v>Referral</v>
      </c>
      <c r="O12" s="9" t="str">
        <f>IFERROR(INDEX(T_CleanCustomers[Product],MATCH(B12,T_CleanCustomers[Customer_ID],0)),"Unmatched")</f>
        <v>Fuel Card</v>
      </c>
      <c r="P12" s="9" t="str">
        <f>IFERROR(INDEX(T_CleanCustomers[Customer_Segment],MATCH(B12,T_CleanCustomers[Customer_ID],0)),"Unmatched")</f>
        <v>SME</v>
      </c>
    </row>
    <row r="13" spans="1:16" ht="15" customHeight="1" x14ac:dyDescent="0.2">
      <c r="A13" s="9" t="s">
        <v>1372</v>
      </c>
      <c r="B13" s="9" t="s">
        <v>1153</v>
      </c>
      <c r="C13" s="9" t="b">
        <f>TRUE()</f>
        <v>1</v>
      </c>
      <c r="D13" s="10">
        <v>45776</v>
      </c>
      <c r="E13" s="10">
        <v>45748</v>
      </c>
      <c r="F13" s="9" t="s">
        <v>1373</v>
      </c>
      <c r="G13" s="11">
        <v>5152.8900000000003</v>
      </c>
      <c r="H13" s="11">
        <v>87.47</v>
      </c>
      <c r="I13" s="9" t="b">
        <f>TRUE()</f>
        <v>1</v>
      </c>
      <c r="J13" s="9" t="s">
        <v>1361</v>
      </c>
      <c r="K13" s="11">
        <v>87.47</v>
      </c>
      <c r="L13" s="9" t="s">
        <v>19</v>
      </c>
      <c r="M13" s="9" t="str">
        <f>IFERROR(INDEX(T_CleanCustomers[Sales_Rep_ID],MATCH(B13,T_CleanCustomers[Customer_ID],0)),"Unmatched")</f>
        <v>REP015</v>
      </c>
      <c r="N13" s="9" t="str">
        <f>IFERROR(INDEX(T_CleanCustomers[Channel],MATCH(B13,T_CleanCustomers[Customer_ID],0)),"Unmatched")</f>
        <v>Partner</v>
      </c>
      <c r="O13" s="9" t="str">
        <f>IFERROR(INDEX(T_CleanCustomers[Product],MATCH(B13,T_CleanCustomers[Customer_ID],0)),"Unmatched")</f>
        <v>Toll Solution</v>
      </c>
      <c r="P13" s="9" t="str">
        <f>IFERROR(INDEX(T_CleanCustomers[Customer_Segment],MATCH(B13,T_CleanCustomers[Customer_ID],0)),"Unmatched")</f>
        <v>Mid-Market</v>
      </c>
    </row>
    <row r="14" spans="1:16" ht="15" customHeight="1" x14ac:dyDescent="0.2">
      <c r="A14" s="9" t="s">
        <v>1374</v>
      </c>
      <c r="B14" s="9" t="s">
        <v>1153</v>
      </c>
      <c r="C14" s="9" t="b">
        <f>TRUE()</f>
        <v>1</v>
      </c>
      <c r="D14" s="10">
        <v>45777</v>
      </c>
      <c r="E14" s="10">
        <v>45748</v>
      </c>
      <c r="F14" s="9" t="s">
        <v>1373</v>
      </c>
      <c r="G14" s="11">
        <v>6210.37</v>
      </c>
      <c r="H14" s="11">
        <v>107.89</v>
      </c>
      <c r="I14" s="9" t="b">
        <f>TRUE()</f>
        <v>1</v>
      </c>
      <c r="J14" s="9" t="s">
        <v>1361</v>
      </c>
      <c r="K14" s="11">
        <v>107.89</v>
      </c>
      <c r="L14" s="9" t="s">
        <v>19</v>
      </c>
      <c r="M14" s="9" t="str">
        <f>IFERROR(INDEX(T_CleanCustomers[Sales_Rep_ID],MATCH(B14,T_CleanCustomers[Customer_ID],0)),"Unmatched")</f>
        <v>REP015</v>
      </c>
      <c r="N14" s="9" t="str">
        <f>IFERROR(INDEX(T_CleanCustomers[Channel],MATCH(B14,T_CleanCustomers[Customer_ID],0)),"Unmatched")</f>
        <v>Partner</v>
      </c>
      <c r="O14" s="9" t="str">
        <f>IFERROR(INDEX(T_CleanCustomers[Product],MATCH(B14,T_CleanCustomers[Customer_ID],0)),"Unmatched")</f>
        <v>Toll Solution</v>
      </c>
      <c r="P14" s="9" t="str">
        <f>IFERROR(INDEX(T_CleanCustomers[Customer_Segment],MATCH(B14,T_CleanCustomers[Customer_ID],0)),"Unmatched")</f>
        <v>Mid-Market</v>
      </c>
    </row>
    <row r="15" spans="1:16" ht="15" customHeight="1" x14ac:dyDescent="0.2">
      <c r="A15" s="9" t="s">
        <v>1375</v>
      </c>
      <c r="B15" s="9" t="s">
        <v>1153</v>
      </c>
      <c r="C15" s="9" t="b">
        <f>TRUE()</f>
        <v>1</v>
      </c>
      <c r="D15" s="10">
        <v>45777</v>
      </c>
      <c r="E15" s="10">
        <v>45748</v>
      </c>
      <c r="F15" s="9" t="s">
        <v>1373</v>
      </c>
      <c r="G15" s="11">
        <v>17647.89</v>
      </c>
      <c r="H15" s="11">
        <v>293.33</v>
      </c>
      <c r="I15" s="9" t="b">
        <f>TRUE()</f>
        <v>1</v>
      </c>
      <c r="J15" s="9" t="s">
        <v>1361</v>
      </c>
      <c r="K15" s="11">
        <v>293.33</v>
      </c>
      <c r="L15" s="9" t="s">
        <v>19</v>
      </c>
      <c r="M15" s="9" t="str">
        <f>IFERROR(INDEX(T_CleanCustomers[Sales_Rep_ID],MATCH(B15,T_CleanCustomers[Customer_ID],0)),"Unmatched")</f>
        <v>REP015</v>
      </c>
      <c r="N15" s="9" t="str">
        <f>IFERROR(INDEX(T_CleanCustomers[Channel],MATCH(B15,T_CleanCustomers[Customer_ID],0)),"Unmatched")</f>
        <v>Partner</v>
      </c>
      <c r="O15" s="9" t="str">
        <f>IFERROR(INDEX(T_CleanCustomers[Product],MATCH(B15,T_CleanCustomers[Customer_ID],0)),"Unmatched")</f>
        <v>Toll Solution</v>
      </c>
      <c r="P15" s="9" t="str">
        <f>IFERROR(INDEX(T_CleanCustomers[Customer_Segment],MATCH(B15,T_CleanCustomers[Customer_ID],0)),"Unmatched")</f>
        <v>Mid-Market</v>
      </c>
    </row>
    <row r="16" spans="1:16" ht="15" customHeight="1" x14ac:dyDescent="0.2">
      <c r="A16" s="9" t="s">
        <v>1376</v>
      </c>
      <c r="B16" s="9" t="s">
        <v>1153</v>
      </c>
      <c r="C16" s="9" t="b">
        <f>TRUE()</f>
        <v>1</v>
      </c>
      <c r="D16" s="10">
        <v>45808</v>
      </c>
      <c r="E16" s="10">
        <v>45778</v>
      </c>
      <c r="F16" s="9" t="s">
        <v>1373</v>
      </c>
      <c r="G16" s="11">
        <v>11897.96</v>
      </c>
      <c r="H16" s="11">
        <v>188.76</v>
      </c>
      <c r="I16" s="9" t="b">
        <f>TRUE()</f>
        <v>1</v>
      </c>
      <c r="J16" s="9" t="s">
        <v>1361</v>
      </c>
      <c r="K16" s="11">
        <v>188.76</v>
      </c>
      <c r="L16" s="9" t="s">
        <v>19</v>
      </c>
      <c r="M16" s="9" t="str">
        <f>IFERROR(INDEX(T_CleanCustomers[Sales_Rep_ID],MATCH(B16,T_CleanCustomers[Customer_ID],0)),"Unmatched")</f>
        <v>REP015</v>
      </c>
      <c r="N16" s="9" t="str">
        <f>IFERROR(INDEX(T_CleanCustomers[Channel],MATCH(B16,T_CleanCustomers[Customer_ID],0)),"Unmatched")</f>
        <v>Partner</v>
      </c>
      <c r="O16" s="9" t="str">
        <f>IFERROR(INDEX(T_CleanCustomers[Product],MATCH(B16,T_CleanCustomers[Customer_ID],0)),"Unmatched")</f>
        <v>Toll Solution</v>
      </c>
      <c r="P16" s="9" t="str">
        <f>IFERROR(INDEX(T_CleanCustomers[Customer_Segment],MATCH(B16,T_CleanCustomers[Customer_ID],0)),"Unmatched")</f>
        <v>Mid-Market</v>
      </c>
    </row>
    <row r="17" spans="1:16" ht="15" customHeight="1" x14ac:dyDescent="0.2">
      <c r="A17" s="9" t="s">
        <v>1377</v>
      </c>
      <c r="B17" s="9" t="s">
        <v>1153</v>
      </c>
      <c r="C17" s="9" t="b">
        <f>TRUE()</f>
        <v>1</v>
      </c>
      <c r="D17" s="10">
        <v>45791</v>
      </c>
      <c r="E17" s="10">
        <v>45778</v>
      </c>
      <c r="F17" s="9" t="s">
        <v>1373</v>
      </c>
      <c r="G17" s="11">
        <v>7107.76</v>
      </c>
      <c r="H17" s="11">
        <v>143.80000000000001</v>
      </c>
      <c r="I17" s="9" t="b">
        <f>TRUE()</f>
        <v>1</v>
      </c>
      <c r="J17" s="9" t="s">
        <v>1361</v>
      </c>
      <c r="K17" s="11">
        <v>143.80000000000001</v>
      </c>
      <c r="L17" s="9" t="s">
        <v>19</v>
      </c>
      <c r="M17" s="9" t="str">
        <f>IFERROR(INDEX(T_CleanCustomers[Sales_Rep_ID],MATCH(B17,T_CleanCustomers[Customer_ID],0)),"Unmatched")</f>
        <v>REP015</v>
      </c>
      <c r="N17" s="9" t="str">
        <f>IFERROR(INDEX(T_CleanCustomers[Channel],MATCH(B17,T_CleanCustomers[Customer_ID],0)),"Unmatched")</f>
        <v>Partner</v>
      </c>
      <c r="O17" s="9" t="str">
        <f>IFERROR(INDEX(T_CleanCustomers[Product],MATCH(B17,T_CleanCustomers[Customer_ID],0)),"Unmatched")</f>
        <v>Toll Solution</v>
      </c>
      <c r="P17" s="9" t="str">
        <f>IFERROR(INDEX(T_CleanCustomers[Customer_Segment],MATCH(B17,T_CleanCustomers[Customer_ID],0)),"Unmatched")</f>
        <v>Mid-Market</v>
      </c>
    </row>
    <row r="18" spans="1:16" ht="15" customHeight="1" x14ac:dyDescent="0.2">
      <c r="A18" s="9" t="s">
        <v>1378</v>
      </c>
      <c r="B18" s="9" t="s">
        <v>1153</v>
      </c>
      <c r="C18" s="9" t="b">
        <f>TRUE()</f>
        <v>1</v>
      </c>
      <c r="D18" s="10">
        <v>45813</v>
      </c>
      <c r="E18" s="10">
        <v>45809</v>
      </c>
      <c r="F18" s="9" t="s">
        <v>1373</v>
      </c>
      <c r="G18" s="11">
        <v>15612.19</v>
      </c>
      <c r="H18" s="11">
        <v>274.93</v>
      </c>
      <c r="I18" s="9" t="b">
        <f>TRUE()</f>
        <v>1</v>
      </c>
      <c r="J18" s="9" t="s">
        <v>1361</v>
      </c>
      <c r="K18" s="11">
        <v>274.93</v>
      </c>
      <c r="L18" s="9" t="s">
        <v>19</v>
      </c>
      <c r="M18" s="9" t="str">
        <f>IFERROR(INDEX(T_CleanCustomers[Sales_Rep_ID],MATCH(B18,T_CleanCustomers[Customer_ID],0)),"Unmatched")</f>
        <v>REP015</v>
      </c>
      <c r="N18" s="9" t="str">
        <f>IFERROR(INDEX(T_CleanCustomers[Channel],MATCH(B18,T_CleanCustomers[Customer_ID],0)),"Unmatched")</f>
        <v>Partner</v>
      </c>
      <c r="O18" s="9" t="str">
        <f>IFERROR(INDEX(T_CleanCustomers[Product],MATCH(B18,T_CleanCustomers[Customer_ID],0)),"Unmatched")</f>
        <v>Toll Solution</v>
      </c>
      <c r="P18" s="9" t="str">
        <f>IFERROR(INDEX(T_CleanCustomers[Customer_Segment],MATCH(B18,T_CleanCustomers[Customer_ID],0)),"Unmatched")</f>
        <v>Mid-Market</v>
      </c>
    </row>
    <row r="19" spans="1:16" ht="15" customHeight="1" x14ac:dyDescent="0.2">
      <c r="A19" s="9" t="s">
        <v>1379</v>
      </c>
      <c r="B19" s="9" t="s">
        <v>1153</v>
      </c>
      <c r="C19" s="9" t="b">
        <f>TRUE()</f>
        <v>1</v>
      </c>
      <c r="D19" s="10">
        <v>45823</v>
      </c>
      <c r="E19" s="10">
        <v>45809</v>
      </c>
      <c r="F19" s="9" t="s">
        <v>1373</v>
      </c>
      <c r="G19" s="11">
        <v>10689.89</v>
      </c>
      <c r="H19" s="11">
        <v>203.43</v>
      </c>
      <c r="I19" s="9" t="b">
        <f>TRUE()</f>
        <v>1</v>
      </c>
      <c r="J19" s="9" t="s">
        <v>1361</v>
      </c>
      <c r="K19" s="11">
        <v>203.43</v>
      </c>
      <c r="L19" s="9" t="s">
        <v>19</v>
      </c>
      <c r="M19" s="9" t="str">
        <f>IFERROR(INDEX(T_CleanCustomers[Sales_Rep_ID],MATCH(B19,T_CleanCustomers[Customer_ID],0)),"Unmatched")</f>
        <v>REP015</v>
      </c>
      <c r="N19" s="9" t="str">
        <f>IFERROR(INDEX(T_CleanCustomers[Channel],MATCH(B19,T_CleanCustomers[Customer_ID],0)),"Unmatched")</f>
        <v>Partner</v>
      </c>
      <c r="O19" s="9" t="str">
        <f>IFERROR(INDEX(T_CleanCustomers[Product],MATCH(B19,T_CleanCustomers[Customer_ID],0)),"Unmatched")</f>
        <v>Toll Solution</v>
      </c>
      <c r="P19" s="9" t="str">
        <f>IFERROR(INDEX(T_CleanCustomers[Customer_Segment],MATCH(B19,T_CleanCustomers[Customer_ID],0)),"Unmatched")</f>
        <v>Mid-Market</v>
      </c>
    </row>
    <row r="20" spans="1:16" ht="15" customHeight="1" x14ac:dyDescent="0.2">
      <c r="A20" s="9" t="s">
        <v>1380</v>
      </c>
      <c r="B20" s="9" t="s">
        <v>1153</v>
      </c>
      <c r="C20" s="9" t="b">
        <f>TRUE()</f>
        <v>1</v>
      </c>
      <c r="D20" s="10">
        <v>45839</v>
      </c>
      <c r="E20" s="10">
        <v>45839</v>
      </c>
      <c r="F20" s="9" t="s">
        <v>1373</v>
      </c>
      <c r="G20" s="11">
        <v>15864.35</v>
      </c>
      <c r="H20" s="11">
        <v>296.39</v>
      </c>
      <c r="I20" s="9" t="b">
        <f>TRUE()</f>
        <v>1</v>
      </c>
      <c r="J20" s="9" t="s">
        <v>1361</v>
      </c>
      <c r="K20" s="11">
        <v>296.39</v>
      </c>
      <c r="L20" s="9" t="s">
        <v>19</v>
      </c>
      <c r="M20" s="9" t="str">
        <f>IFERROR(INDEX(T_CleanCustomers[Sales_Rep_ID],MATCH(B20,T_CleanCustomers[Customer_ID],0)),"Unmatched")</f>
        <v>REP015</v>
      </c>
      <c r="N20" s="9" t="str">
        <f>IFERROR(INDEX(T_CleanCustomers[Channel],MATCH(B20,T_CleanCustomers[Customer_ID],0)),"Unmatched")</f>
        <v>Partner</v>
      </c>
      <c r="O20" s="9" t="str">
        <f>IFERROR(INDEX(T_CleanCustomers[Product],MATCH(B20,T_CleanCustomers[Customer_ID],0)),"Unmatched")</f>
        <v>Toll Solution</v>
      </c>
      <c r="P20" s="9" t="str">
        <f>IFERROR(INDEX(T_CleanCustomers[Customer_Segment],MATCH(B20,T_CleanCustomers[Customer_ID],0)),"Unmatched")</f>
        <v>Mid-Market</v>
      </c>
    </row>
    <row r="21" spans="1:16" ht="15" customHeight="1" x14ac:dyDescent="0.2">
      <c r="A21" s="9" t="s">
        <v>1381</v>
      </c>
      <c r="B21" s="9" t="s">
        <v>1153</v>
      </c>
      <c r="C21" s="9" t="b">
        <f>TRUE()</f>
        <v>1</v>
      </c>
      <c r="D21" s="10">
        <v>45864</v>
      </c>
      <c r="E21" s="10">
        <v>45839</v>
      </c>
      <c r="F21" s="9" t="s">
        <v>1373</v>
      </c>
      <c r="G21" s="11">
        <v>10901.57</v>
      </c>
      <c r="H21" s="11">
        <v>210.9</v>
      </c>
      <c r="I21" s="9" t="b">
        <f>TRUE()</f>
        <v>1</v>
      </c>
      <c r="J21" s="9" t="s">
        <v>1361</v>
      </c>
      <c r="K21" s="11">
        <v>210.9</v>
      </c>
      <c r="L21" s="9" t="s">
        <v>19</v>
      </c>
      <c r="M21" s="9" t="str">
        <f>IFERROR(INDEX(T_CleanCustomers[Sales_Rep_ID],MATCH(B21,T_CleanCustomers[Customer_ID],0)),"Unmatched")</f>
        <v>REP015</v>
      </c>
      <c r="N21" s="9" t="str">
        <f>IFERROR(INDEX(T_CleanCustomers[Channel],MATCH(B21,T_CleanCustomers[Customer_ID],0)),"Unmatched")</f>
        <v>Partner</v>
      </c>
      <c r="O21" s="9" t="str">
        <f>IFERROR(INDEX(T_CleanCustomers[Product],MATCH(B21,T_CleanCustomers[Customer_ID],0)),"Unmatched")</f>
        <v>Toll Solution</v>
      </c>
      <c r="P21" s="9" t="str">
        <f>IFERROR(INDEX(T_CleanCustomers[Customer_Segment],MATCH(B21,T_CleanCustomers[Customer_ID],0)),"Unmatched")</f>
        <v>Mid-Market</v>
      </c>
    </row>
    <row r="22" spans="1:16" ht="15" customHeight="1" x14ac:dyDescent="0.2">
      <c r="A22" s="9" t="s">
        <v>1382</v>
      </c>
      <c r="B22" s="9" t="s">
        <v>1153</v>
      </c>
      <c r="C22" s="9" t="b">
        <f>TRUE()</f>
        <v>1</v>
      </c>
      <c r="D22" s="10">
        <v>45839</v>
      </c>
      <c r="E22" s="10">
        <v>45839</v>
      </c>
      <c r="F22" s="9" t="s">
        <v>1373</v>
      </c>
      <c r="G22" s="11">
        <v>15599.28</v>
      </c>
      <c r="H22" s="11">
        <v>289.24</v>
      </c>
      <c r="I22" s="9" t="b">
        <f>TRUE()</f>
        <v>1</v>
      </c>
      <c r="J22" s="9" t="s">
        <v>1361</v>
      </c>
      <c r="K22" s="11">
        <v>289.24</v>
      </c>
      <c r="L22" s="9" t="s">
        <v>19</v>
      </c>
      <c r="M22" s="9" t="str">
        <f>IFERROR(INDEX(T_CleanCustomers[Sales_Rep_ID],MATCH(B22,T_CleanCustomers[Customer_ID],0)),"Unmatched")</f>
        <v>REP015</v>
      </c>
      <c r="N22" s="9" t="str">
        <f>IFERROR(INDEX(T_CleanCustomers[Channel],MATCH(B22,T_CleanCustomers[Customer_ID],0)),"Unmatched")</f>
        <v>Partner</v>
      </c>
      <c r="O22" s="9" t="str">
        <f>IFERROR(INDEX(T_CleanCustomers[Product],MATCH(B22,T_CleanCustomers[Customer_ID],0)),"Unmatched")</f>
        <v>Toll Solution</v>
      </c>
      <c r="P22" s="9" t="str">
        <f>IFERROR(INDEX(T_CleanCustomers[Customer_Segment],MATCH(B22,T_CleanCustomers[Customer_ID],0)),"Unmatched")</f>
        <v>Mid-Market</v>
      </c>
    </row>
    <row r="23" spans="1:16" ht="15" customHeight="1" x14ac:dyDescent="0.2">
      <c r="A23" s="9" t="s">
        <v>1383</v>
      </c>
      <c r="B23" s="9" t="s">
        <v>1153</v>
      </c>
      <c r="C23" s="9" t="b">
        <f>TRUE()</f>
        <v>1</v>
      </c>
      <c r="D23" s="10">
        <v>45888</v>
      </c>
      <c r="E23" s="10">
        <v>45870</v>
      </c>
      <c r="F23" s="9" t="s">
        <v>1373</v>
      </c>
      <c r="G23" s="11">
        <v>17194.02</v>
      </c>
      <c r="H23" s="11">
        <v>274.68</v>
      </c>
      <c r="I23" s="9" t="b">
        <f>TRUE()</f>
        <v>1</v>
      </c>
      <c r="J23" s="9" t="s">
        <v>1361</v>
      </c>
      <c r="K23" s="11">
        <v>274.68</v>
      </c>
      <c r="L23" s="9" t="s">
        <v>19</v>
      </c>
      <c r="M23" s="9" t="str">
        <f>IFERROR(INDEX(T_CleanCustomers[Sales_Rep_ID],MATCH(B23,T_CleanCustomers[Customer_ID],0)),"Unmatched")</f>
        <v>REP015</v>
      </c>
      <c r="N23" s="9" t="str">
        <f>IFERROR(INDEX(T_CleanCustomers[Channel],MATCH(B23,T_CleanCustomers[Customer_ID],0)),"Unmatched")</f>
        <v>Partner</v>
      </c>
      <c r="O23" s="9" t="str">
        <f>IFERROR(INDEX(T_CleanCustomers[Product],MATCH(B23,T_CleanCustomers[Customer_ID],0)),"Unmatched")</f>
        <v>Toll Solution</v>
      </c>
      <c r="P23" s="9" t="str">
        <f>IFERROR(INDEX(T_CleanCustomers[Customer_Segment],MATCH(B23,T_CleanCustomers[Customer_ID],0)),"Unmatched")</f>
        <v>Mid-Market</v>
      </c>
    </row>
    <row r="24" spans="1:16" ht="15" customHeight="1" x14ac:dyDescent="0.2">
      <c r="A24" s="9" t="s">
        <v>1384</v>
      </c>
      <c r="B24" s="9" t="s">
        <v>1153</v>
      </c>
      <c r="C24" s="9" t="b">
        <f>TRUE()</f>
        <v>1</v>
      </c>
      <c r="D24" s="10">
        <v>45899</v>
      </c>
      <c r="E24" s="10">
        <v>45870</v>
      </c>
      <c r="F24" s="9" t="s">
        <v>1373</v>
      </c>
      <c r="G24" s="11">
        <v>9123.08</v>
      </c>
      <c r="H24" s="11">
        <v>188.37</v>
      </c>
      <c r="I24" s="9" t="b">
        <f>TRUE()</f>
        <v>1</v>
      </c>
      <c r="J24" s="9" t="s">
        <v>1361</v>
      </c>
      <c r="K24" s="11">
        <v>188.37</v>
      </c>
      <c r="L24" s="9" t="s">
        <v>19</v>
      </c>
      <c r="M24" s="9" t="str">
        <f>IFERROR(INDEX(T_CleanCustomers[Sales_Rep_ID],MATCH(B24,T_CleanCustomers[Customer_ID],0)),"Unmatched")</f>
        <v>REP015</v>
      </c>
      <c r="N24" s="9" t="str">
        <f>IFERROR(INDEX(T_CleanCustomers[Channel],MATCH(B24,T_CleanCustomers[Customer_ID],0)),"Unmatched")</f>
        <v>Partner</v>
      </c>
      <c r="O24" s="9" t="str">
        <f>IFERROR(INDEX(T_CleanCustomers[Product],MATCH(B24,T_CleanCustomers[Customer_ID],0)),"Unmatched")</f>
        <v>Toll Solution</v>
      </c>
      <c r="P24" s="9" t="str">
        <f>IFERROR(INDEX(T_CleanCustomers[Customer_Segment],MATCH(B24,T_CleanCustomers[Customer_ID],0)),"Unmatched")</f>
        <v>Mid-Market</v>
      </c>
    </row>
    <row r="25" spans="1:16" ht="15" customHeight="1" x14ac:dyDescent="0.2">
      <c r="A25" s="9" t="s">
        <v>1385</v>
      </c>
      <c r="B25" s="9" t="s">
        <v>1153</v>
      </c>
      <c r="C25" s="9" t="b">
        <f>TRUE()</f>
        <v>1</v>
      </c>
      <c r="D25" s="10">
        <v>45888</v>
      </c>
      <c r="E25" s="10">
        <v>45870</v>
      </c>
      <c r="F25" s="9" t="s">
        <v>1373</v>
      </c>
      <c r="G25" s="11">
        <v>16543.79</v>
      </c>
      <c r="H25" s="11">
        <v>336.58</v>
      </c>
      <c r="I25" s="9" t="b">
        <f>TRUE()</f>
        <v>1</v>
      </c>
      <c r="J25" s="9" t="s">
        <v>1361</v>
      </c>
      <c r="K25" s="11">
        <v>336.58</v>
      </c>
      <c r="L25" s="9" t="s">
        <v>19</v>
      </c>
      <c r="M25" s="9" t="str">
        <f>IFERROR(INDEX(T_CleanCustomers[Sales_Rep_ID],MATCH(B25,T_CleanCustomers[Customer_ID],0)),"Unmatched")</f>
        <v>REP015</v>
      </c>
      <c r="N25" s="9" t="str">
        <f>IFERROR(INDEX(T_CleanCustomers[Channel],MATCH(B25,T_CleanCustomers[Customer_ID],0)),"Unmatched")</f>
        <v>Partner</v>
      </c>
      <c r="O25" s="9" t="str">
        <f>IFERROR(INDEX(T_CleanCustomers[Product],MATCH(B25,T_CleanCustomers[Customer_ID],0)),"Unmatched")</f>
        <v>Toll Solution</v>
      </c>
      <c r="P25" s="9" t="str">
        <f>IFERROR(INDEX(T_CleanCustomers[Customer_Segment],MATCH(B25,T_CleanCustomers[Customer_ID],0)),"Unmatched")</f>
        <v>Mid-Market</v>
      </c>
    </row>
    <row r="26" spans="1:16" ht="15" customHeight="1" x14ac:dyDescent="0.2">
      <c r="A26" s="9" t="s">
        <v>1386</v>
      </c>
      <c r="B26" s="9" t="s">
        <v>1153</v>
      </c>
      <c r="C26" s="9" t="b">
        <f>TRUE()</f>
        <v>1</v>
      </c>
      <c r="D26" s="10">
        <v>45902</v>
      </c>
      <c r="E26" s="10">
        <v>45901</v>
      </c>
      <c r="F26" s="9" t="s">
        <v>1373</v>
      </c>
      <c r="G26" s="11">
        <v>15930.18</v>
      </c>
      <c r="H26" s="11">
        <v>289.62</v>
      </c>
      <c r="I26" s="9" t="b">
        <f>TRUE()</f>
        <v>1</v>
      </c>
      <c r="J26" s="9" t="s">
        <v>1361</v>
      </c>
      <c r="K26" s="11">
        <v>289.62</v>
      </c>
      <c r="L26" s="9" t="s">
        <v>19</v>
      </c>
      <c r="M26" s="9" t="str">
        <f>IFERROR(INDEX(T_CleanCustomers[Sales_Rep_ID],MATCH(B26,T_CleanCustomers[Customer_ID],0)),"Unmatched")</f>
        <v>REP015</v>
      </c>
      <c r="N26" s="9" t="str">
        <f>IFERROR(INDEX(T_CleanCustomers[Channel],MATCH(B26,T_CleanCustomers[Customer_ID],0)),"Unmatched")</f>
        <v>Partner</v>
      </c>
      <c r="O26" s="9" t="str">
        <f>IFERROR(INDEX(T_CleanCustomers[Product],MATCH(B26,T_CleanCustomers[Customer_ID],0)),"Unmatched")</f>
        <v>Toll Solution</v>
      </c>
      <c r="P26" s="9" t="str">
        <f>IFERROR(INDEX(T_CleanCustomers[Customer_Segment],MATCH(B26,T_CleanCustomers[Customer_ID],0)),"Unmatched")</f>
        <v>Mid-Market</v>
      </c>
    </row>
    <row r="27" spans="1:16" ht="15" customHeight="1" x14ac:dyDescent="0.2">
      <c r="A27" s="9" t="s">
        <v>1387</v>
      </c>
      <c r="B27" s="9" t="s">
        <v>1153</v>
      </c>
      <c r="C27" s="9" t="b">
        <f>TRUE()</f>
        <v>1</v>
      </c>
      <c r="D27" s="10">
        <v>45953</v>
      </c>
      <c r="E27" s="10">
        <v>45931</v>
      </c>
      <c r="F27" s="9" t="s">
        <v>1373</v>
      </c>
      <c r="G27" s="11">
        <v>13406.92</v>
      </c>
      <c r="H27" s="11">
        <v>218.82</v>
      </c>
      <c r="I27" s="9" t="b">
        <f>TRUE()</f>
        <v>1</v>
      </c>
      <c r="J27" s="9" t="s">
        <v>1361</v>
      </c>
      <c r="K27" s="11">
        <v>218.82</v>
      </c>
      <c r="L27" s="9" t="s">
        <v>19</v>
      </c>
      <c r="M27" s="9" t="str">
        <f>IFERROR(INDEX(T_CleanCustomers[Sales_Rep_ID],MATCH(B27,T_CleanCustomers[Customer_ID],0)),"Unmatched")</f>
        <v>REP015</v>
      </c>
      <c r="N27" s="9" t="str">
        <f>IFERROR(INDEX(T_CleanCustomers[Channel],MATCH(B27,T_CleanCustomers[Customer_ID],0)),"Unmatched")</f>
        <v>Partner</v>
      </c>
      <c r="O27" s="9" t="str">
        <f>IFERROR(INDEX(T_CleanCustomers[Product],MATCH(B27,T_CleanCustomers[Customer_ID],0)),"Unmatched")</f>
        <v>Toll Solution</v>
      </c>
      <c r="P27" s="9" t="str">
        <f>IFERROR(INDEX(T_CleanCustomers[Customer_Segment],MATCH(B27,T_CleanCustomers[Customer_ID],0)),"Unmatched")</f>
        <v>Mid-Market</v>
      </c>
    </row>
    <row r="28" spans="1:16" ht="15" customHeight="1" x14ac:dyDescent="0.2">
      <c r="A28" s="9" t="s">
        <v>1388</v>
      </c>
      <c r="B28" s="9" t="s">
        <v>1153</v>
      </c>
      <c r="C28" s="9" t="b">
        <f>TRUE()</f>
        <v>1</v>
      </c>
      <c r="D28" s="10">
        <v>45977</v>
      </c>
      <c r="E28" s="10">
        <v>45962</v>
      </c>
      <c r="F28" s="9" t="s">
        <v>1373</v>
      </c>
      <c r="G28" s="11">
        <v>8023.55</v>
      </c>
      <c r="H28" s="11">
        <v>145.03</v>
      </c>
      <c r="I28" s="9" t="b">
        <f>TRUE()</f>
        <v>1</v>
      </c>
      <c r="J28" s="9" t="s">
        <v>1361</v>
      </c>
      <c r="K28" s="11">
        <v>145.03</v>
      </c>
      <c r="L28" s="9" t="s">
        <v>19</v>
      </c>
      <c r="M28" s="9" t="str">
        <f>IFERROR(INDEX(T_CleanCustomers[Sales_Rep_ID],MATCH(B28,T_CleanCustomers[Customer_ID],0)),"Unmatched")</f>
        <v>REP015</v>
      </c>
      <c r="N28" s="9" t="str">
        <f>IFERROR(INDEX(T_CleanCustomers[Channel],MATCH(B28,T_CleanCustomers[Customer_ID],0)),"Unmatched")</f>
        <v>Partner</v>
      </c>
      <c r="O28" s="9" t="str">
        <f>IFERROR(INDEX(T_CleanCustomers[Product],MATCH(B28,T_CleanCustomers[Customer_ID],0)),"Unmatched")</f>
        <v>Toll Solution</v>
      </c>
      <c r="P28" s="9" t="str">
        <f>IFERROR(INDEX(T_CleanCustomers[Customer_Segment],MATCH(B28,T_CleanCustomers[Customer_ID],0)),"Unmatched")</f>
        <v>Mid-Market</v>
      </c>
    </row>
    <row r="29" spans="1:16" ht="15" customHeight="1" x14ac:dyDescent="0.2">
      <c r="A29" s="9" t="s">
        <v>1389</v>
      </c>
      <c r="B29" s="9" t="s">
        <v>1153</v>
      </c>
      <c r="C29" s="9" t="b">
        <f>TRUE()</f>
        <v>1</v>
      </c>
      <c r="D29" s="10">
        <v>45989</v>
      </c>
      <c r="E29" s="10">
        <v>45962</v>
      </c>
      <c r="F29" s="9" t="s">
        <v>1373</v>
      </c>
      <c r="G29" s="11">
        <v>12080.45</v>
      </c>
      <c r="H29" s="11">
        <v>208.51</v>
      </c>
      <c r="I29" s="9" t="b">
        <f>TRUE()</f>
        <v>1</v>
      </c>
      <c r="J29" s="9" t="s">
        <v>1361</v>
      </c>
      <c r="K29" s="11">
        <v>208.51</v>
      </c>
      <c r="L29" s="9" t="s">
        <v>19</v>
      </c>
      <c r="M29" s="9" t="str">
        <f>IFERROR(INDEX(T_CleanCustomers[Sales_Rep_ID],MATCH(B29,T_CleanCustomers[Customer_ID],0)),"Unmatched")</f>
        <v>REP015</v>
      </c>
      <c r="N29" s="9" t="str">
        <f>IFERROR(INDEX(T_CleanCustomers[Channel],MATCH(B29,T_CleanCustomers[Customer_ID],0)),"Unmatched")</f>
        <v>Partner</v>
      </c>
      <c r="O29" s="9" t="str">
        <f>IFERROR(INDEX(T_CleanCustomers[Product],MATCH(B29,T_CleanCustomers[Customer_ID],0)),"Unmatched")</f>
        <v>Toll Solution</v>
      </c>
      <c r="P29" s="9" t="str">
        <f>IFERROR(INDEX(T_CleanCustomers[Customer_Segment],MATCH(B29,T_CleanCustomers[Customer_ID],0)),"Unmatched")</f>
        <v>Mid-Market</v>
      </c>
    </row>
    <row r="30" spans="1:16" ht="15" customHeight="1" x14ac:dyDescent="0.2">
      <c r="A30" s="9" t="s">
        <v>1390</v>
      </c>
      <c r="B30" s="9" t="s">
        <v>1153</v>
      </c>
      <c r="C30" s="9" t="b">
        <f>TRUE()</f>
        <v>1</v>
      </c>
      <c r="D30" s="10">
        <v>45994</v>
      </c>
      <c r="E30" s="10">
        <v>45992</v>
      </c>
      <c r="F30" s="9" t="s">
        <v>1373</v>
      </c>
      <c r="G30" s="11">
        <v>5773.99</v>
      </c>
      <c r="H30" s="11">
        <v>91.56</v>
      </c>
      <c r="I30" s="9" t="b">
        <f>TRUE()</f>
        <v>1</v>
      </c>
      <c r="J30" s="9" t="s">
        <v>1361</v>
      </c>
      <c r="K30" s="11">
        <v>91.56</v>
      </c>
      <c r="L30" s="9" t="s">
        <v>19</v>
      </c>
      <c r="M30" s="9" t="str">
        <f>IFERROR(INDEX(T_CleanCustomers[Sales_Rep_ID],MATCH(B30,T_CleanCustomers[Customer_ID],0)),"Unmatched")</f>
        <v>REP015</v>
      </c>
      <c r="N30" s="9" t="str">
        <f>IFERROR(INDEX(T_CleanCustomers[Channel],MATCH(B30,T_CleanCustomers[Customer_ID],0)),"Unmatched")</f>
        <v>Partner</v>
      </c>
      <c r="O30" s="9" t="str">
        <f>IFERROR(INDEX(T_CleanCustomers[Product],MATCH(B30,T_CleanCustomers[Customer_ID],0)),"Unmatched")</f>
        <v>Toll Solution</v>
      </c>
      <c r="P30" s="9" t="str">
        <f>IFERROR(INDEX(T_CleanCustomers[Customer_Segment],MATCH(B30,T_CleanCustomers[Customer_ID],0)),"Unmatched")</f>
        <v>Mid-Market</v>
      </c>
    </row>
    <row r="31" spans="1:16" ht="15" customHeight="1" x14ac:dyDescent="0.2">
      <c r="A31" s="9" t="s">
        <v>1391</v>
      </c>
      <c r="B31" s="9" t="s">
        <v>1153</v>
      </c>
      <c r="C31" s="9" t="b">
        <f>TRUE()</f>
        <v>1</v>
      </c>
      <c r="D31" s="10">
        <v>46006</v>
      </c>
      <c r="E31" s="10">
        <v>45992</v>
      </c>
      <c r="F31" s="9" t="s">
        <v>1373</v>
      </c>
      <c r="G31" s="11">
        <v>8570.94</v>
      </c>
      <c r="H31" s="11">
        <v>155.04</v>
      </c>
      <c r="I31" s="9" t="b">
        <f>TRUE()</f>
        <v>1</v>
      </c>
      <c r="J31" s="9" t="s">
        <v>1361</v>
      </c>
      <c r="K31" s="11">
        <v>155.04</v>
      </c>
      <c r="L31" s="9" t="s">
        <v>19</v>
      </c>
      <c r="M31" s="9" t="str">
        <f>IFERROR(INDEX(T_CleanCustomers[Sales_Rep_ID],MATCH(B31,T_CleanCustomers[Customer_ID],0)),"Unmatched")</f>
        <v>REP015</v>
      </c>
      <c r="N31" s="9" t="str">
        <f>IFERROR(INDEX(T_CleanCustomers[Channel],MATCH(B31,T_CleanCustomers[Customer_ID],0)),"Unmatched")</f>
        <v>Partner</v>
      </c>
      <c r="O31" s="9" t="str">
        <f>IFERROR(INDEX(T_CleanCustomers[Product],MATCH(B31,T_CleanCustomers[Customer_ID],0)),"Unmatched")</f>
        <v>Toll Solution</v>
      </c>
      <c r="P31" s="9" t="str">
        <f>IFERROR(INDEX(T_CleanCustomers[Customer_Segment],MATCH(B31,T_CleanCustomers[Customer_ID],0)),"Unmatched")</f>
        <v>Mid-Market</v>
      </c>
    </row>
    <row r="32" spans="1:16" ht="15" customHeight="1" x14ac:dyDescent="0.2">
      <c r="A32" s="9" t="s">
        <v>1392</v>
      </c>
      <c r="B32" s="9" t="s">
        <v>1154</v>
      </c>
      <c r="C32" s="9" t="b">
        <f>TRUE()</f>
        <v>1</v>
      </c>
      <c r="D32" s="10">
        <v>45858</v>
      </c>
      <c r="E32" s="10">
        <v>45839</v>
      </c>
      <c r="F32" s="9" t="s">
        <v>1360</v>
      </c>
      <c r="G32" s="11">
        <v>17064.72</v>
      </c>
      <c r="H32" s="11">
        <v>419.95</v>
      </c>
      <c r="I32" s="9" t="b">
        <f>TRUE()</f>
        <v>1</v>
      </c>
      <c r="J32" s="9" t="s">
        <v>1361</v>
      </c>
      <c r="K32" s="11">
        <v>419.95</v>
      </c>
      <c r="L32" s="9" t="s">
        <v>22</v>
      </c>
      <c r="M32" s="9" t="str">
        <f>IFERROR(INDEX(T_CleanCustomers[Sales_Rep_ID],MATCH(B32,T_CleanCustomers[Customer_ID],0)),"Unmatched")</f>
        <v>REP004</v>
      </c>
      <c r="N32" s="9" t="str">
        <f>IFERROR(INDEX(T_CleanCustomers[Channel],MATCH(B32,T_CleanCustomers[Customer_ID],0)),"Unmatched")</f>
        <v>Direct Sales</v>
      </c>
      <c r="O32" s="9" t="str">
        <f>IFERROR(INDEX(T_CleanCustomers[Product],MATCH(B32,T_CleanCustomers[Customer_ID],0)),"Unmatched")</f>
        <v>Fuel Card</v>
      </c>
      <c r="P32" s="9" t="str">
        <f>IFERROR(INDEX(T_CleanCustomers[Customer_Segment],MATCH(B32,T_CleanCustomers[Customer_ID],0)),"Unmatched")</f>
        <v>Mid-Market</v>
      </c>
    </row>
    <row r="33" spans="1:16" ht="15" customHeight="1" x14ac:dyDescent="0.2">
      <c r="A33" s="9" t="s">
        <v>1393</v>
      </c>
      <c r="B33" s="9" t="s">
        <v>1154</v>
      </c>
      <c r="C33" s="9" t="b">
        <f>TRUE()</f>
        <v>1</v>
      </c>
      <c r="D33" s="10">
        <v>45877</v>
      </c>
      <c r="E33" s="10">
        <v>45870</v>
      </c>
      <c r="F33" s="9" t="s">
        <v>1360</v>
      </c>
      <c r="G33" s="11">
        <v>13811.21</v>
      </c>
      <c r="H33" s="11">
        <v>342.49</v>
      </c>
      <c r="I33" s="9" t="b">
        <f>TRUE()</f>
        <v>1</v>
      </c>
      <c r="J33" s="9" t="s">
        <v>1361</v>
      </c>
      <c r="K33" s="11">
        <v>342.49</v>
      </c>
      <c r="L33" s="9" t="s">
        <v>22</v>
      </c>
      <c r="M33" s="9" t="str">
        <f>IFERROR(INDEX(T_CleanCustomers[Sales_Rep_ID],MATCH(B33,T_CleanCustomers[Customer_ID],0)),"Unmatched")</f>
        <v>REP004</v>
      </c>
      <c r="N33" s="9" t="str">
        <f>IFERROR(INDEX(T_CleanCustomers[Channel],MATCH(B33,T_CleanCustomers[Customer_ID],0)),"Unmatched")</f>
        <v>Direct Sales</v>
      </c>
      <c r="O33" s="9" t="str">
        <f>IFERROR(INDEX(T_CleanCustomers[Product],MATCH(B33,T_CleanCustomers[Customer_ID],0)),"Unmatched")</f>
        <v>Fuel Card</v>
      </c>
      <c r="P33" s="9" t="str">
        <f>IFERROR(INDEX(T_CleanCustomers[Customer_Segment],MATCH(B33,T_CleanCustomers[Customer_ID],0)),"Unmatched")</f>
        <v>Mid-Market</v>
      </c>
    </row>
    <row r="34" spans="1:16" ht="15" customHeight="1" x14ac:dyDescent="0.2">
      <c r="A34" s="9" t="s">
        <v>1394</v>
      </c>
      <c r="B34" s="9" t="s">
        <v>1154</v>
      </c>
      <c r="C34" s="9" t="b">
        <f>TRUE()</f>
        <v>1</v>
      </c>
      <c r="D34" s="10">
        <v>45910</v>
      </c>
      <c r="E34" s="10">
        <v>45901</v>
      </c>
      <c r="F34" s="9" t="s">
        <v>1360</v>
      </c>
      <c r="G34" s="11">
        <v>13396.3</v>
      </c>
      <c r="H34" s="11">
        <v>311.08999999999997</v>
      </c>
      <c r="I34" s="9" t="b">
        <f>TRUE()</f>
        <v>1</v>
      </c>
      <c r="J34" s="9" t="s">
        <v>1361</v>
      </c>
      <c r="K34" s="11">
        <v>311.08999999999997</v>
      </c>
      <c r="L34" s="9" t="s">
        <v>22</v>
      </c>
      <c r="M34" s="9" t="str">
        <f>IFERROR(INDEX(T_CleanCustomers[Sales_Rep_ID],MATCH(B34,T_CleanCustomers[Customer_ID],0)),"Unmatched")</f>
        <v>REP004</v>
      </c>
      <c r="N34" s="9" t="str">
        <f>IFERROR(INDEX(T_CleanCustomers[Channel],MATCH(B34,T_CleanCustomers[Customer_ID],0)),"Unmatched")</f>
        <v>Direct Sales</v>
      </c>
      <c r="O34" s="9" t="str">
        <f>IFERROR(INDEX(T_CleanCustomers[Product],MATCH(B34,T_CleanCustomers[Customer_ID],0)),"Unmatched")</f>
        <v>Fuel Card</v>
      </c>
      <c r="P34" s="9" t="str">
        <f>IFERROR(INDEX(T_CleanCustomers[Customer_Segment],MATCH(B34,T_CleanCustomers[Customer_ID],0)),"Unmatched")</f>
        <v>Mid-Market</v>
      </c>
    </row>
    <row r="35" spans="1:16" ht="15" customHeight="1" x14ac:dyDescent="0.2">
      <c r="A35" s="9" t="s">
        <v>1395</v>
      </c>
      <c r="B35" s="9" t="s">
        <v>1154</v>
      </c>
      <c r="C35" s="9" t="b">
        <f>TRUE()</f>
        <v>1</v>
      </c>
      <c r="D35" s="10">
        <v>45922</v>
      </c>
      <c r="E35" s="10">
        <v>45901</v>
      </c>
      <c r="F35" s="9" t="s">
        <v>1360</v>
      </c>
      <c r="G35" s="11">
        <v>8953.94</v>
      </c>
      <c r="H35" s="11">
        <v>191.64</v>
      </c>
      <c r="I35" s="9" t="b">
        <f>TRUE()</f>
        <v>1</v>
      </c>
      <c r="J35" s="9" t="s">
        <v>1361</v>
      </c>
      <c r="K35" s="11">
        <v>191.64</v>
      </c>
      <c r="L35" s="9" t="s">
        <v>22</v>
      </c>
      <c r="M35" s="9" t="str">
        <f>IFERROR(INDEX(T_CleanCustomers[Sales_Rep_ID],MATCH(B35,T_CleanCustomers[Customer_ID],0)),"Unmatched")</f>
        <v>REP004</v>
      </c>
      <c r="N35" s="9" t="str">
        <f>IFERROR(INDEX(T_CleanCustomers[Channel],MATCH(B35,T_CleanCustomers[Customer_ID],0)),"Unmatched")</f>
        <v>Direct Sales</v>
      </c>
      <c r="O35" s="9" t="str">
        <f>IFERROR(INDEX(T_CleanCustomers[Product],MATCH(B35,T_CleanCustomers[Customer_ID],0)),"Unmatched")</f>
        <v>Fuel Card</v>
      </c>
      <c r="P35" s="9" t="str">
        <f>IFERROR(INDEX(T_CleanCustomers[Customer_Segment],MATCH(B35,T_CleanCustomers[Customer_ID],0)),"Unmatched")</f>
        <v>Mid-Market</v>
      </c>
    </row>
    <row r="36" spans="1:16" ht="15" customHeight="1" x14ac:dyDescent="0.2">
      <c r="A36" s="9" t="s">
        <v>1396</v>
      </c>
      <c r="B36" s="9" t="s">
        <v>1154</v>
      </c>
      <c r="C36" s="9" t="b">
        <f>TRUE()</f>
        <v>1</v>
      </c>
      <c r="D36" s="10">
        <v>45906</v>
      </c>
      <c r="E36" s="10">
        <v>45901</v>
      </c>
      <c r="F36" s="9" t="s">
        <v>1360</v>
      </c>
      <c r="G36" s="11">
        <v>8357.5400000000009</v>
      </c>
      <c r="H36" s="11">
        <v>208.02</v>
      </c>
      <c r="I36" s="9" t="b">
        <f>TRUE()</f>
        <v>1</v>
      </c>
      <c r="J36" s="9" t="s">
        <v>1361</v>
      </c>
      <c r="K36" s="11">
        <v>208.02</v>
      </c>
      <c r="L36" s="9" t="s">
        <v>22</v>
      </c>
      <c r="M36" s="9" t="str">
        <f>IFERROR(INDEX(T_CleanCustomers[Sales_Rep_ID],MATCH(B36,T_CleanCustomers[Customer_ID],0)),"Unmatched")</f>
        <v>REP004</v>
      </c>
      <c r="N36" s="9" t="str">
        <f>IFERROR(INDEX(T_CleanCustomers[Channel],MATCH(B36,T_CleanCustomers[Customer_ID],0)),"Unmatched")</f>
        <v>Direct Sales</v>
      </c>
      <c r="O36" s="9" t="str">
        <f>IFERROR(INDEX(T_CleanCustomers[Product],MATCH(B36,T_CleanCustomers[Customer_ID],0)),"Unmatched")</f>
        <v>Fuel Card</v>
      </c>
      <c r="P36" s="9" t="str">
        <f>IFERROR(INDEX(T_CleanCustomers[Customer_Segment],MATCH(B36,T_CleanCustomers[Customer_ID],0)),"Unmatched")</f>
        <v>Mid-Market</v>
      </c>
    </row>
    <row r="37" spans="1:16" ht="15" customHeight="1" x14ac:dyDescent="0.2">
      <c r="A37" s="9" t="s">
        <v>1397</v>
      </c>
      <c r="B37" s="9" t="s">
        <v>1154</v>
      </c>
      <c r="C37" s="9" t="b">
        <f>TRUE()</f>
        <v>1</v>
      </c>
      <c r="D37" s="10">
        <v>45935</v>
      </c>
      <c r="E37" s="10">
        <v>45931</v>
      </c>
      <c r="F37" s="9" t="s">
        <v>1360</v>
      </c>
      <c r="G37" s="11">
        <v>10425.700000000001</v>
      </c>
      <c r="H37" s="11">
        <v>233.65</v>
      </c>
      <c r="I37" s="9" t="b">
        <f>TRUE()</f>
        <v>1</v>
      </c>
      <c r="J37" s="9" t="s">
        <v>1361</v>
      </c>
      <c r="K37" s="11">
        <v>233.65</v>
      </c>
      <c r="L37" s="9" t="s">
        <v>22</v>
      </c>
      <c r="M37" s="9" t="str">
        <f>IFERROR(INDEX(T_CleanCustomers[Sales_Rep_ID],MATCH(B37,T_CleanCustomers[Customer_ID],0)),"Unmatched")</f>
        <v>REP004</v>
      </c>
      <c r="N37" s="9" t="str">
        <f>IFERROR(INDEX(T_CleanCustomers[Channel],MATCH(B37,T_CleanCustomers[Customer_ID],0)),"Unmatched")</f>
        <v>Direct Sales</v>
      </c>
      <c r="O37" s="9" t="str">
        <f>IFERROR(INDEX(T_CleanCustomers[Product],MATCH(B37,T_CleanCustomers[Customer_ID],0)),"Unmatched")</f>
        <v>Fuel Card</v>
      </c>
      <c r="P37" s="9" t="str">
        <f>IFERROR(INDEX(T_CleanCustomers[Customer_Segment],MATCH(B37,T_CleanCustomers[Customer_ID],0)),"Unmatched")</f>
        <v>Mid-Market</v>
      </c>
    </row>
    <row r="38" spans="1:16" ht="15" customHeight="1" x14ac:dyDescent="0.2">
      <c r="A38" s="9" t="s">
        <v>1398</v>
      </c>
      <c r="B38" s="9" t="s">
        <v>1154</v>
      </c>
      <c r="C38" s="9" t="b">
        <f>TRUE()</f>
        <v>1</v>
      </c>
      <c r="D38" s="10">
        <v>45931</v>
      </c>
      <c r="E38" s="10">
        <v>45931</v>
      </c>
      <c r="F38" s="9" t="s">
        <v>1360</v>
      </c>
      <c r="G38" s="11">
        <v>17210.14</v>
      </c>
      <c r="H38" s="11">
        <v>385.78</v>
      </c>
      <c r="I38" s="9" t="b">
        <f>TRUE()</f>
        <v>1</v>
      </c>
      <c r="J38" s="9" t="s">
        <v>1361</v>
      </c>
      <c r="K38" s="11">
        <v>385.78</v>
      </c>
      <c r="L38" s="9" t="s">
        <v>22</v>
      </c>
      <c r="M38" s="9" t="str">
        <f>IFERROR(INDEX(T_CleanCustomers[Sales_Rep_ID],MATCH(B38,T_CleanCustomers[Customer_ID],0)),"Unmatched")</f>
        <v>REP004</v>
      </c>
      <c r="N38" s="9" t="str">
        <f>IFERROR(INDEX(T_CleanCustomers[Channel],MATCH(B38,T_CleanCustomers[Customer_ID],0)),"Unmatched")</f>
        <v>Direct Sales</v>
      </c>
      <c r="O38" s="9" t="str">
        <f>IFERROR(INDEX(T_CleanCustomers[Product],MATCH(B38,T_CleanCustomers[Customer_ID],0)),"Unmatched")</f>
        <v>Fuel Card</v>
      </c>
      <c r="P38" s="9" t="str">
        <f>IFERROR(INDEX(T_CleanCustomers[Customer_Segment],MATCH(B38,T_CleanCustomers[Customer_ID],0)),"Unmatched")</f>
        <v>Mid-Market</v>
      </c>
    </row>
    <row r="39" spans="1:16" ht="15" customHeight="1" x14ac:dyDescent="0.2">
      <c r="A39" s="9" t="s">
        <v>1399</v>
      </c>
      <c r="B39" s="9" t="s">
        <v>1158</v>
      </c>
      <c r="C39" s="9" t="b">
        <f>TRUE()</f>
        <v>1</v>
      </c>
      <c r="D39" s="10">
        <v>45715</v>
      </c>
      <c r="E39" s="10">
        <v>45689</v>
      </c>
      <c r="F39" s="9" t="s">
        <v>1360</v>
      </c>
      <c r="G39" s="11">
        <v>2089.65</v>
      </c>
      <c r="H39" s="11">
        <v>56.31</v>
      </c>
      <c r="I39" s="9" t="b">
        <f>TRUE()</f>
        <v>1</v>
      </c>
      <c r="J39" s="9" t="s">
        <v>1361</v>
      </c>
      <c r="K39" s="11">
        <v>56.31</v>
      </c>
      <c r="L39" s="9" t="s">
        <v>19</v>
      </c>
      <c r="M39" s="9" t="str">
        <f>IFERROR(INDEX(T_CleanCustomers[Sales_Rep_ID],MATCH(B39,T_CleanCustomers[Customer_ID],0)),"Unmatched")</f>
        <v>REP013</v>
      </c>
      <c r="N39" s="9" t="str">
        <f>IFERROR(INDEX(T_CleanCustomers[Channel],MATCH(B39,T_CleanCustomers[Customer_ID],0)),"Unmatched")</f>
        <v>Partner</v>
      </c>
      <c r="O39" s="9" t="str">
        <f>IFERROR(INDEX(T_CleanCustomers[Product],MATCH(B39,T_CleanCustomers[Customer_ID],0)),"Unmatched")</f>
        <v>Fuel Card</v>
      </c>
      <c r="P39" s="9" t="str">
        <f>IFERROR(INDEX(T_CleanCustomers[Customer_Segment],MATCH(B39,T_CleanCustomers[Customer_ID],0)),"Unmatched")</f>
        <v>SME</v>
      </c>
    </row>
    <row r="40" spans="1:16" ht="15" customHeight="1" x14ac:dyDescent="0.2">
      <c r="A40" s="9" t="s">
        <v>1400</v>
      </c>
      <c r="B40" s="9" t="s">
        <v>1158</v>
      </c>
      <c r="C40" s="9" t="b">
        <f>TRUE()</f>
        <v>1</v>
      </c>
      <c r="D40" s="10">
        <v>45715</v>
      </c>
      <c r="E40" s="10">
        <v>45689</v>
      </c>
      <c r="F40" s="9" t="s">
        <v>1360</v>
      </c>
      <c r="G40" s="11">
        <v>2640.41</v>
      </c>
      <c r="H40" s="11">
        <v>72.260000000000005</v>
      </c>
      <c r="I40" s="9" t="b">
        <f>TRUE()</f>
        <v>1</v>
      </c>
      <c r="J40" s="9" t="s">
        <v>1361</v>
      </c>
      <c r="K40" s="11">
        <v>72.260000000000005</v>
      </c>
      <c r="L40" s="9" t="s">
        <v>19</v>
      </c>
      <c r="M40" s="9" t="str">
        <f>IFERROR(INDEX(T_CleanCustomers[Sales_Rep_ID],MATCH(B40,T_CleanCustomers[Customer_ID],0)),"Unmatched")</f>
        <v>REP013</v>
      </c>
      <c r="N40" s="9" t="str">
        <f>IFERROR(INDEX(T_CleanCustomers[Channel],MATCH(B40,T_CleanCustomers[Customer_ID],0)),"Unmatched")</f>
        <v>Partner</v>
      </c>
      <c r="O40" s="9" t="str">
        <f>IFERROR(INDEX(T_CleanCustomers[Product],MATCH(B40,T_CleanCustomers[Customer_ID],0)),"Unmatched")</f>
        <v>Fuel Card</v>
      </c>
      <c r="P40" s="9" t="str">
        <f>IFERROR(INDEX(T_CleanCustomers[Customer_Segment],MATCH(B40,T_CleanCustomers[Customer_ID],0)),"Unmatched")</f>
        <v>SME</v>
      </c>
    </row>
    <row r="41" spans="1:16" ht="15" customHeight="1" x14ac:dyDescent="0.2">
      <c r="A41" s="9" t="s">
        <v>1401</v>
      </c>
      <c r="B41" s="9" t="s">
        <v>1158</v>
      </c>
      <c r="C41" s="9" t="b">
        <f>TRUE()</f>
        <v>1</v>
      </c>
      <c r="D41" s="10">
        <v>45722</v>
      </c>
      <c r="E41" s="10">
        <v>45717</v>
      </c>
      <c r="F41" s="9" t="s">
        <v>1360</v>
      </c>
      <c r="G41" s="11">
        <v>3843.72</v>
      </c>
      <c r="H41" s="11">
        <v>92.05</v>
      </c>
      <c r="I41" s="9" t="b">
        <f>TRUE()</f>
        <v>1</v>
      </c>
      <c r="J41" s="9" t="s">
        <v>1361</v>
      </c>
      <c r="K41" s="11">
        <v>92.05</v>
      </c>
      <c r="L41" s="9" t="s">
        <v>19</v>
      </c>
      <c r="M41" s="9" t="str">
        <f>IFERROR(INDEX(T_CleanCustomers[Sales_Rep_ID],MATCH(B41,T_CleanCustomers[Customer_ID],0)),"Unmatched")</f>
        <v>REP013</v>
      </c>
      <c r="N41" s="9" t="str">
        <f>IFERROR(INDEX(T_CleanCustomers[Channel],MATCH(B41,T_CleanCustomers[Customer_ID],0)),"Unmatched")</f>
        <v>Partner</v>
      </c>
      <c r="O41" s="9" t="str">
        <f>IFERROR(INDEX(T_CleanCustomers[Product],MATCH(B41,T_CleanCustomers[Customer_ID],0)),"Unmatched")</f>
        <v>Fuel Card</v>
      </c>
      <c r="P41" s="9" t="str">
        <f>IFERROR(INDEX(T_CleanCustomers[Customer_Segment],MATCH(B41,T_CleanCustomers[Customer_ID],0)),"Unmatched")</f>
        <v>SME</v>
      </c>
    </row>
    <row r="42" spans="1:16" ht="15" customHeight="1" x14ac:dyDescent="0.2">
      <c r="A42" s="9" t="s">
        <v>1402</v>
      </c>
      <c r="B42" s="9" t="s">
        <v>1158</v>
      </c>
      <c r="C42" s="9" t="b">
        <f>TRUE()</f>
        <v>1</v>
      </c>
      <c r="D42" s="10">
        <v>45775</v>
      </c>
      <c r="E42" s="10">
        <v>45748</v>
      </c>
      <c r="F42" s="9" t="s">
        <v>1360</v>
      </c>
      <c r="G42" s="11">
        <v>2058.63</v>
      </c>
      <c r="H42" s="11">
        <v>58.68</v>
      </c>
      <c r="I42" s="9" t="b">
        <f>TRUE()</f>
        <v>1</v>
      </c>
      <c r="J42" s="9" t="s">
        <v>1361</v>
      </c>
      <c r="K42" s="11">
        <v>58.68</v>
      </c>
      <c r="L42" s="9" t="s">
        <v>19</v>
      </c>
      <c r="M42" s="9" t="str">
        <f>IFERROR(INDEX(T_CleanCustomers[Sales_Rep_ID],MATCH(B42,T_CleanCustomers[Customer_ID],0)),"Unmatched")</f>
        <v>REP013</v>
      </c>
      <c r="N42" s="9" t="str">
        <f>IFERROR(INDEX(T_CleanCustomers[Channel],MATCH(B42,T_CleanCustomers[Customer_ID],0)),"Unmatched")</f>
        <v>Partner</v>
      </c>
      <c r="O42" s="9" t="str">
        <f>IFERROR(INDEX(T_CleanCustomers[Product],MATCH(B42,T_CleanCustomers[Customer_ID],0)),"Unmatched")</f>
        <v>Fuel Card</v>
      </c>
      <c r="P42" s="9" t="str">
        <f>IFERROR(INDEX(T_CleanCustomers[Customer_Segment],MATCH(B42,T_CleanCustomers[Customer_ID],0)),"Unmatched")</f>
        <v>SME</v>
      </c>
    </row>
    <row r="43" spans="1:16" ht="15" customHeight="1" x14ac:dyDescent="0.2">
      <c r="A43" s="9" t="s">
        <v>1403</v>
      </c>
      <c r="B43" s="9" t="s">
        <v>1158</v>
      </c>
      <c r="C43" s="9" t="b">
        <f>TRUE()</f>
        <v>1</v>
      </c>
      <c r="D43" s="10">
        <v>45752</v>
      </c>
      <c r="E43" s="10">
        <v>45748</v>
      </c>
      <c r="F43" s="9" t="s">
        <v>1360</v>
      </c>
      <c r="G43" s="11">
        <v>5145.46</v>
      </c>
      <c r="H43" s="11">
        <v>129.07</v>
      </c>
      <c r="I43" s="9" t="b">
        <f>TRUE()</f>
        <v>1</v>
      </c>
      <c r="J43" s="9" t="s">
        <v>1361</v>
      </c>
      <c r="K43" s="11">
        <v>129.07</v>
      </c>
      <c r="L43" s="9" t="s">
        <v>19</v>
      </c>
      <c r="M43" s="9" t="str">
        <f>IFERROR(INDEX(T_CleanCustomers[Sales_Rep_ID],MATCH(B43,T_CleanCustomers[Customer_ID],0)),"Unmatched")</f>
        <v>REP013</v>
      </c>
      <c r="N43" s="9" t="str">
        <f>IFERROR(INDEX(T_CleanCustomers[Channel],MATCH(B43,T_CleanCustomers[Customer_ID],0)),"Unmatched")</f>
        <v>Partner</v>
      </c>
      <c r="O43" s="9" t="str">
        <f>IFERROR(INDEX(T_CleanCustomers[Product],MATCH(B43,T_CleanCustomers[Customer_ID],0)),"Unmatched")</f>
        <v>Fuel Card</v>
      </c>
      <c r="P43" s="9" t="str">
        <f>IFERROR(INDEX(T_CleanCustomers[Customer_Segment],MATCH(B43,T_CleanCustomers[Customer_ID],0)),"Unmatched")</f>
        <v>SME</v>
      </c>
    </row>
    <row r="44" spans="1:16" ht="15" customHeight="1" x14ac:dyDescent="0.2">
      <c r="A44" s="9" t="s">
        <v>1404</v>
      </c>
      <c r="B44" s="9" t="s">
        <v>1158</v>
      </c>
      <c r="C44" s="9" t="b">
        <f>TRUE()</f>
        <v>1</v>
      </c>
      <c r="D44" s="10">
        <v>45798</v>
      </c>
      <c r="E44" s="10">
        <v>45778</v>
      </c>
      <c r="F44" s="9" t="s">
        <v>1360</v>
      </c>
      <c r="G44" s="11">
        <v>5103.42</v>
      </c>
      <c r="H44" s="11">
        <v>120.9</v>
      </c>
      <c r="I44" s="9" t="b">
        <f>TRUE()</f>
        <v>1</v>
      </c>
      <c r="J44" s="9" t="s">
        <v>1361</v>
      </c>
      <c r="K44" s="11">
        <v>120.9</v>
      </c>
      <c r="L44" s="9" t="s">
        <v>19</v>
      </c>
      <c r="M44" s="9" t="str">
        <f>IFERROR(INDEX(T_CleanCustomers[Sales_Rep_ID],MATCH(B44,T_CleanCustomers[Customer_ID],0)),"Unmatched")</f>
        <v>REP013</v>
      </c>
      <c r="N44" s="9" t="str">
        <f>IFERROR(INDEX(T_CleanCustomers[Channel],MATCH(B44,T_CleanCustomers[Customer_ID],0)),"Unmatched")</f>
        <v>Partner</v>
      </c>
      <c r="O44" s="9" t="str">
        <f>IFERROR(INDEX(T_CleanCustomers[Product],MATCH(B44,T_CleanCustomers[Customer_ID],0)),"Unmatched")</f>
        <v>Fuel Card</v>
      </c>
      <c r="P44" s="9" t="str">
        <f>IFERROR(INDEX(T_CleanCustomers[Customer_Segment],MATCH(B44,T_CleanCustomers[Customer_ID],0)),"Unmatched")</f>
        <v>SME</v>
      </c>
    </row>
    <row r="45" spans="1:16" ht="15" customHeight="1" x14ac:dyDescent="0.2">
      <c r="A45" s="9" t="s">
        <v>1405</v>
      </c>
      <c r="B45" s="9" t="s">
        <v>1158</v>
      </c>
      <c r="C45" s="9" t="b">
        <f>TRUE()</f>
        <v>1</v>
      </c>
      <c r="D45" s="10">
        <v>45813</v>
      </c>
      <c r="E45" s="10">
        <v>45809</v>
      </c>
      <c r="F45" s="9" t="s">
        <v>1360</v>
      </c>
      <c r="G45" s="11">
        <v>5058.8500000000004</v>
      </c>
      <c r="H45" s="11">
        <v>144.32</v>
      </c>
      <c r="I45" s="9" t="b">
        <f>TRUE()</f>
        <v>1</v>
      </c>
      <c r="J45" s="9" t="s">
        <v>1361</v>
      </c>
      <c r="K45" s="11">
        <v>144.32</v>
      </c>
      <c r="L45" s="9" t="s">
        <v>19</v>
      </c>
      <c r="M45" s="9" t="str">
        <f>IFERROR(INDEX(T_CleanCustomers[Sales_Rep_ID],MATCH(B45,T_CleanCustomers[Customer_ID],0)),"Unmatched")</f>
        <v>REP013</v>
      </c>
      <c r="N45" s="9" t="str">
        <f>IFERROR(INDEX(T_CleanCustomers[Channel],MATCH(B45,T_CleanCustomers[Customer_ID],0)),"Unmatched")</f>
        <v>Partner</v>
      </c>
      <c r="O45" s="9" t="str">
        <f>IFERROR(INDEX(T_CleanCustomers[Product],MATCH(B45,T_CleanCustomers[Customer_ID],0)),"Unmatched")</f>
        <v>Fuel Card</v>
      </c>
      <c r="P45" s="9" t="str">
        <f>IFERROR(INDEX(T_CleanCustomers[Customer_Segment],MATCH(B45,T_CleanCustomers[Customer_ID],0)),"Unmatched")</f>
        <v>SME</v>
      </c>
    </row>
    <row r="46" spans="1:16" ht="15" customHeight="1" x14ac:dyDescent="0.2">
      <c r="A46" s="9" t="s">
        <v>1406</v>
      </c>
      <c r="B46" s="9" t="s">
        <v>1158</v>
      </c>
      <c r="C46" s="9" t="b">
        <f>TRUE()</f>
        <v>1</v>
      </c>
      <c r="D46" s="10">
        <v>45814</v>
      </c>
      <c r="E46" s="10">
        <v>45809</v>
      </c>
      <c r="F46" s="9" t="s">
        <v>1360</v>
      </c>
      <c r="G46" s="11">
        <v>2432.5300000000002</v>
      </c>
      <c r="H46" s="11">
        <v>51.77</v>
      </c>
      <c r="I46" s="9" t="b">
        <f>TRUE()</f>
        <v>1</v>
      </c>
      <c r="J46" s="9" t="s">
        <v>1361</v>
      </c>
      <c r="K46" s="11">
        <v>51.77</v>
      </c>
      <c r="L46" s="9" t="s">
        <v>19</v>
      </c>
      <c r="M46" s="9" t="str">
        <f>IFERROR(INDEX(T_CleanCustomers[Sales_Rep_ID],MATCH(B46,T_CleanCustomers[Customer_ID],0)),"Unmatched")</f>
        <v>REP013</v>
      </c>
      <c r="N46" s="9" t="str">
        <f>IFERROR(INDEX(T_CleanCustomers[Channel],MATCH(B46,T_CleanCustomers[Customer_ID],0)),"Unmatched")</f>
        <v>Partner</v>
      </c>
      <c r="O46" s="9" t="str">
        <f>IFERROR(INDEX(T_CleanCustomers[Product],MATCH(B46,T_CleanCustomers[Customer_ID],0)),"Unmatched")</f>
        <v>Fuel Card</v>
      </c>
      <c r="P46" s="9" t="str">
        <f>IFERROR(INDEX(T_CleanCustomers[Customer_Segment],MATCH(B46,T_CleanCustomers[Customer_ID],0)),"Unmatched")</f>
        <v>SME</v>
      </c>
    </row>
    <row r="47" spans="1:16" ht="15" customHeight="1" x14ac:dyDescent="0.2">
      <c r="A47" s="9" t="s">
        <v>1407</v>
      </c>
      <c r="B47" s="9" t="s">
        <v>1158</v>
      </c>
      <c r="C47" s="9" t="b">
        <f>TRUE()</f>
        <v>1</v>
      </c>
      <c r="D47" s="10">
        <v>45851</v>
      </c>
      <c r="E47" s="10">
        <v>45839</v>
      </c>
      <c r="F47" s="9" t="s">
        <v>1360</v>
      </c>
      <c r="G47" s="11">
        <v>2297.6</v>
      </c>
      <c r="H47" s="11">
        <v>0</v>
      </c>
      <c r="I47" s="9" t="b">
        <f>TRUE()</f>
        <v>1</v>
      </c>
      <c r="J47" s="9" t="s">
        <v>1408</v>
      </c>
      <c r="K47" s="11">
        <v>0</v>
      </c>
      <c r="L47" s="9" t="s">
        <v>19</v>
      </c>
      <c r="M47" s="9" t="str">
        <f>IFERROR(INDEX(T_CleanCustomers[Sales_Rep_ID],MATCH(B47,T_CleanCustomers[Customer_ID],0)),"Unmatched")</f>
        <v>REP013</v>
      </c>
      <c r="N47" s="9" t="str">
        <f>IFERROR(INDEX(T_CleanCustomers[Channel],MATCH(B47,T_CleanCustomers[Customer_ID],0)),"Unmatched")</f>
        <v>Partner</v>
      </c>
      <c r="O47" s="9" t="str">
        <f>IFERROR(INDEX(T_CleanCustomers[Product],MATCH(B47,T_CleanCustomers[Customer_ID],0)),"Unmatched")</f>
        <v>Fuel Card</v>
      </c>
      <c r="P47" s="9" t="str">
        <f>IFERROR(INDEX(T_CleanCustomers[Customer_Segment],MATCH(B47,T_CleanCustomers[Customer_ID],0)),"Unmatched")</f>
        <v>SME</v>
      </c>
    </row>
    <row r="48" spans="1:16" ht="15" customHeight="1" x14ac:dyDescent="0.2">
      <c r="A48" s="9" t="s">
        <v>1409</v>
      </c>
      <c r="B48" s="9" t="s">
        <v>1158</v>
      </c>
      <c r="C48" s="9" t="b">
        <f>TRUE()</f>
        <v>1</v>
      </c>
      <c r="D48" s="10">
        <v>45860</v>
      </c>
      <c r="E48" s="10">
        <v>45839</v>
      </c>
      <c r="F48" s="9" t="s">
        <v>1360</v>
      </c>
      <c r="G48" s="11">
        <v>2210.34</v>
      </c>
      <c r="H48" s="11">
        <v>59.37</v>
      </c>
      <c r="I48" s="9" t="b">
        <f>TRUE()</f>
        <v>1</v>
      </c>
      <c r="J48" s="9" t="s">
        <v>1361</v>
      </c>
      <c r="K48" s="11">
        <v>59.37</v>
      </c>
      <c r="L48" s="9" t="s">
        <v>19</v>
      </c>
      <c r="M48" s="9" t="str">
        <f>IFERROR(INDEX(T_CleanCustomers[Sales_Rep_ID],MATCH(B48,T_CleanCustomers[Customer_ID],0)),"Unmatched")</f>
        <v>REP013</v>
      </c>
      <c r="N48" s="9" t="str">
        <f>IFERROR(INDEX(T_CleanCustomers[Channel],MATCH(B48,T_CleanCustomers[Customer_ID],0)),"Unmatched")</f>
        <v>Partner</v>
      </c>
      <c r="O48" s="9" t="str">
        <f>IFERROR(INDEX(T_CleanCustomers[Product],MATCH(B48,T_CleanCustomers[Customer_ID],0)),"Unmatched")</f>
        <v>Fuel Card</v>
      </c>
      <c r="P48" s="9" t="str">
        <f>IFERROR(INDEX(T_CleanCustomers[Customer_Segment],MATCH(B48,T_CleanCustomers[Customer_ID],0)),"Unmatched")</f>
        <v>SME</v>
      </c>
    </row>
    <row r="49" spans="1:16" ht="15" customHeight="1" x14ac:dyDescent="0.2">
      <c r="A49" s="9" t="s">
        <v>1410</v>
      </c>
      <c r="B49" s="9" t="s">
        <v>1158</v>
      </c>
      <c r="C49" s="9" t="b">
        <f>TRUE()</f>
        <v>1</v>
      </c>
      <c r="D49" s="10">
        <v>45855</v>
      </c>
      <c r="E49" s="10">
        <v>45839</v>
      </c>
      <c r="F49" s="9" t="s">
        <v>1360</v>
      </c>
      <c r="G49" s="11">
        <v>2581.92</v>
      </c>
      <c r="H49" s="11">
        <v>67.56</v>
      </c>
      <c r="I49" s="9" t="b">
        <f>TRUE()</f>
        <v>1</v>
      </c>
      <c r="J49" s="9" t="s">
        <v>1361</v>
      </c>
      <c r="K49" s="11">
        <v>67.56</v>
      </c>
      <c r="L49" s="9" t="s">
        <v>19</v>
      </c>
      <c r="M49" s="9" t="str">
        <f>IFERROR(INDEX(T_CleanCustomers[Sales_Rep_ID],MATCH(B49,T_CleanCustomers[Customer_ID],0)),"Unmatched")</f>
        <v>REP013</v>
      </c>
      <c r="N49" s="9" t="str">
        <f>IFERROR(INDEX(T_CleanCustomers[Channel],MATCH(B49,T_CleanCustomers[Customer_ID],0)),"Unmatched")</f>
        <v>Partner</v>
      </c>
      <c r="O49" s="9" t="str">
        <f>IFERROR(INDEX(T_CleanCustomers[Product],MATCH(B49,T_CleanCustomers[Customer_ID],0)),"Unmatched")</f>
        <v>Fuel Card</v>
      </c>
      <c r="P49" s="9" t="str">
        <f>IFERROR(INDEX(T_CleanCustomers[Customer_Segment],MATCH(B49,T_CleanCustomers[Customer_ID],0)),"Unmatched")</f>
        <v>SME</v>
      </c>
    </row>
    <row r="50" spans="1:16" ht="15" customHeight="1" x14ac:dyDescent="0.2">
      <c r="A50" s="9" t="s">
        <v>1411</v>
      </c>
      <c r="B50" s="9" t="s">
        <v>1158</v>
      </c>
      <c r="C50" s="9" t="b">
        <f>TRUE()</f>
        <v>1</v>
      </c>
      <c r="D50" s="10">
        <v>45872</v>
      </c>
      <c r="E50" s="10">
        <v>45870</v>
      </c>
      <c r="F50" s="9" t="s">
        <v>1360</v>
      </c>
      <c r="G50" s="11">
        <v>2165.87</v>
      </c>
      <c r="H50" s="11">
        <v>49.87</v>
      </c>
      <c r="I50" s="9" t="b">
        <f>TRUE()</f>
        <v>1</v>
      </c>
      <c r="J50" s="9" t="s">
        <v>1361</v>
      </c>
      <c r="K50" s="11">
        <v>49.87</v>
      </c>
      <c r="L50" s="9" t="s">
        <v>19</v>
      </c>
      <c r="M50" s="9" t="str">
        <f>IFERROR(INDEX(T_CleanCustomers[Sales_Rep_ID],MATCH(B50,T_CleanCustomers[Customer_ID],0)),"Unmatched")</f>
        <v>REP013</v>
      </c>
      <c r="N50" s="9" t="str">
        <f>IFERROR(INDEX(T_CleanCustomers[Channel],MATCH(B50,T_CleanCustomers[Customer_ID],0)),"Unmatched")</f>
        <v>Partner</v>
      </c>
      <c r="O50" s="9" t="str">
        <f>IFERROR(INDEX(T_CleanCustomers[Product],MATCH(B50,T_CleanCustomers[Customer_ID],0)),"Unmatched")</f>
        <v>Fuel Card</v>
      </c>
      <c r="P50" s="9" t="str">
        <f>IFERROR(INDEX(T_CleanCustomers[Customer_Segment],MATCH(B50,T_CleanCustomers[Customer_ID],0)),"Unmatched")</f>
        <v>SME</v>
      </c>
    </row>
    <row r="51" spans="1:16" ht="15" customHeight="1" x14ac:dyDescent="0.2">
      <c r="A51" s="9" t="s">
        <v>1412</v>
      </c>
      <c r="B51" s="9" t="s">
        <v>1158</v>
      </c>
      <c r="C51" s="9" t="b">
        <f>TRUE()</f>
        <v>1</v>
      </c>
      <c r="D51" s="10">
        <v>45882</v>
      </c>
      <c r="E51" s="10">
        <v>45870</v>
      </c>
      <c r="F51" s="9" t="s">
        <v>1360</v>
      </c>
      <c r="G51" s="11">
        <v>3343.43</v>
      </c>
      <c r="H51" s="11">
        <v>82.35</v>
      </c>
      <c r="I51" s="9" t="b">
        <f>TRUE()</f>
        <v>1</v>
      </c>
      <c r="J51" s="9" t="s">
        <v>1361</v>
      </c>
      <c r="K51" s="11">
        <v>82.35</v>
      </c>
      <c r="L51" s="9" t="s">
        <v>19</v>
      </c>
      <c r="M51" s="9" t="str">
        <f>IFERROR(INDEX(T_CleanCustomers[Sales_Rep_ID],MATCH(B51,T_CleanCustomers[Customer_ID],0)),"Unmatched")</f>
        <v>REP013</v>
      </c>
      <c r="N51" s="9" t="str">
        <f>IFERROR(INDEX(T_CleanCustomers[Channel],MATCH(B51,T_CleanCustomers[Customer_ID],0)),"Unmatched")</f>
        <v>Partner</v>
      </c>
      <c r="O51" s="9" t="str">
        <f>IFERROR(INDEX(T_CleanCustomers[Product],MATCH(B51,T_CleanCustomers[Customer_ID],0)),"Unmatched")</f>
        <v>Fuel Card</v>
      </c>
      <c r="P51" s="9" t="str">
        <f>IFERROR(INDEX(T_CleanCustomers[Customer_Segment],MATCH(B51,T_CleanCustomers[Customer_ID],0)),"Unmatched")</f>
        <v>SME</v>
      </c>
    </row>
    <row r="52" spans="1:16" ht="15" customHeight="1" x14ac:dyDescent="0.2">
      <c r="A52" s="9" t="s">
        <v>1413</v>
      </c>
      <c r="B52" s="9" t="s">
        <v>1158</v>
      </c>
      <c r="C52" s="9" t="b">
        <f>TRUE()</f>
        <v>1</v>
      </c>
      <c r="D52" s="10">
        <v>45900</v>
      </c>
      <c r="E52" s="10">
        <v>45870</v>
      </c>
      <c r="F52" s="9" t="s">
        <v>1360</v>
      </c>
      <c r="G52" s="11">
        <v>1633.46</v>
      </c>
      <c r="H52" s="11">
        <v>36.58</v>
      </c>
      <c r="I52" s="9" t="b">
        <f>TRUE()</f>
        <v>1</v>
      </c>
      <c r="J52" s="9" t="s">
        <v>1361</v>
      </c>
      <c r="K52" s="11">
        <v>36.58</v>
      </c>
      <c r="L52" s="9" t="s">
        <v>19</v>
      </c>
      <c r="M52" s="9" t="str">
        <f>IFERROR(INDEX(T_CleanCustomers[Sales_Rep_ID],MATCH(B52,T_CleanCustomers[Customer_ID],0)),"Unmatched")</f>
        <v>REP013</v>
      </c>
      <c r="N52" s="9" t="str">
        <f>IFERROR(INDEX(T_CleanCustomers[Channel],MATCH(B52,T_CleanCustomers[Customer_ID],0)),"Unmatched")</f>
        <v>Partner</v>
      </c>
      <c r="O52" s="9" t="str">
        <f>IFERROR(INDEX(T_CleanCustomers[Product],MATCH(B52,T_CleanCustomers[Customer_ID],0)),"Unmatched")</f>
        <v>Fuel Card</v>
      </c>
      <c r="P52" s="9" t="str">
        <f>IFERROR(INDEX(T_CleanCustomers[Customer_Segment],MATCH(B52,T_CleanCustomers[Customer_ID],0)),"Unmatched")</f>
        <v>SME</v>
      </c>
    </row>
    <row r="53" spans="1:16" ht="15" customHeight="1" x14ac:dyDescent="0.2">
      <c r="A53" s="9" t="s">
        <v>1414</v>
      </c>
      <c r="B53" s="9" t="s">
        <v>1158</v>
      </c>
      <c r="C53" s="9" t="b">
        <f>TRUE()</f>
        <v>1</v>
      </c>
      <c r="D53" s="10">
        <v>45919</v>
      </c>
      <c r="E53" s="10">
        <v>45901</v>
      </c>
      <c r="F53" s="9" t="s">
        <v>1360</v>
      </c>
      <c r="G53" s="11">
        <v>4878.47</v>
      </c>
      <c r="H53" s="11">
        <v>113.2</v>
      </c>
      <c r="I53" s="9" t="b">
        <f>TRUE()</f>
        <v>1</v>
      </c>
      <c r="J53" s="9" t="s">
        <v>1361</v>
      </c>
      <c r="K53" s="11">
        <v>113.2</v>
      </c>
      <c r="L53" s="9" t="s">
        <v>19</v>
      </c>
      <c r="M53" s="9" t="str">
        <f>IFERROR(INDEX(T_CleanCustomers[Sales_Rep_ID],MATCH(B53,T_CleanCustomers[Customer_ID],0)),"Unmatched")</f>
        <v>REP013</v>
      </c>
      <c r="N53" s="9" t="str">
        <f>IFERROR(INDEX(T_CleanCustomers[Channel],MATCH(B53,T_CleanCustomers[Customer_ID],0)),"Unmatched")</f>
        <v>Partner</v>
      </c>
      <c r="O53" s="9" t="str">
        <f>IFERROR(INDEX(T_CleanCustomers[Product],MATCH(B53,T_CleanCustomers[Customer_ID],0)),"Unmatched")</f>
        <v>Fuel Card</v>
      </c>
      <c r="P53" s="9" t="str">
        <f>IFERROR(INDEX(T_CleanCustomers[Customer_Segment],MATCH(B53,T_CleanCustomers[Customer_ID],0)),"Unmatched")</f>
        <v>SME</v>
      </c>
    </row>
    <row r="54" spans="1:16" ht="15" customHeight="1" x14ac:dyDescent="0.2">
      <c r="A54" s="9" t="s">
        <v>1415</v>
      </c>
      <c r="B54" s="9" t="s">
        <v>1158</v>
      </c>
      <c r="C54" s="9" t="b">
        <f>TRUE()</f>
        <v>1</v>
      </c>
      <c r="D54" s="10">
        <v>45901</v>
      </c>
      <c r="E54" s="10">
        <v>45901</v>
      </c>
      <c r="F54" s="9" t="s">
        <v>1360</v>
      </c>
      <c r="G54" s="11">
        <v>3102.24</v>
      </c>
      <c r="H54" s="11">
        <v>84.47</v>
      </c>
      <c r="I54" s="9" t="b">
        <f>TRUE()</f>
        <v>1</v>
      </c>
      <c r="J54" s="9" t="s">
        <v>1361</v>
      </c>
      <c r="K54" s="11">
        <v>84.47</v>
      </c>
      <c r="L54" s="9" t="s">
        <v>19</v>
      </c>
      <c r="M54" s="9" t="str">
        <f>IFERROR(INDEX(T_CleanCustomers[Sales_Rep_ID],MATCH(B54,T_CleanCustomers[Customer_ID],0)),"Unmatched")</f>
        <v>REP013</v>
      </c>
      <c r="N54" s="9" t="str">
        <f>IFERROR(INDEX(T_CleanCustomers[Channel],MATCH(B54,T_CleanCustomers[Customer_ID],0)),"Unmatched")</f>
        <v>Partner</v>
      </c>
      <c r="O54" s="9" t="str">
        <f>IFERROR(INDEX(T_CleanCustomers[Product],MATCH(B54,T_CleanCustomers[Customer_ID],0)),"Unmatched")</f>
        <v>Fuel Card</v>
      </c>
      <c r="P54" s="9" t="str">
        <f>IFERROR(INDEX(T_CleanCustomers[Customer_Segment],MATCH(B54,T_CleanCustomers[Customer_ID],0)),"Unmatched")</f>
        <v>SME</v>
      </c>
    </row>
    <row r="55" spans="1:16" ht="15" customHeight="1" x14ac:dyDescent="0.2">
      <c r="A55" s="9" t="s">
        <v>1416</v>
      </c>
      <c r="B55" s="9" t="s">
        <v>1158</v>
      </c>
      <c r="C55" s="9" t="b">
        <f>TRUE()</f>
        <v>1</v>
      </c>
      <c r="D55" s="10">
        <v>45941</v>
      </c>
      <c r="E55" s="10">
        <v>45931</v>
      </c>
      <c r="F55" s="9" t="s">
        <v>1360</v>
      </c>
      <c r="G55" s="11">
        <v>3358.44</v>
      </c>
      <c r="H55" s="11">
        <v>87.89</v>
      </c>
      <c r="I55" s="9" t="b">
        <f>TRUE()</f>
        <v>1</v>
      </c>
      <c r="J55" s="9" t="s">
        <v>1361</v>
      </c>
      <c r="K55" s="11">
        <v>87.89</v>
      </c>
      <c r="L55" s="9" t="s">
        <v>19</v>
      </c>
      <c r="M55" s="9" t="str">
        <f>IFERROR(INDEX(T_CleanCustomers[Sales_Rep_ID],MATCH(B55,T_CleanCustomers[Customer_ID],0)),"Unmatched")</f>
        <v>REP013</v>
      </c>
      <c r="N55" s="9" t="str">
        <f>IFERROR(INDEX(T_CleanCustomers[Channel],MATCH(B55,T_CleanCustomers[Customer_ID],0)),"Unmatched")</f>
        <v>Partner</v>
      </c>
      <c r="O55" s="9" t="str">
        <f>IFERROR(INDEX(T_CleanCustomers[Product],MATCH(B55,T_CleanCustomers[Customer_ID],0)),"Unmatched")</f>
        <v>Fuel Card</v>
      </c>
      <c r="P55" s="9" t="str">
        <f>IFERROR(INDEX(T_CleanCustomers[Customer_Segment],MATCH(B55,T_CleanCustomers[Customer_ID],0)),"Unmatched")</f>
        <v>SME</v>
      </c>
    </row>
    <row r="56" spans="1:16" ht="15" customHeight="1" x14ac:dyDescent="0.2">
      <c r="A56" s="9" t="s">
        <v>1417</v>
      </c>
      <c r="B56" s="9" t="s">
        <v>1158</v>
      </c>
      <c r="C56" s="9" t="b">
        <f>TRUE()</f>
        <v>1</v>
      </c>
      <c r="D56" s="10">
        <v>45985</v>
      </c>
      <c r="E56" s="10">
        <v>45962</v>
      </c>
      <c r="F56" s="9" t="s">
        <v>1360</v>
      </c>
      <c r="G56" s="11">
        <v>4722.26</v>
      </c>
      <c r="H56" s="11">
        <v>109.83</v>
      </c>
      <c r="I56" s="9" t="b">
        <f>TRUE()</f>
        <v>1</v>
      </c>
      <c r="J56" s="9" t="s">
        <v>1361</v>
      </c>
      <c r="K56" s="11">
        <v>109.83</v>
      </c>
      <c r="L56" s="9" t="s">
        <v>19</v>
      </c>
      <c r="M56" s="9" t="str">
        <f>IFERROR(INDEX(T_CleanCustomers[Sales_Rep_ID],MATCH(B56,T_CleanCustomers[Customer_ID],0)),"Unmatched")</f>
        <v>REP013</v>
      </c>
      <c r="N56" s="9" t="str">
        <f>IFERROR(INDEX(T_CleanCustomers[Channel],MATCH(B56,T_CleanCustomers[Customer_ID],0)),"Unmatched")</f>
        <v>Partner</v>
      </c>
      <c r="O56" s="9" t="str">
        <f>IFERROR(INDEX(T_CleanCustomers[Product],MATCH(B56,T_CleanCustomers[Customer_ID],0)),"Unmatched")</f>
        <v>Fuel Card</v>
      </c>
      <c r="P56" s="9" t="str">
        <f>IFERROR(INDEX(T_CleanCustomers[Customer_Segment],MATCH(B56,T_CleanCustomers[Customer_ID],0)),"Unmatched")</f>
        <v>SME</v>
      </c>
    </row>
    <row r="57" spans="1:16" ht="15" customHeight="1" x14ac:dyDescent="0.2">
      <c r="A57" s="9" t="s">
        <v>1418</v>
      </c>
      <c r="B57" s="9" t="s">
        <v>1158</v>
      </c>
      <c r="C57" s="9" t="b">
        <f>TRUE()</f>
        <v>1</v>
      </c>
      <c r="D57" s="10">
        <v>45968</v>
      </c>
      <c r="E57" s="10">
        <v>45962</v>
      </c>
      <c r="F57" s="9" t="s">
        <v>1360</v>
      </c>
      <c r="G57" s="11">
        <v>3552.83</v>
      </c>
      <c r="H57" s="11">
        <v>88.79</v>
      </c>
      <c r="I57" s="9" t="b">
        <f>TRUE()</f>
        <v>1</v>
      </c>
      <c r="J57" s="9" t="s">
        <v>1361</v>
      </c>
      <c r="K57" s="11">
        <v>88.79</v>
      </c>
      <c r="L57" s="9" t="s">
        <v>19</v>
      </c>
      <c r="M57" s="9" t="str">
        <f>IFERROR(INDEX(T_CleanCustomers[Sales_Rep_ID],MATCH(B57,T_CleanCustomers[Customer_ID],0)),"Unmatched")</f>
        <v>REP013</v>
      </c>
      <c r="N57" s="9" t="str">
        <f>IFERROR(INDEX(T_CleanCustomers[Channel],MATCH(B57,T_CleanCustomers[Customer_ID],0)),"Unmatched")</f>
        <v>Partner</v>
      </c>
      <c r="O57" s="9" t="str">
        <f>IFERROR(INDEX(T_CleanCustomers[Product],MATCH(B57,T_CleanCustomers[Customer_ID],0)),"Unmatched")</f>
        <v>Fuel Card</v>
      </c>
      <c r="P57" s="9" t="str">
        <f>IFERROR(INDEX(T_CleanCustomers[Customer_Segment],MATCH(B57,T_CleanCustomers[Customer_ID],0)),"Unmatched")</f>
        <v>SME</v>
      </c>
    </row>
    <row r="58" spans="1:16" ht="15" customHeight="1" x14ac:dyDescent="0.2">
      <c r="A58" s="9" t="s">
        <v>1419</v>
      </c>
      <c r="B58" s="9" t="s">
        <v>1158</v>
      </c>
      <c r="C58" s="9" t="b">
        <f>TRUE()</f>
        <v>1</v>
      </c>
      <c r="D58" s="10">
        <v>46014</v>
      </c>
      <c r="E58" s="10">
        <v>45992</v>
      </c>
      <c r="F58" s="9" t="s">
        <v>1360</v>
      </c>
      <c r="G58" s="11">
        <v>2404.19</v>
      </c>
      <c r="H58" s="11">
        <v>53.36</v>
      </c>
      <c r="I58" s="9" t="b">
        <f>TRUE()</f>
        <v>1</v>
      </c>
      <c r="J58" s="9" t="s">
        <v>1361</v>
      </c>
      <c r="K58" s="11">
        <v>53.36</v>
      </c>
      <c r="L58" s="9" t="s">
        <v>19</v>
      </c>
      <c r="M58" s="9" t="str">
        <f>IFERROR(INDEX(T_CleanCustomers[Sales_Rep_ID],MATCH(B58,T_CleanCustomers[Customer_ID],0)),"Unmatched")</f>
        <v>REP013</v>
      </c>
      <c r="N58" s="9" t="str">
        <f>IFERROR(INDEX(T_CleanCustomers[Channel],MATCH(B58,T_CleanCustomers[Customer_ID],0)),"Unmatched")</f>
        <v>Partner</v>
      </c>
      <c r="O58" s="9" t="str">
        <f>IFERROR(INDEX(T_CleanCustomers[Product],MATCH(B58,T_CleanCustomers[Customer_ID],0)),"Unmatched")</f>
        <v>Fuel Card</v>
      </c>
      <c r="P58" s="9" t="str">
        <f>IFERROR(INDEX(T_CleanCustomers[Customer_Segment],MATCH(B58,T_CleanCustomers[Customer_ID],0)),"Unmatched")</f>
        <v>SME</v>
      </c>
    </row>
    <row r="59" spans="1:16" ht="15" customHeight="1" x14ac:dyDescent="0.2">
      <c r="A59" s="9" t="s">
        <v>1420</v>
      </c>
      <c r="B59" s="9" t="s">
        <v>1158</v>
      </c>
      <c r="C59" s="9" t="b">
        <f>TRUE()</f>
        <v>1</v>
      </c>
      <c r="D59" s="10">
        <v>46006</v>
      </c>
      <c r="E59" s="10">
        <v>45992</v>
      </c>
      <c r="F59" s="9" t="s">
        <v>1360</v>
      </c>
      <c r="G59" s="11">
        <v>2657.9</v>
      </c>
      <c r="H59" s="11">
        <v>61.54</v>
      </c>
      <c r="I59" s="9" t="b">
        <f>TRUE()</f>
        <v>1</v>
      </c>
      <c r="J59" s="9" t="s">
        <v>1361</v>
      </c>
      <c r="K59" s="11">
        <v>61.54</v>
      </c>
      <c r="L59" s="9" t="s">
        <v>19</v>
      </c>
      <c r="M59" s="9" t="str">
        <f>IFERROR(INDEX(T_CleanCustomers[Sales_Rep_ID],MATCH(B59,T_CleanCustomers[Customer_ID],0)),"Unmatched")</f>
        <v>REP013</v>
      </c>
      <c r="N59" s="9" t="str">
        <f>IFERROR(INDEX(T_CleanCustomers[Channel],MATCH(B59,T_CleanCustomers[Customer_ID],0)),"Unmatched")</f>
        <v>Partner</v>
      </c>
      <c r="O59" s="9" t="str">
        <f>IFERROR(INDEX(T_CleanCustomers[Product],MATCH(B59,T_CleanCustomers[Customer_ID],0)),"Unmatched")</f>
        <v>Fuel Card</v>
      </c>
      <c r="P59" s="9" t="str">
        <f>IFERROR(INDEX(T_CleanCustomers[Customer_Segment],MATCH(B59,T_CleanCustomers[Customer_ID],0)),"Unmatched")</f>
        <v>SME</v>
      </c>
    </row>
    <row r="60" spans="1:16" ht="15" customHeight="1" x14ac:dyDescent="0.2">
      <c r="A60" s="9" t="s">
        <v>1421</v>
      </c>
      <c r="B60" s="9" t="s">
        <v>1158</v>
      </c>
      <c r="C60" s="9" t="b">
        <f>TRUE()</f>
        <v>1</v>
      </c>
      <c r="D60" s="10">
        <v>45996</v>
      </c>
      <c r="E60" s="10">
        <v>45992</v>
      </c>
      <c r="F60" s="9" t="s">
        <v>1360</v>
      </c>
      <c r="G60" s="11">
        <v>1382.01</v>
      </c>
      <c r="H60" s="11">
        <v>34.880000000000003</v>
      </c>
      <c r="I60" s="9" t="b">
        <f>TRUE()</f>
        <v>1</v>
      </c>
      <c r="J60" s="9" t="s">
        <v>1361</v>
      </c>
      <c r="K60" s="11">
        <v>34.880000000000003</v>
      </c>
      <c r="L60" s="9" t="s">
        <v>19</v>
      </c>
      <c r="M60" s="9" t="str">
        <f>IFERROR(INDEX(T_CleanCustomers[Sales_Rep_ID],MATCH(B60,T_CleanCustomers[Customer_ID],0)),"Unmatched")</f>
        <v>REP013</v>
      </c>
      <c r="N60" s="9" t="str">
        <f>IFERROR(INDEX(T_CleanCustomers[Channel],MATCH(B60,T_CleanCustomers[Customer_ID],0)),"Unmatched")</f>
        <v>Partner</v>
      </c>
      <c r="O60" s="9" t="str">
        <f>IFERROR(INDEX(T_CleanCustomers[Product],MATCH(B60,T_CleanCustomers[Customer_ID],0)),"Unmatched")</f>
        <v>Fuel Card</v>
      </c>
      <c r="P60" s="9" t="str">
        <f>IFERROR(INDEX(T_CleanCustomers[Customer_Segment],MATCH(B60,T_CleanCustomers[Customer_ID],0)),"Unmatched")</f>
        <v>SME</v>
      </c>
    </row>
    <row r="61" spans="1:16" ht="15" customHeight="1" x14ac:dyDescent="0.2">
      <c r="A61" s="9" t="s">
        <v>1422</v>
      </c>
      <c r="B61" s="9" t="s">
        <v>1161</v>
      </c>
      <c r="C61" s="9" t="b">
        <f>TRUE()</f>
        <v>1</v>
      </c>
      <c r="D61" s="10">
        <v>45807</v>
      </c>
      <c r="E61" s="10">
        <v>45778</v>
      </c>
      <c r="F61" s="9" t="s">
        <v>1423</v>
      </c>
      <c r="G61" s="11">
        <v>57928.28</v>
      </c>
      <c r="H61" s="11">
        <v>1863.5</v>
      </c>
      <c r="I61" s="9" t="b">
        <f>TRUE()</f>
        <v>1</v>
      </c>
      <c r="J61" s="9" t="s">
        <v>1361</v>
      </c>
      <c r="K61" s="11">
        <v>1863.5</v>
      </c>
      <c r="L61" s="9" t="s">
        <v>22</v>
      </c>
      <c r="M61" s="9" t="str">
        <f>IFERROR(INDEX(T_CleanCustomers[Sales_Rep_ID],MATCH(B61,T_CleanCustomers[Customer_ID],0)),"Unmatched")</f>
        <v>REP006</v>
      </c>
      <c r="N61" s="9" t="str">
        <f>IFERROR(INDEX(T_CleanCustomers[Channel],MATCH(B61,T_CleanCustomers[Customer_ID],0)),"Unmatched")</f>
        <v>Referral</v>
      </c>
      <c r="O61" s="9" t="str">
        <f>IFERROR(INDEX(T_CleanCustomers[Product],MATCH(B61,T_CleanCustomers[Customer_ID],0)),"Unmatched")</f>
        <v>EV Charge Card</v>
      </c>
      <c r="P61" s="9" t="str">
        <f>IFERROR(INDEX(T_CleanCustomers[Customer_Segment],MATCH(B61,T_CleanCustomers[Customer_ID],0)),"Unmatched")</f>
        <v>Enterprise</v>
      </c>
    </row>
    <row r="62" spans="1:16" ht="15" customHeight="1" x14ac:dyDescent="0.2">
      <c r="A62" s="9" t="s">
        <v>1424</v>
      </c>
      <c r="B62" s="9" t="s">
        <v>1161</v>
      </c>
      <c r="C62" s="9" t="b">
        <f>TRUE()</f>
        <v>1</v>
      </c>
      <c r="D62" s="10">
        <v>45794</v>
      </c>
      <c r="E62" s="10">
        <v>45778</v>
      </c>
      <c r="F62" s="9" t="s">
        <v>1423</v>
      </c>
      <c r="G62" s="11">
        <v>59033.14</v>
      </c>
      <c r="H62" s="11">
        <v>1705.1</v>
      </c>
      <c r="I62" s="9" t="b">
        <f>TRUE()</f>
        <v>1</v>
      </c>
      <c r="J62" s="9" t="s">
        <v>1361</v>
      </c>
      <c r="K62" s="11">
        <v>1705.1</v>
      </c>
      <c r="L62" s="9" t="s">
        <v>22</v>
      </c>
      <c r="M62" s="9" t="str">
        <f>IFERROR(INDEX(T_CleanCustomers[Sales_Rep_ID],MATCH(B62,T_CleanCustomers[Customer_ID],0)),"Unmatched")</f>
        <v>REP006</v>
      </c>
      <c r="N62" s="9" t="str">
        <f>IFERROR(INDEX(T_CleanCustomers[Channel],MATCH(B62,T_CleanCustomers[Customer_ID],0)),"Unmatched")</f>
        <v>Referral</v>
      </c>
      <c r="O62" s="9" t="str">
        <f>IFERROR(INDEX(T_CleanCustomers[Product],MATCH(B62,T_CleanCustomers[Customer_ID],0)),"Unmatched")</f>
        <v>EV Charge Card</v>
      </c>
      <c r="P62" s="9" t="str">
        <f>IFERROR(INDEX(T_CleanCustomers[Customer_Segment],MATCH(B62,T_CleanCustomers[Customer_ID],0)),"Unmatched")</f>
        <v>Enterprise</v>
      </c>
    </row>
    <row r="63" spans="1:16" ht="15" customHeight="1" x14ac:dyDescent="0.2">
      <c r="A63" s="9" t="s">
        <v>1425</v>
      </c>
      <c r="B63" s="9" t="s">
        <v>1161</v>
      </c>
      <c r="C63" s="9" t="b">
        <f>TRUE()</f>
        <v>1</v>
      </c>
      <c r="D63" s="10">
        <v>45826</v>
      </c>
      <c r="E63" s="10">
        <v>45809</v>
      </c>
      <c r="F63" s="9" t="s">
        <v>1423</v>
      </c>
      <c r="G63" s="11">
        <v>25478.02</v>
      </c>
      <c r="H63" s="11">
        <v>845.28</v>
      </c>
      <c r="I63" s="9" t="b">
        <f>TRUE()</f>
        <v>1</v>
      </c>
      <c r="J63" s="9" t="s">
        <v>1361</v>
      </c>
      <c r="K63" s="11">
        <v>845.28</v>
      </c>
      <c r="L63" s="9" t="s">
        <v>22</v>
      </c>
      <c r="M63" s="9" t="str">
        <f>IFERROR(INDEX(T_CleanCustomers[Sales_Rep_ID],MATCH(B63,T_CleanCustomers[Customer_ID],0)),"Unmatched")</f>
        <v>REP006</v>
      </c>
      <c r="N63" s="9" t="str">
        <f>IFERROR(INDEX(T_CleanCustomers[Channel],MATCH(B63,T_CleanCustomers[Customer_ID],0)),"Unmatched")</f>
        <v>Referral</v>
      </c>
      <c r="O63" s="9" t="str">
        <f>IFERROR(INDEX(T_CleanCustomers[Product],MATCH(B63,T_CleanCustomers[Customer_ID],0)),"Unmatched")</f>
        <v>EV Charge Card</v>
      </c>
      <c r="P63" s="9" t="str">
        <f>IFERROR(INDEX(T_CleanCustomers[Customer_Segment],MATCH(B63,T_CleanCustomers[Customer_ID],0)),"Unmatched")</f>
        <v>Enterprise</v>
      </c>
    </row>
    <row r="64" spans="1:16" ht="15" customHeight="1" x14ac:dyDescent="0.2">
      <c r="A64" s="9" t="s">
        <v>1426</v>
      </c>
      <c r="B64" s="9" t="s">
        <v>1161</v>
      </c>
      <c r="C64" s="9" t="b">
        <f>TRUE()</f>
        <v>1</v>
      </c>
      <c r="D64" s="10">
        <v>45856</v>
      </c>
      <c r="E64" s="10">
        <v>45839</v>
      </c>
      <c r="F64" s="9" t="s">
        <v>1423</v>
      </c>
      <c r="G64" s="11">
        <v>24542.13</v>
      </c>
      <c r="H64" s="11">
        <v>669.65</v>
      </c>
      <c r="I64" s="9" t="b">
        <f>TRUE()</f>
        <v>1</v>
      </c>
      <c r="J64" s="9" t="s">
        <v>1361</v>
      </c>
      <c r="K64" s="11">
        <v>669.65</v>
      </c>
      <c r="L64" s="9" t="s">
        <v>22</v>
      </c>
      <c r="M64" s="9" t="str">
        <f>IFERROR(INDEX(T_CleanCustomers[Sales_Rep_ID],MATCH(B64,T_CleanCustomers[Customer_ID],0)),"Unmatched")</f>
        <v>REP006</v>
      </c>
      <c r="N64" s="9" t="str">
        <f>IFERROR(INDEX(T_CleanCustomers[Channel],MATCH(B64,T_CleanCustomers[Customer_ID],0)),"Unmatched")</f>
        <v>Referral</v>
      </c>
      <c r="O64" s="9" t="str">
        <f>IFERROR(INDEX(T_CleanCustomers[Product],MATCH(B64,T_CleanCustomers[Customer_ID],0)),"Unmatched")</f>
        <v>EV Charge Card</v>
      </c>
      <c r="P64" s="9" t="str">
        <f>IFERROR(INDEX(T_CleanCustomers[Customer_Segment],MATCH(B64,T_CleanCustomers[Customer_ID],0)),"Unmatched")</f>
        <v>Enterprise</v>
      </c>
    </row>
    <row r="65" spans="1:16" ht="15" customHeight="1" x14ac:dyDescent="0.2">
      <c r="A65" s="9" t="s">
        <v>1427</v>
      </c>
      <c r="B65" s="9" t="s">
        <v>1161</v>
      </c>
      <c r="C65" s="9" t="b">
        <f>TRUE()</f>
        <v>1</v>
      </c>
      <c r="D65" s="10">
        <v>45848</v>
      </c>
      <c r="E65" s="10">
        <v>45839</v>
      </c>
      <c r="F65" s="9" t="s">
        <v>1423</v>
      </c>
      <c r="G65" s="11">
        <v>36315.480000000003</v>
      </c>
      <c r="H65" s="11">
        <v>990.35</v>
      </c>
      <c r="I65" s="9" t="b">
        <f>TRUE()</f>
        <v>1</v>
      </c>
      <c r="J65" s="9" t="s">
        <v>1361</v>
      </c>
      <c r="K65" s="11">
        <v>990.35</v>
      </c>
      <c r="L65" s="9" t="s">
        <v>22</v>
      </c>
      <c r="M65" s="9" t="str">
        <f>IFERROR(INDEX(T_CleanCustomers[Sales_Rep_ID],MATCH(B65,T_CleanCustomers[Customer_ID],0)),"Unmatched")</f>
        <v>REP006</v>
      </c>
      <c r="N65" s="9" t="str">
        <f>IFERROR(INDEX(T_CleanCustomers[Channel],MATCH(B65,T_CleanCustomers[Customer_ID],0)),"Unmatched")</f>
        <v>Referral</v>
      </c>
      <c r="O65" s="9" t="str">
        <f>IFERROR(INDEX(T_CleanCustomers[Product],MATCH(B65,T_CleanCustomers[Customer_ID],0)),"Unmatched")</f>
        <v>EV Charge Card</v>
      </c>
      <c r="P65" s="9" t="str">
        <f>IFERROR(INDEX(T_CleanCustomers[Customer_Segment],MATCH(B65,T_CleanCustomers[Customer_ID],0)),"Unmatched")</f>
        <v>Enterprise</v>
      </c>
    </row>
    <row r="66" spans="1:16" ht="15" customHeight="1" x14ac:dyDescent="0.2">
      <c r="A66" s="9" t="s">
        <v>1428</v>
      </c>
      <c r="B66" s="9" t="s">
        <v>1161</v>
      </c>
      <c r="C66" s="9" t="b">
        <f>TRUE()</f>
        <v>1</v>
      </c>
      <c r="D66" s="10">
        <v>45857</v>
      </c>
      <c r="E66" s="10">
        <v>45839</v>
      </c>
      <c r="F66" s="9" t="s">
        <v>1423</v>
      </c>
      <c r="G66" s="11">
        <v>61247.07</v>
      </c>
      <c r="H66" s="11">
        <v>1756.9</v>
      </c>
      <c r="I66" s="9" t="b">
        <f>TRUE()</f>
        <v>1</v>
      </c>
      <c r="J66" s="9" t="s">
        <v>1361</v>
      </c>
      <c r="K66" s="11">
        <v>1756.9</v>
      </c>
      <c r="L66" s="9" t="s">
        <v>22</v>
      </c>
      <c r="M66" s="9" t="str">
        <f>IFERROR(INDEX(T_CleanCustomers[Sales_Rep_ID],MATCH(B66,T_CleanCustomers[Customer_ID],0)),"Unmatched")</f>
        <v>REP006</v>
      </c>
      <c r="N66" s="9" t="str">
        <f>IFERROR(INDEX(T_CleanCustomers[Channel],MATCH(B66,T_CleanCustomers[Customer_ID],0)),"Unmatched")</f>
        <v>Referral</v>
      </c>
      <c r="O66" s="9" t="str">
        <f>IFERROR(INDEX(T_CleanCustomers[Product],MATCH(B66,T_CleanCustomers[Customer_ID],0)),"Unmatched")</f>
        <v>EV Charge Card</v>
      </c>
      <c r="P66" s="9" t="str">
        <f>IFERROR(INDEX(T_CleanCustomers[Customer_Segment],MATCH(B66,T_CleanCustomers[Customer_ID],0)),"Unmatched")</f>
        <v>Enterprise</v>
      </c>
    </row>
    <row r="67" spans="1:16" ht="15" customHeight="1" x14ac:dyDescent="0.2">
      <c r="A67" s="9" t="s">
        <v>1429</v>
      </c>
      <c r="B67" s="9" t="s">
        <v>1161</v>
      </c>
      <c r="C67" s="9" t="b">
        <f>TRUE()</f>
        <v>1</v>
      </c>
      <c r="D67" s="10">
        <v>45885</v>
      </c>
      <c r="E67" s="10">
        <v>45870</v>
      </c>
      <c r="F67" s="9" t="s">
        <v>1423</v>
      </c>
      <c r="G67" s="11">
        <v>47437.4</v>
      </c>
      <c r="H67" s="11">
        <v>1660.45</v>
      </c>
      <c r="I67" s="9" t="b">
        <f>TRUE()</f>
        <v>1</v>
      </c>
      <c r="J67" s="9" t="s">
        <v>1361</v>
      </c>
      <c r="K67" s="11">
        <v>1660.45</v>
      </c>
      <c r="L67" s="9" t="s">
        <v>22</v>
      </c>
      <c r="M67" s="9" t="str">
        <f>IFERROR(INDEX(T_CleanCustomers[Sales_Rep_ID],MATCH(B67,T_CleanCustomers[Customer_ID],0)),"Unmatched")</f>
        <v>REP006</v>
      </c>
      <c r="N67" s="9" t="str">
        <f>IFERROR(INDEX(T_CleanCustomers[Channel],MATCH(B67,T_CleanCustomers[Customer_ID],0)),"Unmatched")</f>
        <v>Referral</v>
      </c>
      <c r="O67" s="9" t="str">
        <f>IFERROR(INDEX(T_CleanCustomers[Product],MATCH(B67,T_CleanCustomers[Customer_ID],0)),"Unmatched")</f>
        <v>EV Charge Card</v>
      </c>
      <c r="P67" s="9" t="str">
        <f>IFERROR(INDEX(T_CleanCustomers[Customer_Segment],MATCH(B67,T_CleanCustomers[Customer_ID],0)),"Unmatched")</f>
        <v>Enterprise</v>
      </c>
    </row>
    <row r="68" spans="1:16" ht="15" customHeight="1" x14ac:dyDescent="0.2">
      <c r="A68" s="9" t="s">
        <v>1430</v>
      </c>
      <c r="B68" s="9" t="s">
        <v>1161</v>
      </c>
      <c r="C68" s="9" t="b">
        <f>TRUE()</f>
        <v>1</v>
      </c>
      <c r="D68" s="10">
        <v>45925</v>
      </c>
      <c r="E68" s="10">
        <v>45901</v>
      </c>
      <c r="F68" s="9" t="s">
        <v>1423</v>
      </c>
      <c r="G68" s="11">
        <v>47326.03</v>
      </c>
      <c r="H68" s="11">
        <v>1612.9</v>
      </c>
      <c r="I68" s="9" t="b">
        <f>TRUE()</f>
        <v>1</v>
      </c>
      <c r="J68" s="9" t="s">
        <v>1361</v>
      </c>
      <c r="K68" s="11">
        <v>1612.9</v>
      </c>
      <c r="L68" s="9" t="s">
        <v>22</v>
      </c>
      <c r="M68" s="9" t="str">
        <f>IFERROR(INDEX(T_CleanCustomers[Sales_Rep_ID],MATCH(B68,T_CleanCustomers[Customer_ID],0)),"Unmatched")</f>
        <v>REP006</v>
      </c>
      <c r="N68" s="9" t="str">
        <f>IFERROR(INDEX(T_CleanCustomers[Channel],MATCH(B68,T_CleanCustomers[Customer_ID],0)),"Unmatched")</f>
        <v>Referral</v>
      </c>
      <c r="O68" s="9" t="str">
        <f>IFERROR(INDEX(T_CleanCustomers[Product],MATCH(B68,T_CleanCustomers[Customer_ID],0)),"Unmatched")</f>
        <v>EV Charge Card</v>
      </c>
      <c r="P68" s="9" t="str">
        <f>IFERROR(INDEX(T_CleanCustomers[Customer_Segment],MATCH(B68,T_CleanCustomers[Customer_ID],0)),"Unmatched")</f>
        <v>Enterprise</v>
      </c>
    </row>
    <row r="69" spans="1:16" ht="15" customHeight="1" x14ac:dyDescent="0.2">
      <c r="A69" s="9" t="s">
        <v>1431</v>
      </c>
      <c r="B69" s="9" t="s">
        <v>1161</v>
      </c>
      <c r="C69" s="9" t="b">
        <f>TRUE()</f>
        <v>1</v>
      </c>
      <c r="D69" s="10">
        <v>45913</v>
      </c>
      <c r="E69" s="10">
        <v>45901</v>
      </c>
      <c r="F69" s="9" t="s">
        <v>1423</v>
      </c>
      <c r="G69" s="11">
        <v>21301.58</v>
      </c>
      <c r="H69" s="11">
        <v>727.93</v>
      </c>
      <c r="I69" s="9" t="b">
        <f>TRUE()</f>
        <v>1</v>
      </c>
      <c r="J69" s="9" t="s">
        <v>1361</v>
      </c>
      <c r="K69" s="11">
        <v>727.93</v>
      </c>
      <c r="L69" s="9" t="s">
        <v>22</v>
      </c>
      <c r="M69" s="9" t="str">
        <f>IFERROR(INDEX(T_CleanCustomers[Sales_Rep_ID],MATCH(B69,T_CleanCustomers[Customer_ID],0)),"Unmatched")</f>
        <v>REP006</v>
      </c>
      <c r="N69" s="9" t="str">
        <f>IFERROR(INDEX(T_CleanCustomers[Channel],MATCH(B69,T_CleanCustomers[Customer_ID],0)),"Unmatched")</f>
        <v>Referral</v>
      </c>
      <c r="O69" s="9" t="str">
        <f>IFERROR(INDEX(T_CleanCustomers[Product],MATCH(B69,T_CleanCustomers[Customer_ID],0)),"Unmatched")</f>
        <v>EV Charge Card</v>
      </c>
      <c r="P69" s="9" t="str">
        <f>IFERROR(INDEX(T_CleanCustomers[Customer_Segment],MATCH(B69,T_CleanCustomers[Customer_ID],0)),"Unmatched")</f>
        <v>Enterprise</v>
      </c>
    </row>
    <row r="70" spans="1:16" ht="15" customHeight="1" x14ac:dyDescent="0.2">
      <c r="A70" s="9" t="s">
        <v>1432</v>
      </c>
      <c r="B70" s="9" t="s">
        <v>1161</v>
      </c>
      <c r="C70" s="9" t="b">
        <f>TRUE()</f>
        <v>1</v>
      </c>
      <c r="D70" s="10">
        <v>45914</v>
      </c>
      <c r="E70" s="10">
        <v>45901</v>
      </c>
      <c r="F70" s="9" t="s">
        <v>1423</v>
      </c>
      <c r="G70" s="11">
        <v>17957.400000000001</v>
      </c>
      <c r="H70" s="11">
        <v>536.77</v>
      </c>
      <c r="I70" s="9" t="b">
        <f>TRUE()</f>
        <v>1</v>
      </c>
      <c r="J70" s="9" t="s">
        <v>1361</v>
      </c>
      <c r="K70" s="11">
        <v>536.77</v>
      </c>
      <c r="L70" s="9" t="s">
        <v>22</v>
      </c>
      <c r="M70" s="9" t="str">
        <f>IFERROR(INDEX(T_CleanCustomers[Sales_Rep_ID],MATCH(B70,T_CleanCustomers[Customer_ID],0)),"Unmatched")</f>
        <v>REP006</v>
      </c>
      <c r="N70" s="9" t="str">
        <f>IFERROR(INDEX(T_CleanCustomers[Channel],MATCH(B70,T_CleanCustomers[Customer_ID],0)),"Unmatched")</f>
        <v>Referral</v>
      </c>
      <c r="O70" s="9" t="str">
        <f>IFERROR(INDEX(T_CleanCustomers[Product],MATCH(B70,T_CleanCustomers[Customer_ID],0)),"Unmatched")</f>
        <v>EV Charge Card</v>
      </c>
      <c r="P70" s="9" t="str">
        <f>IFERROR(INDEX(T_CleanCustomers[Customer_Segment],MATCH(B70,T_CleanCustomers[Customer_ID],0)),"Unmatched")</f>
        <v>Enterprise</v>
      </c>
    </row>
    <row r="71" spans="1:16" ht="15" customHeight="1" x14ac:dyDescent="0.2">
      <c r="A71" s="9" t="s">
        <v>1433</v>
      </c>
      <c r="B71" s="9" t="s">
        <v>1161</v>
      </c>
      <c r="C71" s="9" t="b">
        <f>TRUE()</f>
        <v>1</v>
      </c>
      <c r="D71" s="10">
        <v>45954</v>
      </c>
      <c r="E71" s="10">
        <v>45931</v>
      </c>
      <c r="F71" s="9" t="s">
        <v>1423</v>
      </c>
      <c r="G71" s="11">
        <v>56084.12</v>
      </c>
      <c r="H71" s="11">
        <v>1755.77</v>
      </c>
      <c r="I71" s="9" t="b">
        <f>TRUE()</f>
        <v>1</v>
      </c>
      <c r="J71" s="9" t="s">
        <v>1361</v>
      </c>
      <c r="K71" s="11">
        <v>1755.77</v>
      </c>
      <c r="L71" s="9" t="s">
        <v>22</v>
      </c>
      <c r="M71" s="9" t="str">
        <f>IFERROR(INDEX(T_CleanCustomers[Sales_Rep_ID],MATCH(B71,T_CleanCustomers[Customer_ID],0)),"Unmatched")</f>
        <v>REP006</v>
      </c>
      <c r="N71" s="9" t="str">
        <f>IFERROR(INDEX(T_CleanCustomers[Channel],MATCH(B71,T_CleanCustomers[Customer_ID],0)),"Unmatched")</f>
        <v>Referral</v>
      </c>
      <c r="O71" s="9" t="str">
        <f>IFERROR(INDEX(T_CleanCustomers[Product],MATCH(B71,T_CleanCustomers[Customer_ID],0)),"Unmatched")</f>
        <v>EV Charge Card</v>
      </c>
      <c r="P71" s="9" t="str">
        <f>IFERROR(INDEX(T_CleanCustomers[Customer_Segment],MATCH(B71,T_CleanCustomers[Customer_ID],0)),"Unmatched")</f>
        <v>Enterprise</v>
      </c>
    </row>
    <row r="72" spans="1:16" ht="15" customHeight="1" x14ac:dyDescent="0.2">
      <c r="A72" s="9" t="s">
        <v>1434</v>
      </c>
      <c r="B72" s="9" t="s">
        <v>1161</v>
      </c>
      <c r="C72" s="9" t="b">
        <f>TRUE()</f>
        <v>1</v>
      </c>
      <c r="D72" s="10">
        <v>45975</v>
      </c>
      <c r="E72" s="10">
        <v>45962</v>
      </c>
      <c r="F72" s="9" t="s">
        <v>1423</v>
      </c>
      <c r="G72" s="11">
        <v>29377.08</v>
      </c>
      <c r="H72" s="11">
        <v>1032.18</v>
      </c>
      <c r="I72" s="9" t="b">
        <f>TRUE()</f>
        <v>1</v>
      </c>
      <c r="J72" s="9" t="s">
        <v>1361</v>
      </c>
      <c r="K72" s="11">
        <v>1032.18</v>
      </c>
      <c r="L72" s="9" t="s">
        <v>22</v>
      </c>
      <c r="M72" s="9" t="str">
        <f>IFERROR(INDEX(T_CleanCustomers[Sales_Rep_ID],MATCH(B72,T_CleanCustomers[Customer_ID],0)),"Unmatched")</f>
        <v>REP006</v>
      </c>
      <c r="N72" s="9" t="str">
        <f>IFERROR(INDEX(T_CleanCustomers[Channel],MATCH(B72,T_CleanCustomers[Customer_ID],0)),"Unmatched")</f>
        <v>Referral</v>
      </c>
      <c r="O72" s="9" t="str">
        <f>IFERROR(INDEX(T_CleanCustomers[Product],MATCH(B72,T_CleanCustomers[Customer_ID],0)),"Unmatched")</f>
        <v>EV Charge Card</v>
      </c>
      <c r="P72" s="9" t="str">
        <f>IFERROR(INDEX(T_CleanCustomers[Customer_Segment],MATCH(B72,T_CleanCustomers[Customer_ID],0)),"Unmatched")</f>
        <v>Enterprise</v>
      </c>
    </row>
    <row r="73" spans="1:16" ht="15" customHeight="1" x14ac:dyDescent="0.2">
      <c r="A73" s="9" t="s">
        <v>1435</v>
      </c>
      <c r="B73" s="9" t="s">
        <v>1161</v>
      </c>
      <c r="C73" s="9" t="b">
        <f>TRUE()</f>
        <v>1</v>
      </c>
      <c r="D73" s="10">
        <v>45980</v>
      </c>
      <c r="E73" s="10">
        <v>45962</v>
      </c>
      <c r="F73" s="9" t="s">
        <v>1423</v>
      </c>
      <c r="G73" s="11">
        <v>43935.41</v>
      </c>
      <c r="H73" s="11">
        <v>1508.28</v>
      </c>
      <c r="I73" s="9" t="b">
        <f>TRUE()</f>
        <v>1</v>
      </c>
      <c r="J73" s="9" t="s">
        <v>1361</v>
      </c>
      <c r="K73" s="11">
        <v>1508.28</v>
      </c>
      <c r="L73" s="9" t="s">
        <v>22</v>
      </c>
      <c r="M73" s="9" t="str">
        <f>IFERROR(INDEX(T_CleanCustomers[Sales_Rep_ID],MATCH(B73,T_CleanCustomers[Customer_ID],0)),"Unmatched")</f>
        <v>REP006</v>
      </c>
      <c r="N73" s="9" t="str">
        <f>IFERROR(INDEX(T_CleanCustomers[Channel],MATCH(B73,T_CleanCustomers[Customer_ID],0)),"Unmatched")</f>
        <v>Referral</v>
      </c>
      <c r="O73" s="9" t="str">
        <f>IFERROR(INDEX(T_CleanCustomers[Product],MATCH(B73,T_CleanCustomers[Customer_ID],0)),"Unmatched")</f>
        <v>EV Charge Card</v>
      </c>
      <c r="P73" s="9" t="str">
        <f>IFERROR(INDEX(T_CleanCustomers[Customer_Segment],MATCH(B73,T_CleanCustomers[Customer_ID],0)),"Unmatched")</f>
        <v>Enterprise</v>
      </c>
    </row>
    <row r="74" spans="1:16" ht="15" customHeight="1" x14ac:dyDescent="0.2">
      <c r="A74" s="9" t="s">
        <v>1436</v>
      </c>
      <c r="B74" s="9" t="s">
        <v>1161</v>
      </c>
      <c r="C74" s="9" t="b">
        <f>TRUE()</f>
        <v>1</v>
      </c>
      <c r="D74" s="10">
        <v>45995</v>
      </c>
      <c r="E74" s="10">
        <v>45992</v>
      </c>
      <c r="F74" s="9" t="s">
        <v>1423</v>
      </c>
      <c r="G74" s="11">
        <v>50472.73</v>
      </c>
      <c r="H74" s="11">
        <v>0</v>
      </c>
      <c r="I74" s="9" t="b">
        <f>TRUE()</f>
        <v>1</v>
      </c>
      <c r="J74" s="9" t="s">
        <v>1408</v>
      </c>
      <c r="K74" s="11">
        <v>0</v>
      </c>
      <c r="L74" s="9" t="s">
        <v>22</v>
      </c>
      <c r="M74" s="9" t="str">
        <f>IFERROR(INDEX(T_CleanCustomers[Sales_Rep_ID],MATCH(B74,T_CleanCustomers[Customer_ID],0)),"Unmatched")</f>
        <v>REP006</v>
      </c>
      <c r="N74" s="9" t="str">
        <f>IFERROR(INDEX(T_CleanCustomers[Channel],MATCH(B74,T_CleanCustomers[Customer_ID],0)),"Unmatched")</f>
        <v>Referral</v>
      </c>
      <c r="O74" s="9" t="str">
        <f>IFERROR(INDEX(T_CleanCustomers[Product],MATCH(B74,T_CleanCustomers[Customer_ID],0)),"Unmatched")</f>
        <v>EV Charge Card</v>
      </c>
      <c r="P74" s="9" t="str">
        <f>IFERROR(INDEX(T_CleanCustomers[Customer_Segment],MATCH(B74,T_CleanCustomers[Customer_ID],0)),"Unmatched")</f>
        <v>Enterprise</v>
      </c>
    </row>
    <row r="75" spans="1:16" ht="15" customHeight="1" x14ac:dyDescent="0.2">
      <c r="A75" s="9" t="s">
        <v>115</v>
      </c>
      <c r="B75" s="9" t="s">
        <v>1437</v>
      </c>
      <c r="C75" s="9" t="b">
        <f>FALSE()</f>
        <v>0</v>
      </c>
      <c r="D75" s="10">
        <v>45991</v>
      </c>
      <c r="E75" s="10">
        <v>45962</v>
      </c>
      <c r="F75" s="9" t="s">
        <v>1360</v>
      </c>
      <c r="G75" s="11">
        <v>4720.3999999999996</v>
      </c>
      <c r="H75" s="11">
        <v>125.85</v>
      </c>
      <c r="I75" s="9" t="b">
        <f>TRUE()</f>
        <v>1</v>
      </c>
      <c r="J75" s="9" t="s">
        <v>1361</v>
      </c>
      <c r="K75" s="11">
        <v>0</v>
      </c>
      <c r="L75" s="9" t="s">
        <v>22</v>
      </c>
      <c r="M75" s="9" t="str">
        <f>IFERROR(INDEX(T_CleanCustomers[Sales_Rep_ID],MATCH(B75,T_CleanCustomers[Customer_ID],0)),"Unmatched")</f>
        <v>Unmatched</v>
      </c>
      <c r="N75" s="9" t="str">
        <f>IFERROR(INDEX(T_CleanCustomers[Channel],MATCH(B75,T_CleanCustomers[Customer_ID],0)),"Unmatched")</f>
        <v>Unmatched</v>
      </c>
      <c r="O75" s="9" t="str">
        <f>IFERROR(INDEX(T_CleanCustomers[Product],MATCH(B75,T_CleanCustomers[Customer_ID],0)),"Unmatched")</f>
        <v>Unmatched</v>
      </c>
      <c r="P75" s="9" t="str">
        <f>IFERROR(INDEX(T_CleanCustomers[Customer_Segment],MATCH(B75,T_CleanCustomers[Customer_ID],0)),"Unmatched")</f>
        <v>Unmatched</v>
      </c>
    </row>
    <row r="76" spans="1:16" ht="15" customHeight="1" x14ac:dyDescent="0.2">
      <c r="A76" s="9" t="s">
        <v>1438</v>
      </c>
      <c r="B76" s="9" t="s">
        <v>1162</v>
      </c>
      <c r="C76" s="9" t="b">
        <f>TRUE()</f>
        <v>1</v>
      </c>
      <c r="D76" s="10">
        <v>45989</v>
      </c>
      <c r="E76" s="10">
        <v>45962</v>
      </c>
      <c r="F76" s="9" t="s">
        <v>1360</v>
      </c>
      <c r="G76" s="11">
        <v>4472.0600000000004</v>
      </c>
      <c r="H76" s="11">
        <v>102.34</v>
      </c>
      <c r="I76" s="9" t="b">
        <f>TRUE()</f>
        <v>1</v>
      </c>
      <c r="J76" s="9" t="s">
        <v>1361</v>
      </c>
      <c r="K76" s="11">
        <v>102.34</v>
      </c>
      <c r="L76" s="9" t="s">
        <v>22</v>
      </c>
      <c r="M76" s="9" t="str">
        <f>IFERROR(INDEX(T_CleanCustomers[Sales_Rep_ID],MATCH(B76,T_CleanCustomers[Customer_ID],0)),"Unmatched")</f>
        <v>REP004</v>
      </c>
      <c r="N76" s="9" t="str">
        <f>IFERROR(INDEX(T_CleanCustomers[Channel],MATCH(B76,T_CleanCustomers[Customer_ID],0)),"Unmatched")</f>
        <v>Direct Sales</v>
      </c>
      <c r="O76" s="9" t="str">
        <f>IFERROR(INDEX(T_CleanCustomers[Product],MATCH(B76,T_CleanCustomers[Customer_ID],0)),"Unmatched")</f>
        <v>Fuel Card</v>
      </c>
      <c r="P76" s="9" t="str">
        <f>IFERROR(INDEX(T_CleanCustomers[Customer_Segment],MATCH(B76,T_CleanCustomers[Customer_ID],0)),"Unmatched")</f>
        <v>SME</v>
      </c>
    </row>
    <row r="77" spans="1:16" ht="15" customHeight="1" x14ac:dyDescent="0.2">
      <c r="A77" s="9" t="s">
        <v>1439</v>
      </c>
      <c r="B77" s="9" t="s">
        <v>1162</v>
      </c>
      <c r="C77" s="9" t="b">
        <f>TRUE()</f>
        <v>1</v>
      </c>
      <c r="D77" s="10">
        <v>46004</v>
      </c>
      <c r="E77" s="10">
        <v>45992</v>
      </c>
      <c r="F77" s="9" t="s">
        <v>1360</v>
      </c>
      <c r="G77" s="11">
        <v>2438.67</v>
      </c>
      <c r="H77" s="11">
        <v>65.5</v>
      </c>
      <c r="I77" s="9" t="b">
        <f>TRUE()</f>
        <v>1</v>
      </c>
      <c r="J77" s="9" t="s">
        <v>1361</v>
      </c>
      <c r="K77" s="11">
        <v>65.5</v>
      </c>
      <c r="L77" s="9" t="s">
        <v>22</v>
      </c>
      <c r="M77" s="9" t="str">
        <f>IFERROR(INDEX(T_CleanCustomers[Sales_Rep_ID],MATCH(B77,T_CleanCustomers[Customer_ID],0)),"Unmatched")</f>
        <v>REP004</v>
      </c>
      <c r="N77" s="9" t="str">
        <f>IFERROR(INDEX(T_CleanCustomers[Channel],MATCH(B77,T_CleanCustomers[Customer_ID],0)),"Unmatched")</f>
        <v>Direct Sales</v>
      </c>
      <c r="O77" s="9" t="str">
        <f>IFERROR(INDEX(T_CleanCustomers[Product],MATCH(B77,T_CleanCustomers[Customer_ID],0)),"Unmatched")</f>
        <v>Fuel Card</v>
      </c>
      <c r="P77" s="9" t="str">
        <f>IFERROR(INDEX(T_CleanCustomers[Customer_Segment],MATCH(B77,T_CleanCustomers[Customer_ID],0)),"Unmatched")</f>
        <v>SME</v>
      </c>
    </row>
    <row r="78" spans="1:16" ht="15" customHeight="1" x14ac:dyDescent="0.2">
      <c r="A78" s="9" t="s">
        <v>1440</v>
      </c>
      <c r="B78" s="9" t="s">
        <v>1162</v>
      </c>
      <c r="C78" s="9" t="b">
        <f>TRUE()</f>
        <v>1</v>
      </c>
      <c r="D78" s="10">
        <v>46020</v>
      </c>
      <c r="E78" s="10">
        <v>45992</v>
      </c>
      <c r="F78" s="9" t="s">
        <v>1360</v>
      </c>
      <c r="G78" s="11">
        <v>2855.68</v>
      </c>
      <c r="H78" s="11">
        <v>80.55</v>
      </c>
      <c r="I78" s="9" t="b">
        <f>TRUE()</f>
        <v>1</v>
      </c>
      <c r="J78" s="9" t="s">
        <v>1361</v>
      </c>
      <c r="K78" s="11">
        <v>80.55</v>
      </c>
      <c r="L78" s="9" t="s">
        <v>22</v>
      </c>
      <c r="M78" s="9" t="str">
        <f>IFERROR(INDEX(T_CleanCustomers[Sales_Rep_ID],MATCH(B78,T_CleanCustomers[Customer_ID],0)),"Unmatched")</f>
        <v>REP004</v>
      </c>
      <c r="N78" s="9" t="str">
        <f>IFERROR(INDEX(T_CleanCustomers[Channel],MATCH(B78,T_CleanCustomers[Customer_ID],0)),"Unmatched")</f>
        <v>Direct Sales</v>
      </c>
      <c r="O78" s="9" t="str">
        <f>IFERROR(INDEX(T_CleanCustomers[Product],MATCH(B78,T_CleanCustomers[Customer_ID],0)),"Unmatched")</f>
        <v>Fuel Card</v>
      </c>
      <c r="P78" s="9" t="str">
        <f>IFERROR(INDEX(T_CleanCustomers[Customer_Segment],MATCH(B78,T_CleanCustomers[Customer_ID],0)),"Unmatched")</f>
        <v>SME</v>
      </c>
    </row>
    <row r="79" spans="1:16" ht="15" customHeight="1" x14ac:dyDescent="0.2">
      <c r="A79" s="9" t="s">
        <v>1441</v>
      </c>
      <c r="B79" s="9" t="s">
        <v>1162</v>
      </c>
      <c r="C79" s="9" t="b">
        <f>TRUE()</f>
        <v>1</v>
      </c>
      <c r="D79" s="10">
        <v>45995</v>
      </c>
      <c r="E79" s="10">
        <v>45992</v>
      </c>
      <c r="F79" s="9" t="s">
        <v>1360</v>
      </c>
      <c r="G79" s="11">
        <v>3865.09</v>
      </c>
      <c r="H79" s="11">
        <v>102.64</v>
      </c>
      <c r="I79" s="9" t="b">
        <f>TRUE()</f>
        <v>1</v>
      </c>
      <c r="J79" s="9" t="s">
        <v>1361</v>
      </c>
      <c r="K79" s="11">
        <v>102.64</v>
      </c>
      <c r="L79" s="9" t="s">
        <v>22</v>
      </c>
      <c r="M79" s="9" t="str">
        <f>IFERROR(INDEX(T_CleanCustomers[Sales_Rep_ID],MATCH(B79,T_CleanCustomers[Customer_ID],0)),"Unmatched")</f>
        <v>REP004</v>
      </c>
      <c r="N79" s="9" t="str">
        <f>IFERROR(INDEX(T_CleanCustomers[Channel],MATCH(B79,T_CleanCustomers[Customer_ID],0)),"Unmatched")</f>
        <v>Direct Sales</v>
      </c>
      <c r="O79" s="9" t="str">
        <f>IFERROR(INDEX(T_CleanCustomers[Product],MATCH(B79,T_CleanCustomers[Customer_ID],0)),"Unmatched")</f>
        <v>Fuel Card</v>
      </c>
      <c r="P79" s="9" t="str">
        <f>IFERROR(INDEX(T_CleanCustomers[Customer_Segment],MATCH(B79,T_CleanCustomers[Customer_ID],0)),"Unmatched")</f>
        <v>SME</v>
      </c>
    </row>
    <row r="80" spans="1:16" ht="15" customHeight="1" x14ac:dyDescent="0.2">
      <c r="A80" s="9" t="s">
        <v>1442</v>
      </c>
      <c r="B80" s="9" t="s">
        <v>1163</v>
      </c>
      <c r="C80" s="9" t="b">
        <f>TRUE()</f>
        <v>1</v>
      </c>
      <c r="D80" s="10">
        <v>45930</v>
      </c>
      <c r="E80" s="10">
        <v>45901</v>
      </c>
      <c r="F80" s="9" t="s">
        <v>1373</v>
      </c>
      <c r="G80" s="11">
        <v>1275.28</v>
      </c>
      <c r="H80" s="11">
        <v>21.3</v>
      </c>
      <c r="I80" s="9" t="b">
        <f>TRUE()</f>
        <v>1</v>
      </c>
      <c r="J80" s="9" t="s">
        <v>1361</v>
      </c>
      <c r="K80" s="11">
        <v>21.3</v>
      </c>
      <c r="L80" s="9" t="s">
        <v>20</v>
      </c>
      <c r="M80" s="9" t="str">
        <f>IFERROR(INDEX(T_CleanCustomers[Sales_Rep_ID],MATCH(B80,T_CleanCustomers[Customer_ID],0)),"Unmatched")</f>
        <v>REP002</v>
      </c>
      <c r="N80" s="9" t="str">
        <f>IFERROR(INDEX(T_CleanCustomers[Channel],MATCH(B80,T_CleanCustomers[Customer_ID],0)),"Unmatched")</f>
        <v>Referral</v>
      </c>
      <c r="O80" s="9" t="str">
        <f>IFERROR(INDEX(T_CleanCustomers[Product],MATCH(B80,T_CleanCustomers[Customer_ID],0)),"Unmatched")</f>
        <v>Toll Solution</v>
      </c>
      <c r="P80" s="9" t="str">
        <f>IFERROR(INDEX(T_CleanCustomers[Customer_Segment],MATCH(B80,T_CleanCustomers[Customer_ID],0)),"Unmatched")</f>
        <v>SME</v>
      </c>
    </row>
    <row r="81" spans="1:16" ht="15" customHeight="1" x14ac:dyDescent="0.2">
      <c r="A81" s="9" t="s">
        <v>1443</v>
      </c>
      <c r="B81" s="9" t="s">
        <v>1163</v>
      </c>
      <c r="C81" s="9" t="b">
        <f>TRUE()</f>
        <v>1</v>
      </c>
      <c r="D81" s="10">
        <v>45930</v>
      </c>
      <c r="E81" s="10">
        <v>45901</v>
      </c>
      <c r="F81" s="9" t="s">
        <v>1373</v>
      </c>
      <c r="G81" s="11">
        <v>4686.72</v>
      </c>
      <c r="H81" s="11">
        <v>94.97</v>
      </c>
      <c r="I81" s="9" t="b">
        <f>TRUE()</f>
        <v>1</v>
      </c>
      <c r="J81" s="9" t="s">
        <v>1361</v>
      </c>
      <c r="K81" s="11">
        <v>94.97</v>
      </c>
      <c r="L81" s="9" t="s">
        <v>20</v>
      </c>
      <c r="M81" s="9" t="str">
        <f>IFERROR(INDEX(T_CleanCustomers[Sales_Rep_ID],MATCH(B81,T_CleanCustomers[Customer_ID],0)),"Unmatched")</f>
        <v>REP002</v>
      </c>
      <c r="N81" s="9" t="str">
        <f>IFERROR(INDEX(T_CleanCustomers[Channel],MATCH(B81,T_CleanCustomers[Customer_ID],0)),"Unmatched")</f>
        <v>Referral</v>
      </c>
      <c r="O81" s="9" t="str">
        <f>IFERROR(INDEX(T_CleanCustomers[Product],MATCH(B81,T_CleanCustomers[Customer_ID],0)),"Unmatched")</f>
        <v>Toll Solution</v>
      </c>
      <c r="P81" s="9" t="str">
        <f>IFERROR(INDEX(T_CleanCustomers[Customer_Segment],MATCH(B81,T_CleanCustomers[Customer_ID],0)),"Unmatched")</f>
        <v>SME</v>
      </c>
    </row>
    <row r="82" spans="1:16" ht="15" customHeight="1" x14ac:dyDescent="0.2">
      <c r="A82" s="9" t="s">
        <v>1444</v>
      </c>
      <c r="B82" s="9" t="s">
        <v>1163</v>
      </c>
      <c r="C82" s="9" t="b">
        <f>TRUE()</f>
        <v>1</v>
      </c>
      <c r="D82" s="10">
        <v>45944</v>
      </c>
      <c r="E82" s="10">
        <v>45931</v>
      </c>
      <c r="F82" s="9" t="s">
        <v>1373</v>
      </c>
      <c r="G82" s="11">
        <v>4479.88</v>
      </c>
      <c r="H82" s="11">
        <v>91.7</v>
      </c>
      <c r="I82" s="9" t="b">
        <f>TRUE()</f>
        <v>1</v>
      </c>
      <c r="J82" s="9" t="s">
        <v>1361</v>
      </c>
      <c r="K82" s="11">
        <v>91.7</v>
      </c>
      <c r="L82" s="9" t="s">
        <v>20</v>
      </c>
      <c r="M82" s="9" t="str">
        <f>IFERROR(INDEX(T_CleanCustomers[Sales_Rep_ID],MATCH(B82,T_CleanCustomers[Customer_ID],0)),"Unmatched")</f>
        <v>REP002</v>
      </c>
      <c r="N82" s="9" t="str">
        <f>IFERROR(INDEX(T_CleanCustomers[Channel],MATCH(B82,T_CleanCustomers[Customer_ID],0)),"Unmatched")</f>
        <v>Referral</v>
      </c>
      <c r="O82" s="9" t="str">
        <f>IFERROR(INDEX(T_CleanCustomers[Product],MATCH(B82,T_CleanCustomers[Customer_ID],0)),"Unmatched")</f>
        <v>Toll Solution</v>
      </c>
      <c r="P82" s="9" t="str">
        <f>IFERROR(INDEX(T_CleanCustomers[Customer_Segment],MATCH(B82,T_CleanCustomers[Customer_ID],0)),"Unmatched")</f>
        <v>SME</v>
      </c>
    </row>
    <row r="83" spans="1:16" ht="15" customHeight="1" x14ac:dyDescent="0.2">
      <c r="A83" s="9" t="s">
        <v>1445</v>
      </c>
      <c r="B83" s="9" t="s">
        <v>1163</v>
      </c>
      <c r="C83" s="9" t="b">
        <f>TRUE()</f>
        <v>1</v>
      </c>
      <c r="D83" s="10">
        <v>45986</v>
      </c>
      <c r="E83" s="10">
        <v>45962</v>
      </c>
      <c r="F83" s="9" t="s">
        <v>1373</v>
      </c>
      <c r="G83" s="11">
        <v>4345.71</v>
      </c>
      <c r="H83" s="11">
        <v>83.17</v>
      </c>
      <c r="I83" s="9" t="b">
        <f>TRUE()</f>
        <v>1</v>
      </c>
      <c r="J83" s="9" t="s">
        <v>1361</v>
      </c>
      <c r="K83" s="11">
        <v>83.17</v>
      </c>
      <c r="L83" s="9" t="s">
        <v>20</v>
      </c>
      <c r="M83" s="9" t="str">
        <f>IFERROR(INDEX(T_CleanCustomers[Sales_Rep_ID],MATCH(B83,T_CleanCustomers[Customer_ID],0)),"Unmatched")</f>
        <v>REP002</v>
      </c>
      <c r="N83" s="9" t="str">
        <f>IFERROR(INDEX(T_CleanCustomers[Channel],MATCH(B83,T_CleanCustomers[Customer_ID],0)),"Unmatched")</f>
        <v>Referral</v>
      </c>
      <c r="O83" s="9" t="str">
        <f>IFERROR(INDEX(T_CleanCustomers[Product],MATCH(B83,T_CleanCustomers[Customer_ID],0)),"Unmatched")</f>
        <v>Toll Solution</v>
      </c>
      <c r="P83" s="9" t="str">
        <f>IFERROR(INDEX(T_CleanCustomers[Customer_Segment],MATCH(B83,T_CleanCustomers[Customer_ID],0)),"Unmatched")</f>
        <v>SME</v>
      </c>
    </row>
    <row r="84" spans="1:16" ht="15" customHeight="1" x14ac:dyDescent="0.2">
      <c r="A84" s="9" t="s">
        <v>1446</v>
      </c>
      <c r="B84" s="9" t="s">
        <v>1163</v>
      </c>
      <c r="C84" s="9" t="b">
        <f>TRUE()</f>
        <v>1</v>
      </c>
      <c r="D84" s="10">
        <v>45965</v>
      </c>
      <c r="E84" s="10">
        <v>45962</v>
      </c>
      <c r="F84" s="9" t="s">
        <v>1373</v>
      </c>
      <c r="G84" s="11">
        <v>4684.22</v>
      </c>
      <c r="H84" s="11">
        <v>79.09</v>
      </c>
      <c r="I84" s="9" t="b">
        <f>TRUE()</f>
        <v>1</v>
      </c>
      <c r="J84" s="9" t="s">
        <v>1361</v>
      </c>
      <c r="K84" s="11">
        <v>79.09</v>
      </c>
      <c r="L84" s="9" t="s">
        <v>20</v>
      </c>
      <c r="M84" s="9" t="str">
        <f>IFERROR(INDEX(T_CleanCustomers[Sales_Rep_ID],MATCH(B84,T_CleanCustomers[Customer_ID],0)),"Unmatched")</f>
        <v>REP002</v>
      </c>
      <c r="N84" s="9" t="str">
        <f>IFERROR(INDEX(T_CleanCustomers[Channel],MATCH(B84,T_CleanCustomers[Customer_ID],0)),"Unmatched")</f>
        <v>Referral</v>
      </c>
      <c r="O84" s="9" t="str">
        <f>IFERROR(INDEX(T_CleanCustomers[Product],MATCH(B84,T_CleanCustomers[Customer_ID],0)),"Unmatched")</f>
        <v>Toll Solution</v>
      </c>
      <c r="P84" s="9" t="str">
        <f>IFERROR(INDEX(T_CleanCustomers[Customer_Segment],MATCH(B84,T_CleanCustomers[Customer_ID],0)),"Unmatched")</f>
        <v>SME</v>
      </c>
    </row>
    <row r="85" spans="1:16" ht="15" customHeight="1" x14ac:dyDescent="0.2">
      <c r="A85" s="9" t="s">
        <v>1447</v>
      </c>
      <c r="B85" s="9" t="s">
        <v>1163</v>
      </c>
      <c r="C85" s="9" t="b">
        <f>TRUE()</f>
        <v>1</v>
      </c>
      <c r="D85" s="10">
        <v>45975</v>
      </c>
      <c r="E85" s="10">
        <v>45962</v>
      </c>
      <c r="F85" s="9" t="s">
        <v>1373</v>
      </c>
      <c r="G85" s="11">
        <v>4024.54</v>
      </c>
      <c r="H85" s="11">
        <v>63.78</v>
      </c>
      <c r="I85" s="9" t="b">
        <f>TRUE()</f>
        <v>1</v>
      </c>
      <c r="J85" s="9" t="s">
        <v>1361</v>
      </c>
      <c r="K85" s="11">
        <v>63.78</v>
      </c>
      <c r="L85" s="9" t="s">
        <v>20</v>
      </c>
      <c r="M85" s="9" t="str">
        <f>IFERROR(INDEX(T_CleanCustomers[Sales_Rep_ID],MATCH(B85,T_CleanCustomers[Customer_ID],0)),"Unmatched")</f>
        <v>REP002</v>
      </c>
      <c r="N85" s="9" t="str">
        <f>IFERROR(INDEX(T_CleanCustomers[Channel],MATCH(B85,T_CleanCustomers[Customer_ID],0)),"Unmatched")</f>
        <v>Referral</v>
      </c>
      <c r="O85" s="9" t="str">
        <f>IFERROR(INDEX(T_CleanCustomers[Product],MATCH(B85,T_CleanCustomers[Customer_ID],0)),"Unmatched")</f>
        <v>Toll Solution</v>
      </c>
      <c r="P85" s="9" t="str">
        <f>IFERROR(INDEX(T_CleanCustomers[Customer_Segment],MATCH(B85,T_CleanCustomers[Customer_ID],0)),"Unmatched")</f>
        <v>SME</v>
      </c>
    </row>
    <row r="86" spans="1:16" ht="15" customHeight="1" x14ac:dyDescent="0.2">
      <c r="A86" s="9" t="s">
        <v>1448</v>
      </c>
      <c r="B86" s="9" t="s">
        <v>1163</v>
      </c>
      <c r="C86" s="9" t="b">
        <f>TRUE()</f>
        <v>1</v>
      </c>
      <c r="D86" s="10">
        <v>46004</v>
      </c>
      <c r="E86" s="10">
        <v>45992</v>
      </c>
      <c r="F86" s="9" t="s">
        <v>1373</v>
      </c>
      <c r="G86" s="11">
        <v>1862.09</v>
      </c>
      <c r="H86" s="11">
        <v>36.29</v>
      </c>
      <c r="I86" s="9" t="b">
        <f>TRUE()</f>
        <v>1</v>
      </c>
      <c r="J86" s="9" t="s">
        <v>1361</v>
      </c>
      <c r="K86" s="11">
        <v>36.29</v>
      </c>
      <c r="L86" s="9" t="s">
        <v>20</v>
      </c>
      <c r="M86" s="9" t="str">
        <f>IFERROR(INDEX(T_CleanCustomers[Sales_Rep_ID],MATCH(B86,T_CleanCustomers[Customer_ID],0)),"Unmatched")</f>
        <v>REP002</v>
      </c>
      <c r="N86" s="9" t="str">
        <f>IFERROR(INDEX(T_CleanCustomers[Channel],MATCH(B86,T_CleanCustomers[Customer_ID],0)),"Unmatched")</f>
        <v>Referral</v>
      </c>
      <c r="O86" s="9" t="str">
        <f>IFERROR(INDEX(T_CleanCustomers[Product],MATCH(B86,T_CleanCustomers[Customer_ID],0)),"Unmatched")</f>
        <v>Toll Solution</v>
      </c>
      <c r="P86" s="9" t="str">
        <f>IFERROR(INDEX(T_CleanCustomers[Customer_Segment],MATCH(B86,T_CleanCustomers[Customer_ID],0)),"Unmatched")</f>
        <v>SME</v>
      </c>
    </row>
    <row r="87" spans="1:16" ht="15" customHeight="1" x14ac:dyDescent="0.2">
      <c r="A87" s="9" t="s">
        <v>1449</v>
      </c>
      <c r="B87" s="9" t="s">
        <v>1164</v>
      </c>
      <c r="C87" s="9" t="b">
        <f>TRUE()</f>
        <v>1</v>
      </c>
      <c r="D87" s="10">
        <v>45798</v>
      </c>
      <c r="E87" s="10">
        <v>45778</v>
      </c>
      <c r="F87" s="9" t="s">
        <v>1423</v>
      </c>
      <c r="G87" s="11">
        <v>2790.09</v>
      </c>
      <c r="H87" s="11">
        <v>0</v>
      </c>
      <c r="I87" s="9" t="b">
        <f>TRUE()</f>
        <v>1</v>
      </c>
      <c r="J87" s="9" t="s">
        <v>1408</v>
      </c>
      <c r="K87" s="11">
        <v>0</v>
      </c>
      <c r="L87" s="9" t="s">
        <v>22</v>
      </c>
      <c r="M87" s="9" t="str">
        <f>IFERROR(INDEX(T_CleanCustomers[Sales_Rep_ID],MATCH(B87,T_CleanCustomers[Customer_ID],0)),"Unmatched")</f>
        <v>REP006</v>
      </c>
      <c r="N87" s="9" t="str">
        <f>IFERROR(INDEX(T_CleanCustomers[Channel],MATCH(B87,T_CleanCustomers[Customer_ID],0)),"Unmatched")</f>
        <v>Partner</v>
      </c>
      <c r="O87" s="9" t="str">
        <f>IFERROR(INDEX(T_CleanCustomers[Product],MATCH(B87,T_CleanCustomers[Customer_ID],0)),"Unmatched")</f>
        <v>EV Charge Card</v>
      </c>
      <c r="P87" s="9" t="str">
        <f>IFERROR(INDEX(T_CleanCustomers[Customer_Segment],MATCH(B87,T_CleanCustomers[Customer_ID],0)),"Unmatched")</f>
        <v>SME</v>
      </c>
    </row>
    <row r="88" spans="1:16" ht="15" customHeight="1" x14ac:dyDescent="0.2">
      <c r="A88" s="9" t="s">
        <v>1450</v>
      </c>
      <c r="B88" s="9" t="s">
        <v>1164</v>
      </c>
      <c r="C88" s="9" t="b">
        <f>TRUE()</f>
        <v>1</v>
      </c>
      <c r="D88" s="10">
        <v>45829</v>
      </c>
      <c r="E88" s="10">
        <v>45809</v>
      </c>
      <c r="F88" s="9" t="s">
        <v>1423</v>
      </c>
      <c r="G88" s="11">
        <v>5128.6899999999996</v>
      </c>
      <c r="H88" s="11">
        <v>157.07</v>
      </c>
      <c r="I88" s="9" t="b">
        <f>TRUE()</f>
        <v>1</v>
      </c>
      <c r="J88" s="9" t="s">
        <v>1361</v>
      </c>
      <c r="K88" s="11">
        <v>157.07</v>
      </c>
      <c r="L88" s="9" t="s">
        <v>22</v>
      </c>
      <c r="M88" s="9" t="str">
        <f>IFERROR(INDEX(T_CleanCustomers[Sales_Rep_ID],MATCH(B88,T_CleanCustomers[Customer_ID],0)),"Unmatched")</f>
        <v>REP006</v>
      </c>
      <c r="N88" s="9" t="str">
        <f>IFERROR(INDEX(T_CleanCustomers[Channel],MATCH(B88,T_CleanCustomers[Customer_ID],0)),"Unmatched")</f>
        <v>Partner</v>
      </c>
      <c r="O88" s="9" t="str">
        <f>IFERROR(INDEX(T_CleanCustomers[Product],MATCH(B88,T_CleanCustomers[Customer_ID],0)),"Unmatched")</f>
        <v>EV Charge Card</v>
      </c>
      <c r="P88" s="9" t="str">
        <f>IFERROR(INDEX(T_CleanCustomers[Customer_Segment],MATCH(B88,T_CleanCustomers[Customer_ID],0)),"Unmatched")</f>
        <v>SME</v>
      </c>
    </row>
    <row r="89" spans="1:16" ht="15" customHeight="1" x14ac:dyDescent="0.2">
      <c r="A89" s="9" t="s">
        <v>1451</v>
      </c>
      <c r="B89" s="9" t="s">
        <v>1164</v>
      </c>
      <c r="C89" s="9" t="b">
        <f>TRUE()</f>
        <v>1</v>
      </c>
      <c r="D89" s="10">
        <v>45834</v>
      </c>
      <c r="E89" s="10">
        <v>45809</v>
      </c>
      <c r="F89" s="9" t="s">
        <v>1423</v>
      </c>
      <c r="G89" s="11">
        <v>3011.22</v>
      </c>
      <c r="H89" s="11">
        <v>84.42</v>
      </c>
      <c r="I89" s="9" t="b">
        <f>TRUE()</f>
        <v>1</v>
      </c>
      <c r="J89" s="9" t="s">
        <v>1361</v>
      </c>
      <c r="K89" s="11">
        <v>84.42</v>
      </c>
      <c r="L89" s="9" t="s">
        <v>22</v>
      </c>
      <c r="M89" s="9" t="str">
        <f>IFERROR(INDEX(T_CleanCustomers[Sales_Rep_ID],MATCH(B89,T_CleanCustomers[Customer_ID],0)),"Unmatched")</f>
        <v>REP006</v>
      </c>
      <c r="N89" s="9" t="str">
        <f>IFERROR(INDEX(T_CleanCustomers[Channel],MATCH(B89,T_CleanCustomers[Customer_ID],0)),"Unmatched")</f>
        <v>Partner</v>
      </c>
      <c r="O89" s="9" t="str">
        <f>IFERROR(INDEX(T_CleanCustomers[Product],MATCH(B89,T_CleanCustomers[Customer_ID],0)),"Unmatched")</f>
        <v>EV Charge Card</v>
      </c>
      <c r="P89" s="9" t="str">
        <f>IFERROR(INDEX(T_CleanCustomers[Customer_Segment],MATCH(B89,T_CleanCustomers[Customer_ID],0)),"Unmatched")</f>
        <v>SME</v>
      </c>
    </row>
    <row r="90" spans="1:16" ht="15" customHeight="1" x14ac:dyDescent="0.2">
      <c r="A90" s="9" t="s">
        <v>1452</v>
      </c>
      <c r="B90" s="9" t="s">
        <v>1164</v>
      </c>
      <c r="C90" s="9" t="b">
        <f>TRUE()</f>
        <v>1</v>
      </c>
      <c r="D90" s="10">
        <v>45830</v>
      </c>
      <c r="E90" s="10">
        <v>45809</v>
      </c>
      <c r="F90" s="9" t="s">
        <v>1423</v>
      </c>
      <c r="G90" s="11">
        <v>4554.8100000000004</v>
      </c>
      <c r="H90" s="11">
        <v>131.68</v>
      </c>
      <c r="I90" s="9" t="b">
        <f>TRUE()</f>
        <v>1</v>
      </c>
      <c r="J90" s="9" t="s">
        <v>1361</v>
      </c>
      <c r="K90" s="11">
        <v>131.68</v>
      </c>
      <c r="L90" s="9" t="s">
        <v>22</v>
      </c>
      <c r="M90" s="9" t="str">
        <f>IFERROR(INDEX(T_CleanCustomers[Sales_Rep_ID],MATCH(B90,T_CleanCustomers[Customer_ID],0)),"Unmatched")</f>
        <v>REP006</v>
      </c>
      <c r="N90" s="9" t="str">
        <f>IFERROR(INDEX(T_CleanCustomers[Channel],MATCH(B90,T_CleanCustomers[Customer_ID],0)),"Unmatched")</f>
        <v>Partner</v>
      </c>
      <c r="O90" s="9" t="str">
        <f>IFERROR(INDEX(T_CleanCustomers[Product],MATCH(B90,T_CleanCustomers[Customer_ID],0)),"Unmatched")</f>
        <v>EV Charge Card</v>
      </c>
      <c r="P90" s="9" t="str">
        <f>IFERROR(INDEX(T_CleanCustomers[Customer_Segment],MATCH(B90,T_CleanCustomers[Customer_ID],0)),"Unmatched")</f>
        <v>SME</v>
      </c>
    </row>
    <row r="91" spans="1:16" ht="15" customHeight="1" x14ac:dyDescent="0.2">
      <c r="A91" s="9" t="s">
        <v>1453</v>
      </c>
      <c r="B91" s="9" t="s">
        <v>1164</v>
      </c>
      <c r="C91" s="9" t="b">
        <f>TRUE()</f>
        <v>1</v>
      </c>
      <c r="D91" s="10">
        <v>45852</v>
      </c>
      <c r="E91" s="10">
        <v>45839</v>
      </c>
      <c r="F91" s="9" t="s">
        <v>1423</v>
      </c>
      <c r="G91" s="11">
        <v>1500.79</v>
      </c>
      <c r="H91" s="11">
        <v>49.86</v>
      </c>
      <c r="I91" s="9" t="b">
        <f>TRUE()</f>
        <v>1</v>
      </c>
      <c r="J91" s="9" t="s">
        <v>1361</v>
      </c>
      <c r="K91" s="11">
        <v>49.86</v>
      </c>
      <c r="L91" s="9" t="s">
        <v>22</v>
      </c>
      <c r="M91" s="9" t="str">
        <f>IFERROR(INDEX(T_CleanCustomers[Sales_Rep_ID],MATCH(B91,T_CleanCustomers[Customer_ID],0)),"Unmatched")</f>
        <v>REP006</v>
      </c>
      <c r="N91" s="9" t="str">
        <f>IFERROR(INDEX(T_CleanCustomers[Channel],MATCH(B91,T_CleanCustomers[Customer_ID],0)),"Unmatched")</f>
        <v>Partner</v>
      </c>
      <c r="O91" s="9" t="str">
        <f>IFERROR(INDEX(T_CleanCustomers[Product],MATCH(B91,T_CleanCustomers[Customer_ID],0)),"Unmatched")</f>
        <v>EV Charge Card</v>
      </c>
      <c r="P91" s="9" t="str">
        <f>IFERROR(INDEX(T_CleanCustomers[Customer_Segment],MATCH(B91,T_CleanCustomers[Customer_ID],0)),"Unmatched")</f>
        <v>SME</v>
      </c>
    </row>
    <row r="92" spans="1:16" ht="15" customHeight="1" x14ac:dyDescent="0.2">
      <c r="A92" s="9" t="s">
        <v>1454</v>
      </c>
      <c r="B92" s="9" t="s">
        <v>1164</v>
      </c>
      <c r="C92" s="9" t="b">
        <f>TRUE()</f>
        <v>1</v>
      </c>
      <c r="D92" s="10">
        <v>45860</v>
      </c>
      <c r="E92" s="10">
        <v>45839</v>
      </c>
      <c r="F92" s="9" t="s">
        <v>1423</v>
      </c>
      <c r="G92" s="11">
        <v>1384.94</v>
      </c>
      <c r="H92" s="11">
        <v>48.77</v>
      </c>
      <c r="I92" s="9" t="b">
        <f>TRUE()</f>
        <v>1</v>
      </c>
      <c r="J92" s="9" t="s">
        <v>1361</v>
      </c>
      <c r="K92" s="11">
        <v>48.77</v>
      </c>
      <c r="L92" s="9" t="s">
        <v>22</v>
      </c>
      <c r="M92" s="9" t="str">
        <f>IFERROR(INDEX(T_CleanCustomers[Sales_Rep_ID],MATCH(B92,T_CleanCustomers[Customer_ID],0)),"Unmatched")</f>
        <v>REP006</v>
      </c>
      <c r="N92" s="9" t="str">
        <f>IFERROR(INDEX(T_CleanCustomers[Channel],MATCH(B92,T_CleanCustomers[Customer_ID],0)),"Unmatched")</f>
        <v>Partner</v>
      </c>
      <c r="O92" s="9" t="str">
        <f>IFERROR(INDEX(T_CleanCustomers[Product],MATCH(B92,T_CleanCustomers[Customer_ID],0)),"Unmatched")</f>
        <v>EV Charge Card</v>
      </c>
      <c r="P92" s="9" t="str">
        <f>IFERROR(INDEX(T_CleanCustomers[Customer_Segment],MATCH(B92,T_CleanCustomers[Customer_ID],0)),"Unmatched")</f>
        <v>SME</v>
      </c>
    </row>
    <row r="93" spans="1:16" ht="15" customHeight="1" x14ac:dyDescent="0.2">
      <c r="A93" s="9" t="s">
        <v>1455</v>
      </c>
      <c r="B93" s="9" t="s">
        <v>1164</v>
      </c>
      <c r="C93" s="9" t="b">
        <f>TRUE()</f>
        <v>1</v>
      </c>
      <c r="D93" s="10">
        <v>45854</v>
      </c>
      <c r="E93" s="10">
        <v>45839</v>
      </c>
      <c r="F93" s="9" t="s">
        <v>1423</v>
      </c>
      <c r="G93" s="11">
        <v>2884.53</v>
      </c>
      <c r="H93" s="11">
        <v>81.28</v>
      </c>
      <c r="I93" s="9" t="b">
        <f>TRUE()</f>
        <v>1</v>
      </c>
      <c r="J93" s="9" t="s">
        <v>1361</v>
      </c>
      <c r="K93" s="11">
        <v>81.28</v>
      </c>
      <c r="L93" s="9" t="s">
        <v>22</v>
      </c>
      <c r="M93" s="9" t="str">
        <f>IFERROR(INDEX(T_CleanCustomers[Sales_Rep_ID],MATCH(B93,T_CleanCustomers[Customer_ID],0)),"Unmatched")</f>
        <v>REP006</v>
      </c>
      <c r="N93" s="9" t="str">
        <f>IFERROR(INDEX(T_CleanCustomers[Channel],MATCH(B93,T_CleanCustomers[Customer_ID],0)),"Unmatched")</f>
        <v>Partner</v>
      </c>
      <c r="O93" s="9" t="str">
        <f>IFERROR(INDEX(T_CleanCustomers[Product],MATCH(B93,T_CleanCustomers[Customer_ID],0)),"Unmatched")</f>
        <v>EV Charge Card</v>
      </c>
      <c r="P93" s="9" t="str">
        <f>IFERROR(INDEX(T_CleanCustomers[Customer_Segment],MATCH(B93,T_CleanCustomers[Customer_ID],0)),"Unmatched")</f>
        <v>SME</v>
      </c>
    </row>
    <row r="94" spans="1:16" ht="15" customHeight="1" x14ac:dyDescent="0.2">
      <c r="A94" s="9" t="s">
        <v>1456</v>
      </c>
      <c r="B94" s="9" t="s">
        <v>1164</v>
      </c>
      <c r="C94" s="9" t="b">
        <f>TRUE()</f>
        <v>1</v>
      </c>
      <c r="D94" s="10">
        <v>45872</v>
      </c>
      <c r="E94" s="10">
        <v>45870</v>
      </c>
      <c r="F94" s="9" t="s">
        <v>1423</v>
      </c>
      <c r="G94" s="11">
        <v>2062.25</v>
      </c>
      <c r="H94" s="11">
        <v>70.87</v>
      </c>
      <c r="I94" s="9" t="b">
        <f>TRUE()</f>
        <v>1</v>
      </c>
      <c r="J94" s="9" t="s">
        <v>1361</v>
      </c>
      <c r="K94" s="11">
        <v>70.87</v>
      </c>
      <c r="L94" s="9" t="s">
        <v>22</v>
      </c>
      <c r="M94" s="9" t="str">
        <f>IFERROR(INDEX(T_CleanCustomers[Sales_Rep_ID],MATCH(B94,T_CleanCustomers[Customer_ID],0)),"Unmatched")</f>
        <v>REP006</v>
      </c>
      <c r="N94" s="9" t="str">
        <f>IFERROR(INDEX(T_CleanCustomers[Channel],MATCH(B94,T_CleanCustomers[Customer_ID],0)),"Unmatched")</f>
        <v>Partner</v>
      </c>
      <c r="O94" s="9" t="str">
        <f>IFERROR(INDEX(T_CleanCustomers[Product],MATCH(B94,T_CleanCustomers[Customer_ID],0)),"Unmatched")</f>
        <v>EV Charge Card</v>
      </c>
      <c r="P94" s="9" t="str">
        <f>IFERROR(INDEX(T_CleanCustomers[Customer_Segment],MATCH(B94,T_CleanCustomers[Customer_ID],0)),"Unmatched")</f>
        <v>SME</v>
      </c>
    </row>
    <row r="95" spans="1:16" ht="15" customHeight="1" x14ac:dyDescent="0.2">
      <c r="A95" s="9" t="s">
        <v>1457</v>
      </c>
      <c r="B95" s="9" t="s">
        <v>1164</v>
      </c>
      <c r="C95" s="9" t="b">
        <f>TRUE()</f>
        <v>1</v>
      </c>
      <c r="D95" s="10">
        <v>45925</v>
      </c>
      <c r="E95" s="10">
        <v>45901</v>
      </c>
      <c r="F95" s="9" t="s">
        <v>1423</v>
      </c>
      <c r="G95" s="11">
        <v>4478.9799999999996</v>
      </c>
      <c r="H95" s="11">
        <v>132.25</v>
      </c>
      <c r="I95" s="9" t="b">
        <f>TRUE()</f>
        <v>1</v>
      </c>
      <c r="J95" s="9" t="s">
        <v>1361</v>
      </c>
      <c r="K95" s="11">
        <v>132.25</v>
      </c>
      <c r="L95" s="9" t="s">
        <v>22</v>
      </c>
      <c r="M95" s="9" t="str">
        <f>IFERROR(INDEX(T_CleanCustomers[Sales_Rep_ID],MATCH(B95,T_CleanCustomers[Customer_ID],0)),"Unmatched")</f>
        <v>REP006</v>
      </c>
      <c r="N95" s="9" t="str">
        <f>IFERROR(INDEX(T_CleanCustomers[Channel],MATCH(B95,T_CleanCustomers[Customer_ID],0)),"Unmatched")</f>
        <v>Partner</v>
      </c>
      <c r="O95" s="9" t="str">
        <f>IFERROR(INDEX(T_CleanCustomers[Product],MATCH(B95,T_CleanCustomers[Customer_ID],0)),"Unmatched")</f>
        <v>EV Charge Card</v>
      </c>
      <c r="P95" s="9" t="str">
        <f>IFERROR(INDEX(T_CleanCustomers[Customer_Segment],MATCH(B95,T_CleanCustomers[Customer_ID],0)),"Unmatched")</f>
        <v>SME</v>
      </c>
    </row>
    <row r="96" spans="1:16" ht="15" customHeight="1" x14ac:dyDescent="0.2">
      <c r="A96" s="9" t="s">
        <v>1458</v>
      </c>
      <c r="B96" s="9" t="s">
        <v>1164</v>
      </c>
      <c r="C96" s="9" t="b">
        <f>TRUE()</f>
        <v>1</v>
      </c>
      <c r="D96" s="10">
        <v>45941</v>
      </c>
      <c r="E96" s="10">
        <v>45931</v>
      </c>
      <c r="F96" s="9" t="s">
        <v>1423</v>
      </c>
      <c r="G96" s="11">
        <v>3035.76</v>
      </c>
      <c r="H96" s="11">
        <v>93.72</v>
      </c>
      <c r="I96" s="9" t="b">
        <f>TRUE()</f>
        <v>1</v>
      </c>
      <c r="J96" s="9" t="s">
        <v>1361</v>
      </c>
      <c r="K96" s="11">
        <v>93.72</v>
      </c>
      <c r="L96" s="9" t="s">
        <v>22</v>
      </c>
      <c r="M96" s="9" t="str">
        <f>IFERROR(INDEX(T_CleanCustomers[Sales_Rep_ID],MATCH(B96,T_CleanCustomers[Customer_ID],0)),"Unmatched")</f>
        <v>REP006</v>
      </c>
      <c r="N96" s="9" t="str">
        <f>IFERROR(INDEX(T_CleanCustomers[Channel],MATCH(B96,T_CleanCustomers[Customer_ID],0)),"Unmatched")</f>
        <v>Partner</v>
      </c>
      <c r="O96" s="9" t="str">
        <f>IFERROR(INDEX(T_CleanCustomers[Product],MATCH(B96,T_CleanCustomers[Customer_ID],0)),"Unmatched")</f>
        <v>EV Charge Card</v>
      </c>
      <c r="P96" s="9" t="str">
        <f>IFERROR(INDEX(T_CleanCustomers[Customer_Segment],MATCH(B96,T_CleanCustomers[Customer_ID],0)),"Unmatched")</f>
        <v>SME</v>
      </c>
    </row>
    <row r="97" spans="1:16" ht="15" customHeight="1" x14ac:dyDescent="0.2">
      <c r="A97" s="9" t="s">
        <v>1459</v>
      </c>
      <c r="B97" s="9" t="s">
        <v>1164</v>
      </c>
      <c r="C97" s="9" t="b">
        <f>TRUE()</f>
        <v>1</v>
      </c>
      <c r="D97" s="10">
        <v>45980</v>
      </c>
      <c r="E97" s="10">
        <v>45962</v>
      </c>
      <c r="F97" s="9" t="s">
        <v>1423</v>
      </c>
      <c r="G97" s="11">
        <v>4516.8</v>
      </c>
      <c r="H97" s="11">
        <v>143.1</v>
      </c>
      <c r="I97" s="9" t="b">
        <f>TRUE()</f>
        <v>1</v>
      </c>
      <c r="J97" s="9" t="s">
        <v>1361</v>
      </c>
      <c r="K97" s="11">
        <v>143.1</v>
      </c>
      <c r="L97" s="9" t="s">
        <v>22</v>
      </c>
      <c r="M97" s="9" t="str">
        <f>IFERROR(INDEX(T_CleanCustomers[Sales_Rep_ID],MATCH(B97,T_CleanCustomers[Customer_ID],0)),"Unmatched")</f>
        <v>REP006</v>
      </c>
      <c r="N97" s="9" t="str">
        <f>IFERROR(INDEX(T_CleanCustomers[Channel],MATCH(B97,T_CleanCustomers[Customer_ID],0)),"Unmatched")</f>
        <v>Partner</v>
      </c>
      <c r="O97" s="9" t="str">
        <f>IFERROR(INDEX(T_CleanCustomers[Product],MATCH(B97,T_CleanCustomers[Customer_ID],0)),"Unmatched")</f>
        <v>EV Charge Card</v>
      </c>
      <c r="P97" s="9" t="str">
        <f>IFERROR(INDEX(T_CleanCustomers[Customer_Segment],MATCH(B97,T_CleanCustomers[Customer_ID],0)),"Unmatched")</f>
        <v>SME</v>
      </c>
    </row>
    <row r="98" spans="1:16" ht="15" customHeight="1" x14ac:dyDescent="0.2">
      <c r="A98" s="9" t="s">
        <v>1460</v>
      </c>
      <c r="B98" s="9" t="s">
        <v>1164</v>
      </c>
      <c r="C98" s="9" t="b">
        <f>TRUE()</f>
        <v>1</v>
      </c>
      <c r="D98" s="10">
        <v>45991</v>
      </c>
      <c r="E98" s="10">
        <v>45962</v>
      </c>
      <c r="F98" s="9" t="s">
        <v>1423</v>
      </c>
      <c r="G98" s="11">
        <v>2109.65</v>
      </c>
      <c r="H98" s="11">
        <v>66.44</v>
      </c>
      <c r="I98" s="9" t="b">
        <f>TRUE()</f>
        <v>1</v>
      </c>
      <c r="J98" s="9" t="s">
        <v>1361</v>
      </c>
      <c r="K98" s="11">
        <v>66.44</v>
      </c>
      <c r="L98" s="9" t="s">
        <v>22</v>
      </c>
      <c r="M98" s="9" t="str">
        <f>IFERROR(INDEX(T_CleanCustomers[Sales_Rep_ID],MATCH(B98,T_CleanCustomers[Customer_ID],0)),"Unmatched")</f>
        <v>REP006</v>
      </c>
      <c r="N98" s="9" t="str">
        <f>IFERROR(INDEX(T_CleanCustomers[Channel],MATCH(B98,T_CleanCustomers[Customer_ID],0)),"Unmatched")</f>
        <v>Partner</v>
      </c>
      <c r="O98" s="9" t="str">
        <f>IFERROR(INDEX(T_CleanCustomers[Product],MATCH(B98,T_CleanCustomers[Customer_ID],0)),"Unmatched")</f>
        <v>EV Charge Card</v>
      </c>
      <c r="P98" s="9" t="str">
        <f>IFERROR(INDEX(T_CleanCustomers[Customer_Segment],MATCH(B98,T_CleanCustomers[Customer_ID],0)),"Unmatched")</f>
        <v>SME</v>
      </c>
    </row>
    <row r="99" spans="1:16" ht="15" customHeight="1" x14ac:dyDescent="0.2">
      <c r="A99" s="9" t="s">
        <v>1461</v>
      </c>
      <c r="B99" s="9" t="s">
        <v>1164</v>
      </c>
      <c r="C99" s="9" t="b">
        <f>TRUE()</f>
        <v>1</v>
      </c>
      <c r="D99" s="10">
        <v>46021</v>
      </c>
      <c r="E99" s="10">
        <v>45992</v>
      </c>
      <c r="F99" s="9" t="s">
        <v>1423</v>
      </c>
      <c r="G99" s="11">
        <v>5059.01</v>
      </c>
      <c r="H99" s="11">
        <v>150.75</v>
      </c>
      <c r="I99" s="9" t="b">
        <f>TRUE()</f>
        <v>1</v>
      </c>
      <c r="J99" s="9" t="s">
        <v>1361</v>
      </c>
      <c r="K99" s="11">
        <v>150.75</v>
      </c>
      <c r="L99" s="9" t="s">
        <v>22</v>
      </c>
      <c r="M99" s="9" t="str">
        <f>IFERROR(INDEX(T_CleanCustomers[Sales_Rep_ID],MATCH(B99,T_CleanCustomers[Customer_ID],0)),"Unmatched")</f>
        <v>REP006</v>
      </c>
      <c r="N99" s="9" t="str">
        <f>IFERROR(INDEX(T_CleanCustomers[Channel],MATCH(B99,T_CleanCustomers[Customer_ID],0)),"Unmatched")</f>
        <v>Partner</v>
      </c>
      <c r="O99" s="9" t="str">
        <f>IFERROR(INDEX(T_CleanCustomers[Product],MATCH(B99,T_CleanCustomers[Customer_ID],0)),"Unmatched")</f>
        <v>EV Charge Card</v>
      </c>
      <c r="P99" s="9" t="str">
        <f>IFERROR(INDEX(T_CleanCustomers[Customer_Segment],MATCH(B99,T_CleanCustomers[Customer_ID],0)),"Unmatched")</f>
        <v>SME</v>
      </c>
    </row>
    <row r="100" spans="1:16" ht="15" customHeight="1" x14ac:dyDescent="0.2">
      <c r="A100" s="9" t="s">
        <v>1462</v>
      </c>
      <c r="B100" s="9" t="s">
        <v>93</v>
      </c>
      <c r="C100" s="9" t="b">
        <f>TRUE()</f>
        <v>1</v>
      </c>
      <c r="D100" s="10">
        <v>46019</v>
      </c>
      <c r="E100" s="10">
        <v>45992</v>
      </c>
      <c r="F100" s="9" t="s">
        <v>1423</v>
      </c>
      <c r="G100" s="11">
        <v>1515.41</v>
      </c>
      <c r="H100" s="11">
        <v>47.25</v>
      </c>
      <c r="I100" s="9" t="b">
        <f>TRUE()</f>
        <v>1</v>
      </c>
      <c r="J100" s="9" t="s">
        <v>1361</v>
      </c>
      <c r="K100" s="11">
        <v>47.25</v>
      </c>
      <c r="L100" s="9" t="s">
        <v>22</v>
      </c>
      <c r="M100" s="9" t="str">
        <f>IFERROR(INDEX(T_CleanCustomers[Sales_Rep_ID],MATCH(B100,T_CleanCustomers[Customer_ID],0)),"Unmatched")</f>
        <v>REP006</v>
      </c>
      <c r="N100" s="9" t="str">
        <f>IFERROR(INDEX(T_CleanCustomers[Channel],MATCH(B100,T_CleanCustomers[Customer_ID],0)),"Unmatched")</f>
        <v>Telesales</v>
      </c>
      <c r="O100" s="9" t="str">
        <f>IFERROR(INDEX(T_CleanCustomers[Product],MATCH(B100,T_CleanCustomers[Customer_ID],0)),"Unmatched")</f>
        <v>EV Charge Card</v>
      </c>
      <c r="P100" s="9" t="str">
        <f>IFERROR(INDEX(T_CleanCustomers[Customer_Segment],MATCH(B100,T_CleanCustomers[Customer_ID],0)),"Unmatched")</f>
        <v>SME</v>
      </c>
    </row>
    <row r="101" spans="1:16" ht="15" customHeight="1" x14ac:dyDescent="0.2">
      <c r="A101" s="9" t="s">
        <v>1463</v>
      </c>
      <c r="B101" s="9" t="s">
        <v>93</v>
      </c>
      <c r="C101" s="9" t="b">
        <f>TRUE()</f>
        <v>1</v>
      </c>
      <c r="D101" s="10">
        <v>46022</v>
      </c>
      <c r="E101" s="10">
        <v>45992</v>
      </c>
      <c r="F101" s="9" t="s">
        <v>1423</v>
      </c>
      <c r="G101" s="11">
        <v>4665.5600000000004</v>
      </c>
      <c r="H101" s="11">
        <v>162.41999999999999</v>
      </c>
      <c r="I101" s="9" t="b">
        <f>TRUE()</f>
        <v>1</v>
      </c>
      <c r="J101" s="9" t="s">
        <v>1361</v>
      </c>
      <c r="K101" s="11">
        <v>162.41999999999999</v>
      </c>
      <c r="L101" s="9" t="s">
        <v>22</v>
      </c>
      <c r="M101" s="9" t="str">
        <f>IFERROR(INDEX(T_CleanCustomers[Sales_Rep_ID],MATCH(B101,T_CleanCustomers[Customer_ID],0)),"Unmatched")</f>
        <v>REP006</v>
      </c>
      <c r="N101" s="9" t="str">
        <f>IFERROR(INDEX(T_CleanCustomers[Channel],MATCH(B101,T_CleanCustomers[Customer_ID],0)),"Unmatched")</f>
        <v>Telesales</v>
      </c>
      <c r="O101" s="9" t="str">
        <f>IFERROR(INDEX(T_CleanCustomers[Product],MATCH(B101,T_CleanCustomers[Customer_ID],0)),"Unmatched")</f>
        <v>EV Charge Card</v>
      </c>
      <c r="P101" s="9" t="str">
        <f>IFERROR(INDEX(T_CleanCustomers[Customer_Segment],MATCH(B101,T_CleanCustomers[Customer_ID],0)),"Unmatched")</f>
        <v>SME</v>
      </c>
    </row>
    <row r="102" spans="1:16" ht="15" customHeight="1" x14ac:dyDescent="0.2">
      <c r="A102" s="9" t="s">
        <v>1464</v>
      </c>
      <c r="B102" s="9" t="s">
        <v>1165</v>
      </c>
      <c r="C102" s="9" t="b">
        <f>TRUE()</f>
        <v>1</v>
      </c>
      <c r="D102" s="10">
        <v>45857</v>
      </c>
      <c r="E102" s="10">
        <v>45839</v>
      </c>
      <c r="F102" s="9" t="s">
        <v>1360</v>
      </c>
      <c r="G102" s="11">
        <v>5187.7299999999996</v>
      </c>
      <c r="H102" s="11">
        <v>138.63</v>
      </c>
      <c r="I102" s="9" t="b">
        <f>TRUE()</f>
        <v>1</v>
      </c>
      <c r="J102" s="9" t="s">
        <v>1361</v>
      </c>
      <c r="K102" s="11">
        <v>138.63</v>
      </c>
      <c r="L102" s="9" t="s">
        <v>20</v>
      </c>
      <c r="M102" s="9" t="str">
        <f>IFERROR(INDEX(T_CleanCustomers[Sales_Rep_ID],MATCH(B102,T_CleanCustomers[Customer_ID],0)),"Unmatched")</f>
        <v>REP002</v>
      </c>
      <c r="N102" s="9" t="str">
        <f>IFERROR(INDEX(T_CleanCustomers[Channel],MATCH(B102,T_CleanCustomers[Customer_ID],0)),"Unmatched")</f>
        <v>Direct Sales</v>
      </c>
      <c r="O102" s="9" t="str">
        <f>IFERROR(INDEX(T_CleanCustomers[Product],MATCH(B102,T_CleanCustomers[Customer_ID],0)),"Unmatched")</f>
        <v>Fuel Card</v>
      </c>
      <c r="P102" s="9" t="str">
        <f>IFERROR(INDEX(T_CleanCustomers[Customer_Segment],MATCH(B102,T_CleanCustomers[Customer_ID],0)),"Unmatched")</f>
        <v>SME</v>
      </c>
    </row>
    <row r="103" spans="1:16" ht="15" customHeight="1" x14ac:dyDescent="0.2">
      <c r="A103" s="9" t="s">
        <v>1465</v>
      </c>
      <c r="B103" s="9" t="s">
        <v>1165</v>
      </c>
      <c r="C103" s="9" t="b">
        <f>TRUE()</f>
        <v>1</v>
      </c>
      <c r="D103" s="10">
        <v>45854</v>
      </c>
      <c r="E103" s="10">
        <v>45839</v>
      </c>
      <c r="F103" s="9" t="s">
        <v>1360</v>
      </c>
      <c r="G103" s="11">
        <v>3298.7</v>
      </c>
      <c r="H103" s="11">
        <v>75.25</v>
      </c>
      <c r="I103" s="9" t="b">
        <f>TRUE()</f>
        <v>1</v>
      </c>
      <c r="J103" s="9" t="s">
        <v>1361</v>
      </c>
      <c r="K103" s="11">
        <v>75.25</v>
      </c>
      <c r="L103" s="9" t="s">
        <v>20</v>
      </c>
      <c r="M103" s="9" t="str">
        <f>IFERROR(INDEX(T_CleanCustomers[Sales_Rep_ID],MATCH(B103,T_CleanCustomers[Customer_ID],0)),"Unmatched")</f>
        <v>REP002</v>
      </c>
      <c r="N103" s="9" t="str">
        <f>IFERROR(INDEX(T_CleanCustomers[Channel],MATCH(B103,T_CleanCustomers[Customer_ID],0)),"Unmatched")</f>
        <v>Direct Sales</v>
      </c>
      <c r="O103" s="9" t="str">
        <f>IFERROR(INDEX(T_CleanCustomers[Product],MATCH(B103,T_CleanCustomers[Customer_ID],0)),"Unmatched")</f>
        <v>Fuel Card</v>
      </c>
      <c r="P103" s="9" t="str">
        <f>IFERROR(INDEX(T_CleanCustomers[Customer_Segment],MATCH(B103,T_CleanCustomers[Customer_ID],0)),"Unmatched")</f>
        <v>SME</v>
      </c>
    </row>
    <row r="104" spans="1:16" ht="15" customHeight="1" x14ac:dyDescent="0.2">
      <c r="A104" s="9" t="s">
        <v>1466</v>
      </c>
      <c r="B104" s="9" t="s">
        <v>1165</v>
      </c>
      <c r="C104" s="9" t="b">
        <f>TRUE()</f>
        <v>1</v>
      </c>
      <c r="D104" s="10">
        <v>45895</v>
      </c>
      <c r="E104" s="10">
        <v>45870</v>
      </c>
      <c r="F104" s="9" t="s">
        <v>1360</v>
      </c>
      <c r="G104" s="11">
        <v>2454.4299999999998</v>
      </c>
      <c r="H104" s="11">
        <v>69.599999999999994</v>
      </c>
      <c r="I104" s="9" t="b">
        <f>TRUE()</f>
        <v>1</v>
      </c>
      <c r="J104" s="9" t="s">
        <v>1361</v>
      </c>
      <c r="K104" s="11">
        <v>69.599999999999994</v>
      </c>
      <c r="L104" s="9" t="s">
        <v>20</v>
      </c>
      <c r="M104" s="9" t="str">
        <f>IFERROR(INDEX(T_CleanCustomers[Sales_Rep_ID],MATCH(B104,T_CleanCustomers[Customer_ID],0)),"Unmatched")</f>
        <v>REP002</v>
      </c>
      <c r="N104" s="9" t="str">
        <f>IFERROR(INDEX(T_CleanCustomers[Channel],MATCH(B104,T_CleanCustomers[Customer_ID],0)),"Unmatched")</f>
        <v>Direct Sales</v>
      </c>
      <c r="O104" s="9" t="str">
        <f>IFERROR(INDEX(T_CleanCustomers[Product],MATCH(B104,T_CleanCustomers[Customer_ID],0)),"Unmatched")</f>
        <v>Fuel Card</v>
      </c>
      <c r="P104" s="9" t="str">
        <f>IFERROR(INDEX(T_CleanCustomers[Customer_Segment],MATCH(B104,T_CleanCustomers[Customer_ID],0)),"Unmatched")</f>
        <v>SME</v>
      </c>
    </row>
    <row r="105" spans="1:16" ht="15" customHeight="1" x14ac:dyDescent="0.2">
      <c r="A105" s="9" t="s">
        <v>1467</v>
      </c>
      <c r="B105" s="9" t="s">
        <v>1165</v>
      </c>
      <c r="C105" s="9" t="b">
        <f>TRUE()</f>
        <v>1</v>
      </c>
      <c r="D105" s="10">
        <v>45887</v>
      </c>
      <c r="E105" s="10">
        <v>45870</v>
      </c>
      <c r="F105" s="9" t="s">
        <v>1360</v>
      </c>
      <c r="G105" s="11">
        <v>4975.6099999999997</v>
      </c>
      <c r="H105" s="11">
        <v>113.14</v>
      </c>
      <c r="I105" s="9" t="b">
        <f>TRUE()</f>
        <v>1</v>
      </c>
      <c r="J105" s="9" t="s">
        <v>1361</v>
      </c>
      <c r="K105" s="11">
        <v>113.14</v>
      </c>
      <c r="L105" s="9" t="s">
        <v>20</v>
      </c>
      <c r="M105" s="9" t="str">
        <f>IFERROR(INDEX(T_CleanCustomers[Sales_Rep_ID],MATCH(B105,T_CleanCustomers[Customer_ID],0)),"Unmatched")</f>
        <v>REP002</v>
      </c>
      <c r="N105" s="9" t="str">
        <f>IFERROR(INDEX(T_CleanCustomers[Channel],MATCH(B105,T_CleanCustomers[Customer_ID],0)),"Unmatched")</f>
        <v>Direct Sales</v>
      </c>
      <c r="O105" s="9" t="str">
        <f>IFERROR(INDEX(T_CleanCustomers[Product],MATCH(B105,T_CleanCustomers[Customer_ID],0)),"Unmatched")</f>
        <v>Fuel Card</v>
      </c>
      <c r="P105" s="9" t="str">
        <f>IFERROR(INDEX(T_CleanCustomers[Customer_Segment],MATCH(B105,T_CleanCustomers[Customer_ID],0)),"Unmatched")</f>
        <v>SME</v>
      </c>
    </row>
    <row r="106" spans="1:16" ht="15" customHeight="1" x14ac:dyDescent="0.2">
      <c r="A106" s="9" t="s">
        <v>1468</v>
      </c>
      <c r="B106" s="9" t="s">
        <v>1165</v>
      </c>
      <c r="C106" s="9" t="b">
        <f>TRUE()</f>
        <v>1</v>
      </c>
      <c r="D106" s="10">
        <v>45896</v>
      </c>
      <c r="E106" s="10">
        <v>45870</v>
      </c>
      <c r="F106" s="9" t="s">
        <v>1360</v>
      </c>
      <c r="G106" s="11">
        <v>1924.37</v>
      </c>
      <c r="H106" s="11">
        <v>45.26</v>
      </c>
      <c r="I106" s="9" t="b">
        <f>TRUE()</f>
        <v>1</v>
      </c>
      <c r="J106" s="9" t="s">
        <v>1361</v>
      </c>
      <c r="K106" s="11">
        <v>45.26</v>
      </c>
      <c r="L106" s="9" t="s">
        <v>20</v>
      </c>
      <c r="M106" s="9" t="str">
        <f>IFERROR(INDEX(T_CleanCustomers[Sales_Rep_ID],MATCH(B106,T_CleanCustomers[Customer_ID],0)),"Unmatched")</f>
        <v>REP002</v>
      </c>
      <c r="N106" s="9" t="str">
        <f>IFERROR(INDEX(T_CleanCustomers[Channel],MATCH(B106,T_CleanCustomers[Customer_ID],0)),"Unmatched")</f>
        <v>Direct Sales</v>
      </c>
      <c r="O106" s="9" t="str">
        <f>IFERROR(INDEX(T_CleanCustomers[Product],MATCH(B106,T_CleanCustomers[Customer_ID],0)),"Unmatched")</f>
        <v>Fuel Card</v>
      </c>
      <c r="P106" s="9" t="str">
        <f>IFERROR(INDEX(T_CleanCustomers[Customer_Segment],MATCH(B106,T_CleanCustomers[Customer_ID],0)),"Unmatched")</f>
        <v>SME</v>
      </c>
    </row>
    <row r="107" spans="1:16" ht="15" customHeight="1" x14ac:dyDescent="0.2">
      <c r="A107" s="9" t="s">
        <v>1469</v>
      </c>
      <c r="B107" s="9" t="s">
        <v>1165</v>
      </c>
      <c r="C107" s="9" t="b">
        <f>TRUE()</f>
        <v>1</v>
      </c>
      <c r="D107" s="10">
        <v>45910</v>
      </c>
      <c r="E107" s="10">
        <v>45901</v>
      </c>
      <c r="F107" s="9" t="s">
        <v>1360</v>
      </c>
      <c r="G107" s="11">
        <v>1331.59</v>
      </c>
      <c r="H107" s="11">
        <v>28.6</v>
      </c>
      <c r="I107" s="9" t="b">
        <f>TRUE()</f>
        <v>1</v>
      </c>
      <c r="J107" s="9" t="s">
        <v>1361</v>
      </c>
      <c r="K107" s="11">
        <v>28.6</v>
      </c>
      <c r="L107" s="9" t="s">
        <v>20</v>
      </c>
      <c r="M107" s="9" t="str">
        <f>IFERROR(INDEX(T_CleanCustomers[Sales_Rep_ID],MATCH(B107,T_CleanCustomers[Customer_ID],0)),"Unmatched")</f>
        <v>REP002</v>
      </c>
      <c r="N107" s="9" t="str">
        <f>IFERROR(INDEX(T_CleanCustomers[Channel],MATCH(B107,T_CleanCustomers[Customer_ID],0)),"Unmatched")</f>
        <v>Direct Sales</v>
      </c>
      <c r="O107" s="9" t="str">
        <f>IFERROR(INDEX(T_CleanCustomers[Product],MATCH(B107,T_CleanCustomers[Customer_ID],0)),"Unmatched")</f>
        <v>Fuel Card</v>
      </c>
      <c r="P107" s="9" t="str">
        <f>IFERROR(INDEX(T_CleanCustomers[Customer_Segment],MATCH(B107,T_CleanCustomers[Customer_ID],0)),"Unmatched")</f>
        <v>SME</v>
      </c>
    </row>
    <row r="108" spans="1:16" ht="15" customHeight="1" x14ac:dyDescent="0.2">
      <c r="A108" s="9" t="s">
        <v>1470</v>
      </c>
      <c r="B108" s="9" t="s">
        <v>1165</v>
      </c>
      <c r="C108" s="9" t="b">
        <f>TRUE()</f>
        <v>1</v>
      </c>
      <c r="D108" s="10">
        <v>45916</v>
      </c>
      <c r="E108" s="10">
        <v>45901</v>
      </c>
      <c r="F108" s="9" t="s">
        <v>1360</v>
      </c>
      <c r="G108" s="11">
        <v>3796.35</v>
      </c>
      <c r="H108" s="11">
        <v>107.08</v>
      </c>
      <c r="I108" s="9" t="b">
        <f>TRUE()</f>
        <v>1</v>
      </c>
      <c r="J108" s="9" t="s">
        <v>1361</v>
      </c>
      <c r="K108" s="11">
        <v>107.08</v>
      </c>
      <c r="L108" s="9" t="s">
        <v>20</v>
      </c>
      <c r="M108" s="9" t="str">
        <f>IFERROR(INDEX(T_CleanCustomers[Sales_Rep_ID],MATCH(B108,T_CleanCustomers[Customer_ID],0)),"Unmatched")</f>
        <v>REP002</v>
      </c>
      <c r="N108" s="9" t="str">
        <f>IFERROR(INDEX(T_CleanCustomers[Channel],MATCH(B108,T_CleanCustomers[Customer_ID],0)),"Unmatched")</f>
        <v>Direct Sales</v>
      </c>
      <c r="O108" s="9" t="str">
        <f>IFERROR(INDEX(T_CleanCustomers[Product],MATCH(B108,T_CleanCustomers[Customer_ID],0)),"Unmatched")</f>
        <v>Fuel Card</v>
      </c>
      <c r="P108" s="9" t="str">
        <f>IFERROR(INDEX(T_CleanCustomers[Customer_Segment],MATCH(B108,T_CleanCustomers[Customer_ID],0)),"Unmatched")</f>
        <v>SME</v>
      </c>
    </row>
    <row r="109" spans="1:16" ht="15" customHeight="1" x14ac:dyDescent="0.2">
      <c r="A109" s="9" t="s">
        <v>1471</v>
      </c>
      <c r="B109" s="9" t="s">
        <v>1165</v>
      </c>
      <c r="C109" s="9" t="b">
        <f>TRUE()</f>
        <v>1</v>
      </c>
      <c r="D109" s="10">
        <v>45952</v>
      </c>
      <c r="E109" s="10">
        <v>45931</v>
      </c>
      <c r="F109" s="9" t="s">
        <v>1360</v>
      </c>
      <c r="G109" s="11">
        <v>4540.18</v>
      </c>
      <c r="H109" s="11">
        <v>127.65</v>
      </c>
      <c r="I109" s="9" t="b">
        <f>TRUE()</f>
        <v>1</v>
      </c>
      <c r="J109" s="9" t="s">
        <v>1361</v>
      </c>
      <c r="K109" s="11">
        <v>127.65</v>
      </c>
      <c r="L109" s="9" t="s">
        <v>20</v>
      </c>
      <c r="M109" s="9" t="str">
        <f>IFERROR(INDEX(T_CleanCustomers[Sales_Rep_ID],MATCH(B109,T_CleanCustomers[Customer_ID],0)),"Unmatched")</f>
        <v>REP002</v>
      </c>
      <c r="N109" s="9" t="str">
        <f>IFERROR(INDEX(T_CleanCustomers[Channel],MATCH(B109,T_CleanCustomers[Customer_ID],0)),"Unmatched")</f>
        <v>Direct Sales</v>
      </c>
      <c r="O109" s="9" t="str">
        <f>IFERROR(INDEX(T_CleanCustomers[Product],MATCH(B109,T_CleanCustomers[Customer_ID],0)),"Unmatched")</f>
        <v>Fuel Card</v>
      </c>
      <c r="P109" s="9" t="str">
        <f>IFERROR(INDEX(T_CleanCustomers[Customer_Segment],MATCH(B109,T_CleanCustomers[Customer_ID],0)),"Unmatched")</f>
        <v>SME</v>
      </c>
    </row>
    <row r="110" spans="1:16" ht="15" customHeight="1" x14ac:dyDescent="0.2">
      <c r="A110" s="9" t="s">
        <v>1472</v>
      </c>
      <c r="B110" s="9" t="s">
        <v>1165</v>
      </c>
      <c r="C110" s="9" t="b">
        <f>TRUE()</f>
        <v>1</v>
      </c>
      <c r="D110" s="10">
        <v>45965</v>
      </c>
      <c r="E110" s="10">
        <v>45962</v>
      </c>
      <c r="F110" s="9" t="s">
        <v>1360</v>
      </c>
      <c r="G110" s="11">
        <v>2210.44</v>
      </c>
      <c r="H110" s="11">
        <v>58.94</v>
      </c>
      <c r="I110" s="9" t="b">
        <f>TRUE()</f>
        <v>1</v>
      </c>
      <c r="J110" s="9" t="s">
        <v>1361</v>
      </c>
      <c r="K110" s="11">
        <v>58.94</v>
      </c>
      <c r="L110" s="9" t="s">
        <v>20</v>
      </c>
      <c r="M110" s="9" t="str">
        <f>IFERROR(INDEX(T_CleanCustomers[Sales_Rep_ID],MATCH(B110,T_CleanCustomers[Customer_ID],0)),"Unmatched")</f>
        <v>REP002</v>
      </c>
      <c r="N110" s="9" t="str">
        <f>IFERROR(INDEX(T_CleanCustomers[Channel],MATCH(B110,T_CleanCustomers[Customer_ID],0)),"Unmatched")</f>
        <v>Direct Sales</v>
      </c>
      <c r="O110" s="9" t="str">
        <f>IFERROR(INDEX(T_CleanCustomers[Product],MATCH(B110,T_CleanCustomers[Customer_ID],0)),"Unmatched")</f>
        <v>Fuel Card</v>
      </c>
      <c r="P110" s="9" t="str">
        <f>IFERROR(INDEX(T_CleanCustomers[Customer_Segment],MATCH(B110,T_CleanCustomers[Customer_ID],0)),"Unmatched")</f>
        <v>SME</v>
      </c>
    </row>
    <row r="111" spans="1:16" ht="15" customHeight="1" x14ac:dyDescent="0.2">
      <c r="A111" s="9" t="s">
        <v>1473</v>
      </c>
      <c r="B111" s="9" t="s">
        <v>1165</v>
      </c>
      <c r="C111" s="9" t="b">
        <f>TRUE()</f>
        <v>1</v>
      </c>
      <c r="D111" s="10">
        <v>45965</v>
      </c>
      <c r="E111" s="10">
        <v>45962</v>
      </c>
      <c r="F111" s="9" t="s">
        <v>1360</v>
      </c>
      <c r="G111" s="11">
        <v>4948.92</v>
      </c>
      <c r="H111" s="11">
        <v>114.89</v>
      </c>
      <c r="I111" s="9" t="b">
        <f>TRUE()</f>
        <v>1</v>
      </c>
      <c r="J111" s="9" t="s">
        <v>1361</v>
      </c>
      <c r="K111" s="11">
        <v>114.89</v>
      </c>
      <c r="L111" s="9" t="s">
        <v>20</v>
      </c>
      <c r="M111" s="9" t="str">
        <f>IFERROR(INDEX(T_CleanCustomers[Sales_Rep_ID],MATCH(B111,T_CleanCustomers[Customer_ID],0)),"Unmatched")</f>
        <v>REP002</v>
      </c>
      <c r="N111" s="9" t="str">
        <f>IFERROR(INDEX(T_CleanCustomers[Channel],MATCH(B111,T_CleanCustomers[Customer_ID],0)),"Unmatched")</f>
        <v>Direct Sales</v>
      </c>
      <c r="O111" s="9" t="str">
        <f>IFERROR(INDEX(T_CleanCustomers[Product],MATCH(B111,T_CleanCustomers[Customer_ID],0)),"Unmatched")</f>
        <v>Fuel Card</v>
      </c>
      <c r="P111" s="9" t="str">
        <f>IFERROR(INDEX(T_CleanCustomers[Customer_Segment],MATCH(B111,T_CleanCustomers[Customer_ID],0)),"Unmatched")</f>
        <v>SME</v>
      </c>
    </row>
    <row r="112" spans="1:16" ht="15" customHeight="1" x14ac:dyDescent="0.2">
      <c r="A112" s="9" t="s">
        <v>1474</v>
      </c>
      <c r="B112" s="9" t="s">
        <v>1165</v>
      </c>
      <c r="C112" s="9" t="b">
        <f>TRUE()</f>
        <v>1</v>
      </c>
      <c r="D112" s="10">
        <v>46007</v>
      </c>
      <c r="E112" s="10">
        <v>45992</v>
      </c>
      <c r="F112" s="9" t="s">
        <v>1360</v>
      </c>
      <c r="G112" s="11">
        <v>3580.33</v>
      </c>
      <c r="H112" s="11">
        <v>96.19</v>
      </c>
      <c r="I112" s="9" t="b">
        <f>TRUE()</f>
        <v>1</v>
      </c>
      <c r="J112" s="9" t="s">
        <v>1361</v>
      </c>
      <c r="K112" s="11">
        <v>96.19</v>
      </c>
      <c r="L112" s="9" t="s">
        <v>20</v>
      </c>
      <c r="M112" s="9" t="str">
        <f>IFERROR(INDEX(T_CleanCustomers[Sales_Rep_ID],MATCH(B112,T_CleanCustomers[Customer_ID],0)),"Unmatched")</f>
        <v>REP002</v>
      </c>
      <c r="N112" s="9" t="str">
        <f>IFERROR(INDEX(T_CleanCustomers[Channel],MATCH(B112,T_CleanCustomers[Customer_ID],0)),"Unmatched")</f>
        <v>Direct Sales</v>
      </c>
      <c r="O112" s="9" t="str">
        <f>IFERROR(INDEX(T_CleanCustomers[Product],MATCH(B112,T_CleanCustomers[Customer_ID],0)),"Unmatched")</f>
        <v>Fuel Card</v>
      </c>
      <c r="P112" s="9" t="str">
        <f>IFERROR(INDEX(T_CleanCustomers[Customer_Segment],MATCH(B112,T_CleanCustomers[Customer_ID],0)),"Unmatched")</f>
        <v>SME</v>
      </c>
    </row>
    <row r="113" spans="1:16" ht="15" customHeight="1" x14ac:dyDescent="0.2">
      <c r="A113" s="9" t="s">
        <v>1475</v>
      </c>
      <c r="B113" s="9" t="s">
        <v>1165</v>
      </c>
      <c r="C113" s="9" t="b">
        <f>TRUE()</f>
        <v>1</v>
      </c>
      <c r="D113" s="10">
        <v>46011</v>
      </c>
      <c r="E113" s="10">
        <v>45992</v>
      </c>
      <c r="F113" s="9" t="s">
        <v>1360</v>
      </c>
      <c r="G113" s="11">
        <v>4453.6099999999997</v>
      </c>
      <c r="H113" s="11">
        <v>97.27</v>
      </c>
      <c r="I113" s="9" t="b">
        <f>TRUE()</f>
        <v>1</v>
      </c>
      <c r="J113" s="9" t="s">
        <v>1361</v>
      </c>
      <c r="K113" s="11">
        <v>97.27</v>
      </c>
      <c r="L113" s="9" t="s">
        <v>20</v>
      </c>
      <c r="M113" s="9" t="str">
        <f>IFERROR(INDEX(T_CleanCustomers[Sales_Rep_ID],MATCH(B113,T_CleanCustomers[Customer_ID],0)),"Unmatched")</f>
        <v>REP002</v>
      </c>
      <c r="N113" s="9" t="str">
        <f>IFERROR(INDEX(T_CleanCustomers[Channel],MATCH(B113,T_CleanCustomers[Customer_ID],0)),"Unmatched")</f>
        <v>Direct Sales</v>
      </c>
      <c r="O113" s="9" t="str">
        <f>IFERROR(INDEX(T_CleanCustomers[Product],MATCH(B113,T_CleanCustomers[Customer_ID],0)),"Unmatched")</f>
        <v>Fuel Card</v>
      </c>
      <c r="P113" s="9" t="str">
        <f>IFERROR(INDEX(T_CleanCustomers[Customer_Segment],MATCH(B113,T_CleanCustomers[Customer_ID],0)),"Unmatched")</f>
        <v>SME</v>
      </c>
    </row>
    <row r="114" spans="1:16" ht="15" customHeight="1" x14ac:dyDescent="0.2">
      <c r="A114" s="9" t="s">
        <v>123</v>
      </c>
      <c r="B114" s="9" t="s">
        <v>1165</v>
      </c>
      <c r="C114" s="9" t="b">
        <f>TRUE()</f>
        <v>1</v>
      </c>
      <c r="D114" s="10">
        <v>46002</v>
      </c>
      <c r="E114" s="10">
        <v>45992</v>
      </c>
      <c r="F114" s="9" t="s">
        <v>1360</v>
      </c>
      <c r="G114" s="11">
        <v>1742.23</v>
      </c>
      <c r="H114" s="11">
        <v>-44.57</v>
      </c>
      <c r="I114" s="9" t="b">
        <f>FALSE()</f>
        <v>0</v>
      </c>
      <c r="J114" s="9" t="s">
        <v>1361</v>
      </c>
      <c r="K114" s="11">
        <v>0</v>
      </c>
      <c r="L114" s="9" t="s">
        <v>20</v>
      </c>
      <c r="M114" s="9" t="str">
        <f>IFERROR(INDEX(T_CleanCustomers[Sales_Rep_ID],MATCH(B114,T_CleanCustomers[Customer_ID],0)),"Unmatched")</f>
        <v>REP002</v>
      </c>
      <c r="N114" s="9" t="str">
        <f>IFERROR(INDEX(T_CleanCustomers[Channel],MATCH(B114,T_CleanCustomers[Customer_ID],0)),"Unmatched")</f>
        <v>Direct Sales</v>
      </c>
      <c r="O114" s="9" t="str">
        <f>IFERROR(INDEX(T_CleanCustomers[Product],MATCH(B114,T_CleanCustomers[Customer_ID],0)),"Unmatched")</f>
        <v>Fuel Card</v>
      </c>
      <c r="P114" s="9" t="str">
        <f>IFERROR(INDEX(T_CleanCustomers[Customer_Segment],MATCH(B114,T_CleanCustomers[Customer_ID],0)),"Unmatched")</f>
        <v>SME</v>
      </c>
    </row>
    <row r="115" spans="1:16" ht="15" customHeight="1" x14ac:dyDescent="0.2">
      <c r="A115" s="9" t="s">
        <v>1476</v>
      </c>
      <c r="B115" s="9" t="s">
        <v>1166</v>
      </c>
      <c r="C115" s="9" t="b">
        <f>TRUE()</f>
        <v>1</v>
      </c>
      <c r="D115" s="10">
        <v>45802</v>
      </c>
      <c r="E115" s="10">
        <v>45778</v>
      </c>
      <c r="F115" s="9" t="s">
        <v>1360</v>
      </c>
      <c r="G115" s="11">
        <v>4569.18</v>
      </c>
      <c r="H115" s="11">
        <v>133.16999999999999</v>
      </c>
      <c r="I115" s="9" t="b">
        <f>TRUE()</f>
        <v>1</v>
      </c>
      <c r="J115" s="9" t="s">
        <v>1361</v>
      </c>
      <c r="K115" s="11">
        <v>133.16999999999999</v>
      </c>
      <c r="L115" s="9" t="s">
        <v>22</v>
      </c>
      <c r="M115" s="9" t="str">
        <f>IFERROR(INDEX(T_CleanCustomers[Sales_Rep_ID],MATCH(B115,T_CleanCustomers[Customer_ID],0)),"Unmatched")</f>
        <v>REP006</v>
      </c>
      <c r="N115" s="9" t="str">
        <f>IFERROR(INDEX(T_CleanCustomers[Channel],MATCH(B115,T_CleanCustomers[Customer_ID],0)),"Unmatched")</f>
        <v>Direct Sales</v>
      </c>
      <c r="O115" s="9" t="str">
        <f>IFERROR(INDEX(T_CleanCustomers[Product],MATCH(B115,T_CleanCustomers[Customer_ID],0)),"Unmatched")</f>
        <v>Fleet Expense Card</v>
      </c>
      <c r="P115" s="9" t="str">
        <f>IFERROR(INDEX(T_CleanCustomers[Customer_Segment],MATCH(B115,T_CleanCustomers[Customer_ID],0)),"Unmatched")</f>
        <v>SME</v>
      </c>
    </row>
    <row r="116" spans="1:16" ht="15" customHeight="1" x14ac:dyDescent="0.2">
      <c r="A116" s="9" t="s">
        <v>1477</v>
      </c>
      <c r="B116" s="9" t="s">
        <v>1166</v>
      </c>
      <c r="C116" s="9" t="b">
        <f>TRUE()</f>
        <v>1</v>
      </c>
      <c r="D116" s="10">
        <v>45831</v>
      </c>
      <c r="E116" s="10">
        <v>45809</v>
      </c>
      <c r="F116" s="9" t="s">
        <v>1360</v>
      </c>
      <c r="G116" s="11">
        <v>3595.03</v>
      </c>
      <c r="H116" s="11">
        <v>92.35</v>
      </c>
      <c r="I116" s="9" t="b">
        <f>TRUE()</f>
        <v>1</v>
      </c>
      <c r="J116" s="9" t="s">
        <v>1361</v>
      </c>
      <c r="K116" s="11">
        <v>92.35</v>
      </c>
      <c r="L116" s="9" t="s">
        <v>22</v>
      </c>
      <c r="M116" s="9" t="str">
        <f>IFERROR(INDEX(T_CleanCustomers[Sales_Rep_ID],MATCH(B116,T_CleanCustomers[Customer_ID],0)),"Unmatched")</f>
        <v>REP006</v>
      </c>
      <c r="N116" s="9" t="str">
        <f>IFERROR(INDEX(T_CleanCustomers[Channel],MATCH(B116,T_CleanCustomers[Customer_ID],0)),"Unmatched")</f>
        <v>Direct Sales</v>
      </c>
      <c r="O116" s="9" t="str">
        <f>IFERROR(INDEX(T_CleanCustomers[Product],MATCH(B116,T_CleanCustomers[Customer_ID],0)),"Unmatched")</f>
        <v>Fleet Expense Card</v>
      </c>
      <c r="P116" s="9" t="str">
        <f>IFERROR(INDEX(T_CleanCustomers[Customer_Segment],MATCH(B116,T_CleanCustomers[Customer_ID],0)),"Unmatched")</f>
        <v>SME</v>
      </c>
    </row>
    <row r="117" spans="1:16" ht="15" customHeight="1" x14ac:dyDescent="0.2">
      <c r="A117" s="9" t="s">
        <v>1478</v>
      </c>
      <c r="B117" s="9" t="s">
        <v>1166</v>
      </c>
      <c r="C117" s="9" t="b">
        <f>TRUE()</f>
        <v>1</v>
      </c>
      <c r="D117" s="10">
        <v>45851</v>
      </c>
      <c r="E117" s="10">
        <v>45839</v>
      </c>
      <c r="F117" s="9" t="s">
        <v>1479</v>
      </c>
      <c r="G117" s="11">
        <v>4144.33</v>
      </c>
      <c r="H117" s="11">
        <v>96.7</v>
      </c>
      <c r="I117" s="9" t="b">
        <f>TRUE()</f>
        <v>1</v>
      </c>
      <c r="J117" s="9" t="s">
        <v>1361</v>
      </c>
      <c r="K117" s="11">
        <v>96.7</v>
      </c>
      <c r="L117" s="9" t="s">
        <v>22</v>
      </c>
      <c r="M117" s="9" t="str">
        <f>IFERROR(INDEX(T_CleanCustomers[Sales_Rep_ID],MATCH(B117,T_CleanCustomers[Customer_ID],0)),"Unmatched")</f>
        <v>REP006</v>
      </c>
      <c r="N117" s="9" t="str">
        <f>IFERROR(INDEX(T_CleanCustomers[Channel],MATCH(B117,T_CleanCustomers[Customer_ID],0)),"Unmatched")</f>
        <v>Direct Sales</v>
      </c>
      <c r="O117" s="9" t="str">
        <f>IFERROR(INDEX(T_CleanCustomers[Product],MATCH(B117,T_CleanCustomers[Customer_ID],0)),"Unmatched")</f>
        <v>Fleet Expense Card</v>
      </c>
      <c r="P117" s="9" t="str">
        <f>IFERROR(INDEX(T_CleanCustomers[Customer_Segment],MATCH(B117,T_CleanCustomers[Customer_ID],0)),"Unmatched")</f>
        <v>SME</v>
      </c>
    </row>
    <row r="118" spans="1:16" ht="15" customHeight="1" x14ac:dyDescent="0.2">
      <c r="A118" s="9" t="s">
        <v>1480</v>
      </c>
      <c r="B118" s="9" t="s">
        <v>1166</v>
      </c>
      <c r="C118" s="9" t="b">
        <f>TRUE()</f>
        <v>1</v>
      </c>
      <c r="D118" s="10">
        <v>45848</v>
      </c>
      <c r="E118" s="10">
        <v>45839</v>
      </c>
      <c r="F118" s="9" t="s">
        <v>1481</v>
      </c>
      <c r="G118" s="11">
        <v>1896.67</v>
      </c>
      <c r="H118" s="11">
        <v>57.61</v>
      </c>
      <c r="I118" s="9" t="b">
        <f>TRUE()</f>
        <v>1</v>
      </c>
      <c r="J118" s="9" t="s">
        <v>1361</v>
      </c>
      <c r="K118" s="11">
        <v>57.61</v>
      </c>
      <c r="L118" s="9" t="s">
        <v>22</v>
      </c>
      <c r="M118" s="9" t="str">
        <f>IFERROR(INDEX(T_CleanCustomers[Sales_Rep_ID],MATCH(B118,T_CleanCustomers[Customer_ID],0)),"Unmatched")</f>
        <v>REP006</v>
      </c>
      <c r="N118" s="9" t="str">
        <f>IFERROR(INDEX(T_CleanCustomers[Channel],MATCH(B118,T_CleanCustomers[Customer_ID],0)),"Unmatched")</f>
        <v>Direct Sales</v>
      </c>
      <c r="O118" s="9" t="str">
        <f>IFERROR(INDEX(T_CleanCustomers[Product],MATCH(B118,T_CleanCustomers[Customer_ID],0)),"Unmatched")</f>
        <v>Fleet Expense Card</v>
      </c>
      <c r="P118" s="9" t="str">
        <f>IFERROR(INDEX(T_CleanCustomers[Customer_Segment],MATCH(B118,T_CleanCustomers[Customer_ID],0)),"Unmatched")</f>
        <v>SME</v>
      </c>
    </row>
    <row r="119" spans="1:16" ht="15" customHeight="1" x14ac:dyDescent="0.2">
      <c r="A119" s="9" t="s">
        <v>1482</v>
      </c>
      <c r="B119" s="9" t="s">
        <v>1166</v>
      </c>
      <c r="C119" s="9" t="b">
        <f>TRUE()</f>
        <v>1</v>
      </c>
      <c r="D119" s="10">
        <v>45883</v>
      </c>
      <c r="E119" s="10">
        <v>45870</v>
      </c>
      <c r="F119" s="9" t="s">
        <v>1479</v>
      </c>
      <c r="G119" s="11">
        <v>4379.4399999999996</v>
      </c>
      <c r="H119" s="11">
        <v>127.13</v>
      </c>
      <c r="I119" s="9" t="b">
        <f>TRUE()</f>
        <v>1</v>
      </c>
      <c r="J119" s="9" t="s">
        <v>1361</v>
      </c>
      <c r="K119" s="11">
        <v>127.13</v>
      </c>
      <c r="L119" s="9" t="s">
        <v>22</v>
      </c>
      <c r="M119" s="9" t="str">
        <f>IFERROR(INDEX(T_CleanCustomers[Sales_Rep_ID],MATCH(B119,T_CleanCustomers[Customer_ID],0)),"Unmatched")</f>
        <v>REP006</v>
      </c>
      <c r="N119" s="9" t="str">
        <f>IFERROR(INDEX(T_CleanCustomers[Channel],MATCH(B119,T_CleanCustomers[Customer_ID],0)),"Unmatched")</f>
        <v>Direct Sales</v>
      </c>
      <c r="O119" s="9" t="str">
        <f>IFERROR(INDEX(T_CleanCustomers[Product],MATCH(B119,T_CleanCustomers[Customer_ID],0)),"Unmatched")</f>
        <v>Fleet Expense Card</v>
      </c>
      <c r="P119" s="9" t="str">
        <f>IFERROR(INDEX(T_CleanCustomers[Customer_Segment],MATCH(B119,T_CleanCustomers[Customer_ID],0)),"Unmatched")</f>
        <v>SME</v>
      </c>
    </row>
    <row r="120" spans="1:16" ht="15" customHeight="1" x14ac:dyDescent="0.2">
      <c r="A120" s="9" t="s">
        <v>1483</v>
      </c>
      <c r="B120" s="9" t="s">
        <v>1166</v>
      </c>
      <c r="C120" s="9" t="b">
        <f>TRUE()</f>
        <v>1</v>
      </c>
      <c r="D120" s="10">
        <v>45904</v>
      </c>
      <c r="E120" s="10">
        <v>45901</v>
      </c>
      <c r="F120" s="9" t="s">
        <v>1360</v>
      </c>
      <c r="G120" s="11">
        <v>2181.37</v>
      </c>
      <c r="H120" s="11">
        <v>56.96</v>
      </c>
      <c r="I120" s="9" t="b">
        <f>TRUE()</f>
        <v>1</v>
      </c>
      <c r="J120" s="9" t="s">
        <v>1361</v>
      </c>
      <c r="K120" s="11">
        <v>56.96</v>
      </c>
      <c r="L120" s="9" t="s">
        <v>22</v>
      </c>
      <c r="M120" s="9" t="str">
        <f>IFERROR(INDEX(T_CleanCustomers[Sales_Rep_ID],MATCH(B120,T_CleanCustomers[Customer_ID],0)),"Unmatched")</f>
        <v>REP006</v>
      </c>
      <c r="N120" s="9" t="str">
        <f>IFERROR(INDEX(T_CleanCustomers[Channel],MATCH(B120,T_CleanCustomers[Customer_ID],0)),"Unmatched")</f>
        <v>Direct Sales</v>
      </c>
      <c r="O120" s="9" t="str">
        <f>IFERROR(INDEX(T_CleanCustomers[Product],MATCH(B120,T_CleanCustomers[Customer_ID],0)),"Unmatched")</f>
        <v>Fleet Expense Card</v>
      </c>
      <c r="P120" s="9" t="str">
        <f>IFERROR(INDEX(T_CleanCustomers[Customer_Segment],MATCH(B120,T_CleanCustomers[Customer_ID],0)),"Unmatched")</f>
        <v>SME</v>
      </c>
    </row>
    <row r="121" spans="1:16" ht="15" customHeight="1" x14ac:dyDescent="0.2">
      <c r="A121" s="9" t="s">
        <v>1484</v>
      </c>
      <c r="B121" s="9" t="s">
        <v>1166</v>
      </c>
      <c r="C121" s="9" t="b">
        <f>TRUE()</f>
        <v>1</v>
      </c>
      <c r="D121" s="10">
        <v>45924</v>
      </c>
      <c r="E121" s="10">
        <v>45901</v>
      </c>
      <c r="F121" s="9" t="s">
        <v>1481</v>
      </c>
      <c r="G121" s="11">
        <v>4271.34</v>
      </c>
      <c r="H121" s="11">
        <v>102.75</v>
      </c>
      <c r="I121" s="9" t="b">
        <f>TRUE()</f>
        <v>1</v>
      </c>
      <c r="J121" s="9" t="s">
        <v>1361</v>
      </c>
      <c r="K121" s="11">
        <v>102.75</v>
      </c>
      <c r="L121" s="9" t="s">
        <v>22</v>
      </c>
      <c r="M121" s="9" t="str">
        <f>IFERROR(INDEX(T_CleanCustomers[Sales_Rep_ID],MATCH(B121,T_CleanCustomers[Customer_ID],0)),"Unmatched")</f>
        <v>REP006</v>
      </c>
      <c r="N121" s="9" t="str">
        <f>IFERROR(INDEX(T_CleanCustomers[Channel],MATCH(B121,T_CleanCustomers[Customer_ID],0)),"Unmatched")</f>
        <v>Direct Sales</v>
      </c>
      <c r="O121" s="9" t="str">
        <f>IFERROR(INDEX(T_CleanCustomers[Product],MATCH(B121,T_CleanCustomers[Customer_ID],0)),"Unmatched")</f>
        <v>Fleet Expense Card</v>
      </c>
      <c r="P121" s="9" t="str">
        <f>IFERROR(INDEX(T_CleanCustomers[Customer_Segment],MATCH(B121,T_CleanCustomers[Customer_ID],0)),"Unmatched")</f>
        <v>SME</v>
      </c>
    </row>
    <row r="122" spans="1:16" ht="15" customHeight="1" x14ac:dyDescent="0.2">
      <c r="A122" s="9" t="s">
        <v>1485</v>
      </c>
      <c r="B122" s="9" t="s">
        <v>1166</v>
      </c>
      <c r="C122" s="9" t="b">
        <f>TRUE()</f>
        <v>1</v>
      </c>
      <c r="D122" s="10">
        <v>45934</v>
      </c>
      <c r="E122" s="10">
        <v>45931</v>
      </c>
      <c r="F122" s="9" t="s">
        <v>1481</v>
      </c>
      <c r="G122" s="11">
        <v>2363.6999999999998</v>
      </c>
      <c r="H122" s="11">
        <v>63.82</v>
      </c>
      <c r="I122" s="9" t="b">
        <f>TRUE()</f>
        <v>1</v>
      </c>
      <c r="J122" s="9" t="s">
        <v>1361</v>
      </c>
      <c r="K122" s="11">
        <v>63.82</v>
      </c>
      <c r="L122" s="9" t="s">
        <v>22</v>
      </c>
      <c r="M122" s="9" t="str">
        <f>IFERROR(INDEX(T_CleanCustomers[Sales_Rep_ID],MATCH(B122,T_CleanCustomers[Customer_ID],0)),"Unmatched")</f>
        <v>REP006</v>
      </c>
      <c r="N122" s="9" t="str">
        <f>IFERROR(INDEX(T_CleanCustomers[Channel],MATCH(B122,T_CleanCustomers[Customer_ID],0)),"Unmatched")</f>
        <v>Direct Sales</v>
      </c>
      <c r="O122" s="9" t="str">
        <f>IFERROR(INDEX(T_CleanCustomers[Product],MATCH(B122,T_CleanCustomers[Customer_ID],0)),"Unmatched")</f>
        <v>Fleet Expense Card</v>
      </c>
      <c r="P122" s="9" t="str">
        <f>IFERROR(INDEX(T_CleanCustomers[Customer_Segment],MATCH(B122,T_CleanCustomers[Customer_ID],0)),"Unmatched")</f>
        <v>SME</v>
      </c>
    </row>
    <row r="123" spans="1:16" ht="15" customHeight="1" x14ac:dyDescent="0.2">
      <c r="A123" s="9" t="s">
        <v>1486</v>
      </c>
      <c r="B123" s="9" t="s">
        <v>1166</v>
      </c>
      <c r="C123" s="9" t="b">
        <f>TRUE()</f>
        <v>1</v>
      </c>
      <c r="D123" s="10">
        <v>45960</v>
      </c>
      <c r="E123" s="10">
        <v>45931</v>
      </c>
      <c r="F123" s="9" t="s">
        <v>1481</v>
      </c>
      <c r="G123" s="11">
        <v>2927.4</v>
      </c>
      <c r="H123" s="11">
        <v>88.42</v>
      </c>
      <c r="I123" s="9" t="b">
        <f>TRUE()</f>
        <v>1</v>
      </c>
      <c r="J123" s="9" t="s">
        <v>1361</v>
      </c>
      <c r="K123" s="11">
        <v>88.42</v>
      </c>
      <c r="L123" s="9" t="s">
        <v>22</v>
      </c>
      <c r="M123" s="9" t="str">
        <f>IFERROR(INDEX(T_CleanCustomers[Sales_Rep_ID],MATCH(B123,T_CleanCustomers[Customer_ID],0)),"Unmatched")</f>
        <v>REP006</v>
      </c>
      <c r="N123" s="9" t="str">
        <f>IFERROR(INDEX(T_CleanCustomers[Channel],MATCH(B123,T_CleanCustomers[Customer_ID],0)),"Unmatched")</f>
        <v>Direct Sales</v>
      </c>
      <c r="O123" s="9" t="str">
        <f>IFERROR(INDEX(T_CleanCustomers[Product],MATCH(B123,T_CleanCustomers[Customer_ID],0)),"Unmatched")</f>
        <v>Fleet Expense Card</v>
      </c>
      <c r="P123" s="9" t="str">
        <f>IFERROR(INDEX(T_CleanCustomers[Customer_Segment],MATCH(B123,T_CleanCustomers[Customer_ID],0)),"Unmatched")</f>
        <v>SME</v>
      </c>
    </row>
    <row r="124" spans="1:16" ht="15" customHeight="1" x14ac:dyDescent="0.2">
      <c r="A124" s="9" t="s">
        <v>1487</v>
      </c>
      <c r="B124" s="9" t="s">
        <v>1166</v>
      </c>
      <c r="C124" s="9" t="b">
        <f>TRUE()</f>
        <v>1</v>
      </c>
      <c r="D124" s="10">
        <v>45953</v>
      </c>
      <c r="E124" s="10">
        <v>45931</v>
      </c>
      <c r="F124" s="9" t="s">
        <v>1481</v>
      </c>
      <c r="G124" s="11">
        <v>4254.25</v>
      </c>
      <c r="H124" s="11">
        <v>117.86</v>
      </c>
      <c r="I124" s="9" t="b">
        <f>TRUE()</f>
        <v>1</v>
      </c>
      <c r="J124" s="9" t="s">
        <v>1361</v>
      </c>
      <c r="K124" s="11">
        <v>117.86</v>
      </c>
      <c r="L124" s="9" t="s">
        <v>22</v>
      </c>
      <c r="M124" s="9" t="str">
        <f>IFERROR(INDEX(T_CleanCustomers[Sales_Rep_ID],MATCH(B124,T_CleanCustomers[Customer_ID],0)),"Unmatched")</f>
        <v>REP006</v>
      </c>
      <c r="N124" s="9" t="str">
        <f>IFERROR(INDEX(T_CleanCustomers[Channel],MATCH(B124,T_CleanCustomers[Customer_ID],0)),"Unmatched")</f>
        <v>Direct Sales</v>
      </c>
      <c r="O124" s="9" t="str">
        <f>IFERROR(INDEX(T_CleanCustomers[Product],MATCH(B124,T_CleanCustomers[Customer_ID],0)),"Unmatched")</f>
        <v>Fleet Expense Card</v>
      </c>
      <c r="P124" s="9" t="str">
        <f>IFERROR(INDEX(T_CleanCustomers[Customer_Segment],MATCH(B124,T_CleanCustomers[Customer_ID],0)),"Unmatched")</f>
        <v>SME</v>
      </c>
    </row>
    <row r="125" spans="1:16" ht="15" customHeight="1" x14ac:dyDescent="0.2">
      <c r="A125" s="9" t="s">
        <v>1488</v>
      </c>
      <c r="B125" s="9" t="s">
        <v>1166</v>
      </c>
      <c r="C125" s="9" t="b">
        <f>TRUE()</f>
        <v>1</v>
      </c>
      <c r="D125" s="10">
        <v>45973</v>
      </c>
      <c r="E125" s="10">
        <v>45962</v>
      </c>
      <c r="F125" s="9" t="s">
        <v>1360</v>
      </c>
      <c r="G125" s="11">
        <v>4178.95</v>
      </c>
      <c r="H125" s="11">
        <v>127.75</v>
      </c>
      <c r="I125" s="9" t="b">
        <f>TRUE()</f>
        <v>1</v>
      </c>
      <c r="J125" s="9" t="s">
        <v>1361</v>
      </c>
      <c r="K125" s="11">
        <v>127.75</v>
      </c>
      <c r="L125" s="9" t="s">
        <v>22</v>
      </c>
      <c r="M125" s="9" t="str">
        <f>IFERROR(INDEX(T_CleanCustomers[Sales_Rep_ID],MATCH(B125,T_CleanCustomers[Customer_ID],0)),"Unmatched")</f>
        <v>REP006</v>
      </c>
      <c r="N125" s="9" t="str">
        <f>IFERROR(INDEX(T_CleanCustomers[Channel],MATCH(B125,T_CleanCustomers[Customer_ID],0)),"Unmatched")</f>
        <v>Direct Sales</v>
      </c>
      <c r="O125" s="9" t="str">
        <f>IFERROR(INDEX(T_CleanCustomers[Product],MATCH(B125,T_CleanCustomers[Customer_ID],0)),"Unmatched")</f>
        <v>Fleet Expense Card</v>
      </c>
      <c r="P125" s="9" t="str">
        <f>IFERROR(INDEX(T_CleanCustomers[Customer_Segment],MATCH(B125,T_CleanCustomers[Customer_ID],0)),"Unmatched")</f>
        <v>SME</v>
      </c>
    </row>
    <row r="126" spans="1:16" ht="15" customHeight="1" x14ac:dyDescent="0.2">
      <c r="A126" s="9" t="s">
        <v>1489</v>
      </c>
      <c r="B126" s="9" t="s">
        <v>1166</v>
      </c>
      <c r="C126" s="9" t="b">
        <f>TRUE()</f>
        <v>1</v>
      </c>
      <c r="D126" s="10">
        <v>45989</v>
      </c>
      <c r="E126" s="10">
        <v>45962</v>
      </c>
      <c r="F126" s="9" t="s">
        <v>1360</v>
      </c>
      <c r="G126" s="11">
        <v>1933.71</v>
      </c>
      <c r="H126" s="11">
        <v>54.98</v>
      </c>
      <c r="I126" s="9" t="b">
        <f>TRUE()</f>
        <v>1</v>
      </c>
      <c r="J126" s="9" t="s">
        <v>1361</v>
      </c>
      <c r="K126" s="11">
        <v>54.98</v>
      </c>
      <c r="L126" s="9" t="s">
        <v>22</v>
      </c>
      <c r="M126" s="9" t="str">
        <f>IFERROR(INDEX(T_CleanCustomers[Sales_Rep_ID],MATCH(B126,T_CleanCustomers[Customer_ID],0)),"Unmatched")</f>
        <v>REP006</v>
      </c>
      <c r="N126" s="9" t="str">
        <f>IFERROR(INDEX(T_CleanCustomers[Channel],MATCH(B126,T_CleanCustomers[Customer_ID],0)),"Unmatched")</f>
        <v>Direct Sales</v>
      </c>
      <c r="O126" s="9" t="str">
        <f>IFERROR(INDEX(T_CleanCustomers[Product],MATCH(B126,T_CleanCustomers[Customer_ID],0)),"Unmatched")</f>
        <v>Fleet Expense Card</v>
      </c>
      <c r="P126" s="9" t="str">
        <f>IFERROR(INDEX(T_CleanCustomers[Customer_Segment],MATCH(B126,T_CleanCustomers[Customer_ID],0)),"Unmatched")</f>
        <v>SME</v>
      </c>
    </row>
    <row r="127" spans="1:16" ht="15" customHeight="1" x14ac:dyDescent="0.2">
      <c r="A127" s="9" t="s">
        <v>1490</v>
      </c>
      <c r="B127" s="9" t="s">
        <v>1166</v>
      </c>
      <c r="C127" s="9" t="b">
        <f>TRUE()</f>
        <v>1</v>
      </c>
      <c r="D127" s="10">
        <v>45967</v>
      </c>
      <c r="E127" s="10">
        <v>45962</v>
      </c>
      <c r="F127" s="9" t="s">
        <v>1481</v>
      </c>
      <c r="G127" s="11">
        <v>2062.3000000000002</v>
      </c>
      <c r="H127" s="11">
        <v>54.76</v>
      </c>
      <c r="I127" s="9" t="b">
        <f>TRUE()</f>
        <v>1</v>
      </c>
      <c r="J127" s="9" t="s">
        <v>1361</v>
      </c>
      <c r="K127" s="11">
        <v>54.76</v>
      </c>
      <c r="L127" s="9" t="s">
        <v>22</v>
      </c>
      <c r="M127" s="9" t="str">
        <f>IFERROR(INDEX(T_CleanCustomers[Sales_Rep_ID],MATCH(B127,T_CleanCustomers[Customer_ID],0)),"Unmatched")</f>
        <v>REP006</v>
      </c>
      <c r="N127" s="9" t="str">
        <f>IFERROR(INDEX(T_CleanCustomers[Channel],MATCH(B127,T_CleanCustomers[Customer_ID],0)),"Unmatched")</f>
        <v>Direct Sales</v>
      </c>
      <c r="O127" s="9" t="str">
        <f>IFERROR(INDEX(T_CleanCustomers[Product],MATCH(B127,T_CleanCustomers[Customer_ID],0)),"Unmatched")</f>
        <v>Fleet Expense Card</v>
      </c>
      <c r="P127" s="9" t="str">
        <f>IFERROR(INDEX(T_CleanCustomers[Customer_Segment],MATCH(B127,T_CleanCustomers[Customer_ID],0)),"Unmatched")</f>
        <v>SME</v>
      </c>
    </row>
    <row r="128" spans="1:16" ht="15" customHeight="1" x14ac:dyDescent="0.2">
      <c r="A128" s="9" t="s">
        <v>1491</v>
      </c>
      <c r="B128" s="9" t="s">
        <v>1166</v>
      </c>
      <c r="C128" s="9" t="b">
        <f>TRUE()</f>
        <v>1</v>
      </c>
      <c r="D128" s="10">
        <v>46005</v>
      </c>
      <c r="E128" s="10">
        <v>45992</v>
      </c>
      <c r="F128" s="9" t="s">
        <v>1360</v>
      </c>
      <c r="G128" s="11">
        <v>2708.85</v>
      </c>
      <c r="H128" s="11">
        <v>64.37</v>
      </c>
      <c r="I128" s="9" t="b">
        <f>TRUE()</f>
        <v>1</v>
      </c>
      <c r="J128" s="9" t="s">
        <v>1361</v>
      </c>
      <c r="K128" s="11">
        <v>64.37</v>
      </c>
      <c r="L128" s="9" t="s">
        <v>22</v>
      </c>
      <c r="M128" s="9" t="str">
        <f>IFERROR(INDEX(T_CleanCustomers[Sales_Rep_ID],MATCH(B128,T_CleanCustomers[Customer_ID],0)),"Unmatched")</f>
        <v>REP006</v>
      </c>
      <c r="N128" s="9" t="str">
        <f>IFERROR(INDEX(T_CleanCustomers[Channel],MATCH(B128,T_CleanCustomers[Customer_ID],0)),"Unmatched")</f>
        <v>Direct Sales</v>
      </c>
      <c r="O128" s="9" t="str">
        <f>IFERROR(INDEX(T_CleanCustomers[Product],MATCH(B128,T_CleanCustomers[Customer_ID],0)),"Unmatched")</f>
        <v>Fleet Expense Card</v>
      </c>
      <c r="P128" s="9" t="str">
        <f>IFERROR(INDEX(T_CleanCustomers[Customer_Segment],MATCH(B128,T_CleanCustomers[Customer_ID],0)),"Unmatched")</f>
        <v>SME</v>
      </c>
    </row>
    <row r="129" spans="1:16" ht="15" customHeight="1" x14ac:dyDescent="0.2">
      <c r="A129" s="9" t="s">
        <v>1492</v>
      </c>
      <c r="B129" s="9" t="s">
        <v>1166</v>
      </c>
      <c r="C129" s="9" t="b">
        <f>TRUE()</f>
        <v>1</v>
      </c>
      <c r="D129" s="10">
        <v>46011</v>
      </c>
      <c r="E129" s="10">
        <v>45992</v>
      </c>
      <c r="F129" s="9" t="s">
        <v>1360</v>
      </c>
      <c r="G129" s="11">
        <v>2435.87</v>
      </c>
      <c r="H129" s="11">
        <v>70.55</v>
      </c>
      <c r="I129" s="9" t="b">
        <f>TRUE()</f>
        <v>1</v>
      </c>
      <c r="J129" s="9" t="s">
        <v>1361</v>
      </c>
      <c r="K129" s="11">
        <v>70.55</v>
      </c>
      <c r="L129" s="9" t="s">
        <v>22</v>
      </c>
      <c r="M129" s="9" t="str">
        <f>IFERROR(INDEX(T_CleanCustomers[Sales_Rep_ID],MATCH(B129,T_CleanCustomers[Customer_ID],0)),"Unmatched")</f>
        <v>REP006</v>
      </c>
      <c r="N129" s="9" t="str">
        <f>IFERROR(INDEX(T_CleanCustomers[Channel],MATCH(B129,T_CleanCustomers[Customer_ID],0)),"Unmatched")</f>
        <v>Direct Sales</v>
      </c>
      <c r="O129" s="9" t="str">
        <f>IFERROR(INDEX(T_CleanCustomers[Product],MATCH(B129,T_CleanCustomers[Customer_ID],0)),"Unmatched")</f>
        <v>Fleet Expense Card</v>
      </c>
      <c r="P129" s="9" t="str">
        <f>IFERROR(INDEX(T_CleanCustomers[Customer_Segment],MATCH(B129,T_CleanCustomers[Customer_ID],0)),"Unmatched")</f>
        <v>SME</v>
      </c>
    </row>
    <row r="130" spans="1:16" ht="15" customHeight="1" x14ac:dyDescent="0.2">
      <c r="A130" s="9" t="s">
        <v>1493</v>
      </c>
      <c r="B130" s="9" t="s">
        <v>1166</v>
      </c>
      <c r="C130" s="9" t="b">
        <f>TRUE()</f>
        <v>1</v>
      </c>
      <c r="D130" s="10">
        <v>45997</v>
      </c>
      <c r="E130" s="10">
        <v>45992</v>
      </c>
      <c r="F130" s="9" t="s">
        <v>1479</v>
      </c>
      <c r="G130" s="11">
        <v>1871.56</v>
      </c>
      <c r="H130" s="11">
        <v>52.89</v>
      </c>
      <c r="I130" s="9" t="b">
        <f>TRUE()</f>
        <v>1</v>
      </c>
      <c r="J130" s="9" t="s">
        <v>1361</v>
      </c>
      <c r="K130" s="11">
        <v>52.89</v>
      </c>
      <c r="L130" s="9" t="s">
        <v>22</v>
      </c>
      <c r="M130" s="9" t="str">
        <f>IFERROR(INDEX(T_CleanCustomers[Sales_Rep_ID],MATCH(B130,T_CleanCustomers[Customer_ID],0)),"Unmatched")</f>
        <v>REP006</v>
      </c>
      <c r="N130" s="9" t="str">
        <f>IFERROR(INDEX(T_CleanCustomers[Channel],MATCH(B130,T_CleanCustomers[Customer_ID],0)),"Unmatched")</f>
        <v>Direct Sales</v>
      </c>
      <c r="O130" s="9" t="str">
        <f>IFERROR(INDEX(T_CleanCustomers[Product],MATCH(B130,T_CleanCustomers[Customer_ID],0)),"Unmatched")</f>
        <v>Fleet Expense Card</v>
      </c>
      <c r="P130" s="9" t="str">
        <f>IFERROR(INDEX(T_CleanCustomers[Customer_Segment],MATCH(B130,T_CleanCustomers[Customer_ID],0)),"Unmatched")</f>
        <v>SME</v>
      </c>
    </row>
    <row r="131" spans="1:16" ht="15" customHeight="1" x14ac:dyDescent="0.2">
      <c r="A131" s="9" t="s">
        <v>1494</v>
      </c>
      <c r="B131" s="9" t="s">
        <v>1167</v>
      </c>
      <c r="C131" s="9" t="b">
        <f>TRUE()</f>
        <v>1</v>
      </c>
      <c r="D131" s="10">
        <v>45991</v>
      </c>
      <c r="E131" s="10">
        <v>45962</v>
      </c>
      <c r="F131" s="9" t="s">
        <v>1423</v>
      </c>
      <c r="G131" s="11">
        <v>3663.58</v>
      </c>
      <c r="H131" s="11">
        <v>129.22999999999999</v>
      </c>
      <c r="I131" s="9" t="b">
        <f>TRUE()</f>
        <v>1</v>
      </c>
      <c r="J131" s="9" t="s">
        <v>1361</v>
      </c>
      <c r="K131" s="11">
        <v>129.22999999999999</v>
      </c>
      <c r="L131" s="9" t="s">
        <v>20</v>
      </c>
      <c r="M131" s="9" t="str">
        <f>IFERROR(INDEX(T_CleanCustomers[Sales_Rep_ID],MATCH(B131,T_CleanCustomers[Customer_ID],0)),"Unmatched")</f>
        <v>REP001</v>
      </c>
      <c r="N131" s="9" t="str">
        <f>IFERROR(INDEX(T_CleanCustomers[Channel],MATCH(B131,T_CleanCustomers[Customer_ID],0)),"Unmatched")</f>
        <v>Digital</v>
      </c>
      <c r="O131" s="9" t="str">
        <f>IFERROR(INDEX(T_CleanCustomers[Product],MATCH(B131,T_CleanCustomers[Customer_ID],0)),"Unmatched")</f>
        <v>EV Charge Card</v>
      </c>
      <c r="P131" s="9" t="str">
        <f>IFERROR(INDEX(T_CleanCustomers[Customer_Segment],MATCH(B131,T_CleanCustomers[Customer_ID],0)),"Unmatched")</f>
        <v>SME</v>
      </c>
    </row>
    <row r="132" spans="1:16" ht="15" customHeight="1" x14ac:dyDescent="0.2">
      <c r="A132" s="9" t="s">
        <v>1495</v>
      </c>
      <c r="B132" s="9" t="s">
        <v>1167</v>
      </c>
      <c r="C132" s="9" t="b">
        <f>TRUE()</f>
        <v>1</v>
      </c>
      <c r="D132" s="10">
        <v>45999</v>
      </c>
      <c r="E132" s="10">
        <v>45992</v>
      </c>
      <c r="F132" s="9" t="s">
        <v>1423</v>
      </c>
      <c r="G132" s="11">
        <v>3629.21</v>
      </c>
      <c r="H132" s="11">
        <v>116.69</v>
      </c>
      <c r="I132" s="9" t="b">
        <f>TRUE()</f>
        <v>1</v>
      </c>
      <c r="J132" s="9" t="s">
        <v>1361</v>
      </c>
      <c r="K132" s="11">
        <v>116.69</v>
      </c>
      <c r="L132" s="9" t="s">
        <v>20</v>
      </c>
      <c r="M132" s="9" t="str">
        <f>IFERROR(INDEX(T_CleanCustomers[Sales_Rep_ID],MATCH(B132,T_CleanCustomers[Customer_ID],0)),"Unmatched")</f>
        <v>REP001</v>
      </c>
      <c r="N132" s="9" t="str">
        <f>IFERROR(INDEX(T_CleanCustomers[Channel],MATCH(B132,T_CleanCustomers[Customer_ID],0)),"Unmatched")</f>
        <v>Digital</v>
      </c>
      <c r="O132" s="9" t="str">
        <f>IFERROR(INDEX(T_CleanCustomers[Product],MATCH(B132,T_CleanCustomers[Customer_ID],0)),"Unmatched")</f>
        <v>EV Charge Card</v>
      </c>
      <c r="P132" s="9" t="str">
        <f>IFERROR(INDEX(T_CleanCustomers[Customer_Segment],MATCH(B132,T_CleanCustomers[Customer_ID],0)),"Unmatched")</f>
        <v>SME</v>
      </c>
    </row>
    <row r="133" spans="1:16" ht="15" customHeight="1" x14ac:dyDescent="0.2">
      <c r="A133" s="9" t="s">
        <v>1496</v>
      </c>
      <c r="B133" s="9" t="s">
        <v>1167</v>
      </c>
      <c r="C133" s="9" t="b">
        <f>TRUE()</f>
        <v>1</v>
      </c>
      <c r="D133" s="10">
        <v>45992</v>
      </c>
      <c r="E133" s="10">
        <v>45992</v>
      </c>
      <c r="F133" s="9" t="s">
        <v>1423</v>
      </c>
      <c r="G133" s="11">
        <v>1913.84</v>
      </c>
      <c r="H133" s="11">
        <v>52.67</v>
      </c>
      <c r="I133" s="9" t="b">
        <f>TRUE()</f>
        <v>1</v>
      </c>
      <c r="J133" s="9" t="s">
        <v>1361</v>
      </c>
      <c r="K133" s="11">
        <v>52.67</v>
      </c>
      <c r="L133" s="9" t="s">
        <v>20</v>
      </c>
      <c r="M133" s="9" t="str">
        <f>IFERROR(INDEX(T_CleanCustomers[Sales_Rep_ID],MATCH(B133,T_CleanCustomers[Customer_ID],0)),"Unmatched")</f>
        <v>REP001</v>
      </c>
      <c r="N133" s="9" t="str">
        <f>IFERROR(INDEX(T_CleanCustomers[Channel],MATCH(B133,T_CleanCustomers[Customer_ID],0)),"Unmatched")</f>
        <v>Digital</v>
      </c>
      <c r="O133" s="9" t="str">
        <f>IFERROR(INDEX(T_CleanCustomers[Product],MATCH(B133,T_CleanCustomers[Customer_ID],0)),"Unmatched")</f>
        <v>EV Charge Card</v>
      </c>
      <c r="P133" s="9" t="str">
        <f>IFERROR(INDEX(T_CleanCustomers[Customer_Segment],MATCH(B133,T_CleanCustomers[Customer_ID],0)),"Unmatched")</f>
        <v>SME</v>
      </c>
    </row>
    <row r="134" spans="1:16" ht="15" customHeight="1" x14ac:dyDescent="0.2">
      <c r="A134" s="9" t="s">
        <v>1497</v>
      </c>
      <c r="B134" s="9" t="s">
        <v>1167</v>
      </c>
      <c r="C134" s="9" t="b">
        <f>TRUE()</f>
        <v>1</v>
      </c>
      <c r="D134" s="10">
        <v>46010</v>
      </c>
      <c r="E134" s="10">
        <v>45992</v>
      </c>
      <c r="F134" s="9" t="s">
        <v>1423</v>
      </c>
      <c r="G134" s="11">
        <v>3225.57</v>
      </c>
      <c r="H134" s="11">
        <v>97.52</v>
      </c>
      <c r="I134" s="9" t="b">
        <f>TRUE()</f>
        <v>1</v>
      </c>
      <c r="J134" s="9" t="s">
        <v>1361</v>
      </c>
      <c r="K134" s="11">
        <v>97.52</v>
      </c>
      <c r="L134" s="9" t="s">
        <v>20</v>
      </c>
      <c r="M134" s="9" t="str">
        <f>IFERROR(INDEX(T_CleanCustomers[Sales_Rep_ID],MATCH(B134,T_CleanCustomers[Customer_ID],0)),"Unmatched")</f>
        <v>REP001</v>
      </c>
      <c r="N134" s="9" t="str">
        <f>IFERROR(INDEX(T_CleanCustomers[Channel],MATCH(B134,T_CleanCustomers[Customer_ID],0)),"Unmatched")</f>
        <v>Digital</v>
      </c>
      <c r="O134" s="9" t="str">
        <f>IFERROR(INDEX(T_CleanCustomers[Product],MATCH(B134,T_CleanCustomers[Customer_ID],0)),"Unmatched")</f>
        <v>EV Charge Card</v>
      </c>
      <c r="P134" s="9" t="str">
        <f>IFERROR(INDEX(T_CleanCustomers[Customer_Segment],MATCH(B134,T_CleanCustomers[Customer_ID],0)),"Unmatched")</f>
        <v>SME</v>
      </c>
    </row>
    <row r="135" spans="1:16" ht="15" customHeight="1" x14ac:dyDescent="0.2">
      <c r="A135" s="9" t="s">
        <v>1498</v>
      </c>
      <c r="B135" s="9" t="s">
        <v>1168</v>
      </c>
      <c r="C135" s="9" t="b">
        <f>TRUE()</f>
        <v>1</v>
      </c>
      <c r="D135" s="10">
        <v>45831</v>
      </c>
      <c r="E135" s="10">
        <v>45809</v>
      </c>
      <c r="F135" s="9" t="s">
        <v>1360</v>
      </c>
      <c r="G135" s="11">
        <v>8579.56</v>
      </c>
      <c r="H135" s="11">
        <v>215.22</v>
      </c>
      <c r="I135" s="9" t="b">
        <f>TRUE()</f>
        <v>1</v>
      </c>
      <c r="J135" s="9" t="s">
        <v>1361</v>
      </c>
      <c r="K135" s="11">
        <v>215.22</v>
      </c>
      <c r="L135" s="9" t="s">
        <v>19</v>
      </c>
      <c r="M135" s="9" t="str">
        <f>IFERROR(INDEX(T_CleanCustomers[Sales_Rep_ID],MATCH(B135,T_CleanCustomers[Customer_ID],0)),"Unmatched")</f>
        <v>REP015</v>
      </c>
      <c r="N135" s="9" t="str">
        <f>IFERROR(INDEX(T_CleanCustomers[Channel],MATCH(B135,T_CleanCustomers[Customer_ID],0)),"Unmatched")</f>
        <v>Partner</v>
      </c>
      <c r="O135" s="9" t="str">
        <f>IFERROR(INDEX(T_CleanCustomers[Product],MATCH(B135,T_CleanCustomers[Customer_ID],0)),"Unmatched")</f>
        <v>Fuel Card</v>
      </c>
      <c r="P135" s="9" t="str">
        <f>IFERROR(INDEX(T_CleanCustomers[Customer_Segment],MATCH(B135,T_CleanCustomers[Customer_ID],0)),"Unmatched")</f>
        <v>Mid-Market</v>
      </c>
    </row>
    <row r="136" spans="1:16" ht="15" customHeight="1" x14ac:dyDescent="0.2">
      <c r="A136" s="9" t="s">
        <v>1499</v>
      </c>
      <c r="B136" s="9" t="s">
        <v>1168</v>
      </c>
      <c r="C136" s="9" t="b">
        <f>TRUE()</f>
        <v>1</v>
      </c>
      <c r="D136" s="10">
        <v>45829</v>
      </c>
      <c r="E136" s="10">
        <v>45809</v>
      </c>
      <c r="F136" s="9" t="s">
        <v>1360</v>
      </c>
      <c r="G136" s="11">
        <v>17287.71</v>
      </c>
      <c r="H136" s="11">
        <v>481.63</v>
      </c>
      <c r="I136" s="9" t="b">
        <f>TRUE()</f>
        <v>1</v>
      </c>
      <c r="J136" s="9" t="s">
        <v>1361</v>
      </c>
      <c r="K136" s="11">
        <v>481.63</v>
      </c>
      <c r="L136" s="9" t="s">
        <v>19</v>
      </c>
      <c r="M136" s="9" t="str">
        <f>IFERROR(INDEX(T_CleanCustomers[Sales_Rep_ID],MATCH(B136,T_CleanCustomers[Customer_ID],0)),"Unmatched")</f>
        <v>REP015</v>
      </c>
      <c r="N136" s="9" t="str">
        <f>IFERROR(INDEX(T_CleanCustomers[Channel],MATCH(B136,T_CleanCustomers[Customer_ID],0)),"Unmatched")</f>
        <v>Partner</v>
      </c>
      <c r="O136" s="9" t="str">
        <f>IFERROR(INDEX(T_CleanCustomers[Product],MATCH(B136,T_CleanCustomers[Customer_ID],0)),"Unmatched")</f>
        <v>Fuel Card</v>
      </c>
      <c r="P136" s="9" t="str">
        <f>IFERROR(INDEX(T_CleanCustomers[Customer_Segment],MATCH(B136,T_CleanCustomers[Customer_ID],0)),"Unmatched")</f>
        <v>Mid-Market</v>
      </c>
    </row>
    <row r="137" spans="1:16" ht="15" customHeight="1" x14ac:dyDescent="0.2">
      <c r="A137" s="9" t="s">
        <v>1500</v>
      </c>
      <c r="B137" s="9" t="s">
        <v>1168</v>
      </c>
      <c r="C137" s="9" t="b">
        <f>TRUE()</f>
        <v>1</v>
      </c>
      <c r="D137" s="10">
        <v>45867</v>
      </c>
      <c r="E137" s="10">
        <v>45839</v>
      </c>
      <c r="F137" s="9" t="s">
        <v>1360</v>
      </c>
      <c r="G137" s="11">
        <v>11061.32</v>
      </c>
      <c r="H137" s="11">
        <v>253.54</v>
      </c>
      <c r="I137" s="9" t="b">
        <f>TRUE()</f>
        <v>1</v>
      </c>
      <c r="J137" s="9" t="s">
        <v>1361</v>
      </c>
      <c r="K137" s="11">
        <v>253.54</v>
      </c>
      <c r="L137" s="9" t="s">
        <v>19</v>
      </c>
      <c r="M137" s="9" t="str">
        <f>IFERROR(INDEX(T_CleanCustomers[Sales_Rep_ID],MATCH(B137,T_CleanCustomers[Customer_ID],0)),"Unmatched")</f>
        <v>REP015</v>
      </c>
      <c r="N137" s="9" t="str">
        <f>IFERROR(INDEX(T_CleanCustomers[Channel],MATCH(B137,T_CleanCustomers[Customer_ID],0)),"Unmatched")</f>
        <v>Partner</v>
      </c>
      <c r="O137" s="9" t="str">
        <f>IFERROR(INDEX(T_CleanCustomers[Product],MATCH(B137,T_CleanCustomers[Customer_ID],0)),"Unmatched")</f>
        <v>Fuel Card</v>
      </c>
      <c r="P137" s="9" t="str">
        <f>IFERROR(INDEX(T_CleanCustomers[Customer_Segment],MATCH(B137,T_CleanCustomers[Customer_ID],0)),"Unmatched")</f>
        <v>Mid-Market</v>
      </c>
    </row>
    <row r="138" spans="1:16" ht="15" customHeight="1" x14ac:dyDescent="0.2">
      <c r="A138" s="9" t="s">
        <v>1501</v>
      </c>
      <c r="B138" s="9" t="s">
        <v>1168</v>
      </c>
      <c r="C138" s="9" t="b">
        <f>TRUE()</f>
        <v>1</v>
      </c>
      <c r="D138" s="10">
        <v>45861</v>
      </c>
      <c r="E138" s="10">
        <v>45839</v>
      </c>
      <c r="F138" s="9" t="s">
        <v>1360</v>
      </c>
      <c r="G138" s="11">
        <v>17308.64</v>
      </c>
      <c r="H138" s="11">
        <v>449.8</v>
      </c>
      <c r="I138" s="9" t="b">
        <f>TRUE()</f>
        <v>1</v>
      </c>
      <c r="J138" s="9" t="s">
        <v>1361</v>
      </c>
      <c r="K138" s="11">
        <v>449.8</v>
      </c>
      <c r="L138" s="9" t="s">
        <v>19</v>
      </c>
      <c r="M138" s="9" t="str">
        <f>IFERROR(INDEX(T_CleanCustomers[Sales_Rep_ID],MATCH(B138,T_CleanCustomers[Customer_ID],0)),"Unmatched")</f>
        <v>REP015</v>
      </c>
      <c r="N138" s="9" t="str">
        <f>IFERROR(INDEX(T_CleanCustomers[Channel],MATCH(B138,T_CleanCustomers[Customer_ID],0)),"Unmatched")</f>
        <v>Partner</v>
      </c>
      <c r="O138" s="9" t="str">
        <f>IFERROR(INDEX(T_CleanCustomers[Product],MATCH(B138,T_CleanCustomers[Customer_ID],0)),"Unmatched")</f>
        <v>Fuel Card</v>
      </c>
      <c r="P138" s="9" t="str">
        <f>IFERROR(INDEX(T_CleanCustomers[Customer_Segment],MATCH(B138,T_CleanCustomers[Customer_ID],0)),"Unmatched")</f>
        <v>Mid-Market</v>
      </c>
    </row>
    <row r="139" spans="1:16" ht="15" customHeight="1" x14ac:dyDescent="0.2">
      <c r="A139" s="9" t="s">
        <v>1502</v>
      </c>
      <c r="B139" s="9" t="s">
        <v>1168</v>
      </c>
      <c r="C139" s="9" t="b">
        <f>TRUE()</f>
        <v>1</v>
      </c>
      <c r="D139" s="10">
        <v>45871</v>
      </c>
      <c r="E139" s="10">
        <v>45870</v>
      </c>
      <c r="F139" s="9" t="s">
        <v>1360</v>
      </c>
      <c r="G139" s="11">
        <v>8504.25</v>
      </c>
      <c r="H139" s="11">
        <v>242.82</v>
      </c>
      <c r="I139" s="9" t="b">
        <f>TRUE()</f>
        <v>1</v>
      </c>
      <c r="J139" s="9" t="s">
        <v>1361</v>
      </c>
      <c r="K139" s="11">
        <v>242.82</v>
      </c>
      <c r="L139" s="9" t="s">
        <v>19</v>
      </c>
      <c r="M139" s="9" t="str">
        <f>IFERROR(INDEX(T_CleanCustomers[Sales_Rep_ID],MATCH(B139,T_CleanCustomers[Customer_ID],0)),"Unmatched")</f>
        <v>REP015</v>
      </c>
      <c r="N139" s="9" t="str">
        <f>IFERROR(INDEX(T_CleanCustomers[Channel],MATCH(B139,T_CleanCustomers[Customer_ID],0)),"Unmatched")</f>
        <v>Partner</v>
      </c>
      <c r="O139" s="9" t="str">
        <f>IFERROR(INDEX(T_CleanCustomers[Product],MATCH(B139,T_CleanCustomers[Customer_ID],0)),"Unmatched")</f>
        <v>Fuel Card</v>
      </c>
      <c r="P139" s="9" t="str">
        <f>IFERROR(INDEX(T_CleanCustomers[Customer_Segment],MATCH(B139,T_CleanCustomers[Customer_ID],0)),"Unmatched")</f>
        <v>Mid-Market</v>
      </c>
    </row>
    <row r="140" spans="1:16" ht="15" customHeight="1" x14ac:dyDescent="0.2">
      <c r="A140" s="9" t="s">
        <v>1503</v>
      </c>
      <c r="B140" s="9" t="s">
        <v>1168</v>
      </c>
      <c r="C140" s="9" t="b">
        <f>TRUE()</f>
        <v>1</v>
      </c>
      <c r="D140" s="10">
        <v>45884</v>
      </c>
      <c r="E140" s="10">
        <v>45870</v>
      </c>
      <c r="F140" s="9" t="s">
        <v>1360</v>
      </c>
      <c r="G140" s="11">
        <v>7974.12</v>
      </c>
      <c r="H140" s="11">
        <v>202.63</v>
      </c>
      <c r="I140" s="9" t="b">
        <f>TRUE()</f>
        <v>1</v>
      </c>
      <c r="J140" s="9" t="s">
        <v>1361</v>
      </c>
      <c r="K140" s="11">
        <v>202.63</v>
      </c>
      <c r="L140" s="9" t="s">
        <v>19</v>
      </c>
      <c r="M140" s="9" t="str">
        <f>IFERROR(INDEX(T_CleanCustomers[Sales_Rep_ID],MATCH(B140,T_CleanCustomers[Customer_ID],0)),"Unmatched")</f>
        <v>REP015</v>
      </c>
      <c r="N140" s="9" t="str">
        <f>IFERROR(INDEX(T_CleanCustomers[Channel],MATCH(B140,T_CleanCustomers[Customer_ID],0)),"Unmatched")</f>
        <v>Partner</v>
      </c>
      <c r="O140" s="9" t="str">
        <f>IFERROR(INDEX(T_CleanCustomers[Product],MATCH(B140,T_CleanCustomers[Customer_ID],0)),"Unmatched")</f>
        <v>Fuel Card</v>
      </c>
      <c r="P140" s="9" t="str">
        <f>IFERROR(INDEX(T_CleanCustomers[Customer_Segment],MATCH(B140,T_CleanCustomers[Customer_ID],0)),"Unmatched")</f>
        <v>Mid-Market</v>
      </c>
    </row>
    <row r="141" spans="1:16" ht="15" customHeight="1" x14ac:dyDescent="0.2">
      <c r="A141" s="9" t="s">
        <v>1504</v>
      </c>
      <c r="B141" s="9" t="s">
        <v>1168</v>
      </c>
      <c r="C141" s="9" t="b">
        <f>TRUE()</f>
        <v>1</v>
      </c>
      <c r="D141" s="10">
        <v>45874</v>
      </c>
      <c r="E141" s="10">
        <v>45870</v>
      </c>
      <c r="F141" s="9" t="s">
        <v>1360</v>
      </c>
      <c r="G141" s="11">
        <v>15106.41</v>
      </c>
      <c r="H141" s="11">
        <v>336.4</v>
      </c>
      <c r="I141" s="9" t="b">
        <f>TRUE()</f>
        <v>1</v>
      </c>
      <c r="J141" s="9" t="s">
        <v>1361</v>
      </c>
      <c r="K141" s="11">
        <v>336.4</v>
      </c>
      <c r="L141" s="9" t="s">
        <v>19</v>
      </c>
      <c r="M141" s="9" t="str">
        <f>IFERROR(INDEX(T_CleanCustomers[Sales_Rep_ID],MATCH(B141,T_CleanCustomers[Customer_ID],0)),"Unmatched")</f>
        <v>REP015</v>
      </c>
      <c r="N141" s="9" t="str">
        <f>IFERROR(INDEX(T_CleanCustomers[Channel],MATCH(B141,T_CleanCustomers[Customer_ID],0)),"Unmatched")</f>
        <v>Partner</v>
      </c>
      <c r="O141" s="9" t="str">
        <f>IFERROR(INDEX(T_CleanCustomers[Product],MATCH(B141,T_CleanCustomers[Customer_ID],0)),"Unmatched")</f>
        <v>Fuel Card</v>
      </c>
      <c r="P141" s="9" t="str">
        <f>IFERROR(INDEX(T_CleanCustomers[Customer_Segment],MATCH(B141,T_CleanCustomers[Customer_ID],0)),"Unmatched")</f>
        <v>Mid-Market</v>
      </c>
    </row>
    <row r="142" spans="1:16" ht="15" customHeight="1" x14ac:dyDescent="0.2">
      <c r="A142" s="9" t="s">
        <v>1505</v>
      </c>
      <c r="B142" s="9" t="s">
        <v>1168</v>
      </c>
      <c r="C142" s="9" t="b">
        <f>TRUE()</f>
        <v>1</v>
      </c>
      <c r="D142" s="10">
        <v>45929</v>
      </c>
      <c r="E142" s="10">
        <v>45901</v>
      </c>
      <c r="F142" s="9" t="s">
        <v>1360</v>
      </c>
      <c r="G142" s="11">
        <v>4319.49</v>
      </c>
      <c r="H142" s="11">
        <v>121.65</v>
      </c>
      <c r="I142" s="9" t="b">
        <f>TRUE()</f>
        <v>1</v>
      </c>
      <c r="J142" s="9" t="s">
        <v>1361</v>
      </c>
      <c r="K142" s="11">
        <v>121.65</v>
      </c>
      <c r="L142" s="9" t="s">
        <v>19</v>
      </c>
      <c r="M142" s="9" t="str">
        <f>IFERROR(INDEX(T_CleanCustomers[Sales_Rep_ID],MATCH(B142,T_CleanCustomers[Customer_ID],0)),"Unmatched")</f>
        <v>REP015</v>
      </c>
      <c r="N142" s="9" t="str">
        <f>IFERROR(INDEX(T_CleanCustomers[Channel],MATCH(B142,T_CleanCustomers[Customer_ID],0)),"Unmatched")</f>
        <v>Partner</v>
      </c>
      <c r="O142" s="9" t="str">
        <f>IFERROR(INDEX(T_CleanCustomers[Product],MATCH(B142,T_CleanCustomers[Customer_ID],0)),"Unmatched")</f>
        <v>Fuel Card</v>
      </c>
      <c r="P142" s="9" t="str">
        <f>IFERROR(INDEX(T_CleanCustomers[Customer_Segment],MATCH(B142,T_CleanCustomers[Customer_ID],0)),"Unmatched")</f>
        <v>Mid-Market</v>
      </c>
    </row>
    <row r="143" spans="1:16" ht="15" customHeight="1" x14ac:dyDescent="0.2">
      <c r="A143" s="9" t="s">
        <v>1506</v>
      </c>
      <c r="B143" s="9" t="s">
        <v>1168</v>
      </c>
      <c r="C143" s="9" t="b">
        <f>TRUE()</f>
        <v>1</v>
      </c>
      <c r="D143" s="10">
        <v>45920</v>
      </c>
      <c r="E143" s="10">
        <v>45901</v>
      </c>
      <c r="F143" s="9" t="s">
        <v>1360</v>
      </c>
      <c r="G143" s="11">
        <v>17278.79</v>
      </c>
      <c r="H143" s="11">
        <v>479.23</v>
      </c>
      <c r="I143" s="9" t="b">
        <f>TRUE()</f>
        <v>1</v>
      </c>
      <c r="J143" s="9" t="s">
        <v>1361</v>
      </c>
      <c r="K143" s="11">
        <v>479.23</v>
      </c>
      <c r="L143" s="9" t="s">
        <v>19</v>
      </c>
      <c r="M143" s="9" t="str">
        <f>IFERROR(INDEX(T_CleanCustomers[Sales_Rep_ID],MATCH(B143,T_CleanCustomers[Customer_ID],0)),"Unmatched")</f>
        <v>REP015</v>
      </c>
      <c r="N143" s="9" t="str">
        <f>IFERROR(INDEX(T_CleanCustomers[Channel],MATCH(B143,T_CleanCustomers[Customer_ID],0)),"Unmatched")</f>
        <v>Partner</v>
      </c>
      <c r="O143" s="9" t="str">
        <f>IFERROR(INDEX(T_CleanCustomers[Product],MATCH(B143,T_CleanCustomers[Customer_ID],0)),"Unmatched")</f>
        <v>Fuel Card</v>
      </c>
      <c r="P143" s="9" t="str">
        <f>IFERROR(INDEX(T_CleanCustomers[Customer_Segment],MATCH(B143,T_CleanCustomers[Customer_ID],0)),"Unmatched")</f>
        <v>Mid-Market</v>
      </c>
    </row>
    <row r="144" spans="1:16" ht="15" customHeight="1" x14ac:dyDescent="0.2">
      <c r="A144" s="9" t="s">
        <v>1507</v>
      </c>
      <c r="B144" s="9" t="s">
        <v>1168</v>
      </c>
      <c r="C144" s="9" t="b">
        <f>TRUE()</f>
        <v>1</v>
      </c>
      <c r="D144" s="10">
        <v>45943</v>
      </c>
      <c r="E144" s="10">
        <v>45931</v>
      </c>
      <c r="F144" s="9" t="s">
        <v>1360</v>
      </c>
      <c r="G144" s="11">
        <v>15772.49</v>
      </c>
      <c r="H144" s="11">
        <v>390.54</v>
      </c>
      <c r="I144" s="9" t="b">
        <f>TRUE()</f>
        <v>1</v>
      </c>
      <c r="J144" s="9" t="s">
        <v>1361</v>
      </c>
      <c r="K144" s="11">
        <v>390.54</v>
      </c>
      <c r="L144" s="9" t="s">
        <v>19</v>
      </c>
      <c r="M144" s="9" t="str">
        <f>IFERROR(INDEX(T_CleanCustomers[Sales_Rep_ID],MATCH(B144,T_CleanCustomers[Customer_ID],0)),"Unmatched")</f>
        <v>REP015</v>
      </c>
      <c r="N144" s="9" t="str">
        <f>IFERROR(INDEX(T_CleanCustomers[Channel],MATCH(B144,T_CleanCustomers[Customer_ID],0)),"Unmatched")</f>
        <v>Partner</v>
      </c>
      <c r="O144" s="9" t="str">
        <f>IFERROR(INDEX(T_CleanCustomers[Product],MATCH(B144,T_CleanCustomers[Customer_ID],0)),"Unmatched")</f>
        <v>Fuel Card</v>
      </c>
      <c r="P144" s="9" t="str">
        <f>IFERROR(INDEX(T_CleanCustomers[Customer_Segment],MATCH(B144,T_CleanCustomers[Customer_ID],0)),"Unmatched")</f>
        <v>Mid-Market</v>
      </c>
    </row>
    <row r="145" spans="1:16" ht="15" customHeight="1" x14ac:dyDescent="0.2">
      <c r="A145" s="9" t="s">
        <v>1508</v>
      </c>
      <c r="B145" s="9" t="s">
        <v>1168</v>
      </c>
      <c r="C145" s="9" t="b">
        <f>TRUE()</f>
        <v>1</v>
      </c>
      <c r="D145" s="10">
        <v>45934</v>
      </c>
      <c r="E145" s="10">
        <v>45931</v>
      </c>
      <c r="F145" s="9" t="s">
        <v>1360</v>
      </c>
      <c r="G145" s="11">
        <v>17378.36</v>
      </c>
      <c r="H145" s="11">
        <v>437.53</v>
      </c>
      <c r="I145" s="9" t="b">
        <f>TRUE()</f>
        <v>1</v>
      </c>
      <c r="J145" s="9" t="s">
        <v>1361</v>
      </c>
      <c r="K145" s="11">
        <v>437.53</v>
      </c>
      <c r="L145" s="9" t="s">
        <v>19</v>
      </c>
      <c r="M145" s="9" t="str">
        <f>IFERROR(INDEX(T_CleanCustomers[Sales_Rep_ID],MATCH(B145,T_CleanCustomers[Customer_ID],0)),"Unmatched")</f>
        <v>REP015</v>
      </c>
      <c r="N145" s="9" t="str">
        <f>IFERROR(INDEX(T_CleanCustomers[Channel],MATCH(B145,T_CleanCustomers[Customer_ID],0)),"Unmatched")</f>
        <v>Partner</v>
      </c>
      <c r="O145" s="9" t="str">
        <f>IFERROR(INDEX(T_CleanCustomers[Product],MATCH(B145,T_CleanCustomers[Customer_ID],0)),"Unmatched")</f>
        <v>Fuel Card</v>
      </c>
      <c r="P145" s="9" t="str">
        <f>IFERROR(INDEX(T_CleanCustomers[Customer_Segment],MATCH(B145,T_CleanCustomers[Customer_ID],0)),"Unmatched")</f>
        <v>Mid-Market</v>
      </c>
    </row>
    <row r="146" spans="1:16" ht="15" customHeight="1" x14ac:dyDescent="0.2">
      <c r="A146" s="9" t="s">
        <v>1509</v>
      </c>
      <c r="B146" s="9" t="s">
        <v>1168</v>
      </c>
      <c r="C146" s="9" t="b">
        <f>TRUE()</f>
        <v>1</v>
      </c>
      <c r="D146" s="10">
        <v>45937</v>
      </c>
      <c r="E146" s="10">
        <v>45931</v>
      </c>
      <c r="F146" s="9" t="s">
        <v>1360</v>
      </c>
      <c r="G146" s="11">
        <v>16429.41</v>
      </c>
      <c r="H146" s="11">
        <v>363.94</v>
      </c>
      <c r="I146" s="9" t="b">
        <f>TRUE()</f>
        <v>1</v>
      </c>
      <c r="J146" s="9" t="s">
        <v>1361</v>
      </c>
      <c r="K146" s="11">
        <v>363.94</v>
      </c>
      <c r="L146" s="9" t="s">
        <v>19</v>
      </c>
      <c r="M146" s="9" t="str">
        <f>IFERROR(INDEX(T_CleanCustomers[Sales_Rep_ID],MATCH(B146,T_CleanCustomers[Customer_ID],0)),"Unmatched")</f>
        <v>REP015</v>
      </c>
      <c r="N146" s="9" t="str">
        <f>IFERROR(INDEX(T_CleanCustomers[Channel],MATCH(B146,T_CleanCustomers[Customer_ID],0)),"Unmatched")</f>
        <v>Partner</v>
      </c>
      <c r="O146" s="9" t="str">
        <f>IFERROR(INDEX(T_CleanCustomers[Product],MATCH(B146,T_CleanCustomers[Customer_ID],0)),"Unmatched")</f>
        <v>Fuel Card</v>
      </c>
      <c r="P146" s="9" t="str">
        <f>IFERROR(INDEX(T_CleanCustomers[Customer_Segment],MATCH(B146,T_CleanCustomers[Customer_ID],0)),"Unmatched")</f>
        <v>Mid-Market</v>
      </c>
    </row>
    <row r="147" spans="1:16" ht="15" customHeight="1" x14ac:dyDescent="0.2">
      <c r="A147" s="9" t="s">
        <v>1510</v>
      </c>
      <c r="B147" s="9" t="s">
        <v>1168</v>
      </c>
      <c r="C147" s="9" t="b">
        <f>TRUE()</f>
        <v>1</v>
      </c>
      <c r="D147" s="10">
        <v>45978</v>
      </c>
      <c r="E147" s="10">
        <v>45962</v>
      </c>
      <c r="F147" s="9" t="s">
        <v>1360</v>
      </c>
      <c r="G147" s="11">
        <v>6328.95</v>
      </c>
      <c r="H147" s="11">
        <v>146.27000000000001</v>
      </c>
      <c r="I147" s="9" t="b">
        <f>TRUE()</f>
        <v>1</v>
      </c>
      <c r="J147" s="9" t="s">
        <v>1361</v>
      </c>
      <c r="K147" s="11">
        <v>146.27000000000001</v>
      </c>
      <c r="L147" s="9" t="s">
        <v>19</v>
      </c>
      <c r="M147" s="9" t="str">
        <f>IFERROR(INDEX(T_CleanCustomers[Sales_Rep_ID],MATCH(B147,T_CleanCustomers[Customer_ID],0)),"Unmatched")</f>
        <v>REP015</v>
      </c>
      <c r="N147" s="9" t="str">
        <f>IFERROR(INDEX(T_CleanCustomers[Channel],MATCH(B147,T_CleanCustomers[Customer_ID],0)),"Unmatched")</f>
        <v>Partner</v>
      </c>
      <c r="O147" s="9" t="str">
        <f>IFERROR(INDEX(T_CleanCustomers[Product],MATCH(B147,T_CleanCustomers[Customer_ID],0)),"Unmatched")</f>
        <v>Fuel Card</v>
      </c>
      <c r="P147" s="9" t="str">
        <f>IFERROR(INDEX(T_CleanCustomers[Customer_Segment],MATCH(B147,T_CleanCustomers[Customer_ID],0)),"Unmatched")</f>
        <v>Mid-Market</v>
      </c>
    </row>
    <row r="148" spans="1:16" ht="15" customHeight="1" x14ac:dyDescent="0.2">
      <c r="A148" s="9" t="s">
        <v>1511</v>
      </c>
      <c r="B148" s="9" t="s">
        <v>1168</v>
      </c>
      <c r="C148" s="9" t="b">
        <f>TRUE()</f>
        <v>1</v>
      </c>
      <c r="D148" s="10">
        <v>45993</v>
      </c>
      <c r="E148" s="10">
        <v>45992</v>
      </c>
      <c r="F148" s="9" t="s">
        <v>1360</v>
      </c>
      <c r="G148" s="11">
        <v>17056.05</v>
      </c>
      <c r="H148" s="11">
        <v>464.76</v>
      </c>
      <c r="I148" s="9" t="b">
        <f>TRUE()</f>
        <v>1</v>
      </c>
      <c r="J148" s="9" t="s">
        <v>1361</v>
      </c>
      <c r="K148" s="11">
        <v>464.76</v>
      </c>
      <c r="L148" s="9" t="s">
        <v>19</v>
      </c>
      <c r="M148" s="9" t="str">
        <f>IFERROR(INDEX(T_CleanCustomers[Sales_Rep_ID],MATCH(B148,T_CleanCustomers[Customer_ID],0)),"Unmatched")</f>
        <v>REP015</v>
      </c>
      <c r="N148" s="9" t="str">
        <f>IFERROR(INDEX(T_CleanCustomers[Channel],MATCH(B148,T_CleanCustomers[Customer_ID],0)),"Unmatched")</f>
        <v>Partner</v>
      </c>
      <c r="O148" s="9" t="str">
        <f>IFERROR(INDEX(T_CleanCustomers[Product],MATCH(B148,T_CleanCustomers[Customer_ID],0)),"Unmatched")</f>
        <v>Fuel Card</v>
      </c>
      <c r="P148" s="9" t="str">
        <f>IFERROR(INDEX(T_CleanCustomers[Customer_Segment],MATCH(B148,T_CleanCustomers[Customer_ID],0)),"Unmatched")</f>
        <v>Mid-Market</v>
      </c>
    </row>
    <row r="149" spans="1:16" ht="15" customHeight="1" x14ac:dyDescent="0.2">
      <c r="A149" s="9" t="s">
        <v>1512</v>
      </c>
      <c r="B149" s="9" t="s">
        <v>1169</v>
      </c>
      <c r="C149" s="9" t="b">
        <f>TRUE()</f>
        <v>1</v>
      </c>
      <c r="D149" s="10">
        <v>45897</v>
      </c>
      <c r="E149" s="10">
        <v>45870</v>
      </c>
      <c r="F149" s="9" t="s">
        <v>1423</v>
      </c>
      <c r="G149" s="11">
        <v>15759.4</v>
      </c>
      <c r="H149" s="11">
        <v>541.04</v>
      </c>
      <c r="I149" s="9" t="b">
        <f>TRUE()</f>
        <v>1</v>
      </c>
      <c r="J149" s="9" t="s">
        <v>1361</v>
      </c>
      <c r="K149" s="11">
        <v>541.04</v>
      </c>
      <c r="L149" s="9" t="s">
        <v>21</v>
      </c>
      <c r="M149" s="9" t="str">
        <f>IFERROR(INDEX(T_CleanCustomers[Sales_Rep_ID],MATCH(B149,T_CleanCustomers[Customer_ID],0)),"Unmatched")</f>
        <v>REP009</v>
      </c>
      <c r="N149" s="9" t="str">
        <f>IFERROR(INDEX(T_CleanCustomers[Channel],MATCH(B149,T_CleanCustomers[Customer_ID],0)),"Unmatched")</f>
        <v>Partner</v>
      </c>
      <c r="O149" s="9" t="str">
        <f>IFERROR(INDEX(T_CleanCustomers[Product],MATCH(B149,T_CleanCustomers[Customer_ID],0)),"Unmatched")</f>
        <v>EV Charge Card</v>
      </c>
      <c r="P149" s="9" t="str">
        <f>IFERROR(INDEX(T_CleanCustomers[Customer_Segment],MATCH(B149,T_CleanCustomers[Customer_ID],0)),"Unmatched")</f>
        <v>Mid-Market</v>
      </c>
    </row>
    <row r="150" spans="1:16" ht="15" customHeight="1" x14ac:dyDescent="0.2">
      <c r="A150" s="9" t="s">
        <v>1513</v>
      </c>
      <c r="B150" s="9" t="s">
        <v>1169</v>
      </c>
      <c r="C150" s="9" t="b">
        <f>TRUE()</f>
        <v>1</v>
      </c>
      <c r="D150" s="10">
        <v>45898</v>
      </c>
      <c r="E150" s="10">
        <v>45870</v>
      </c>
      <c r="F150" s="9" t="s">
        <v>1423</v>
      </c>
      <c r="G150" s="11">
        <v>17720.84</v>
      </c>
      <c r="H150" s="11">
        <v>602.04</v>
      </c>
      <c r="I150" s="9" t="b">
        <f>TRUE()</f>
        <v>1</v>
      </c>
      <c r="J150" s="9" t="s">
        <v>1361</v>
      </c>
      <c r="K150" s="11">
        <v>602.04</v>
      </c>
      <c r="L150" s="9" t="s">
        <v>21</v>
      </c>
      <c r="M150" s="9" t="str">
        <f>IFERROR(INDEX(T_CleanCustomers[Sales_Rep_ID],MATCH(B150,T_CleanCustomers[Customer_ID],0)),"Unmatched")</f>
        <v>REP009</v>
      </c>
      <c r="N150" s="9" t="str">
        <f>IFERROR(INDEX(T_CleanCustomers[Channel],MATCH(B150,T_CleanCustomers[Customer_ID],0)),"Unmatched")</f>
        <v>Partner</v>
      </c>
      <c r="O150" s="9" t="str">
        <f>IFERROR(INDEX(T_CleanCustomers[Product],MATCH(B150,T_CleanCustomers[Customer_ID],0)),"Unmatched")</f>
        <v>EV Charge Card</v>
      </c>
      <c r="P150" s="9" t="str">
        <f>IFERROR(INDEX(T_CleanCustomers[Customer_Segment],MATCH(B150,T_CleanCustomers[Customer_ID],0)),"Unmatched")</f>
        <v>Mid-Market</v>
      </c>
    </row>
    <row r="151" spans="1:16" ht="15" customHeight="1" x14ac:dyDescent="0.2">
      <c r="A151" s="9" t="s">
        <v>1514</v>
      </c>
      <c r="B151" s="9" t="s">
        <v>1169</v>
      </c>
      <c r="C151" s="9" t="b">
        <f>TRUE()</f>
        <v>1</v>
      </c>
      <c r="D151" s="10">
        <v>45897</v>
      </c>
      <c r="E151" s="10">
        <v>45870</v>
      </c>
      <c r="F151" s="9" t="s">
        <v>1423</v>
      </c>
      <c r="G151" s="11">
        <v>5080.43</v>
      </c>
      <c r="H151" s="11">
        <v>163.04</v>
      </c>
      <c r="I151" s="9" t="b">
        <f>TRUE()</f>
        <v>1</v>
      </c>
      <c r="J151" s="9" t="s">
        <v>1361</v>
      </c>
      <c r="K151" s="11">
        <v>163.04</v>
      </c>
      <c r="L151" s="9" t="s">
        <v>21</v>
      </c>
      <c r="M151" s="9" t="str">
        <f>IFERROR(INDEX(T_CleanCustomers[Sales_Rep_ID],MATCH(B151,T_CleanCustomers[Customer_ID],0)),"Unmatched")</f>
        <v>REP009</v>
      </c>
      <c r="N151" s="9" t="str">
        <f>IFERROR(INDEX(T_CleanCustomers[Channel],MATCH(B151,T_CleanCustomers[Customer_ID],0)),"Unmatched")</f>
        <v>Partner</v>
      </c>
      <c r="O151" s="9" t="str">
        <f>IFERROR(INDEX(T_CleanCustomers[Product],MATCH(B151,T_CleanCustomers[Customer_ID],0)),"Unmatched")</f>
        <v>EV Charge Card</v>
      </c>
      <c r="P151" s="9" t="str">
        <f>IFERROR(INDEX(T_CleanCustomers[Customer_Segment],MATCH(B151,T_CleanCustomers[Customer_ID],0)),"Unmatched")</f>
        <v>Mid-Market</v>
      </c>
    </row>
    <row r="152" spans="1:16" ht="15" customHeight="1" x14ac:dyDescent="0.2">
      <c r="A152" s="9" t="s">
        <v>1515</v>
      </c>
      <c r="B152" s="9" t="s">
        <v>1169</v>
      </c>
      <c r="C152" s="9" t="b">
        <f>TRUE()</f>
        <v>1</v>
      </c>
      <c r="D152" s="10">
        <v>45907</v>
      </c>
      <c r="E152" s="10">
        <v>45901</v>
      </c>
      <c r="F152" s="9" t="s">
        <v>1423</v>
      </c>
      <c r="G152" s="11">
        <v>5293.15</v>
      </c>
      <c r="H152" s="11">
        <v>0</v>
      </c>
      <c r="I152" s="9" t="b">
        <f>TRUE()</f>
        <v>1</v>
      </c>
      <c r="J152" s="9" t="s">
        <v>1408</v>
      </c>
      <c r="K152" s="11">
        <v>0</v>
      </c>
      <c r="L152" s="9" t="s">
        <v>21</v>
      </c>
      <c r="M152" s="9" t="str">
        <f>IFERROR(INDEX(T_CleanCustomers[Sales_Rep_ID],MATCH(B152,T_CleanCustomers[Customer_ID],0)),"Unmatched")</f>
        <v>REP009</v>
      </c>
      <c r="N152" s="9" t="str">
        <f>IFERROR(INDEX(T_CleanCustomers[Channel],MATCH(B152,T_CleanCustomers[Customer_ID],0)),"Unmatched")</f>
        <v>Partner</v>
      </c>
      <c r="O152" s="9" t="str">
        <f>IFERROR(INDEX(T_CleanCustomers[Product],MATCH(B152,T_CleanCustomers[Customer_ID],0)),"Unmatched")</f>
        <v>EV Charge Card</v>
      </c>
      <c r="P152" s="9" t="str">
        <f>IFERROR(INDEX(T_CleanCustomers[Customer_Segment],MATCH(B152,T_CleanCustomers[Customer_ID],0)),"Unmatched")</f>
        <v>Mid-Market</v>
      </c>
    </row>
    <row r="153" spans="1:16" ht="15" customHeight="1" x14ac:dyDescent="0.2">
      <c r="A153" s="9" t="s">
        <v>1516</v>
      </c>
      <c r="B153" s="9" t="s">
        <v>1169</v>
      </c>
      <c r="C153" s="9" t="b">
        <f>TRUE()</f>
        <v>1</v>
      </c>
      <c r="D153" s="10">
        <v>45919</v>
      </c>
      <c r="E153" s="10">
        <v>45901</v>
      </c>
      <c r="F153" s="9" t="s">
        <v>1423</v>
      </c>
      <c r="G153" s="11">
        <v>14836.34</v>
      </c>
      <c r="H153" s="11">
        <v>448</v>
      </c>
      <c r="I153" s="9" t="b">
        <f>TRUE()</f>
        <v>1</v>
      </c>
      <c r="J153" s="9" t="s">
        <v>1361</v>
      </c>
      <c r="K153" s="11">
        <v>448</v>
      </c>
      <c r="L153" s="9" t="s">
        <v>21</v>
      </c>
      <c r="M153" s="9" t="str">
        <f>IFERROR(INDEX(T_CleanCustomers[Sales_Rep_ID],MATCH(B153,T_CleanCustomers[Customer_ID],0)),"Unmatched")</f>
        <v>REP009</v>
      </c>
      <c r="N153" s="9" t="str">
        <f>IFERROR(INDEX(T_CleanCustomers[Channel],MATCH(B153,T_CleanCustomers[Customer_ID],0)),"Unmatched")</f>
        <v>Partner</v>
      </c>
      <c r="O153" s="9" t="str">
        <f>IFERROR(INDEX(T_CleanCustomers[Product],MATCH(B153,T_CleanCustomers[Customer_ID],0)),"Unmatched")</f>
        <v>EV Charge Card</v>
      </c>
      <c r="P153" s="9" t="str">
        <f>IFERROR(INDEX(T_CleanCustomers[Customer_Segment],MATCH(B153,T_CleanCustomers[Customer_ID],0)),"Unmatched")</f>
        <v>Mid-Market</v>
      </c>
    </row>
    <row r="154" spans="1:16" ht="15" customHeight="1" x14ac:dyDescent="0.2">
      <c r="A154" s="9" t="s">
        <v>1517</v>
      </c>
      <c r="B154" s="9" t="s">
        <v>1169</v>
      </c>
      <c r="C154" s="9" t="b">
        <f>TRUE()</f>
        <v>1</v>
      </c>
      <c r="D154" s="10">
        <v>45920</v>
      </c>
      <c r="E154" s="10">
        <v>45901</v>
      </c>
      <c r="F154" s="9" t="s">
        <v>1423</v>
      </c>
      <c r="G154" s="11">
        <v>15118.67</v>
      </c>
      <c r="H154" s="11">
        <v>500.39</v>
      </c>
      <c r="I154" s="9" t="b">
        <f>TRUE()</f>
        <v>1</v>
      </c>
      <c r="J154" s="9" t="s">
        <v>1361</v>
      </c>
      <c r="K154" s="11">
        <v>500.39</v>
      </c>
      <c r="L154" s="9" t="s">
        <v>21</v>
      </c>
      <c r="M154" s="9" t="str">
        <f>IFERROR(INDEX(T_CleanCustomers[Sales_Rep_ID],MATCH(B154,T_CleanCustomers[Customer_ID],0)),"Unmatched")</f>
        <v>REP009</v>
      </c>
      <c r="N154" s="9" t="str">
        <f>IFERROR(INDEX(T_CleanCustomers[Channel],MATCH(B154,T_CleanCustomers[Customer_ID],0)),"Unmatched")</f>
        <v>Partner</v>
      </c>
      <c r="O154" s="9" t="str">
        <f>IFERROR(INDEX(T_CleanCustomers[Product],MATCH(B154,T_CleanCustomers[Customer_ID],0)),"Unmatched")</f>
        <v>EV Charge Card</v>
      </c>
      <c r="P154" s="9" t="str">
        <f>IFERROR(INDEX(T_CleanCustomers[Customer_Segment],MATCH(B154,T_CleanCustomers[Customer_ID],0)),"Unmatched")</f>
        <v>Mid-Market</v>
      </c>
    </row>
    <row r="155" spans="1:16" ht="15" customHeight="1" x14ac:dyDescent="0.2">
      <c r="A155" s="9" t="s">
        <v>1518</v>
      </c>
      <c r="B155" s="9" t="s">
        <v>1169</v>
      </c>
      <c r="C155" s="9" t="b">
        <f>TRUE()</f>
        <v>1</v>
      </c>
      <c r="D155" s="10">
        <v>45941</v>
      </c>
      <c r="E155" s="10">
        <v>45931</v>
      </c>
      <c r="F155" s="9" t="s">
        <v>1423</v>
      </c>
      <c r="G155" s="11">
        <v>6088.67</v>
      </c>
      <c r="H155" s="11">
        <v>200.66</v>
      </c>
      <c r="I155" s="9" t="b">
        <f>TRUE()</f>
        <v>1</v>
      </c>
      <c r="J155" s="9" t="s">
        <v>1361</v>
      </c>
      <c r="K155" s="11">
        <v>200.66</v>
      </c>
      <c r="L155" s="9" t="s">
        <v>21</v>
      </c>
      <c r="M155" s="9" t="str">
        <f>IFERROR(INDEX(T_CleanCustomers[Sales_Rep_ID],MATCH(B155,T_CleanCustomers[Customer_ID],0)),"Unmatched")</f>
        <v>REP009</v>
      </c>
      <c r="N155" s="9" t="str">
        <f>IFERROR(INDEX(T_CleanCustomers[Channel],MATCH(B155,T_CleanCustomers[Customer_ID],0)),"Unmatched")</f>
        <v>Partner</v>
      </c>
      <c r="O155" s="9" t="str">
        <f>IFERROR(INDEX(T_CleanCustomers[Product],MATCH(B155,T_CleanCustomers[Customer_ID],0)),"Unmatched")</f>
        <v>EV Charge Card</v>
      </c>
      <c r="P155" s="9" t="str">
        <f>IFERROR(INDEX(T_CleanCustomers[Customer_Segment],MATCH(B155,T_CleanCustomers[Customer_ID],0)),"Unmatched")</f>
        <v>Mid-Market</v>
      </c>
    </row>
    <row r="156" spans="1:16" ht="15" customHeight="1" x14ac:dyDescent="0.2">
      <c r="A156" s="9" t="s">
        <v>1519</v>
      </c>
      <c r="B156" s="9" t="s">
        <v>1169</v>
      </c>
      <c r="C156" s="9" t="b">
        <f>TRUE()</f>
        <v>1</v>
      </c>
      <c r="D156" s="10">
        <v>45938</v>
      </c>
      <c r="E156" s="10">
        <v>45931</v>
      </c>
      <c r="F156" s="9" t="s">
        <v>1423</v>
      </c>
      <c r="G156" s="11">
        <v>12151.06</v>
      </c>
      <c r="H156" s="11">
        <v>359.29</v>
      </c>
      <c r="I156" s="9" t="b">
        <f>TRUE()</f>
        <v>1</v>
      </c>
      <c r="J156" s="9" t="s">
        <v>1361</v>
      </c>
      <c r="K156" s="11">
        <v>359.29</v>
      </c>
      <c r="L156" s="9" t="s">
        <v>21</v>
      </c>
      <c r="M156" s="9" t="str">
        <f>IFERROR(INDEX(T_CleanCustomers[Sales_Rep_ID],MATCH(B156,T_CleanCustomers[Customer_ID],0)),"Unmatched")</f>
        <v>REP009</v>
      </c>
      <c r="N156" s="9" t="str">
        <f>IFERROR(INDEX(T_CleanCustomers[Channel],MATCH(B156,T_CleanCustomers[Customer_ID],0)),"Unmatched")</f>
        <v>Partner</v>
      </c>
      <c r="O156" s="9" t="str">
        <f>IFERROR(INDEX(T_CleanCustomers[Product],MATCH(B156,T_CleanCustomers[Customer_ID],0)),"Unmatched")</f>
        <v>EV Charge Card</v>
      </c>
      <c r="P156" s="9" t="str">
        <f>IFERROR(INDEX(T_CleanCustomers[Customer_Segment],MATCH(B156,T_CleanCustomers[Customer_ID],0)),"Unmatched")</f>
        <v>Mid-Market</v>
      </c>
    </row>
    <row r="157" spans="1:16" ht="15" customHeight="1" x14ac:dyDescent="0.2">
      <c r="A157" s="9" t="s">
        <v>1520</v>
      </c>
      <c r="B157" s="9" t="s">
        <v>1169</v>
      </c>
      <c r="C157" s="9" t="b">
        <f>TRUE()</f>
        <v>1</v>
      </c>
      <c r="D157" s="10">
        <v>45974</v>
      </c>
      <c r="E157" s="10">
        <v>45962</v>
      </c>
      <c r="F157" s="9" t="s">
        <v>1423</v>
      </c>
      <c r="G157" s="11">
        <v>11751.05</v>
      </c>
      <c r="H157" s="11">
        <v>368.36</v>
      </c>
      <c r="I157" s="9" t="b">
        <f>TRUE()</f>
        <v>1</v>
      </c>
      <c r="J157" s="9" t="s">
        <v>1361</v>
      </c>
      <c r="K157" s="11">
        <v>368.36</v>
      </c>
      <c r="L157" s="9" t="s">
        <v>21</v>
      </c>
      <c r="M157" s="9" t="str">
        <f>IFERROR(INDEX(T_CleanCustomers[Sales_Rep_ID],MATCH(B157,T_CleanCustomers[Customer_ID],0)),"Unmatched")</f>
        <v>REP009</v>
      </c>
      <c r="N157" s="9" t="str">
        <f>IFERROR(INDEX(T_CleanCustomers[Channel],MATCH(B157,T_CleanCustomers[Customer_ID],0)),"Unmatched")</f>
        <v>Partner</v>
      </c>
      <c r="O157" s="9" t="str">
        <f>IFERROR(INDEX(T_CleanCustomers[Product],MATCH(B157,T_CleanCustomers[Customer_ID],0)),"Unmatched")</f>
        <v>EV Charge Card</v>
      </c>
      <c r="P157" s="9" t="str">
        <f>IFERROR(INDEX(T_CleanCustomers[Customer_Segment],MATCH(B157,T_CleanCustomers[Customer_ID],0)),"Unmatched")</f>
        <v>Mid-Market</v>
      </c>
    </row>
    <row r="158" spans="1:16" ht="15" customHeight="1" x14ac:dyDescent="0.2">
      <c r="A158" s="9" t="s">
        <v>1521</v>
      </c>
      <c r="B158" s="9" t="s">
        <v>1169</v>
      </c>
      <c r="C158" s="9" t="b">
        <f>TRUE()</f>
        <v>1</v>
      </c>
      <c r="D158" s="10">
        <v>46015</v>
      </c>
      <c r="E158" s="10">
        <v>45992</v>
      </c>
      <c r="F158" s="9" t="s">
        <v>1423</v>
      </c>
      <c r="G158" s="11">
        <v>14095.92</v>
      </c>
      <c r="H158" s="11">
        <v>454.74</v>
      </c>
      <c r="I158" s="9" t="b">
        <f>TRUE()</f>
        <v>1</v>
      </c>
      <c r="J158" s="9" t="s">
        <v>1361</v>
      </c>
      <c r="K158" s="11">
        <v>454.74</v>
      </c>
      <c r="L158" s="9" t="s">
        <v>21</v>
      </c>
      <c r="M158" s="9" t="str">
        <f>IFERROR(INDEX(T_CleanCustomers[Sales_Rep_ID],MATCH(B158,T_CleanCustomers[Customer_ID],0)),"Unmatched")</f>
        <v>REP009</v>
      </c>
      <c r="N158" s="9" t="str">
        <f>IFERROR(INDEX(T_CleanCustomers[Channel],MATCH(B158,T_CleanCustomers[Customer_ID],0)),"Unmatched")</f>
        <v>Partner</v>
      </c>
      <c r="O158" s="9" t="str">
        <f>IFERROR(INDEX(T_CleanCustomers[Product],MATCH(B158,T_CleanCustomers[Customer_ID],0)),"Unmatched")</f>
        <v>EV Charge Card</v>
      </c>
      <c r="P158" s="9" t="str">
        <f>IFERROR(INDEX(T_CleanCustomers[Customer_Segment],MATCH(B158,T_CleanCustomers[Customer_ID],0)),"Unmatched")</f>
        <v>Mid-Market</v>
      </c>
    </row>
    <row r="159" spans="1:16" ht="15" customHeight="1" x14ac:dyDescent="0.2">
      <c r="A159" s="9" t="s">
        <v>1522</v>
      </c>
      <c r="B159" s="9" t="s">
        <v>1169</v>
      </c>
      <c r="C159" s="9" t="b">
        <f>TRUE()</f>
        <v>1</v>
      </c>
      <c r="D159" s="10">
        <v>46006</v>
      </c>
      <c r="E159" s="10">
        <v>45992</v>
      </c>
      <c r="F159" s="9" t="s">
        <v>1423</v>
      </c>
      <c r="G159" s="11">
        <v>11900.7</v>
      </c>
      <c r="H159" s="11">
        <v>374.27</v>
      </c>
      <c r="I159" s="9" t="b">
        <f>TRUE()</f>
        <v>1</v>
      </c>
      <c r="J159" s="9" t="s">
        <v>1361</v>
      </c>
      <c r="K159" s="11">
        <v>374.27</v>
      </c>
      <c r="L159" s="9" t="s">
        <v>21</v>
      </c>
      <c r="M159" s="9" t="str">
        <f>IFERROR(INDEX(T_CleanCustomers[Sales_Rep_ID],MATCH(B159,T_CleanCustomers[Customer_ID],0)),"Unmatched")</f>
        <v>REP009</v>
      </c>
      <c r="N159" s="9" t="str">
        <f>IFERROR(INDEX(T_CleanCustomers[Channel],MATCH(B159,T_CleanCustomers[Customer_ID],0)),"Unmatched")</f>
        <v>Partner</v>
      </c>
      <c r="O159" s="9" t="str">
        <f>IFERROR(INDEX(T_CleanCustomers[Product],MATCH(B159,T_CleanCustomers[Customer_ID],0)),"Unmatched")</f>
        <v>EV Charge Card</v>
      </c>
      <c r="P159" s="9" t="str">
        <f>IFERROR(INDEX(T_CleanCustomers[Customer_Segment],MATCH(B159,T_CleanCustomers[Customer_ID],0)),"Unmatched")</f>
        <v>Mid-Market</v>
      </c>
    </row>
    <row r="160" spans="1:16" ht="15" customHeight="1" x14ac:dyDescent="0.2">
      <c r="A160" s="9" t="s">
        <v>1523</v>
      </c>
      <c r="B160" s="9" t="s">
        <v>1169</v>
      </c>
      <c r="C160" s="9" t="b">
        <f>TRUE()</f>
        <v>1</v>
      </c>
      <c r="D160" s="10">
        <v>46017</v>
      </c>
      <c r="E160" s="10">
        <v>45992</v>
      </c>
      <c r="F160" s="9" t="s">
        <v>1423</v>
      </c>
      <c r="G160" s="11">
        <v>8083.27</v>
      </c>
      <c r="H160" s="11">
        <v>248.23</v>
      </c>
      <c r="I160" s="9" t="b">
        <f>TRUE()</f>
        <v>1</v>
      </c>
      <c r="J160" s="9" t="s">
        <v>1361</v>
      </c>
      <c r="K160" s="11">
        <v>248.23</v>
      </c>
      <c r="L160" s="9" t="s">
        <v>21</v>
      </c>
      <c r="M160" s="9" t="str">
        <f>IFERROR(INDEX(T_CleanCustomers[Sales_Rep_ID],MATCH(B160,T_CleanCustomers[Customer_ID],0)),"Unmatched")</f>
        <v>REP009</v>
      </c>
      <c r="N160" s="9" t="str">
        <f>IFERROR(INDEX(T_CleanCustomers[Channel],MATCH(B160,T_CleanCustomers[Customer_ID],0)),"Unmatched")</f>
        <v>Partner</v>
      </c>
      <c r="O160" s="9" t="str">
        <f>IFERROR(INDEX(T_CleanCustomers[Product],MATCH(B160,T_CleanCustomers[Customer_ID],0)),"Unmatched")</f>
        <v>EV Charge Card</v>
      </c>
      <c r="P160" s="9" t="str">
        <f>IFERROR(INDEX(T_CleanCustomers[Customer_Segment],MATCH(B160,T_CleanCustomers[Customer_ID],0)),"Unmatched")</f>
        <v>Mid-Market</v>
      </c>
    </row>
    <row r="161" spans="1:16" ht="15" customHeight="1" x14ac:dyDescent="0.2">
      <c r="A161" s="9" t="s">
        <v>1524</v>
      </c>
      <c r="B161" s="9" t="s">
        <v>76</v>
      </c>
      <c r="C161" s="9" t="b">
        <f>TRUE()</f>
        <v>1</v>
      </c>
      <c r="D161" s="10">
        <v>45801</v>
      </c>
      <c r="E161" s="10">
        <v>45778</v>
      </c>
      <c r="F161" s="9" t="s">
        <v>1360</v>
      </c>
      <c r="G161" s="11">
        <v>49629.48</v>
      </c>
      <c r="H161" s="11">
        <v>1410.74</v>
      </c>
      <c r="I161" s="9" t="b">
        <f>TRUE()</f>
        <v>1</v>
      </c>
      <c r="J161" s="9" t="s">
        <v>1361</v>
      </c>
      <c r="K161" s="11">
        <v>1410.74</v>
      </c>
      <c r="L161" s="9" t="s">
        <v>20</v>
      </c>
      <c r="M161" s="9" t="str">
        <f>IFERROR(INDEX(T_CleanCustomers[Sales_Rep_ID],MATCH(B161,T_CleanCustomers[Customer_ID],0)),"Unmatched")</f>
        <v>REP003</v>
      </c>
      <c r="N161" s="9" t="str">
        <f>IFERROR(INDEX(T_CleanCustomers[Channel],MATCH(B161,T_CleanCustomers[Customer_ID],0)),"Unmatched")</f>
        <v>Partner</v>
      </c>
      <c r="O161" s="9" t="str">
        <f>IFERROR(INDEX(T_CleanCustomers[Product],MATCH(B161,T_CleanCustomers[Customer_ID],0)),"Unmatched")</f>
        <v>Fuel Card</v>
      </c>
      <c r="P161" s="9" t="str">
        <f>IFERROR(INDEX(T_CleanCustomers[Customer_Segment],MATCH(B161,T_CleanCustomers[Customer_ID],0)),"Unmatched")</f>
        <v>Enterprise</v>
      </c>
    </row>
    <row r="162" spans="1:16" ht="15" customHeight="1" x14ac:dyDescent="0.2">
      <c r="A162" s="9" t="s">
        <v>1525</v>
      </c>
      <c r="B162" s="9" t="s">
        <v>76</v>
      </c>
      <c r="C162" s="9" t="b">
        <f>TRUE()</f>
        <v>1</v>
      </c>
      <c r="D162" s="10">
        <v>45816</v>
      </c>
      <c r="E162" s="10">
        <v>45809</v>
      </c>
      <c r="F162" s="9" t="s">
        <v>1360</v>
      </c>
      <c r="G162" s="11">
        <v>35735.89</v>
      </c>
      <c r="H162" s="11">
        <v>824.7</v>
      </c>
      <c r="I162" s="9" t="b">
        <f>TRUE()</f>
        <v>1</v>
      </c>
      <c r="J162" s="9" t="s">
        <v>1361</v>
      </c>
      <c r="K162" s="11">
        <v>824.7</v>
      </c>
      <c r="L162" s="9" t="s">
        <v>20</v>
      </c>
      <c r="M162" s="9" t="str">
        <f>IFERROR(INDEX(T_CleanCustomers[Sales_Rep_ID],MATCH(B162,T_CleanCustomers[Customer_ID],0)),"Unmatched")</f>
        <v>REP003</v>
      </c>
      <c r="N162" s="9" t="str">
        <f>IFERROR(INDEX(T_CleanCustomers[Channel],MATCH(B162,T_CleanCustomers[Customer_ID],0)),"Unmatched")</f>
        <v>Partner</v>
      </c>
      <c r="O162" s="9" t="str">
        <f>IFERROR(INDEX(T_CleanCustomers[Product],MATCH(B162,T_CleanCustomers[Customer_ID],0)),"Unmatched")</f>
        <v>Fuel Card</v>
      </c>
      <c r="P162" s="9" t="str">
        <f>IFERROR(INDEX(T_CleanCustomers[Customer_Segment],MATCH(B162,T_CleanCustomers[Customer_ID],0)),"Unmatched")</f>
        <v>Enterprise</v>
      </c>
    </row>
    <row r="163" spans="1:16" ht="15" customHeight="1" x14ac:dyDescent="0.2">
      <c r="A163" s="9" t="s">
        <v>1526</v>
      </c>
      <c r="B163" s="9" t="s">
        <v>76</v>
      </c>
      <c r="C163" s="9" t="b">
        <f>TRUE()</f>
        <v>1</v>
      </c>
      <c r="D163" s="10">
        <v>45861</v>
      </c>
      <c r="E163" s="10">
        <v>45839</v>
      </c>
      <c r="F163" s="9" t="s">
        <v>1360</v>
      </c>
      <c r="G163" s="11">
        <v>38439.629999999997</v>
      </c>
      <c r="H163" s="11">
        <v>1085.18</v>
      </c>
      <c r="I163" s="9" t="b">
        <f>TRUE()</f>
        <v>1</v>
      </c>
      <c r="J163" s="9" t="s">
        <v>1361</v>
      </c>
      <c r="K163" s="11">
        <v>1085.18</v>
      </c>
      <c r="L163" s="9" t="s">
        <v>20</v>
      </c>
      <c r="M163" s="9" t="str">
        <f>IFERROR(INDEX(T_CleanCustomers[Sales_Rep_ID],MATCH(B163,T_CleanCustomers[Customer_ID],0)),"Unmatched")</f>
        <v>REP003</v>
      </c>
      <c r="N163" s="9" t="str">
        <f>IFERROR(INDEX(T_CleanCustomers[Channel],MATCH(B163,T_CleanCustomers[Customer_ID],0)),"Unmatched")</f>
        <v>Partner</v>
      </c>
      <c r="O163" s="9" t="str">
        <f>IFERROR(INDEX(T_CleanCustomers[Product],MATCH(B163,T_CleanCustomers[Customer_ID],0)),"Unmatched")</f>
        <v>Fuel Card</v>
      </c>
      <c r="P163" s="9" t="str">
        <f>IFERROR(INDEX(T_CleanCustomers[Customer_Segment],MATCH(B163,T_CleanCustomers[Customer_ID],0)),"Unmatched")</f>
        <v>Enterprise</v>
      </c>
    </row>
    <row r="164" spans="1:16" ht="15" customHeight="1" x14ac:dyDescent="0.2">
      <c r="A164" s="9" t="s">
        <v>1527</v>
      </c>
      <c r="B164" s="9" t="s">
        <v>76</v>
      </c>
      <c r="C164" s="9" t="b">
        <f>TRUE()</f>
        <v>1</v>
      </c>
      <c r="D164" s="10">
        <v>45865</v>
      </c>
      <c r="E164" s="10">
        <v>45839</v>
      </c>
      <c r="F164" s="9" t="s">
        <v>1360</v>
      </c>
      <c r="G164" s="11">
        <v>25568.31</v>
      </c>
      <c r="H164" s="11">
        <v>632.65</v>
      </c>
      <c r="I164" s="9" t="b">
        <f>TRUE()</f>
        <v>1</v>
      </c>
      <c r="J164" s="9" t="s">
        <v>1361</v>
      </c>
      <c r="K164" s="11">
        <v>632.65</v>
      </c>
      <c r="L164" s="9" t="s">
        <v>20</v>
      </c>
      <c r="M164" s="9" t="str">
        <f>IFERROR(INDEX(T_CleanCustomers[Sales_Rep_ID],MATCH(B164,T_CleanCustomers[Customer_ID],0)),"Unmatched")</f>
        <v>REP003</v>
      </c>
      <c r="N164" s="9" t="str">
        <f>IFERROR(INDEX(T_CleanCustomers[Channel],MATCH(B164,T_CleanCustomers[Customer_ID],0)),"Unmatched")</f>
        <v>Partner</v>
      </c>
      <c r="O164" s="9" t="str">
        <f>IFERROR(INDEX(T_CleanCustomers[Product],MATCH(B164,T_CleanCustomers[Customer_ID],0)),"Unmatched")</f>
        <v>Fuel Card</v>
      </c>
      <c r="P164" s="9" t="str">
        <f>IFERROR(INDEX(T_CleanCustomers[Customer_Segment],MATCH(B164,T_CleanCustomers[Customer_ID],0)),"Unmatched")</f>
        <v>Enterprise</v>
      </c>
    </row>
    <row r="165" spans="1:16" ht="15" customHeight="1" x14ac:dyDescent="0.2">
      <c r="A165" s="9" t="s">
        <v>1528</v>
      </c>
      <c r="B165" s="9" t="s">
        <v>76</v>
      </c>
      <c r="C165" s="9" t="b">
        <f>TRUE()</f>
        <v>1</v>
      </c>
      <c r="D165" s="10">
        <v>45864</v>
      </c>
      <c r="E165" s="10">
        <v>45839</v>
      </c>
      <c r="F165" s="9" t="s">
        <v>1360</v>
      </c>
      <c r="G165" s="11">
        <v>60889.78</v>
      </c>
      <c r="H165" s="11">
        <v>1424.39</v>
      </c>
      <c r="I165" s="9" t="b">
        <f>TRUE()</f>
        <v>1</v>
      </c>
      <c r="J165" s="9" t="s">
        <v>1361</v>
      </c>
      <c r="K165" s="11">
        <v>1424.39</v>
      </c>
      <c r="L165" s="9" t="s">
        <v>20</v>
      </c>
      <c r="M165" s="9" t="str">
        <f>IFERROR(INDEX(T_CleanCustomers[Sales_Rep_ID],MATCH(B165,T_CleanCustomers[Customer_ID],0)),"Unmatched")</f>
        <v>REP003</v>
      </c>
      <c r="N165" s="9" t="str">
        <f>IFERROR(INDEX(T_CleanCustomers[Channel],MATCH(B165,T_CleanCustomers[Customer_ID],0)),"Unmatched")</f>
        <v>Partner</v>
      </c>
      <c r="O165" s="9" t="str">
        <f>IFERROR(INDEX(T_CleanCustomers[Product],MATCH(B165,T_CleanCustomers[Customer_ID],0)),"Unmatched")</f>
        <v>Fuel Card</v>
      </c>
      <c r="P165" s="9" t="str">
        <f>IFERROR(INDEX(T_CleanCustomers[Customer_Segment],MATCH(B165,T_CleanCustomers[Customer_ID],0)),"Unmatched")</f>
        <v>Enterprise</v>
      </c>
    </row>
    <row r="166" spans="1:16" ht="15" customHeight="1" x14ac:dyDescent="0.2">
      <c r="A166" s="9" t="s">
        <v>1529</v>
      </c>
      <c r="B166" s="9" t="s">
        <v>76</v>
      </c>
      <c r="C166" s="9" t="b">
        <f>TRUE()</f>
        <v>1</v>
      </c>
      <c r="D166" s="10">
        <v>45874</v>
      </c>
      <c r="E166" s="10">
        <v>45870</v>
      </c>
      <c r="F166" s="9" t="s">
        <v>1360</v>
      </c>
      <c r="G166" s="11">
        <v>31053.11</v>
      </c>
      <c r="H166" s="11">
        <v>855.9</v>
      </c>
      <c r="I166" s="9" t="b">
        <f>TRUE()</f>
        <v>1</v>
      </c>
      <c r="J166" s="9" t="s">
        <v>1361</v>
      </c>
      <c r="K166" s="11">
        <v>855.9</v>
      </c>
      <c r="L166" s="9" t="s">
        <v>20</v>
      </c>
      <c r="M166" s="9" t="str">
        <f>IFERROR(INDEX(T_CleanCustomers[Sales_Rep_ID],MATCH(B166,T_CleanCustomers[Customer_ID],0)),"Unmatched")</f>
        <v>REP003</v>
      </c>
      <c r="N166" s="9" t="str">
        <f>IFERROR(INDEX(T_CleanCustomers[Channel],MATCH(B166,T_CleanCustomers[Customer_ID],0)),"Unmatched")</f>
        <v>Partner</v>
      </c>
      <c r="O166" s="9" t="str">
        <f>IFERROR(INDEX(T_CleanCustomers[Product],MATCH(B166,T_CleanCustomers[Customer_ID],0)),"Unmatched")</f>
        <v>Fuel Card</v>
      </c>
      <c r="P166" s="9" t="str">
        <f>IFERROR(INDEX(T_CleanCustomers[Customer_Segment],MATCH(B166,T_CleanCustomers[Customer_ID],0)),"Unmatched")</f>
        <v>Enterprise</v>
      </c>
    </row>
    <row r="167" spans="1:16" ht="15" customHeight="1" x14ac:dyDescent="0.2">
      <c r="A167" s="9" t="s">
        <v>1530</v>
      </c>
      <c r="B167" s="9" t="s">
        <v>76</v>
      </c>
      <c r="C167" s="9" t="b">
        <f>TRUE()</f>
        <v>1</v>
      </c>
      <c r="D167" s="10">
        <v>45875</v>
      </c>
      <c r="E167" s="10">
        <v>45870</v>
      </c>
      <c r="F167" s="9" t="s">
        <v>1360</v>
      </c>
      <c r="G167" s="11">
        <v>41334.6</v>
      </c>
      <c r="H167" s="11">
        <v>1151.1400000000001</v>
      </c>
      <c r="I167" s="9" t="b">
        <f>TRUE()</f>
        <v>1</v>
      </c>
      <c r="J167" s="9" t="s">
        <v>1361</v>
      </c>
      <c r="K167" s="11">
        <v>1151.1400000000001</v>
      </c>
      <c r="L167" s="9" t="s">
        <v>20</v>
      </c>
      <c r="M167" s="9" t="str">
        <f>IFERROR(INDEX(T_CleanCustomers[Sales_Rep_ID],MATCH(B167,T_CleanCustomers[Customer_ID],0)),"Unmatched")</f>
        <v>REP003</v>
      </c>
      <c r="N167" s="9" t="str">
        <f>IFERROR(INDEX(T_CleanCustomers[Channel],MATCH(B167,T_CleanCustomers[Customer_ID],0)),"Unmatched")</f>
        <v>Partner</v>
      </c>
      <c r="O167" s="9" t="str">
        <f>IFERROR(INDEX(T_CleanCustomers[Product],MATCH(B167,T_CleanCustomers[Customer_ID],0)),"Unmatched")</f>
        <v>Fuel Card</v>
      </c>
      <c r="P167" s="9" t="str">
        <f>IFERROR(INDEX(T_CleanCustomers[Customer_Segment],MATCH(B167,T_CleanCustomers[Customer_ID],0)),"Unmatched")</f>
        <v>Enterprise</v>
      </c>
    </row>
    <row r="168" spans="1:16" ht="15" customHeight="1" x14ac:dyDescent="0.2">
      <c r="A168" s="9" t="s">
        <v>1531</v>
      </c>
      <c r="B168" s="9" t="s">
        <v>76</v>
      </c>
      <c r="C168" s="9" t="b">
        <f>TRUE()</f>
        <v>1</v>
      </c>
      <c r="D168" s="10">
        <v>45906</v>
      </c>
      <c r="E168" s="10">
        <v>45901</v>
      </c>
      <c r="F168" s="9" t="s">
        <v>1360</v>
      </c>
      <c r="G168" s="11">
        <v>32808.76</v>
      </c>
      <c r="H168" s="11">
        <v>715.15</v>
      </c>
      <c r="I168" s="9" t="b">
        <f>TRUE()</f>
        <v>1</v>
      </c>
      <c r="J168" s="9" t="s">
        <v>1361</v>
      </c>
      <c r="K168" s="11">
        <v>715.15</v>
      </c>
      <c r="L168" s="9" t="s">
        <v>20</v>
      </c>
      <c r="M168" s="9" t="str">
        <f>IFERROR(INDEX(T_CleanCustomers[Sales_Rep_ID],MATCH(B168,T_CleanCustomers[Customer_ID],0)),"Unmatched")</f>
        <v>REP003</v>
      </c>
      <c r="N168" s="9" t="str">
        <f>IFERROR(INDEX(T_CleanCustomers[Channel],MATCH(B168,T_CleanCustomers[Customer_ID],0)),"Unmatched")</f>
        <v>Partner</v>
      </c>
      <c r="O168" s="9" t="str">
        <f>IFERROR(INDEX(T_CleanCustomers[Product],MATCH(B168,T_CleanCustomers[Customer_ID],0)),"Unmatched")</f>
        <v>Fuel Card</v>
      </c>
      <c r="P168" s="9" t="str">
        <f>IFERROR(INDEX(T_CleanCustomers[Customer_Segment],MATCH(B168,T_CleanCustomers[Customer_ID],0)),"Unmatched")</f>
        <v>Enterprise</v>
      </c>
    </row>
    <row r="169" spans="1:16" ht="15" customHeight="1" x14ac:dyDescent="0.2">
      <c r="A169" s="9" t="s">
        <v>1532</v>
      </c>
      <c r="B169" s="9" t="s">
        <v>76</v>
      </c>
      <c r="C169" s="9" t="b">
        <f>TRUE()</f>
        <v>1</v>
      </c>
      <c r="D169" s="10">
        <v>45907</v>
      </c>
      <c r="E169" s="10">
        <v>45901</v>
      </c>
      <c r="F169" s="9" t="s">
        <v>1360</v>
      </c>
      <c r="G169" s="11">
        <v>42123.09</v>
      </c>
      <c r="H169" s="11">
        <v>923.92</v>
      </c>
      <c r="I169" s="9" t="b">
        <f>TRUE()</f>
        <v>1</v>
      </c>
      <c r="J169" s="9" t="s">
        <v>1361</v>
      </c>
      <c r="K169" s="11">
        <v>923.92</v>
      </c>
      <c r="L169" s="9" t="s">
        <v>20</v>
      </c>
      <c r="M169" s="9" t="str">
        <f>IFERROR(INDEX(T_CleanCustomers[Sales_Rep_ID],MATCH(B169,T_CleanCustomers[Customer_ID],0)),"Unmatched")</f>
        <v>REP003</v>
      </c>
      <c r="N169" s="9" t="str">
        <f>IFERROR(INDEX(T_CleanCustomers[Channel],MATCH(B169,T_CleanCustomers[Customer_ID],0)),"Unmatched")</f>
        <v>Partner</v>
      </c>
      <c r="O169" s="9" t="str">
        <f>IFERROR(INDEX(T_CleanCustomers[Product],MATCH(B169,T_CleanCustomers[Customer_ID],0)),"Unmatched")</f>
        <v>Fuel Card</v>
      </c>
      <c r="P169" s="9" t="str">
        <f>IFERROR(INDEX(T_CleanCustomers[Customer_Segment],MATCH(B169,T_CleanCustomers[Customer_ID],0)),"Unmatched")</f>
        <v>Enterprise</v>
      </c>
    </row>
    <row r="170" spans="1:16" ht="15" customHeight="1" x14ac:dyDescent="0.2">
      <c r="A170" s="9" t="s">
        <v>1533</v>
      </c>
      <c r="B170" s="9" t="s">
        <v>76</v>
      </c>
      <c r="C170" s="9" t="b">
        <f>TRUE()</f>
        <v>1</v>
      </c>
      <c r="D170" s="10">
        <v>45942</v>
      </c>
      <c r="E170" s="10">
        <v>45931</v>
      </c>
      <c r="F170" s="9" t="s">
        <v>1360</v>
      </c>
      <c r="G170" s="11">
        <v>26796.95</v>
      </c>
      <c r="H170" s="11">
        <v>662.94</v>
      </c>
      <c r="I170" s="9" t="b">
        <f>TRUE()</f>
        <v>1</v>
      </c>
      <c r="J170" s="9" t="s">
        <v>1361</v>
      </c>
      <c r="K170" s="11">
        <v>662.94</v>
      </c>
      <c r="L170" s="9" t="s">
        <v>20</v>
      </c>
      <c r="M170" s="9" t="str">
        <f>IFERROR(INDEX(T_CleanCustomers[Sales_Rep_ID],MATCH(B170,T_CleanCustomers[Customer_ID],0)),"Unmatched")</f>
        <v>REP003</v>
      </c>
      <c r="N170" s="9" t="str">
        <f>IFERROR(INDEX(T_CleanCustomers[Channel],MATCH(B170,T_CleanCustomers[Customer_ID],0)),"Unmatched")</f>
        <v>Partner</v>
      </c>
      <c r="O170" s="9" t="str">
        <f>IFERROR(INDEX(T_CleanCustomers[Product],MATCH(B170,T_CleanCustomers[Customer_ID],0)),"Unmatched")</f>
        <v>Fuel Card</v>
      </c>
      <c r="P170" s="9" t="str">
        <f>IFERROR(INDEX(T_CleanCustomers[Customer_Segment],MATCH(B170,T_CleanCustomers[Customer_ID],0)),"Unmatched")</f>
        <v>Enterprise</v>
      </c>
    </row>
    <row r="171" spans="1:16" ht="15" customHeight="1" x14ac:dyDescent="0.2">
      <c r="A171" s="9" t="s">
        <v>1534</v>
      </c>
      <c r="B171" s="9" t="s">
        <v>76</v>
      </c>
      <c r="C171" s="9" t="b">
        <f>TRUE()</f>
        <v>1</v>
      </c>
      <c r="D171" s="10">
        <v>45942</v>
      </c>
      <c r="E171" s="10">
        <v>45931</v>
      </c>
      <c r="F171" s="9" t="s">
        <v>1360</v>
      </c>
      <c r="G171" s="11">
        <v>49598.7</v>
      </c>
      <c r="H171" s="11">
        <v>1056.69</v>
      </c>
      <c r="I171" s="9" t="b">
        <f>TRUE()</f>
        <v>1</v>
      </c>
      <c r="J171" s="9" t="s">
        <v>1361</v>
      </c>
      <c r="K171" s="11">
        <v>1056.69</v>
      </c>
      <c r="L171" s="9" t="s">
        <v>20</v>
      </c>
      <c r="M171" s="9" t="str">
        <f>IFERROR(INDEX(T_CleanCustomers[Sales_Rep_ID],MATCH(B171,T_CleanCustomers[Customer_ID],0)),"Unmatched")</f>
        <v>REP003</v>
      </c>
      <c r="N171" s="9" t="str">
        <f>IFERROR(INDEX(T_CleanCustomers[Channel],MATCH(B171,T_CleanCustomers[Customer_ID],0)),"Unmatched")</f>
        <v>Partner</v>
      </c>
      <c r="O171" s="9" t="str">
        <f>IFERROR(INDEX(T_CleanCustomers[Product],MATCH(B171,T_CleanCustomers[Customer_ID],0)),"Unmatched")</f>
        <v>Fuel Card</v>
      </c>
      <c r="P171" s="9" t="str">
        <f>IFERROR(INDEX(T_CleanCustomers[Customer_Segment],MATCH(B171,T_CleanCustomers[Customer_ID],0)),"Unmatched")</f>
        <v>Enterprise</v>
      </c>
    </row>
    <row r="172" spans="1:16" ht="15" customHeight="1" x14ac:dyDescent="0.2">
      <c r="A172" s="9" t="s">
        <v>1535</v>
      </c>
      <c r="B172" s="9" t="s">
        <v>76</v>
      </c>
      <c r="C172" s="9" t="b">
        <f>TRUE()</f>
        <v>1</v>
      </c>
      <c r="D172" s="10">
        <v>45964</v>
      </c>
      <c r="E172" s="10">
        <v>45962</v>
      </c>
      <c r="F172" s="9" t="s">
        <v>1360</v>
      </c>
      <c r="G172" s="11">
        <v>41624.26</v>
      </c>
      <c r="H172" s="11">
        <v>1082.72</v>
      </c>
      <c r="I172" s="9" t="b">
        <f>TRUE()</f>
        <v>1</v>
      </c>
      <c r="J172" s="9" t="s">
        <v>1361</v>
      </c>
      <c r="K172" s="11">
        <v>1082.72</v>
      </c>
      <c r="L172" s="9" t="s">
        <v>20</v>
      </c>
      <c r="M172" s="9" t="str">
        <f>IFERROR(INDEX(T_CleanCustomers[Sales_Rep_ID],MATCH(B172,T_CleanCustomers[Customer_ID],0)),"Unmatched")</f>
        <v>REP003</v>
      </c>
      <c r="N172" s="9" t="str">
        <f>IFERROR(INDEX(T_CleanCustomers[Channel],MATCH(B172,T_CleanCustomers[Customer_ID],0)),"Unmatched")</f>
        <v>Partner</v>
      </c>
      <c r="O172" s="9" t="str">
        <f>IFERROR(INDEX(T_CleanCustomers[Product],MATCH(B172,T_CleanCustomers[Customer_ID],0)),"Unmatched")</f>
        <v>Fuel Card</v>
      </c>
      <c r="P172" s="9" t="str">
        <f>IFERROR(INDEX(T_CleanCustomers[Customer_Segment],MATCH(B172,T_CleanCustomers[Customer_ID],0)),"Unmatched")</f>
        <v>Enterprise</v>
      </c>
    </row>
    <row r="173" spans="1:16" ht="15" customHeight="1" x14ac:dyDescent="0.2">
      <c r="A173" s="9" t="s">
        <v>1536</v>
      </c>
      <c r="B173" s="9" t="s">
        <v>76</v>
      </c>
      <c r="C173" s="9" t="b">
        <f>TRUE()</f>
        <v>1</v>
      </c>
      <c r="D173" s="10">
        <v>45991</v>
      </c>
      <c r="E173" s="10">
        <v>45962</v>
      </c>
      <c r="F173" s="9" t="s">
        <v>1360</v>
      </c>
      <c r="G173" s="11">
        <v>44515.02</v>
      </c>
      <c r="H173" s="11">
        <v>1061.96</v>
      </c>
      <c r="I173" s="9" t="b">
        <f>TRUE()</f>
        <v>1</v>
      </c>
      <c r="J173" s="9" t="s">
        <v>1361</v>
      </c>
      <c r="K173" s="11">
        <v>1061.96</v>
      </c>
      <c r="L173" s="9" t="s">
        <v>20</v>
      </c>
      <c r="M173" s="9" t="str">
        <f>IFERROR(INDEX(T_CleanCustomers[Sales_Rep_ID],MATCH(B173,T_CleanCustomers[Customer_ID],0)),"Unmatched")</f>
        <v>REP003</v>
      </c>
      <c r="N173" s="9" t="str">
        <f>IFERROR(INDEX(T_CleanCustomers[Channel],MATCH(B173,T_CleanCustomers[Customer_ID],0)),"Unmatched")</f>
        <v>Partner</v>
      </c>
      <c r="O173" s="9" t="str">
        <f>IFERROR(INDEX(T_CleanCustomers[Product],MATCH(B173,T_CleanCustomers[Customer_ID],0)),"Unmatched")</f>
        <v>Fuel Card</v>
      </c>
      <c r="P173" s="9" t="str">
        <f>IFERROR(INDEX(T_CleanCustomers[Customer_Segment],MATCH(B173,T_CleanCustomers[Customer_ID],0)),"Unmatched")</f>
        <v>Enterprise</v>
      </c>
    </row>
    <row r="174" spans="1:16" ht="15" customHeight="1" x14ac:dyDescent="0.2">
      <c r="A174" s="9" t="s">
        <v>1537</v>
      </c>
      <c r="B174" s="9" t="s">
        <v>76</v>
      </c>
      <c r="C174" s="9" t="b">
        <f>TRUE()</f>
        <v>1</v>
      </c>
      <c r="D174" s="10">
        <v>45982</v>
      </c>
      <c r="E174" s="10">
        <v>45962</v>
      </c>
      <c r="F174" s="9" t="s">
        <v>1360</v>
      </c>
      <c r="G174" s="11">
        <v>18816.59</v>
      </c>
      <c r="H174" s="11">
        <v>0</v>
      </c>
      <c r="I174" s="9" t="b">
        <f>TRUE()</f>
        <v>1</v>
      </c>
      <c r="J174" s="9" t="s">
        <v>1408</v>
      </c>
      <c r="K174" s="11">
        <v>0</v>
      </c>
      <c r="L174" s="9" t="s">
        <v>20</v>
      </c>
      <c r="M174" s="9" t="str">
        <f>IFERROR(INDEX(T_CleanCustomers[Sales_Rep_ID],MATCH(B174,T_CleanCustomers[Customer_ID],0)),"Unmatched")</f>
        <v>REP003</v>
      </c>
      <c r="N174" s="9" t="str">
        <f>IFERROR(INDEX(T_CleanCustomers[Channel],MATCH(B174,T_CleanCustomers[Customer_ID],0)),"Unmatched")</f>
        <v>Partner</v>
      </c>
      <c r="O174" s="9" t="str">
        <f>IFERROR(INDEX(T_CleanCustomers[Product],MATCH(B174,T_CleanCustomers[Customer_ID],0)),"Unmatched")</f>
        <v>Fuel Card</v>
      </c>
      <c r="P174" s="9" t="str">
        <f>IFERROR(INDEX(T_CleanCustomers[Customer_Segment],MATCH(B174,T_CleanCustomers[Customer_ID],0)),"Unmatched")</f>
        <v>Enterprise</v>
      </c>
    </row>
    <row r="175" spans="1:16" ht="15" customHeight="1" x14ac:dyDescent="0.2">
      <c r="A175" s="9" t="s">
        <v>1538</v>
      </c>
      <c r="B175" s="9" t="s">
        <v>76</v>
      </c>
      <c r="C175" s="9" t="b">
        <f>TRUE()</f>
        <v>1</v>
      </c>
      <c r="D175" s="10">
        <v>46007</v>
      </c>
      <c r="E175" s="10">
        <v>45992</v>
      </c>
      <c r="F175" s="9" t="s">
        <v>1360</v>
      </c>
      <c r="G175" s="11">
        <v>24958.77</v>
      </c>
      <c r="H175" s="11">
        <v>587.69000000000005</v>
      </c>
      <c r="I175" s="9" t="b">
        <f>TRUE()</f>
        <v>1</v>
      </c>
      <c r="J175" s="9" t="s">
        <v>1361</v>
      </c>
      <c r="K175" s="11">
        <v>587.69000000000005</v>
      </c>
      <c r="L175" s="9" t="s">
        <v>20</v>
      </c>
      <c r="M175" s="9" t="str">
        <f>IFERROR(INDEX(T_CleanCustomers[Sales_Rep_ID],MATCH(B175,T_CleanCustomers[Customer_ID],0)),"Unmatched")</f>
        <v>REP003</v>
      </c>
      <c r="N175" s="9" t="str">
        <f>IFERROR(INDEX(T_CleanCustomers[Channel],MATCH(B175,T_CleanCustomers[Customer_ID],0)),"Unmatched")</f>
        <v>Partner</v>
      </c>
      <c r="O175" s="9" t="str">
        <f>IFERROR(INDEX(T_CleanCustomers[Product],MATCH(B175,T_CleanCustomers[Customer_ID],0)),"Unmatched")</f>
        <v>Fuel Card</v>
      </c>
      <c r="P175" s="9" t="str">
        <f>IFERROR(INDEX(T_CleanCustomers[Customer_Segment],MATCH(B175,T_CleanCustomers[Customer_ID],0)),"Unmatched")</f>
        <v>Enterprise</v>
      </c>
    </row>
    <row r="176" spans="1:16" ht="15" customHeight="1" x14ac:dyDescent="0.2">
      <c r="A176" s="9" t="s">
        <v>1539</v>
      </c>
      <c r="B176" s="9" t="s">
        <v>82</v>
      </c>
      <c r="C176" s="9" t="b">
        <f>TRUE()</f>
        <v>1</v>
      </c>
      <c r="D176" s="10">
        <v>45797</v>
      </c>
      <c r="E176" s="10">
        <v>45778</v>
      </c>
      <c r="F176" s="9" t="s">
        <v>1360</v>
      </c>
      <c r="G176" s="11">
        <v>12913.23</v>
      </c>
      <c r="H176" s="11">
        <v>340.55</v>
      </c>
      <c r="I176" s="9" t="b">
        <f>TRUE()</f>
        <v>1</v>
      </c>
      <c r="J176" s="9" t="s">
        <v>1361</v>
      </c>
      <c r="K176" s="11">
        <v>340.55</v>
      </c>
      <c r="L176" s="9" t="s">
        <v>20</v>
      </c>
      <c r="M176" s="9" t="str">
        <f>IFERROR(INDEX(T_CleanCustomers[Sales_Rep_ID],MATCH(B176,T_CleanCustomers[Customer_ID],0)),"Unmatched")</f>
        <v>REP003</v>
      </c>
      <c r="N176" s="9" t="str">
        <f>IFERROR(INDEX(T_CleanCustomers[Channel],MATCH(B176,T_CleanCustomers[Customer_ID],0)),"Unmatched")</f>
        <v>Partner</v>
      </c>
      <c r="O176" s="9" t="str">
        <f>IFERROR(INDEX(T_CleanCustomers[Product],MATCH(B176,T_CleanCustomers[Customer_ID],0)),"Unmatched")</f>
        <v>Fuel Card</v>
      </c>
      <c r="P176" s="9" t="str">
        <f>IFERROR(INDEX(T_CleanCustomers[Customer_Segment],MATCH(B176,T_CleanCustomers[Customer_ID],0)),"Unmatched")</f>
        <v>Mid-Market</v>
      </c>
    </row>
    <row r="177" spans="1:16" ht="15" customHeight="1" x14ac:dyDescent="0.2">
      <c r="A177" s="9" t="s">
        <v>1540</v>
      </c>
      <c r="B177" s="9" t="s">
        <v>82</v>
      </c>
      <c r="C177" s="9" t="b">
        <f>TRUE()</f>
        <v>1</v>
      </c>
      <c r="D177" s="10">
        <v>45807</v>
      </c>
      <c r="E177" s="10">
        <v>45778</v>
      </c>
      <c r="F177" s="9" t="s">
        <v>1360</v>
      </c>
      <c r="G177" s="11">
        <v>15315.69</v>
      </c>
      <c r="H177" s="11">
        <v>428.24</v>
      </c>
      <c r="I177" s="9" t="b">
        <f>TRUE()</f>
        <v>1</v>
      </c>
      <c r="J177" s="9" t="s">
        <v>1361</v>
      </c>
      <c r="K177" s="11">
        <v>428.24</v>
      </c>
      <c r="L177" s="9" t="s">
        <v>20</v>
      </c>
      <c r="M177" s="9" t="str">
        <f>IFERROR(INDEX(T_CleanCustomers[Sales_Rep_ID],MATCH(B177,T_CleanCustomers[Customer_ID],0)),"Unmatched")</f>
        <v>REP003</v>
      </c>
      <c r="N177" s="9" t="str">
        <f>IFERROR(INDEX(T_CleanCustomers[Channel],MATCH(B177,T_CleanCustomers[Customer_ID],0)),"Unmatched")</f>
        <v>Partner</v>
      </c>
      <c r="O177" s="9" t="str">
        <f>IFERROR(INDEX(T_CleanCustomers[Product],MATCH(B177,T_CleanCustomers[Customer_ID],0)),"Unmatched")</f>
        <v>Fuel Card</v>
      </c>
      <c r="P177" s="9" t="str">
        <f>IFERROR(INDEX(T_CleanCustomers[Customer_Segment],MATCH(B177,T_CleanCustomers[Customer_ID],0)),"Unmatched")</f>
        <v>Mid-Market</v>
      </c>
    </row>
    <row r="178" spans="1:16" ht="15" customHeight="1" x14ac:dyDescent="0.2">
      <c r="A178" s="9" t="s">
        <v>1541</v>
      </c>
      <c r="B178" s="9" t="s">
        <v>82</v>
      </c>
      <c r="C178" s="9" t="b">
        <f>TRUE()</f>
        <v>1</v>
      </c>
      <c r="D178" s="10">
        <v>45797</v>
      </c>
      <c r="E178" s="10">
        <v>45778</v>
      </c>
      <c r="F178" s="9" t="s">
        <v>1360</v>
      </c>
      <c r="G178" s="11">
        <v>13772.42</v>
      </c>
      <c r="H178" s="11">
        <v>352.68</v>
      </c>
      <c r="I178" s="9" t="b">
        <f>TRUE()</f>
        <v>1</v>
      </c>
      <c r="J178" s="9" t="s">
        <v>1361</v>
      </c>
      <c r="K178" s="11">
        <v>352.68</v>
      </c>
      <c r="L178" s="9" t="s">
        <v>20</v>
      </c>
      <c r="M178" s="9" t="str">
        <f>IFERROR(INDEX(T_CleanCustomers[Sales_Rep_ID],MATCH(B178,T_CleanCustomers[Customer_ID],0)),"Unmatched")</f>
        <v>REP003</v>
      </c>
      <c r="N178" s="9" t="str">
        <f>IFERROR(INDEX(T_CleanCustomers[Channel],MATCH(B178,T_CleanCustomers[Customer_ID],0)),"Unmatched")</f>
        <v>Partner</v>
      </c>
      <c r="O178" s="9" t="str">
        <f>IFERROR(INDEX(T_CleanCustomers[Product],MATCH(B178,T_CleanCustomers[Customer_ID],0)),"Unmatched")</f>
        <v>Fuel Card</v>
      </c>
      <c r="P178" s="9" t="str">
        <f>IFERROR(INDEX(T_CleanCustomers[Customer_Segment],MATCH(B178,T_CleanCustomers[Customer_ID],0)),"Unmatched")</f>
        <v>Mid-Market</v>
      </c>
    </row>
    <row r="179" spans="1:16" ht="15" customHeight="1" x14ac:dyDescent="0.2">
      <c r="A179" s="9" t="s">
        <v>1542</v>
      </c>
      <c r="B179" s="9" t="s">
        <v>82</v>
      </c>
      <c r="C179" s="9" t="b">
        <f>TRUE()</f>
        <v>1</v>
      </c>
      <c r="D179" s="10">
        <v>45818</v>
      </c>
      <c r="E179" s="10">
        <v>45809</v>
      </c>
      <c r="F179" s="9" t="s">
        <v>1360</v>
      </c>
      <c r="G179" s="11">
        <v>8567.32</v>
      </c>
      <c r="H179" s="11">
        <v>191.99</v>
      </c>
      <c r="I179" s="9" t="b">
        <f>TRUE()</f>
        <v>1</v>
      </c>
      <c r="J179" s="9" t="s">
        <v>1361</v>
      </c>
      <c r="K179" s="11">
        <v>191.99</v>
      </c>
      <c r="L179" s="9" t="s">
        <v>20</v>
      </c>
      <c r="M179" s="9" t="str">
        <f>IFERROR(INDEX(T_CleanCustomers[Sales_Rep_ID],MATCH(B179,T_CleanCustomers[Customer_ID],0)),"Unmatched")</f>
        <v>REP003</v>
      </c>
      <c r="N179" s="9" t="str">
        <f>IFERROR(INDEX(T_CleanCustomers[Channel],MATCH(B179,T_CleanCustomers[Customer_ID],0)),"Unmatched")</f>
        <v>Partner</v>
      </c>
      <c r="O179" s="9" t="str">
        <f>IFERROR(INDEX(T_CleanCustomers[Product],MATCH(B179,T_CleanCustomers[Customer_ID],0)),"Unmatched")</f>
        <v>Fuel Card</v>
      </c>
      <c r="P179" s="9" t="str">
        <f>IFERROR(INDEX(T_CleanCustomers[Customer_Segment],MATCH(B179,T_CleanCustomers[Customer_ID],0)),"Unmatched")</f>
        <v>Mid-Market</v>
      </c>
    </row>
    <row r="180" spans="1:16" ht="15" customHeight="1" x14ac:dyDescent="0.2">
      <c r="A180" s="9" t="s">
        <v>1543</v>
      </c>
      <c r="B180" s="9" t="s">
        <v>82</v>
      </c>
      <c r="C180" s="9" t="b">
        <f>TRUE()</f>
        <v>1</v>
      </c>
      <c r="D180" s="10">
        <v>45809</v>
      </c>
      <c r="E180" s="10">
        <v>45809</v>
      </c>
      <c r="F180" s="9" t="s">
        <v>1360</v>
      </c>
      <c r="G180" s="11">
        <v>9332.7199999999993</v>
      </c>
      <c r="H180" s="11">
        <v>245.53</v>
      </c>
      <c r="I180" s="9" t="b">
        <f>TRUE()</f>
        <v>1</v>
      </c>
      <c r="J180" s="9" t="s">
        <v>1361</v>
      </c>
      <c r="K180" s="11">
        <v>245.53</v>
      </c>
      <c r="L180" s="9" t="s">
        <v>20</v>
      </c>
      <c r="M180" s="9" t="str">
        <f>IFERROR(INDEX(T_CleanCustomers[Sales_Rep_ID],MATCH(B180,T_CleanCustomers[Customer_ID],0)),"Unmatched")</f>
        <v>REP003</v>
      </c>
      <c r="N180" s="9" t="str">
        <f>IFERROR(INDEX(T_CleanCustomers[Channel],MATCH(B180,T_CleanCustomers[Customer_ID],0)),"Unmatched")</f>
        <v>Partner</v>
      </c>
      <c r="O180" s="9" t="str">
        <f>IFERROR(INDEX(T_CleanCustomers[Product],MATCH(B180,T_CleanCustomers[Customer_ID],0)),"Unmatched")</f>
        <v>Fuel Card</v>
      </c>
      <c r="P180" s="9" t="str">
        <f>IFERROR(INDEX(T_CleanCustomers[Customer_Segment],MATCH(B180,T_CleanCustomers[Customer_ID],0)),"Unmatched")</f>
        <v>Mid-Market</v>
      </c>
    </row>
    <row r="181" spans="1:16" ht="15" customHeight="1" x14ac:dyDescent="0.2">
      <c r="A181" s="9" t="s">
        <v>1544</v>
      </c>
      <c r="B181" s="9" t="s">
        <v>82</v>
      </c>
      <c r="C181" s="9" t="b">
        <f>TRUE()</f>
        <v>1</v>
      </c>
      <c r="D181" s="10">
        <v>45868</v>
      </c>
      <c r="E181" s="10">
        <v>45839</v>
      </c>
      <c r="F181" s="9" t="s">
        <v>1360</v>
      </c>
      <c r="G181" s="11">
        <v>15886.9</v>
      </c>
      <c r="H181" s="11">
        <v>362.74</v>
      </c>
      <c r="I181" s="9" t="b">
        <f>TRUE()</f>
        <v>1</v>
      </c>
      <c r="J181" s="9" t="s">
        <v>1361</v>
      </c>
      <c r="K181" s="11">
        <v>362.74</v>
      </c>
      <c r="L181" s="9" t="s">
        <v>20</v>
      </c>
      <c r="M181" s="9" t="str">
        <f>IFERROR(INDEX(T_CleanCustomers[Sales_Rep_ID],MATCH(B181,T_CleanCustomers[Customer_ID],0)),"Unmatched")</f>
        <v>REP003</v>
      </c>
      <c r="N181" s="9" t="str">
        <f>IFERROR(INDEX(T_CleanCustomers[Channel],MATCH(B181,T_CleanCustomers[Customer_ID],0)),"Unmatched")</f>
        <v>Partner</v>
      </c>
      <c r="O181" s="9" t="str">
        <f>IFERROR(INDEX(T_CleanCustomers[Product],MATCH(B181,T_CleanCustomers[Customer_ID],0)),"Unmatched")</f>
        <v>Fuel Card</v>
      </c>
      <c r="P181" s="9" t="str">
        <f>IFERROR(INDEX(T_CleanCustomers[Customer_Segment],MATCH(B181,T_CleanCustomers[Customer_ID],0)),"Unmatched")</f>
        <v>Mid-Market</v>
      </c>
    </row>
    <row r="182" spans="1:16" ht="15" customHeight="1" x14ac:dyDescent="0.2">
      <c r="A182" s="9" t="s">
        <v>1545</v>
      </c>
      <c r="B182" s="9" t="s">
        <v>82</v>
      </c>
      <c r="C182" s="9" t="b">
        <f>TRUE()</f>
        <v>1</v>
      </c>
      <c r="D182" s="10">
        <v>45877</v>
      </c>
      <c r="E182" s="10">
        <v>45870</v>
      </c>
      <c r="F182" s="9" t="s">
        <v>1360</v>
      </c>
      <c r="G182" s="11">
        <v>8251.77</v>
      </c>
      <c r="H182" s="11">
        <v>187.22</v>
      </c>
      <c r="I182" s="9" t="b">
        <f>TRUE()</f>
        <v>1</v>
      </c>
      <c r="J182" s="9" t="s">
        <v>1361</v>
      </c>
      <c r="K182" s="11">
        <v>187.22</v>
      </c>
      <c r="L182" s="9" t="s">
        <v>20</v>
      </c>
      <c r="M182" s="9" t="str">
        <f>IFERROR(INDEX(T_CleanCustomers[Sales_Rep_ID],MATCH(B182,T_CleanCustomers[Customer_ID],0)),"Unmatched")</f>
        <v>REP003</v>
      </c>
      <c r="N182" s="9" t="str">
        <f>IFERROR(INDEX(T_CleanCustomers[Channel],MATCH(B182,T_CleanCustomers[Customer_ID],0)),"Unmatched")</f>
        <v>Partner</v>
      </c>
      <c r="O182" s="9" t="str">
        <f>IFERROR(INDEX(T_CleanCustomers[Product],MATCH(B182,T_CleanCustomers[Customer_ID],0)),"Unmatched")</f>
        <v>Fuel Card</v>
      </c>
      <c r="P182" s="9" t="str">
        <f>IFERROR(INDEX(T_CleanCustomers[Customer_Segment],MATCH(B182,T_CleanCustomers[Customer_ID],0)),"Unmatched")</f>
        <v>Mid-Market</v>
      </c>
    </row>
    <row r="183" spans="1:16" ht="15" customHeight="1" x14ac:dyDescent="0.2">
      <c r="A183" s="9" t="s">
        <v>1546</v>
      </c>
      <c r="B183" s="9" t="s">
        <v>82</v>
      </c>
      <c r="C183" s="9" t="b">
        <f>TRUE()</f>
        <v>1</v>
      </c>
      <c r="D183" s="10">
        <v>45899</v>
      </c>
      <c r="E183" s="10">
        <v>45870</v>
      </c>
      <c r="F183" s="9" t="s">
        <v>1360</v>
      </c>
      <c r="G183" s="11">
        <v>17571.04</v>
      </c>
      <c r="H183" s="11">
        <v>483.4</v>
      </c>
      <c r="I183" s="9" t="b">
        <f>TRUE()</f>
        <v>1</v>
      </c>
      <c r="J183" s="9" t="s">
        <v>1361</v>
      </c>
      <c r="K183" s="11">
        <v>483.4</v>
      </c>
      <c r="L183" s="9" t="s">
        <v>20</v>
      </c>
      <c r="M183" s="9" t="str">
        <f>IFERROR(INDEX(T_CleanCustomers[Sales_Rep_ID],MATCH(B183,T_CleanCustomers[Customer_ID],0)),"Unmatched")</f>
        <v>REP003</v>
      </c>
      <c r="N183" s="9" t="str">
        <f>IFERROR(INDEX(T_CleanCustomers[Channel],MATCH(B183,T_CleanCustomers[Customer_ID],0)),"Unmatched")</f>
        <v>Partner</v>
      </c>
      <c r="O183" s="9" t="str">
        <f>IFERROR(INDEX(T_CleanCustomers[Product],MATCH(B183,T_CleanCustomers[Customer_ID],0)),"Unmatched")</f>
        <v>Fuel Card</v>
      </c>
      <c r="P183" s="9" t="str">
        <f>IFERROR(INDEX(T_CleanCustomers[Customer_Segment],MATCH(B183,T_CleanCustomers[Customer_ID],0)),"Unmatched")</f>
        <v>Mid-Market</v>
      </c>
    </row>
    <row r="184" spans="1:16" ht="15" customHeight="1" x14ac:dyDescent="0.2">
      <c r="A184" s="9" t="s">
        <v>1547</v>
      </c>
      <c r="B184" s="9" t="s">
        <v>82</v>
      </c>
      <c r="C184" s="9" t="b">
        <f>TRUE()</f>
        <v>1</v>
      </c>
      <c r="D184" s="10">
        <v>45875</v>
      </c>
      <c r="E184" s="10">
        <v>45870</v>
      </c>
      <c r="F184" s="9" t="s">
        <v>1360</v>
      </c>
      <c r="G184" s="11">
        <v>4870.28</v>
      </c>
      <c r="H184" s="11">
        <v>136.57</v>
      </c>
      <c r="I184" s="9" t="b">
        <f>TRUE()</f>
        <v>1</v>
      </c>
      <c r="J184" s="9" t="s">
        <v>1361</v>
      </c>
      <c r="K184" s="11">
        <v>136.57</v>
      </c>
      <c r="L184" s="9" t="s">
        <v>20</v>
      </c>
      <c r="M184" s="9" t="str">
        <f>IFERROR(INDEX(T_CleanCustomers[Sales_Rep_ID],MATCH(B184,T_CleanCustomers[Customer_ID],0)),"Unmatched")</f>
        <v>REP003</v>
      </c>
      <c r="N184" s="9" t="str">
        <f>IFERROR(INDEX(T_CleanCustomers[Channel],MATCH(B184,T_CleanCustomers[Customer_ID],0)),"Unmatched")</f>
        <v>Partner</v>
      </c>
      <c r="O184" s="9" t="str">
        <f>IFERROR(INDEX(T_CleanCustomers[Product],MATCH(B184,T_CleanCustomers[Customer_ID],0)),"Unmatched")</f>
        <v>Fuel Card</v>
      </c>
      <c r="P184" s="9" t="str">
        <f>IFERROR(INDEX(T_CleanCustomers[Customer_Segment],MATCH(B184,T_CleanCustomers[Customer_ID],0)),"Unmatched")</f>
        <v>Mid-Market</v>
      </c>
    </row>
    <row r="185" spans="1:16" ht="15" customHeight="1" x14ac:dyDescent="0.2">
      <c r="A185" s="9" t="s">
        <v>1548</v>
      </c>
      <c r="B185" s="9" t="s">
        <v>82</v>
      </c>
      <c r="C185" s="9" t="b">
        <f>TRUE()</f>
        <v>1</v>
      </c>
      <c r="D185" s="10">
        <v>45930</v>
      </c>
      <c r="E185" s="10">
        <v>45901</v>
      </c>
      <c r="F185" s="9" t="s">
        <v>1360</v>
      </c>
      <c r="G185" s="11">
        <v>10168.17</v>
      </c>
      <c r="H185" s="11">
        <v>248.54</v>
      </c>
      <c r="I185" s="9" t="b">
        <f>TRUE()</f>
        <v>1</v>
      </c>
      <c r="J185" s="9" t="s">
        <v>1361</v>
      </c>
      <c r="K185" s="11">
        <v>248.54</v>
      </c>
      <c r="L185" s="9" t="s">
        <v>20</v>
      </c>
      <c r="M185" s="9" t="str">
        <f>IFERROR(INDEX(T_CleanCustomers[Sales_Rep_ID],MATCH(B185,T_CleanCustomers[Customer_ID],0)),"Unmatched")</f>
        <v>REP003</v>
      </c>
      <c r="N185" s="9" t="str">
        <f>IFERROR(INDEX(T_CleanCustomers[Channel],MATCH(B185,T_CleanCustomers[Customer_ID],0)),"Unmatched")</f>
        <v>Partner</v>
      </c>
      <c r="O185" s="9" t="str">
        <f>IFERROR(INDEX(T_CleanCustomers[Product],MATCH(B185,T_CleanCustomers[Customer_ID],0)),"Unmatched")</f>
        <v>Fuel Card</v>
      </c>
      <c r="P185" s="9" t="str">
        <f>IFERROR(INDEX(T_CleanCustomers[Customer_Segment],MATCH(B185,T_CleanCustomers[Customer_ID],0)),"Unmatched")</f>
        <v>Mid-Market</v>
      </c>
    </row>
    <row r="186" spans="1:16" ht="15" customHeight="1" x14ac:dyDescent="0.2">
      <c r="A186" s="9" t="s">
        <v>1549</v>
      </c>
      <c r="B186" s="9" t="s">
        <v>82</v>
      </c>
      <c r="C186" s="9" t="b">
        <f>TRUE()</f>
        <v>1</v>
      </c>
      <c r="D186" s="10">
        <v>45961</v>
      </c>
      <c r="E186" s="10">
        <v>45931</v>
      </c>
      <c r="F186" s="9" t="s">
        <v>1360</v>
      </c>
      <c r="G186" s="11">
        <v>14106.26</v>
      </c>
      <c r="H186" s="11">
        <v>353.36</v>
      </c>
      <c r="I186" s="9" t="b">
        <f>TRUE()</f>
        <v>1</v>
      </c>
      <c r="J186" s="9" t="s">
        <v>1361</v>
      </c>
      <c r="K186" s="11">
        <v>353.36</v>
      </c>
      <c r="L186" s="9" t="s">
        <v>20</v>
      </c>
      <c r="M186" s="9" t="str">
        <f>IFERROR(INDEX(T_CleanCustomers[Sales_Rep_ID],MATCH(B186,T_CleanCustomers[Customer_ID],0)),"Unmatched")</f>
        <v>REP003</v>
      </c>
      <c r="N186" s="9" t="str">
        <f>IFERROR(INDEX(T_CleanCustomers[Channel],MATCH(B186,T_CleanCustomers[Customer_ID],0)),"Unmatched")</f>
        <v>Partner</v>
      </c>
      <c r="O186" s="9" t="str">
        <f>IFERROR(INDEX(T_CleanCustomers[Product],MATCH(B186,T_CleanCustomers[Customer_ID],0)),"Unmatched")</f>
        <v>Fuel Card</v>
      </c>
      <c r="P186" s="9" t="str">
        <f>IFERROR(INDEX(T_CleanCustomers[Customer_Segment],MATCH(B186,T_CleanCustomers[Customer_ID],0)),"Unmatched")</f>
        <v>Mid-Market</v>
      </c>
    </row>
    <row r="187" spans="1:16" ht="15" customHeight="1" x14ac:dyDescent="0.2">
      <c r="A187" s="9" t="s">
        <v>1550</v>
      </c>
      <c r="B187" s="9" t="s">
        <v>82</v>
      </c>
      <c r="C187" s="9" t="b">
        <f>TRUE()</f>
        <v>1</v>
      </c>
      <c r="D187" s="10">
        <v>45960</v>
      </c>
      <c r="E187" s="10">
        <v>45931</v>
      </c>
      <c r="F187" s="9" t="s">
        <v>1360</v>
      </c>
      <c r="G187" s="11">
        <v>15960.29</v>
      </c>
      <c r="H187" s="11">
        <v>393.62</v>
      </c>
      <c r="I187" s="9" t="b">
        <f>TRUE()</f>
        <v>1</v>
      </c>
      <c r="J187" s="9" t="s">
        <v>1361</v>
      </c>
      <c r="K187" s="11">
        <v>393.62</v>
      </c>
      <c r="L187" s="9" t="s">
        <v>20</v>
      </c>
      <c r="M187" s="9" t="str">
        <f>IFERROR(INDEX(T_CleanCustomers[Sales_Rep_ID],MATCH(B187,T_CleanCustomers[Customer_ID],0)),"Unmatched")</f>
        <v>REP003</v>
      </c>
      <c r="N187" s="9" t="str">
        <f>IFERROR(INDEX(T_CleanCustomers[Channel],MATCH(B187,T_CleanCustomers[Customer_ID],0)),"Unmatched")</f>
        <v>Partner</v>
      </c>
      <c r="O187" s="9" t="str">
        <f>IFERROR(INDEX(T_CleanCustomers[Product],MATCH(B187,T_CleanCustomers[Customer_ID],0)),"Unmatched")</f>
        <v>Fuel Card</v>
      </c>
      <c r="P187" s="9" t="str">
        <f>IFERROR(INDEX(T_CleanCustomers[Customer_Segment],MATCH(B187,T_CleanCustomers[Customer_ID],0)),"Unmatched")</f>
        <v>Mid-Market</v>
      </c>
    </row>
    <row r="188" spans="1:16" ht="15" customHeight="1" x14ac:dyDescent="0.2">
      <c r="A188" s="9" t="s">
        <v>1551</v>
      </c>
      <c r="B188" s="9" t="s">
        <v>82</v>
      </c>
      <c r="C188" s="9" t="b">
        <f>TRUE()</f>
        <v>1</v>
      </c>
      <c r="D188" s="10">
        <v>45989</v>
      </c>
      <c r="E188" s="10">
        <v>45962</v>
      </c>
      <c r="F188" s="9" t="s">
        <v>1360</v>
      </c>
      <c r="G188" s="11">
        <v>15504.86</v>
      </c>
      <c r="H188" s="11">
        <v>396.54</v>
      </c>
      <c r="I188" s="9" t="b">
        <f>TRUE()</f>
        <v>1</v>
      </c>
      <c r="J188" s="9" t="s">
        <v>1361</v>
      </c>
      <c r="K188" s="11">
        <v>396.54</v>
      </c>
      <c r="L188" s="9" t="s">
        <v>20</v>
      </c>
      <c r="M188" s="9" t="str">
        <f>IFERROR(INDEX(T_CleanCustomers[Sales_Rep_ID],MATCH(B188,T_CleanCustomers[Customer_ID],0)),"Unmatched")</f>
        <v>REP003</v>
      </c>
      <c r="N188" s="9" t="str">
        <f>IFERROR(INDEX(T_CleanCustomers[Channel],MATCH(B188,T_CleanCustomers[Customer_ID],0)),"Unmatched")</f>
        <v>Partner</v>
      </c>
      <c r="O188" s="9" t="str">
        <f>IFERROR(INDEX(T_CleanCustomers[Product],MATCH(B188,T_CleanCustomers[Customer_ID],0)),"Unmatched")</f>
        <v>Fuel Card</v>
      </c>
      <c r="P188" s="9" t="str">
        <f>IFERROR(INDEX(T_CleanCustomers[Customer_Segment],MATCH(B188,T_CleanCustomers[Customer_ID],0)),"Unmatched")</f>
        <v>Mid-Market</v>
      </c>
    </row>
    <row r="189" spans="1:16" ht="15" customHeight="1" x14ac:dyDescent="0.2">
      <c r="A189" s="9" t="s">
        <v>1552</v>
      </c>
      <c r="B189" s="9" t="s">
        <v>82</v>
      </c>
      <c r="C189" s="9" t="b">
        <f>TRUE()</f>
        <v>1</v>
      </c>
      <c r="D189" s="10">
        <v>46013</v>
      </c>
      <c r="E189" s="10">
        <v>45992</v>
      </c>
      <c r="F189" s="9" t="s">
        <v>1360</v>
      </c>
      <c r="G189" s="11">
        <v>15414.61</v>
      </c>
      <c r="H189" s="11">
        <v>357.17</v>
      </c>
      <c r="I189" s="9" t="b">
        <f>TRUE()</f>
        <v>1</v>
      </c>
      <c r="J189" s="9" t="s">
        <v>1361</v>
      </c>
      <c r="K189" s="11">
        <v>357.17</v>
      </c>
      <c r="L189" s="9" t="s">
        <v>20</v>
      </c>
      <c r="M189" s="9" t="str">
        <f>IFERROR(INDEX(T_CleanCustomers[Sales_Rep_ID],MATCH(B189,T_CleanCustomers[Customer_ID],0)),"Unmatched")</f>
        <v>REP003</v>
      </c>
      <c r="N189" s="9" t="str">
        <f>IFERROR(INDEX(T_CleanCustomers[Channel],MATCH(B189,T_CleanCustomers[Customer_ID],0)),"Unmatched")</f>
        <v>Partner</v>
      </c>
      <c r="O189" s="9" t="str">
        <f>IFERROR(INDEX(T_CleanCustomers[Product],MATCH(B189,T_CleanCustomers[Customer_ID],0)),"Unmatched")</f>
        <v>Fuel Card</v>
      </c>
      <c r="P189" s="9" t="str">
        <f>IFERROR(INDEX(T_CleanCustomers[Customer_Segment],MATCH(B189,T_CleanCustomers[Customer_ID],0)),"Unmatched")</f>
        <v>Mid-Market</v>
      </c>
    </row>
    <row r="190" spans="1:16" ht="15" customHeight="1" x14ac:dyDescent="0.2">
      <c r="A190" s="9" t="s">
        <v>1553</v>
      </c>
      <c r="B190" s="9" t="s">
        <v>82</v>
      </c>
      <c r="C190" s="9" t="b">
        <f>TRUE()</f>
        <v>1</v>
      </c>
      <c r="D190" s="10">
        <v>46015</v>
      </c>
      <c r="E190" s="10">
        <v>45992</v>
      </c>
      <c r="F190" s="9" t="s">
        <v>1360</v>
      </c>
      <c r="G190" s="11">
        <v>6672.58</v>
      </c>
      <c r="H190" s="11">
        <v>176.08</v>
      </c>
      <c r="I190" s="9" t="b">
        <f>TRUE()</f>
        <v>1</v>
      </c>
      <c r="J190" s="9" t="s">
        <v>1361</v>
      </c>
      <c r="K190" s="11">
        <v>176.08</v>
      </c>
      <c r="L190" s="9" t="s">
        <v>20</v>
      </c>
      <c r="M190" s="9" t="str">
        <f>IFERROR(INDEX(T_CleanCustomers[Sales_Rep_ID],MATCH(B190,T_CleanCustomers[Customer_ID],0)),"Unmatched")</f>
        <v>REP003</v>
      </c>
      <c r="N190" s="9" t="str">
        <f>IFERROR(INDEX(T_CleanCustomers[Channel],MATCH(B190,T_CleanCustomers[Customer_ID],0)),"Unmatched")</f>
        <v>Partner</v>
      </c>
      <c r="O190" s="9" t="str">
        <f>IFERROR(INDEX(T_CleanCustomers[Product],MATCH(B190,T_CleanCustomers[Customer_ID],0)),"Unmatched")</f>
        <v>Fuel Card</v>
      </c>
      <c r="P190" s="9" t="str">
        <f>IFERROR(INDEX(T_CleanCustomers[Customer_Segment],MATCH(B190,T_CleanCustomers[Customer_ID],0)),"Unmatched")</f>
        <v>Mid-Market</v>
      </c>
    </row>
    <row r="191" spans="1:16" ht="15" customHeight="1" x14ac:dyDescent="0.2">
      <c r="A191" s="9" t="s">
        <v>1554</v>
      </c>
      <c r="B191" s="9" t="s">
        <v>82</v>
      </c>
      <c r="C191" s="9" t="b">
        <f>TRUE()</f>
        <v>1</v>
      </c>
      <c r="D191" s="10">
        <v>45995</v>
      </c>
      <c r="E191" s="10">
        <v>45992</v>
      </c>
      <c r="F191" s="9" t="s">
        <v>1360</v>
      </c>
      <c r="G191" s="11">
        <v>8498</v>
      </c>
      <c r="H191" s="11">
        <v>199.93</v>
      </c>
      <c r="I191" s="9" t="b">
        <f>TRUE()</f>
        <v>1</v>
      </c>
      <c r="J191" s="9" t="s">
        <v>1361</v>
      </c>
      <c r="K191" s="11">
        <v>199.93</v>
      </c>
      <c r="L191" s="9" t="s">
        <v>20</v>
      </c>
      <c r="M191" s="9" t="str">
        <f>IFERROR(INDEX(T_CleanCustomers[Sales_Rep_ID],MATCH(B191,T_CleanCustomers[Customer_ID],0)),"Unmatched")</f>
        <v>REP003</v>
      </c>
      <c r="N191" s="9" t="str">
        <f>IFERROR(INDEX(T_CleanCustomers[Channel],MATCH(B191,T_CleanCustomers[Customer_ID],0)),"Unmatched")</f>
        <v>Partner</v>
      </c>
      <c r="O191" s="9" t="str">
        <f>IFERROR(INDEX(T_CleanCustomers[Product],MATCH(B191,T_CleanCustomers[Customer_ID],0)),"Unmatched")</f>
        <v>Fuel Card</v>
      </c>
      <c r="P191" s="9" t="str">
        <f>IFERROR(INDEX(T_CleanCustomers[Customer_Segment],MATCH(B191,T_CleanCustomers[Customer_ID],0)),"Unmatched")</f>
        <v>Mid-Market</v>
      </c>
    </row>
    <row r="192" spans="1:16" ht="15" customHeight="1" x14ac:dyDescent="0.2">
      <c r="A192" s="9" t="s">
        <v>1555</v>
      </c>
      <c r="B192" s="9" t="s">
        <v>1171</v>
      </c>
      <c r="C192" s="9" t="b">
        <f>TRUE()</f>
        <v>1</v>
      </c>
      <c r="D192" s="10">
        <v>45837</v>
      </c>
      <c r="E192" s="10">
        <v>45809</v>
      </c>
      <c r="F192" s="9" t="s">
        <v>1360</v>
      </c>
      <c r="G192" s="11">
        <v>21475.45</v>
      </c>
      <c r="H192" s="11">
        <v>558.4</v>
      </c>
      <c r="I192" s="9" t="b">
        <f>TRUE()</f>
        <v>1</v>
      </c>
      <c r="J192" s="9" t="s">
        <v>1361</v>
      </c>
      <c r="K192" s="11">
        <v>558.4</v>
      </c>
      <c r="L192" s="9" t="s">
        <v>21</v>
      </c>
      <c r="M192" s="9" t="str">
        <f>IFERROR(INDEX(T_CleanCustomers[Sales_Rep_ID],MATCH(B192,T_CleanCustomers[Customer_ID],0)),"Unmatched")</f>
        <v>REP008</v>
      </c>
      <c r="N192" s="9" t="str">
        <f>IFERROR(INDEX(T_CleanCustomers[Channel],MATCH(B192,T_CleanCustomers[Customer_ID],0)),"Unmatched")</f>
        <v>Partner</v>
      </c>
      <c r="O192" s="9" t="str">
        <f>IFERROR(INDEX(T_CleanCustomers[Product],MATCH(B192,T_CleanCustomers[Customer_ID],0)),"Unmatched")</f>
        <v>Fuel Card</v>
      </c>
      <c r="P192" s="9" t="str">
        <f>IFERROR(INDEX(T_CleanCustomers[Customer_Segment],MATCH(B192,T_CleanCustomers[Customer_ID],0)),"Unmatched")</f>
        <v>Enterprise</v>
      </c>
    </row>
    <row r="193" spans="1:16" ht="15" customHeight="1" x14ac:dyDescent="0.2">
      <c r="A193" s="9" t="s">
        <v>1556</v>
      </c>
      <c r="B193" s="9" t="s">
        <v>1171</v>
      </c>
      <c r="C193" s="9" t="b">
        <f>TRUE()</f>
        <v>1</v>
      </c>
      <c r="D193" s="10">
        <v>45837</v>
      </c>
      <c r="E193" s="10">
        <v>45809</v>
      </c>
      <c r="F193" s="9" t="s">
        <v>1360</v>
      </c>
      <c r="G193" s="11">
        <v>38459.9</v>
      </c>
      <c r="H193" s="11">
        <v>1045.1400000000001</v>
      </c>
      <c r="I193" s="9" t="b">
        <f>TRUE()</f>
        <v>1</v>
      </c>
      <c r="J193" s="9" t="s">
        <v>1361</v>
      </c>
      <c r="K193" s="11">
        <v>1045.1400000000001</v>
      </c>
      <c r="L193" s="9" t="s">
        <v>21</v>
      </c>
      <c r="M193" s="9" t="str">
        <f>IFERROR(INDEX(T_CleanCustomers[Sales_Rep_ID],MATCH(B193,T_CleanCustomers[Customer_ID],0)),"Unmatched")</f>
        <v>REP008</v>
      </c>
      <c r="N193" s="9" t="str">
        <f>IFERROR(INDEX(T_CleanCustomers[Channel],MATCH(B193,T_CleanCustomers[Customer_ID],0)),"Unmatched")</f>
        <v>Partner</v>
      </c>
      <c r="O193" s="9" t="str">
        <f>IFERROR(INDEX(T_CleanCustomers[Product],MATCH(B193,T_CleanCustomers[Customer_ID],0)),"Unmatched")</f>
        <v>Fuel Card</v>
      </c>
      <c r="P193" s="9" t="str">
        <f>IFERROR(INDEX(T_CleanCustomers[Customer_Segment],MATCH(B193,T_CleanCustomers[Customer_ID],0)),"Unmatched")</f>
        <v>Enterprise</v>
      </c>
    </row>
    <row r="194" spans="1:16" ht="15" customHeight="1" x14ac:dyDescent="0.2">
      <c r="A194" s="9" t="s">
        <v>1557</v>
      </c>
      <c r="B194" s="9" t="s">
        <v>1171</v>
      </c>
      <c r="C194" s="9" t="b">
        <f>TRUE()</f>
        <v>1</v>
      </c>
      <c r="D194" s="10">
        <v>45852</v>
      </c>
      <c r="E194" s="10">
        <v>45839</v>
      </c>
      <c r="F194" s="9" t="s">
        <v>1360</v>
      </c>
      <c r="G194" s="11">
        <v>62056.2</v>
      </c>
      <c r="H194" s="11">
        <v>1782.99</v>
      </c>
      <c r="I194" s="9" t="b">
        <f>TRUE()</f>
        <v>1</v>
      </c>
      <c r="J194" s="9" t="s">
        <v>1361</v>
      </c>
      <c r="K194" s="11">
        <v>1782.99</v>
      </c>
      <c r="L194" s="9" t="s">
        <v>21</v>
      </c>
      <c r="M194" s="9" t="str">
        <f>IFERROR(INDEX(T_CleanCustomers[Sales_Rep_ID],MATCH(B194,T_CleanCustomers[Customer_ID],0)),"Unmatched")</f>
        <v>REP008</v>
      </c>
      <c r="N194" s="9" t="str">
        <f>IFERROR(INDEX(T_CleanCustomers[Channel],MATCH(B194,T_CleanCustomers[Customer_ID],0)),"Unmatched")</f>
        <v>Partner</v>
      </c>
      <c r="O194" s="9" t="str">
        <f>IFERROR(INDEX(T_CleanCustomers[Product],MATCH(B194,T_CleanCustomers[Customer_ID],0)),"Unmatched")</f>
        <v>Fuel Card</v>
      </c>
      <c r="P194" s="9" t="str">
        <f>IFERROR(INDEX(T_CleanCustomers[Customer_Segment],MATCH(B194,T_CleanCustomers[Customer_ID],0)),"Unmatched")</f>
        <v>Enterprise</v>
      </c>
    </row>
    <row r="195" spans="1:16" ht="15" customHeight="1" x14ac:dyDescent="0.2">
      <c r="A195" s="9" t="s">
        <v>1558</v>
      </c>
      <c r="B195" s="9" t="s">
        <v>1171</v>
      </c>
      <c r="C195" s="9" t="b">
        <f>TRUE()</f>
        <v>1</v>
      </c>
      <c r="D195" s="10">
        <v>45867</v>
      </c>
      <c r="E195" s="10">
        <v>45839</v>
      </c>
      <c r="F195" s="9" t="s">
        <v>1360</v>
      </c>
      <c r="G195" s="11">
        <v>60916.56</v>
      </c>
      <c r="H195" s="11">
        <v>1503.06</v>
      </c>
      <c r="I195" s="9" t="b">
        <f>TRUE()</f>
        <v>1</v>
      </c>
      <c r="J195" s="9" t="s">
        <v>1361</v>
      </c>
      <c r="K195" s="11">
        <v>1503.06</v>
      </c>
      <c r="L195" s="9" t="s">
        <v>21</v>
      </c>
      <c r="M195" s="9" t="str">
        <f>IFERROR(INDEX(T_CleanCustomers[Sales_Rep_ID],MATCH(B195,T_CleanCustomers[Customer_ID],0)),"Unmatched")</f>
        <v>REP008</v>
      </c>
      <c r="N195" s="9" t="str">
        <f>IFERROR(INDEX(T_CleanCustomers[Channel],MATCH(B195,T_CleanCustomers[Customer_ID],0)),"Unmatched")</f>
        <v>Partner</v>
      </c>
      <c r="O195" s="9" t="str">
        <f>IFERROR(INDEX(T_CleanCustomers[Product],MATCH(B195,T_CleanCustomers[Customer_ID],0)),"Unmatched")</f>
        <v>Fuel Card</v>
      </c>
      <c r="P195" s="9" t="str">
        <f>IFERROR(INDEX(T_CleanCustomers[Customer_Segment],MATCH(B195,T_CleanCustomers[Customer_ID],0)),"Unmatched")</f>
        <v>Enterprise</v>
      </c>
    </row>
    <row r="196" spans="1:16" ht="15" customHeight="1" x14ac:dyDescent="0.2">
      <c r="A196" s="9" t="s">
        <v>1559</v>
      </c>
      <c r="B196" s="9" t="s">
        <v>1171</v>
      </c>
      <c r="C196" s="9" t="b">
        <f>TRUE()</f>
        <v>1</v>
      </c>
      <c r="D196" s="10">
        <v>45862</v>
      </c>
      <c r="E196" s="10">
        <v>45839</v>
      </c>
      <c r="F196" s="9" t="s">
        <v>1360</v>
      </c>
      <c r="G196" s="11">
        <v>21753.62</v>
      </c>
      <c r="H196" s="11">
        <v>501.3</v>
      </c>
      <c r="I196" s="9" t="b">
        <f>TRUE()</f>
        <v>1</v>
      </c>
      <c r="J196" s="9" t="s">
        <v>1361</v>
      </c>
      <c r="K196" s="11">
        <v>501.3</v>
      </c>
      <c r="L196" s="9" t="s">
        <v>21</v>
      </c>
      <c r="M196" s="9" t="str">
        <f>IFERROR(INDEX(T_CleanCustomers[Sales_Rep_ID],MATCH(B196,T_CleanCustomers[Customer_ID],0)),"Unmatched")</f>
        <v>REP008</v>
      </c>
      <c r="N196" s="9" t="str">
        <f>IFERROR(INDEX(T_CleanCustomers[Channel],MATCH(B196,T_CleanCustomers[Customer_ID],0)),"Unmatched")</f>
        <v>Partner</v>
      </c>
      <c r="O196" s="9" t="str">
        <f>IFERROR(INDEX(T_CleanCustomers[Product],MATCH(B196,T_CleanCustomers[Customer_ID],0)),"Unmatched")</f>
        <v>Fuel Card</v>
      </c>
      <c r="P196" s="9" t="str">
        <f>IFERROR(INDEX(T_CleanCustomers[Customer_Segment],MATCH(B196,T_CleanCustomers[Customer_ID],0)),"Unmatched")</f>
        <v>Enterprise</v>
      </c>
    </row>
    <row r="197" spans="1:16" ht="15" customHeight="1" x14ac:dyDescent="0.2">
      <c r="A197" s="9" t="s">
        <v>1560</v>
      </c>
      <c r="B197" s="9" t="s">
        <v>1171</v>
      </c>
      <c r="C197" s="9" t="b">
        <f>TRUE()</f>
        <v>1</v>
      </c>
      <c r="D197" s="10">
        <v>45891</v>
      </c>
      <c r="E197" s="10">
        <v>45870</v>
      </c>
      <c r="F197" s="9" t="s">
        <v>1360</v>
      </c>
      <c r="G197" s="11">
        <v>16991.68</v>
      </c>
      <c r="H197" s="11">
        <v>459.64</v>
      </c>
      <c r="I197" s="9" t="b">
        <f>TRUE()</f>
        <v>1</v>
      </c>
      <c r="J197" s="9" t="s">
        <v>1361</v>
      </c>
      <c r="K197" s="11">
        <v>459.64</v>
      </c>
      <c r="L197" s="9" t="s">
        <v>21</v>
      </c>
      <c r="M197" s="9" t="str">
        <f>IFERROR(INDEX(T_CleanCustomers[Sales_Rep_ID],MATCH(B197,T_CleanCustomers[Customer_ID],0)),"Unmatched")</f>
        <v>REP008</v>
      </c>
      <c r="N197" s="9" t="str">
        <f>IFERROR(INDEX(T_CleanCustomers[Channel],MATCH(B197,T_CleanCustomers[Customer_ID],0)),"Unmatched")</f>
        <v>Partner</v>
      </c>
      <c r="O197" s="9" t="str">
        <f>IFERROR(INDEX(T_CleanCustomers[Product],MATCH(B197,T_CleanCustomers[Customer_ID],0)),"Unmatched")</f>
        <v>Fuel Card</v>
      </c>
      <c r="P197" s="9" t="str">
        <f>IFERROR(INDEX(T_CleanCustomers[Customer_Segment],MATCH(B197,T_CleanCustomers[Customer_ID],0)),"Unmatched")</f>
        <v>Enterprise</v>
      </c>
    </row>
    <row r="198" spans="1:16" ht="15" customHeight="1" x14ac:dyDescent="0.2">
      <c r="A198" s="9" t="s">
        <v>1561</v>
      </c>
      <c r="B198" s="9" t="s">
        <v>1171</v>
      </c>
      <c r="C198" s="9" t="b">
        <f>TRUE()</f>
        <v>1</v>
      </c>
      <c r="D198" s="10">
        <v>45886</v>
      </c>
      <c r="E198" s="10">
        <v>45870</v>
      </c>
      <c r="F198" s="9" t="s">
        <v>1360</v>
      </c>
      <c r="G198" s="11">
        <v>34358.29</v>
      </c>
      <c r="H198" s="11">
        <v>968.48</v>
      </c>
      <c r="I198" s="9" t="b">
        <f>TRUE()</f>
        <v>1</v>
      </c>
      <c r="J198" s="9" t="s">
        <v>1361</v>
      </c>
      <c r="K198" s="11">
        <v>968.48</v>
      </c>
      <c r="L198" s="9" t="s">
        <v>21</v>
      </c>
      <c r="M198" s="9" t="str">
        <f>IFERROR(INDEX(T_CleanCustomers[Sales_Rep_ID],MATCH(B198,T_CleanCustomers[Customer_ID],0)),"Unmatched")</f>
        <v>REP008</v>
      </c>
      <c r="N198" s="9" t="str">
        <f>IFERROR(INDEX(T_CleanCustomers[Channel],MATCH(B198,T_CleanCustomers[Customer_ID],0)),"Unmatched")</f>
        <v>Partner</v>
      </c>
      <c r="O198" s="9" t="str">
        <f>IFERROR(INDEX(T_CleanCustomers[Product],MATCH(B198,T_CleanCustomers[Customer_ID],0)),"Unmatched")</f>
        <v>Fuel Card</v>
      </c>
      <c r="P198" s="9" t="str">
        <f>IFERROR(INDEX(T_CleanCustomers[Customer_Segment],MATCH(B198,T_CleanCustomers[Customer_ID],0)),"Unmatched")</f>
        <v>Enterprise</v>
      </c>
    </row>
    <row r="199" spans="1:16" ht="15" customHeight="1" x14ac:dyDescent="0.2">
      <c r="A199" s="9" t="s">
        <v>1562</v>
      </c>
      <c r="B199" s="9" t="s">
        <v>1171</v>
      </c>
      <c r="C199" s="9" t="b">
        <f>TRUE()</f>
        <v>1</v>
      </c>
      <c r="D199" s="10">
        <v>45913</v>
      </c>
      <c r="E199" s="10">
        <v>45901</v>
      </c>
      <c r="F199" s="9" t="s">
        <v>1360</v>
      </c>
      <c r="G199" s="11">
        <v>32184.82</v>
      </c>
      <c r="H199" s="11">
        <v>710.5</v>
      </c>
      <c r="I199" s="9" t="b">
        <f>TRUE()</f>
        <v>1</v>
      </c>
      <c r="J199" s="9" t="s">
        <v>1361</v>
      </c>
      <c r="K199" s="11">
        <v>710.5</v>
      </c>
      <c r="L199" s="9" t="s">
        <v>21</v>
      </c>
      <c r="M199" s="9" t="str">
        <f>IFERROR(INDEX(T_CleanCustomers[Sales_Rep_ID],MATCH(B199,T_CleanCustomers[Customer_ID],0)),"Unmatched")</f>
        <v>REP008</v>
      </c>
      <c r="N199" s="9" t="str">
        <f>IFERROR(INDEX(T_CleanCustomers[Channel],MATCH(B199,T_CleanCustomers[Customer_ID],0)),"Unmatched")</f>
        <v>Partner</v>
      </c>
      <c r="O199" s="9" t="str">
        <f>IFERROR(INDEX(T_CleanCustomers[Product],MATCH(B199,T_CleanCustomers[Customer_ID],0)),"Unmatched")</f>
        <v>Fuel Card</v>
      </c>
      <c r="P199" s="9" t="str">
        <f>IFERROR(INDEX(T_CleanCustomers[Customer_Segment],MATCH(B199,T_CleanCustomers[Customer_ID],0)),"Unmatched")</f>
        <v>Enterprise</v>
      </c>
    </row>
    <row r="200" spans="1:16" ht="15" customHeight="1" x14ac:dyDescent="0.2">
      <c r="A200" s="9" t="s">
        <v>1563</v>
      </c>
      <c r="B200" s="9" t="s">
        <v>1171</v>
      </c>
      <c r="C200" s="9" t="b">
        <f>TRUE()</f>
        <v>1</v>
      </c>
      <c r="D200" s="10">
        <v>45913</v>
      </c>
      <c r="E200" s="10">
        <v>45901</v>
      </c>
      <c r="F200" s="9" t="s">
        <v>1360</v>
      </c>
      <c r="G200" s="11">
        <v>41207.730000000003</v>
      </c>
      <c r="H200" s="11">
        <v>1077.1600000000001</v>
      </c>
      <c r="I200" s="9" t="b">
        <f>TRUE()</f>
        <v>1</v>
      </c>
      <c r="J200" s="9" t="s">
        <v>1361</v>
      </c>
      <c r="K200" s="11">
        <v>1077.1600000000001</v>
      </c>
      <c r="L200" s="9" t="s">
        <v>21</v>
      </c>
      <c r="M200" s="9" t="str">
        <f>IFERROR(INDEX(T_CleanCustomers[Sales_Rep_ID],MATCH(B200,T_CleanCustomers[Customer_ID],0)),"Unmatched")</f>
        <v>REP008</v>
      </c>
      <c r="N200" s="9" t="str">
        <f>IFERROR(INDEX(T_CleanCustomers[Channel],MATCH(B200,T_CleanCustomers[Customer_ID],0)),"Unmatched")</f>
        <v>Partner</v>
      </c>
      <c r="O200" s="9" t="str">
        <f>IFERROR(INDEX(T_CleanCustomers[Product],MATCH(B200,T_CleanCustomers[Customer_ID],0)),"Unmatched")</f>
        <v>Fuel Card</v>
      </c>
      <c r="P200" s="9" t="str">
        <f>IFERROR(INDEX(T_CleanCustomers[Customer_Segment],MATCH(B200,T_CleanCustomers[Customer_ID],0)),"Unmatched")</f>
        <v>Enterprise</v>
      </c>
    </row>
    <row r="201" spans="1:16" ht="15" customHeight="1" x14ac:dyDescent="0.2">
      <c r="A201" s="9" t="s">
        <v>1564</v>
      </c>
      <c r="B201" s="9" t="s">
        <v>1171</v>
      </c>
      <c r="C201" s="9" t="b">
        <f>TRUE()</f>
        <v>1</v>
      </c>
      <c r="D201" s="10">
        <v>45922</v>
      </c>
      <c r="E201" s="10">
        <v>45901</v>
      </c>
      <c r="F201" s="9" t="s">
        <v>1360</v>
      </c>
      <c r="G201" s="11">
        <v>46773.93</v>
      </c>
      <c r="H201" s="11">
        <v>1285.06</v>
      </c>
      <c r="I201" s="9" t="b">
        <f>TRUE()</f>
        <v>1</v>
      </c>
      <c r="J201" s="9" t="s">
        <v>1361</v>
      </c>
      <c r="K201" s="11">
        <v>1285.06</v>
      </c>
      <c r="L201" s="9" t="s">
        <v>21</v>
      </c>
      <c r="M201" s="9" t="str">
        <f>IFERROR(INDEX(T_CleanCustomers[Sales_Rep_ID],MATCH(B201,T_CleanCustomers[Customer_ID],0)),"Unmatched")</f>
        <v>REP008</v>
      </c>
      <c r="N201" s="9" t="str">
        <f>IFERROR(INDEX(T_CleanCustomers[Channel],MATCH(B201,T_CleanCustomers[Customer_ID],0)),"Unmatched")</f>
        <v>Partner</v>
      </c>
      <c r="O201" s="9" t="str">
        <f>IFERROR(INDEX(T_CleanCustomers[Product],MATCH(B201,T_CleanCustomers[Customer_ID],0)),"Unmatched")</f>
        <v>Fuel Card</v>
      </c>
      <c r="P201" s="9" t="str">
        <f>IFERROR(INDEX(T_CleanCustomers[Customer_Segment],MATCH(B201,T_CleanCustomers[Customer_ID],0)),"Unmatched")</f>
        <v>Enterprise</v>
      </c>
    </row>
    <row r="202" spans="1:16" ht="15" customHeight="1" x14ac:dyDescent="0.2">
      <c r="A202" s="9" t="s">
        <v>1565</v>
      </c>
      <c r="B202" s="9" t="s">
        <v>1171</v>
      </c>
      <c r="C202" s="9" t="b">
        <f>TRUE()</f>
        <v>1</v>
      </c>
      <c r="D202" s="10">
        <v>45933</v>
      </c>
      <c r="E202" s="10">
        <v>45931</v>
      </c>
      <c r="F202" s="9" t="s">
        <v>1360</v>
      </c>
      <c r="G202" s="11">
        <v>19359.86</v>
      </c>
      <c r="H202" s="11">
        <v>464.56</v>
      </c>
      <c r="I202" s="9" t="b">
        <f>TRUE()</f>
        <v>1</v>
      </c>
      <c r="J202" s="9" t="s">
        <v>1361</v>
      </c>
      <c r="K202" s="11">
        <v>464.56</v>
      </c>
      <c r="L202" s="9" t="s">
        <v>21</v>
      </c>
      <c r="M202" s="9" t="str">
        <f>IFERROR(INDEX(T_CleanCustomers[Sales_Rep_ID],MATCH(B202,T_CleanCustomers[Customer_ID],0)),"Unmatched")</f>
        <v>REP008</v>
      </c>
      <c r="N202" s="9" t="str">
        <f>IFERROR(INDEX(T_CleanCustomers[Channel],MATCH(B202,T_CleanCustomers[Customer_ID],0)),"Unmatched")</f>
        <v>Partner</v>
      </c>
      <c r="O202" s="9" t="str">
        <f>IFERROR(INDEX(T_CleanCustomers[Product],MATCH(B202,T_CleanCustomers[Customer_ID],0)),"Unmatched")</f>
        <v>Fuel Card</v>
      </c>
      <c r="P202" s="9" t="str">
        <f>IFERROR(INDEX(T_CleanCustomers[Customer_Segment],MATCH(B202,T_CleanCustomers[Customer_ID],0)),"Unmatched")</f>
        <v>Enterprise</v>
      </c>
    </row>
    <row r="203" spans="1:16" ht="15" customHeight="1" x14ac:dyDescent="0.2">
      <c r="A203" s="9" t="s">
        <v>1566</v>
      </c>
      <c r="B203" s="9" t="s">
        <v>1171</v>
      </c>
      <c r="C203" s="9" t="b">
        <f>TRUE()</f>
        <v>1</v>
      </c>
      <c r="D203" s="10">
        <v>45944</v>
      </c>
      <c r="E203" s="10">
        <v>45931</v>
      </c>
      <c r="F203" s="9" t="s">
        <v>1360</v>
      </c>
      <c r="G203" s="11">
        <v>27069.9</v>
      </c>
      <c r="H203" s="11">
        <v>589.33000000000004</v>
      </c>
      <c r="I203" s="9" t="b">
        <f>TRUE()</f>
        <v>1</v>
      </c>
      <c r="J203" s="9" t="s">
        <v>1361</v>
      </c>
      <c r="K203" s="11">
        <v>589.33000000000004</v>
      </c>
      <c r="L203" s="9" t="s">
        <v>21</v>
      </c>
      <c r="M203" s="9" t="str">
        <f>IFERROR(INDEX(T_CleanCustomers[Sales_Rep_ID],MATCH(B203,T_CleanCustomers[Customer_ID],0)),"Unmatched")</f>
        <v>REP008</v>
      </c>
      <c r="N203" s="9" t="str">
        <f>IFERROR(INDEX(T_CleanCustomers[Channel],MATCH(B203,T_CleanCustomers[Customer_ID],0)),"Unmatched")</f>
        <v>Partner</v>
      </c>
      <c r="O203" s="9" t="str">
        <f>IFERROR(INDEX(T_CleanCustomers[Product],MATCH(B203,T_CleanCustomers[Customer_ID],0)),"Unmatched")</f>
        <v>Fuel Card</v>
      </c>
      <c r="P203" s="9" t="str">
        <f>IFERROR(INDEX(T_CleanCustomers[Customer_Segment],MATCH(B203,T_CleanCustomers[Customer_ID],0)),"Unmatched")</f>
        <v>Enterprise</v>
      </c>
    </row>
    <row r="204" spans="1:16" ht="15" customHeight="1" x14ac:dyDescent="0.2">
      <c r="A204" s="9" t="s">
        <v>1567</v>
      </c>
      <c r="B204" s="9" t="s">
        <v>1171</v>
      </c>
      <c r="C204" s="9" t="b">
        <f>TRUE()</f>
        <v>1</v>
      </c>
      <c r="D204" s="10">
        <v>45983</v>
      </c>
      <c r="E204" s="10">
        <v>45962</v>
      </c>
      <c r="F204" s="9" t="s">
        <v>1360</v>
      </c>
      <c r="G204" s="11">
        <v>20072.919999999998</v>
      </c>
      <c r="H204" s="11">
        <v>508.35</v>
      </c>
      <c r="I204" s="9" t="b">
        <f>TRUE()</f>
        <v>1</v>
      </c>
      <c r="J204" s="9" t="s">
        <v>1361</v>
      </c>
      <c r="K204" s="11">
        <v>508.35</v>
      </c>
      <c r="L204" s="9" t="s">
        <v>21</v>
      </c>
      <c r="M204" s="9" t="str">
        <f>IFERROR(INDEX(T_CleanCustomers[Sales_Rep_ID],MATCH(B204,T_CleanCustomers[Customer_ID],0)),"Unmatched")</f>
        <v>REP008</v>
      </c>
      <c r="N204" s="9" t="str">
        <f>IFERROR(INDEX(T_CleanCustomers[Channel],MATCH(B204,T_CleanCustomers[Customer_ID],0)),"Unmatched")</f>
        <v>Partner</v>
      </c>
      <c r="O204" s="9" t="str">
        <f>IFERROR(INDEX(T_CleanCustomers[Product],MATCH(B204,T_CleanCustomers[Customer_ID],0)),"Unmatched")</f>
        <v>Fuel Card</v>
      </c>
      <c r="P204" s="9" t="str">
        <f>IFERROR(INDEX(T_CleanCustomers[Customer_Segment],MATCH(B204,T_CleanCustomers[Customer_ID],0)),"Unmatched")</f>
        <v>Enterprise</v>
      </c>
    </row>
    <row r="205" spans="1:16" ht="15" customHeight="1" x14ac:dyDescent="0.2">
      <c r="A205" s="9" t="s">
        <v>1568</v>
      </c>
      <c r="B205" s="9" t="s">
        <v>1171</v>
      </c>
      <c r="C205" s="9" t="b">
        <f>TRUE()</f>
        <v>1</v>
      </c>
      <c r="D205" s="10">
        <v>45962</v>
      </c>
      <c r="E205" s="10">
        <v>45962</v>
      </c>
      <c r="F205" s="9" t="s">
        <v>1360</v>
      </c>
      <c r="G205" s="11">
        <v>53930.41</v>
      </c>
      <c r="H205" s="11">
        <v>1174.3</v>
      </c>
      <c r="I205" s="9" t="b">
        <f>TRUE()</f>
        <v>1</v>
      </c>
      <c r="J205" s="9" t="s">
        <v>1361</v>
      </c>
      <c r="K205" s="11">
        <v>1174.3</v>
      </c>
      <c r="L205" s="9" t="s">
        <v>21</v>
      </c>
      <c r="M205" s="9" t="str">
        <f>IFERROR(INDEX(T_CleanCustomers[Sales_Rep_ID],MATCH(B205,T_CleanCustomers[Customer_ID],0)),"Unmatched")</f>
        <v>REP008</v>
      </c>
      <c r="N205" s="9" t="str">
        <f>IFERROR(INDEX(T_CleanCustomers[Channel],MATCH(B205,T_CleanCustomers[Customer_ID],0)),"Unmatched")</f>
        <v>Partner</v>
      </c>
      <c r="O205" s="9" t="str">
        <f>IFERROR(INDEX(T_CleanCustomers[Product],MATCH(B205,T_CleanCustomers[Customer_ID],0)),"Unmatched")</f>
        <v>Fuel Card</v>
      </c>
      <c r="P205" s="9" t="str">
        <f>IFERROR(INDEX(T_CleanCustomers[Customer_Segment],MATCH(B205,T_CleanCustomers[Customer_ID],0)),"Unmatched")</f>
        <v>Enterprise</v>
      </c>
    </row>
    <row r="206" spans="1:16" ht="15" customHeight="1" x14ac:dyDescent="0.2">
      <c r="A206" s="9" t="s">
        <v>1569</v>
      </c>
      <c r="B206" s="9" t="s">
        <v>1171</v>
      </c>
      <c r="C206" s="9" t="b">
        <f>TRUE()</f>
        <v>1</v>
      </c>
      <c r="D206" s="10">
        <v>46013</v>
      </c>
      <c r="E206" s="10">
        <v>45992</v>
      </c>
      <c r="F206" s="9" t="s">
        <v>1360</v>
      </c>
      <c r="G206" s="11">
        <v>51045.03</v>
      </c>
      <c r="H206" s="11">
        <v>1117.93</v>
      </c>
      <c r="I206" s="9" t="b">
        <f>TRUE()</f>
        <v>1</v>
      </c>
      <c r="J206" s="9" t="s">
        <v>1361</v>
      </c>
      <c r="K206" s="11">
        <v>1117.93</v>
      </c>
      <c r="L206" s="9" t="s">
        <v>21</v>
      </c>
      <c r="M206" s="9" t="str">
        <f>IFERROR(INDEX(T_CleanCustomers[Sales_Rep_ID],MATCH(B206,T_CleanCustomers[Customer_ID],0)),"Unmatched")</f>
        <v>REP008</v>
      </c>
      <c r="N206" s="9" t="str">
        <f>IFERROR(INDEX(T_CleanCustomers[Channel],MATCH(B206,T_CleanCustomers[Customer_ID],0)),"Unmatched")</f>
        <v>Partner</v>
      </c>
      <c r="O206" s="9" t="str">
        <f>IFERROR(INDEX(T_CleanCustomers[Product],MATCH(B206,T_CleanCustomers[Customer_ID],0)),"Unmatched")</f>
        <v>Fuel Card</v>
      </c>
      <c r="P206" s="9" t="str">
        <f>IFERROR(INDEX(T_CleanCustomers[Customer_Segment],MATCH(B206,T_CleanCustomers[Customer_ID],0)),"Unmatched")</f>
        <v>Enterprise</v>
      </c>
    </row>
    <row r="207" spans="1:16" ht="15" customHeight="1" x14ac:dyDescent="0.2">
      <c r="A207" s="9" t="s">
        <v>1570</v>
      </c>
      <c r="B207" s="9" t="s">
        <v>1171</v>
      </c>
      <c r="C207" s="9" t="b">
        <f>TRUE()</f>
        <v>1</v>
      </c>
      <c r="D207" s="10">
        <v>45998</v>
      </c>
      <c r="E207" s="10">
        <v>45992</v>
      </c>
      <c r="F207" s="9" t="s">
        <v>1360</v>
      </c>
      <c r="G207" s="11">
        <v>18108.75</v>
      </c>
      <c r="H207" s="11">
        <v>444.31</v>
      </c>
      <c r="I207" s="9" t="b">
        <f>TRUE()</f>
        <v>1</v>
      </c>
      <c r="J207" s="9" t="s">
        <v>1361</v>
      </c>
      <c r="K207" s="11">
        <v>444.31</v>
      </c>
      <c r="L207" s="9" t="s">
        <v>21</v>
      </c>
      <c r="M207" s="9" t="str">
        <f>IFERROR(INDEX(T_CleanCustomers[Sales_Rep_ID],MATCH(B207,T_CleanCustomers[Customer_ID],0)),"Unmatched")</f>
        <v>REP008</v>
      </c>
      <c r="N207" s="9" t="str">
        <f>IFERROR(INDEX(T_CleanCustomers[Channel],MATCH(B207,T_CleanCustomers[Customer_ID],0)),"Unmatched")</f>
        <v>Partner</v>
      </c>
      <c r="O207" s="9" t="str">
        <f>IFERROR(INDEX(T_CleanCustomers[Product],MATCH(B207,T_CleanCustomers[Customer_ID],0)),"Unmatched")</f>
        <v>Fuel Card</v>
      </c>
      <c r="P207" s="9" t="str">
        <f>IFERROR(INDEX(T_CleanCustomers[Customer_Segment],MATCH(B207,T_CleanCustomers[Customer_ID],0)),"Unmatched")</f>
        <v>Enterprise</v>
      </c>
    </row>
    <row r="208" spans="1:16" ht="15" customHeight="1" x14ac:dyDescent="0.2">
      <c r="A208" s="9" t="s">
        <v>1571</v>
      </c>
      <c r="B208" s="9" t="s">
        <v>85</v>
      </c>
      <c r="C208" s="9" t="b">
        <f>TRUE()</f>
        <v>1</v>
      </c>
      <c r="D208" s="10">
        <v>45768</v>
      </c>
      <c r="E208" s="10">
        <v>45748</v>
      </c>
      <c r="F208" s="9" t="s">
        <v>1481</v>
      </c>
      <c r="G208" s="11">
        <v>2581.37</v>
      </c>
      <c r="H208" s="11">
        <v>74.69</v>
      </c>
      <c r="I208" s="9" t="b">
        <f>TRUE()</f>
        <v>1</v>
      </c>
      <c r="J208" s="9" t="s">
        <v>1361</v>
      </c>
      <c r="K208" s="11">
        <v>74.69</v>
      </c>
      <c r="L208" s="9" t="s">
        <v>21</v>
      </c>
      <c r="M208" s="9" t="str">
        <f>IFERROR(INDEX(T_CleanCustomers[Sales_Rep_ID],MATCH(B208,T_CleanCustomers[Customer_ID],0)),"Unmatched")</f>
        <v>REP008</v>
      </c>
      <c r="N208" s="9" t="str">
        <f>IFERROR(INDEX(T_CleanCustomers[Channel],MATCH(B208,T_CleanCustomers[Customer_ID],0)),"Unmatched")</f>
        <v>Direct Sales</v>
      </c>
      <c r="O208" s="9" t="str">
        <f>IFERROR(INDEX(T_CleanCustomers[Product],MATCH(B208,T_CleanCustomers[Customer_ID],0)),"Unmatched")</f>
        <v>Fleet Expense Card</v>
      </c>
      <c r="P208" s="9" t="str">
        <f>IFERROR(INDEX(T_CleanCustomers[Customer_Segment],MATCH(B208,T_CleanCustomers[Customer_ID],0)),"Unmatched")</f>
        <v>Unclassified</v>
      </c>
    </row>
    <row r="209" spans="1:16" ht="15" customHeight="1" x14ac:dyDescent="0.2">
      <c r="A209" s="9" t="s">
        <v>1572</v>
      </c>
      <c r="B209" s="9" t="s">
        <v>85</v>
      </c>
      <c r="C209" s="9" t="b">
        <f>TRUE()</f>
        <v>1</v>
      </c>
      <c r="D209" s="10">
        <v>45803</v>
      </c>
      <c r="E209" s="10">
        <v>45778</v>
      </c>
      <c r="F209" s="9" t="s">
        <v>1479</v>
      </c>
      <c r="G209" s="11">
        <v>2744.65</v>
      </c>
      <c r="H209" s="11">
        <v>84.46</v>
      </c>
      <c r="I209" s="9" t="b">
        <f>TRUE()</f>
        <v>1</v>
      </c>
      <c r="J209" s="9" t="s">
        <v>1361</v>
      </c>
      <c r="K209" s="11">
        <v>84.46</v>
      </c>
      <c r="L209" s="9" t="s">
        <v>21</v>
      </c>
      <c r="M209" s="9" t="str">
        <f>IFERROR(INDEX(T_CleanCustomers[Sales_Rep_ID],MATCH(B209,T_CleanCustomers[Customer_ID],0)),"Unmatched")</f>
        <v>REP008</v>
      </c>
      <c r="N209" s="9" t="str">
        <f>IFERROR(INDEX(T_CleanCustomers[Channel],MATCH(B209,T_CleanCustomers[Customer_ID],0)),"Unmatched")</f>
        <v>Direct Sales</v>
      </c>
      <c r="O209" s="9" t="str">
        <f>IFERROR(INDEX(T_CleanCustomers[Product],MATCH(B209,T_CleanCustomers[Customer_ID],0)),"Unmatched")</f>
        <v>Fleet Expense Card</v>
      </c>
      <c r="P209" s="9" t="str">
        <f>IFERROR(INDEX(T_CleanCustomers[Customer_Segment],MATCH(B209,T_CleanCustomers[Customer_ID],0)),"Unmatched")</f>
        <v>Unclassified</v>
      </c>
    </row>
    <row r="210" spans="1:16" ht="15" customHeight="1" x14ac:dyDescent="0.2">
      <c r="A210" s="9" t="s">
        <v>1573</v>
      </c>
      <c r="B210" s="9" t="s">
        <v>85</v>
      </c>
      <c r="C210" s="9" t="b">
        <f>TRUE()</f>
        <v>1</v>
      </c>
      <c r="D210" s="10">
        <v>45779</v>
      </c>
      <c r="E210" s="10">
        <v>45778</v>
      </c>
      <c r="F210" s="9" t="s">
        <v>1481</v>
      </c>
      <c r="G210" s="11">
        <v>2090.4299999999998</v>
      </c>
      <c r="H210" s="11">
        <v>60.47</v>
      </c>
      <c r="I210" s="9" t="b">
        <f>TRUE()</f>
        <v>1</v>
      </c>
      <c r="J210" s="9" t="s">
        <v>1361</v>
      </c>
      <c r="K210" s="11">
        <v>60.47</v>
      </c>
      <c r="L210" s="9" t="s">
        <v>21</v>
      </c>
      <c r="M210" s="9" t="str">
        <f>IFERROR(INDEX(T_CleanCustomers[Sales_Rep_ID],MATCH(B210,T_CleanCustomers[Customer_ID],0)),"Unmatched")</f>
        <v>REP008</v>
      </c>
      <c r="N210" s="9" t="str">
        <f>IFERROR(INDEX(T_CleanCustomers[Channel],MATCH(B210,T_CleanCustomers[Customer_ID],0)),"Unmatched")</f>
        <v>Direct Sales</v>
      </c>
      <c r="O210" s="9" t="str">
        <f>IFERROR(INDEX(T_CleanCustomers[Product],MATCH(B210,T_CleanCustomers[Customer_ID],0)),"Unmatched")</f>
        <v>Fleet Expense Card</v>
      </c>
      <c r="P210" s="9" t="str">
        <f>IFERROR(INDEX(T_CleanCustomers[Customer_Segment],MATCH(B210,T_CleanCustomers[Customer_ID],0)),"Unmatched")</f>
        <v>Unclassified</v>
      </c>
    </row>
    <row r="211" spans="1:16" ht="15" customHeight="1" x14ac:dyDescent="0.2">
      <c r="A211" s="9" t="s">
        <v>1574</v>
      </c>
      <c r="B211" s="9" t="s">
        <v>85</v>
      </c>
      <c r="C211" s="9" t="b">
        <f>TRUE()</f>
        <v>1</v>
      </c>
      <c r="D211" s="10">
        <v>45819</v>
      </c>
      <c r="E211" s="10">
        <v>45809</v>
      </c>
      <c r="F211" s="9" t="s">
        <v>1360</v>
      </c>
      <c r="G211" s="11">
        <v>3632.05</v>
      </c>
      <c r="H211" s="11">
        <v>0</v>
      </c>
      <c r="I211" s="9" t="b">
        <f>TRUE()</f>
        <v>1</v>
      </c>
      <c r="J211" s="9" t="s">
        <v>1408</v>
      </c>
      <c r="K211" s="11">
        <v>0</v>
      </c>
      <c r="L211" s="9" t="s">
        <v>21</v>
      </c>
      <c r="M211" s="9" t="str">
        <f>IFERROR(INDEX(T_CleanCustomers[Sales_Rep_ID],MATCH(B211,T_CleanCustomers[Customer_ID],0)),"Unmatched")</f>
        <v>REP008</v>
      </c>
      <c r="N211" s="9" t="str">
        <f>IFERROR(INDEX(T_CleanCustomers[Channel],MATCH(B211,T_CleanCustomers[Customer_ID],0)),"Unmatched")</f>
        <v>Direct Sales</v>
      </c>
      <c r="O211" s="9" t="str">
        <f>IFERROR(INDEX(T_CleanCustomers[Product],MATCH(B211,T_CleanCustomers[Customer_ID],0)),"Unmatched")</f>
        <v>Fleet Expense Card</v>
      </c>
      <c r="P211" s="9" t="str">
        <f>IFERROR(INDEX(T_CleanCustomers[Customer_Segment],MATCH(B211,T_CleanCustomers[Customer_ID],0)),"Unmatched")</f>
        <v>Unclassified</v>
      </c>
    </row>
    <row r="212" spans="1:16" ht="15" customHeight="1" x14ac:dyDescent="0.2">
      <c r="A212" s="9" t="s">
        <v>1575</v>
      </c>
      <c r="B212" s="9" t="s">
        <v>85</v>
      </c>
      <c r="C212" s="9" t="b">
        <f>TRUE()</f>
        <v>1</v>
      </c>
      <c r="D212" s="10">
        <v>45816</v>
      </c>
      <c r="E212" s="10">
        <v>45809</v>
      </c>
      <c r="F212" s="9" t="s">
        <v>1360</v>
      </c>
      <c r="G212" s="11">
        <v>4065.74</v>
      </c>
      <c r="H212" s="11">
        <v>121.78</v>
      </c>
      <c r="I212" s="9" t="b">
        <f>TRUE()</f>
        <v>1</v>
      </c>
      <c r="J212" s="9" t="s">
        <v>1361</v>
      </c>
      <c r="K212" s="11">
        <v>121.78</v>
      </c>
      <c r="L212" s="9" t="s">
        <v>21</v>
      </c>
      <c r="M212" s="9" t="str">
        <f>IFERROR(INDEX(T_CleanCustomers[Sales_Rep_ID],MATCH(B212,T_CleanCustomers[Customer_ID],0)),"Unmatched")</f>
        <v>REP008</v>
      </c>
      <c r="N212" s="9" t="str">
        <f>IFERROR(INDEX(T_CleanCustomers[Channel],MATCH(B212,T_CleanCustomers[Customer_ID],0)),"Unmatched")</f>
        <v>Direct Sales</v>
      </c>
      <c r="O212" s="9" t="str">
        <f>IFERROR(INDEX(T_CleanCustomers[Product],MATCH(B212,T_CleanCustomers[Customer_ID],0)),"Unmatched")</f>
        <v>Fleet Expense Card</v>
      </c>
      <c r="P212" s="9" t="str">
        <f>IFERROR(INDEX(T_CleanCustomers[Customer_Segment],MATCH(B212,T_CleanCustomers[Customer_ID],0)),"Unmatched")</f>
        <v>Unclassified</v>
      </c>
    </row>
    <row r="213" spans="1:16" ht="15" customHeight="1" x14ac:dyDescent="0.2">
      <c r="A213" s="9" t="s">
        <v>134</v>
      </c>
      <c r="B213" s="9" t="s">
        <v>85</v>
      </c>
      <c r="C213" s="9" t="b">
        <f>TRUE()</f>
        <v>1</v>
      </c>
      <c r="D213" s="10">
        <v>45843</v>
      </c>
      <c r="E213" s="10">
        <v>45839</v>
      </c>
      <c r="F213" s="9" t="s">
        <v>1360</v>
      </c>
      <c r="G213" s="11"/>
      <c r="H213" s="11">
        <v>54.1</v>
      </c>
      <c r="I213" s="9" t="b">
        <f>TRUE()</f>
        <v>1</v>
      </c>
      <c r="J213" s="9" t="s">
        <v>1361</v>
      </c>
      <c r="K213" s="11">
        <v>54.1</v>
      </c>
      <c r="L213" s="9" t="s">
        <v>21</v>
      </c>
      <c r="M213" s="9" t="str">
        <f>IFERROR(INDEX(T_CleanCustomers[Sales_Rep_ID],MATCH(B213,T_CleanCustomers[Customer_ID],0)),"Unmatched")</f>
        <v>REP008</v>
      </c>
      <c r="N213" s="9" t="str">
        <f>IFERROR(INDEX(T_CleanCustomers[Channel],MATCH(B213,T_CleanCustomers[Customer_ID],0)),"Unmatched")</f>
        <v>Direct Sales</v>
      </c>
      <c r="O213" s="9" t="str">
        <f>IFERROR(INDEX(T_CleanCustomers[Product],MATCH(B213,T_CleanCustomers[Customer_ID],0)),"Unmatched")</f>
        <v>Fleet Expense Card</v>
      </c>
      <c r="P213" s="9" t="str">
        <f>IFERROR(INDEX(T_CleanCustomers[Customer_Segment],MATCH(B213,T_CleanCustomers[Customer_ID],0)),"Unmatched")</f>
        <v>Unclassified</v>
      </c>
    </row>
    <row r="214" spans="1:16" ht="15" customHeight="1" x14ac:dyDescent="0.2">
      <c r="A214" s="9" t="s">
        <v>1576</v>
      </c>
      <c r="B214" s="9" t="s">
        <v>85</v>
      </c>
      <c r="C214" s="9" t="b">
        <f>TRUE()</f>
        <v>1</v>
      </c>
      <c r="D214" s="10">
        <v>45869</v>
      </c>
      <c r="E214" s="10">
        <v>45839</v>
      </c>
      <c r="F214" s="9" t="s">
        <v>1481</v>
      </c>
      <c r="G214" s="11">
        <v>2689.78</v>
      </c>
      <c r="H214" s="11">
        <v>63.73</v>
      </c>
      <c r="I214" s="9" t="b">
        <f>TRUE()</f>
        <v>1</v>
      </c>
      <c r="J214" s="9" t="s">
        <v>1361</v>
      </c>
      <c r="K214" s="11">
        <v>63.73</v>
      </c>
      <c r="L214" s="9" t="s">
        <v>21</v>
      </c>
      <c r="M214" s="9" t="str">
        <f>IFERROR(INDEX(T_CleanCustomers[Sales_Rep_ID],MATCH(B214,T_CleanCustomers[Customer_ID],0)),"Unmatched")</f>
        <v>REP008</v>
      </c>
      <c r="N214" s="9" t="str">
        <f>IFERROR(INDEX(T_CleanCustomers[Channel],MATCH(B214,T_CleanCustomers[Customer_ID],0)),"Unmatched")</f>
        <v>Direct Sales</v>
      </c>
      <c r="O214" s="9" t="str">
        <f>IFERROR(INDEX(T_CleanCustomers[Product],MATCH(B214,T_CleanCustomers[Customer_ID],0)),"Unmatched")</f>
        <v>Fleet Expense Card</v>
      </c>
      <c r="P214" s="9" t="str">
        <f>IFERROR(INDEX(T_CleanCustomers[Customer_Segment],MATCH(B214,T_CleanCustomers[Customer_ID],0)),"Unmatched")</f>
        <v>Unclassified</v>
      </c>
    </row>
    <row r="215" spans="1:16" ht="15" customHeight="1" x14ac:dyDescent="0.2">
      <c r="A215" s="9" t="s">
        <v>1577</v>
      </c>
      <c r="B215" s="9" t="s">
        <v>85</v>
      </c>
      <c r="C215" s="9" t="b">
        <f>TRUE()</f>
        <v>1</v>
      </c>
      <c r="D215" s="10">
        <v>45849</v>
      </c>
      <c r="E215" s="10">
        <v>45839</v>
      </c>
      <c r="F215" s="9" t="s">
        <v>1360</v>
      </c>
      <c r="G215" s="11">
        <v>5063.2700000000004</v>
      </c>
      <c r="H215" s="11">
        <v>149.57</v>
      </c>
      <c r="I215" s="9" t="b">
        <f>TRUE()</f>
        <v>1</v>
      </c>
      <c r="J215" s="9" t="s">
        <v>1361</v>
      </c>
      <c r="K215" s="11">
        <v>149.57</v>
      </c>
      <c r="L215" s="9" t="s">
        <v>21</v>
      </c>
      <c r="M215" s="9" t="str">
        <f>IFERROR(INDEX(T_CleanCustomers[Sales_Rep_ID],MATCH(B215,T_CleanCustomers[Customer_ID],0)),"Unmatched")</f>
        <v>REP008</v>
      </c>
      <c r="N215" s="9" t="str">
        <f>IFERROR(INDEX(T_CleanCustomers[Channel],MATCH(B215,T_CleanCustomers[Customer_ID],0)),"Unmatched")</f>
        <v>Direct Sales</v>
      </c>
      <c r="O215" s="9" t="str">
        <f>IFERROR(INDEX(T_CleanCustomers[Product],MATCH(B215,T_CleanCustomers[Customer_ID],0)),"Unmatched")</f>
        <v>Fleet Expense Card</v>
      </c>
      <c r="P215" s="9" t="str">
        <f>IFERROR(INDEX(T_CleanCustomers[Customer_Segment],MATCH(B215,T_CleanCustomers[Customer_ID],0)),"Unmatched")</f>
        <v>Unclassified</v>
      </c>
    </row>
    <row r="216" spans="1:16" ht="15" customHeight="1" x14ac:dyDescent="0.2">
      <c r="A216" s="9" t="s">
        <v>1578</v>
      </c>
      <c r="B216" s="9" t="s">
        <v>85</v>
      </c>
      <c r="C216" s="9" t="b">
        <f>TRUE()</f>
        <v>1</v>
      </c>
      <c r="D216" s="10">
        <v>45873</v>
      </c>
      <c r="E216" s="10">
        <v>45870</v>
      </c>
      <c r="F216" s="9" t="s">
        <v>1360</v>
      </c>
      <c r="G216" s="11">
        <v>5158.5200000000004</v>
      </c>
      <c r="H216" s="11">
        <v>148.22</v>
      </c>
      <c r="I216" s="9" t="b">
        <f>TRUE()</f>
        <v>1</v>
      </c>
      <c r="J216" s="9" t="s">
        <v>1361</v>
      </c>
      <c r="K216" s="11">
        <v>148.22</v>
      </c>
      <c r="L216" s="9" t="s">
        <v>21</v>
      </c>
      <c r="M216" s="9" t="str">
        <f>IFERROR(INDEX(T_CleanCustomers[Sales_Rep_ID],MATCH(B216,T_CleanCustomers[Customer_ID],0)),"Unmatched")</f>
        <v>REP008</v>
      </c>
      <c r="N216" s="9" t="str">
        <f>IFERROR(INDEX(T_CleanCustomers[Channel],MATCH(B216,T_CleanCustomers[Customer_ID],0)),"Unmatched")</f>
        <v>Direct Sales</v>
      </c>
      <c r="O216" s="9" t="str">
        <f>IFERROR(INDEX(T_CleanCustomers[Product],MATCH(B216,T_CleanCustomers[Customer_ID],0)),"Unmatched")</f>
        <v>Fleet Expense Card</v>
      </c>
      <c r="P216" s="9" t="str">
        <f>IFERROR(INDEX(T_CleanCustomers[Customer_Segment],MATCH(B216,T_CleanCustomers[Customer_ID],0)),"Unmatched")</f>
        <v>Unclassified</v>
      </c>
    </row>
    <row r="217" spans="1:16" ht="15" customHeight="1" x14ac:dyDescent="0.2">
      <c r="A217" s="9" t="s">
        <v>1579</v>
      </c>
      <c r="B217" s="9" t="s">
        <v>85</v>
      </c>
      <c r="C217" s="9" t="b">
        <f>TRUE()</f>
        <v>1</v>
      </c>
      <c r="D217" s="10">
        <v>45907</v>
      </c>
      <c r="E217" s="10">
        <v>45901</v>
      </c>
      <c r="F217" s="9" t="s">
        <v>1481</v>
      </c>
      <c r="G217" s="11">
        <v>2528.54</v>
      </c>
      <c r="H217" s="11">
        <v>62.17</v>
      </c>
      <c r="I217" s="9" t="b">
        <f>TRUE()</f>
        <v>1</v>
      </c>
      <c r="J217" s="9" t="s">
        <v>1361</v>
      </c>
      <c r="K217" s="11">
        <v>62.17</v>
      </c>
      <c r="L217" s="9" t="s">
        <v>21</v>
      </c>
      <c r="M217" s="9" t="str">
        <f>IFERROR(INDEX(T_CleanCustomers[Sales_Rep_ID],MATCH(B217,T_CleanCustomers[Customer_ID],0)),"Unmatched")</f>
        <v>REP008</v>
      </c>
      <c r="N217" s="9" t="str">
        <f>IFERROR(INDEX(T_CleanCustomers[Channel],MATCH(B217,T_CleanCustomers[Customer_ID],0)),"Unmatched")</f>
        <v>Direct Sales</v>
      </c>
      <c r="O217" s="9" t="str">
        <f>IFERROR(INDEX(T_CleanCustomers[Product],MATCH(B217,T_CleanCustomers[Customer_ID],0)),"Unmatched")</f>
        <v>Fleet Expense Card</v>
      </c>
      <c r="P217" s="9" t="str">
        <f>IFERROR(INDEX(T_CleanCustomers[Customer_Segment],MATCH(B217,T_CleanCustomers[Customer_ID],0)),"Unmatched")</f>
        <v>Unclassified</v>
      </c>
    </row>
    <row r="218" spans="1:16" ht="15" customHeight="1" x14ac:dyDescent="0.2">
      <c r="A218" s="9" t="s">
        <v>1580</v>
      </c>
      <c r="B218" s="9" t="s">
        <v>85</v>
      </c>
      <c r="C218" s="9" t="b">
        <f>TRUE()</f>
        <v>1</v>
      </c>
      <c r="D218" s="10">
        <v>45924</v>
      </c>
      <c r="E218" s="10">
        <v>45901</v>
      </c>
      <c r="F218" s="9" t="s">
        <v>1479</v>
      </c>
      <c r="G218" s="11">
        <v>3765.36</v>
      </c>
      <c r="H218" s="11">
        <v>111.26</v>
      </c>
      <c r="I218" s="9" t="b">
        <f>TRUE()</f>
        <v>1</v>
      </c>
      <c r="J218" s="9" t="s">
        <v>1361</v>
      </c>
      <c r="K218" s="11">
        <v>111.26</v>
      </c>
      <c r="L218" s="9" t="s">
        <v>21</v>
      </c>
      <c r="M218" s="9" t="str">
        <f>IFERROR(INDEX(T_CleanCustomers[Sales_Rep_ID],MATCH(B218,T_CleanCustomers[Customer_ID],0)),"Unmatched")</f>
        <v>REP008</v>
      </c>
      <c r="N218" s="9" t="str">
        <f>IFERROR(INDEX(T_CleanCustomers[Channel],MATCH(B218,T_CleanCustomers[Customer_ID],0)),"Unmatched")</f>
        <v>Direct Sales</v>
      </c>
      <c r="O218" s="9" t="str">
        <f>IFERROR(INDEX(T_CleanCustomers[Product],MATCH(B218,T_CleanCustomers[Customer_ID],0)),"Unmatched")</f>
        <v>Fleet Expense Card</v>
      </c>
      <c r="P218" s="9" t="str">
        <f>IFERROR(INDEX(T_CleanCustomers[Customer_Segment],MATCH(B218,T_CleanCustomers[Customer_ID],0)),"Unmatched")</f>
        <v>Unclassified</v>
      </c>
    </row>
    <row r="219" spans="1:16" ht="15" customHeight="1" x14ac:dyDescent="0.2">
      <c r="A219" s="9" t="s">
        <v>1581</v>
      </c>
      <c r="B219" s="9" t="s">
        <v>85</v>
      </c>
      <c r="C219" s="9" t="b">
        <f>TRUE()</f>
        <v>1</v>
      </c>
      <c r="D219" s="10">
        <v>45945</v>
      </c>
      <c r="E219" s="10">
        <v>45931</v>
      </c>
      <c r="F219" s="9" t="s">
        <v>1479</v>
      </c>
      <c r="G219" s="11">
        <v>1399.01</v>
      </c>
      <c r="H219" s="11">
        <v>35.58</v>
      </c>
      <c r="I219" s="9" t="b">
        <f>TRUE()</f>
        <v>1</v>
      </c>
      <c r="J219" s="9" t="s">
        <v>1361</v>
      </c>
      <c r="K219" s="11">
        <v>35.58</v>
      </c>
      <c r="L219" s="9" t="s">
        <v>21</v>
      </c>
      <c r="M219" s="9" t="str">
        <f>IFERROR(INDEX(T_CleanCustomers[Sales_Rep_ID],MATCH(B219,T_CleanCustomers[Customer_ID],0)),"Unmatched")</f>
        <v>REP008</v>
      </c>
      <c r="N219" s="9" t="str">
        <f>IFERROR(INDEX(T_CleanCustomers[Channel],MATCH(B219,T_CleanCustomers[Customer_ID],0)),"Unmatched")</f>
        <v>Direct Sales</v>
      </c>
      <c r="O219" s="9" t="str">
        <f>IFERROR(INDEX(T_CleanCustomers[Product],MATCH(B219,T_CleanCustomers[Customer_ID],0)),"Unmatched")</f>
        <v>Fleet Expense Card</v>
      </c>
      <c r="P219" s="9" t="str">
        <f>IFERROR(INDEX(T_CleanCustomers[Customer_Segment],MATCH(B219,T_CleanCustomers[Customer_ID],0)),"Unmatched")</f>
        <v>Unclassified</v>
      </c>
    </row>
    <row r="220" spans="1:16" ht="15" customHeight="1" x14ac:dyDescent="0.2">
      <c r="A220" s="9" t="s">
        <v>1582</v>
      </c>
      <c r="B220" s="9" t="s">
        <v>85</v>
      </c>
      <c r="C220" s="9" t="b">
        <f>TRUE()</f>
        <v>1</v>
      </c>
      <c r="D220" s="10">
        <v>45967</v>
      </c>
      <c r="E220" s="10">
        <v>45962</v>
      </c>
      <c r="F220" s="9" t="s">
        <v>1481</v>
      </c>
      <c r="G220" s="11">
        <v>5118.76</v>
      </c>
      <c r="H220" s="11">
        <v>119.02</v>
      </c>
      <c r="I220" s="9" t="b">
        <f>TRUE()</f>
        <v>1</v>
      </c>
      <c r="J220" s="9" t="s">
        <v>1361</v>
      </c>
      <c r="K220" s="11">
        <v>119.02</v>
      </c>
      <c r="L220" s="9" t="s">
        <v>21</v>
      </c>
      <c r="M220" s="9" t="str">
        <f>IFERROR(INDEX(T_CleanCustomers[Sales_Rep_ID],MATCH(B220,T_CleanCustomers[Customer_ID],0)),"Unmatched")</f>
        <v>REP008</v>
      </c>
      <c r="N220" s="9" t="str">
        <f>IFERROR(INDEX(T_CleanCustomers[Channel],MATCH(B220,T_CleanCustomers[Customer_ID],0)),"Unmatched")</f>
        <v>Direct Sales</v>
      </c>
      <c r="O220" s="9" t="str">
        <f>IFERROR(INDEX(T_CleanCustomers[Product],MATCH(B220,T_CleanCustomers[Customer_ID],0)),"Unmatched")</f>
        <v>Fleet Expense Card</v>
      </c>
      <c r="P220" s="9" t="str">
        <f>IFERROR(INDEX(T_CleanCustomers[Customer_Segment],MATCH(B220,T_CleanCustomers[Customer_ID],0)),"Unmatched")</f>
        <v>Unclassified</v>
      </c>
    </row>
    <row r="221" spans="1:16" ht="15" customHeight="1" x14ac:dyDescent="0.2">
      <c r="A221" s="9" t="s">
        <v>1583</v>
      </c>
      <c r="B221" s="9" t="s">
        <v>85</v>
      </c>
      <c r="C221" s="9" t="b">
        <f>TRUE()</f>
        <v>1</v>
      </c>
      <c r="D221" s="10">
        <v>45964</v>
      </c>
      <c r="E221" s="10">
        <v>45962</v>
      </c>
      <c r="F221" s="9" t="s">
        <v>1479</v>
      </c>
      <c r="G221" s="11">
        <v>1744.09</v>
      </c>
      <c r="H221" s="11">
        <v>45.41</v>
      </c>
      <c r="I221" s="9" t="b">
        <f>TRUE()</f>
        <v>1</v>
      </c>
      <c r="J221" s="9" t="s">
        <v>1361</v>
      </c>
      <c r="K221" s="11">
        <v>45.41</v>
      </c>
      <c r="L221" s="9" t="s">
        <v>21</v>
      </c>
      <c r="M221" s="9" t="str">
        <f>IFERROR(INDEX(T_CleanCustomers[Sales_Rep_ID],MATCH(B221,T_CleanCustomers[Customer_ID],0)),"Unmatched")</f>
        <v>REP008</v>
      </c>
      <c r="N221" s="9" t="str">
        <f>IFERROR(INDEX(T_CleanCustomers[Channel],MATCH(B221,T_CleanCustomers[Customer_ID],0)),"Unmatched")</f>
        <v>Direct Sales</v>
      </c>
      <c r="O221" s="9" t="str">
        <f>IFERROR(INDEX(T_CleanCustomers[Product],MATCH(B221,T_CleanCustomers[Customer_ID],0)),"Unmatched")</f>
        <v>Fleet Expense Card</v>
      </c>
      <c r="P221" s="9" t="str">
        <f>IFERROR(INDEX(T_CleanCustomers[Customer_Segment],MATCH(B221,T_CleanCustomers[Customer_ID],0)),"Unmatched")</f>
        <v>Unclassified</v>
      </c>
    </row>
    <row r="222" spans="1:16" ht="15" customHeight="1" x14ac:dyDescent="0.2">
      <c r="A222" s="9" t="s">
        <v>1584</v>
      </c>
      <c r="B222" s="9" t="s">
        <v>85</v>
      </c>
      <c r="C222" s="9" t="b">
        <f>TRUE()</f>
        <v>1</v>
      </c>
      <c r="D222" s="10">
        <v>46017</v>
      </c>
      <c r="E222" s="10">
        <v>45992</v>
      </c>
      <c r="F222" s="9" t="s">
        <v>1479</v>
      </c>
      <c r="G222" s="11">
        <v>1811.6</v>
      </c>
      <c r="H222" s="11">
        <v>54.76</v>
      </c>
      <c r="I222" s="9" t="b">
        <f>TRUE()</f>
        <v>1</v>
      </c>
      <c r="J222" s="9" t="s">
        <v>1361</v>
      </c>
      <c r="K222" s="11">
        <v>54.76</v>
      </c>
      <c r="L222" s="9" t="s">
        <v>21</v>
      </c>
      <c r="M222" s="9" t="str">
        <f>IFERROR(INDEX(T_CleanCustomers[Sales_Rep_ID],MATCH(B222,T_CleanCustomers[Customer_ID],0)),"Unmatched")</f>
        <v>REP008</v>
      </c>
      <c r="N222" s="9" t="str">
        <f>IFERROR(INDEX(T_CleanCustomers[Channel],MATCH(B222,T_CleanCustomers[Customer_ID],0)),"Unmatched")</f>
        <v>Direct Sales</v>
      </c>
      <c r="O222" s="9" t="str">
        <f>IFERROR(INDEX(T_CleanCustomers[Product],MATCH(B222,T_CleanCustomers[Customer_ID],0)),"Unmatched")</f>
        <v>Fleet Expense Card</v>
      </c>
      <c r="P222" s="9" t="str">
        <f>IFERROR(INDEX(T_CleanCustomers[Customer_Segment],MATCH(B222,T_CleanCustomers[Customer_ID],0)),"Unmatched")</f>
        <v>Unclassified</v>
      </c>
    </row>
    <row r="223" spans="1:16" ht="15" customHeight="1" x14ac:dyDescent="0.2">
      <c r="A223" s="9" t="s">
        <v>1585</v>
      </c>
      <c r="B223" s="9" t="s">
        <v>85</v>
      </c>
      <c r="C223" s="9" t="b">
        <f>TRUE()</f>
        <v>1</v>
      </c>
      <c r="D223" s="10">
        <v>46022</v>
      </c>
      <c r="E223" s="10">
        <v>45992</v>
      </c>
      <c r="F223" s="9" t="s">
        <v>1481</v>
      </c>
      <c r="G223" s="11">
        <v>1593.27</v>
      </c>
      <c r="H223" s="11">
        <v>49.09</v>
      </c>
      <c r="I223" s="9" t="b">
        <f>TRUE()</f>
        <v>1</v>
      </c>
      <c r="J223" s="9" t="s">
        <v>1361</v>
      </c>
      <c r="K223" s="11">
        <v>49.09</v>
      </c>
      <c r="L223" s="9" t="s">
        <v>21</v>
      </c>
      <c r="M223" s="9" t="str">
        <f>IFERROR(INDEX(T_CleanCustomers[Sales_Rep_ID],MATCH(B223,T_CleanCustomers[Customer_ID],0)),"Unmatched")</f>
        <v>REP008</v>
      </c>
      <c r="N223" s="9" t="str">
        <f>IFERROR(INDEX(T_CleanCustomers[Channel],MATCH(B223,T_CleanCustomers[Customer_ID],0)),"Unmatched")</f>
        <v>Direct Sales</v>
      </c>
      <c r="O223" s="9" t="str">
        <f>IFERROR(INDEX(T_CleanCustomers[Product],MATCH(B223,T_CleanCustomers[Customer_ID],0)),"Unmatched")</f>
        <v>Fleet Expense Card</v>
      </c>
      <c r="P223" s="9" t="str">
        <f>IFERROR(INDEX(T_CleanCustomers[Customer_Segment],MATCH(B223,T_CleanCustomers[Customer_ID],0)),"Unmatched")</f>
        <v>Unclassified</v>
      </c>
    </row>
    <row r="224" spans="1:16" ht="15" customHeight="1" x14ac:dyDescent="0.2">
      <c r="A224" s="9" t="s">
        <v>1586</v>
      </c>
      <c r="B224" s="9" t="s">
        <v>1174</v>
      </c>
      <c r="C224" s="9" t="b">
        <f>TRUE()</f>
        <v>1</v>
      </c>
      <c r="D224" s="10">
        <v>45797</v>
      </c>
      <c r="E224" s="10">
        <v>45778</v>
      </c>
      <c r="F224" s="9" t="s">
        <v>1373</v>
      </c>
      <c r="G224" s="11">
        <v>4708.63</v>
      </c>
      <c r="H224" s="11">
        <v>73.44</v>
      </c>
      <c r="I224" s="9" t="b">
        <f>TRUE()</f>
        <v>1</v>
      </c>
      <c r="J224" s="9" t="s">
        <v>1361</v>
      </c>
      <c r="K224" s="11">
        <v>73.44</v>
      </c>
      <c r="L224" s="9" t="s">
        <v>19</v>
      </c>
      <c r="M224" s="9" t="str">
        <f>IFERROR(INDEX(T_CleanCustomers[Sales_Rep_ID],MATCH(B224,T_CleanCustomers[Customer_ID],0)),"Unmatched")</f>
        <v>REP015</v>
      </c>
      <c r="N224" s="9" t="str">
        <f>IFERROR(INDEX(T_CleanCustomers[Channel],MATCH(B224,T_CleanCustomers[Customer_ID],0)),"Unmatched")</f>
        <v>Partner</v>
      </c>
      <c r="O224" s="9" t="str">
        <f>IFERROR(INDEX(T_CleanCustomers[Product],MATCH(B224,T_CleanCustomers[Customer_ID],0)),"Unmatched")</f>
        <v>Toll Solution</v>
      </c>
      <c r="P224" s="9" t="str">
        <f>IFERROR(INDEX(T_CleanCustomers[Customer_Segment],MATCH(B224,T_CleanCustomers[Customer_ID],0)),"Unmatched")</f>
        <v>Mid-Market</v>
      </c>
    </row>
    <row r="225" spans="1:16" ht="15" customHeight="1" x14ac:dyDescent="0.2">
      <c r="A225" s="9" t="s">
        <v>1587</v>
      </c>
      <c r="B225" s="9" t="s">
        <v>1174</v>
      </c>
      <c r="C225" s="9" t="b">
        <f>TRUE()</f>
        <v>1</v>
      </c>
      <c r="D225" s="10">
        <v>45828</v>
      </c>
      <c r="E225" s="10">
        <v>45809</v>
      </c>
      <c r="F225" s="9" t="s">
        <v>1373</v>
      </c>
      <c r="G225" s="11">
        <v>8983.18</v>
      </c>
      <c r="H225" s="11">
        <v>149.5</v>
      </c>
      <c r="I225" s="9" t="b">
        <f>TRUE()</f>
        <v>1</v>
      </c>
      <c r="J225" s="9" t="s">
        <v>1361</v>
      </c>
      <c r="K225" s="11">
        <v>149.5</v>
      </c>
      <c r="L225" s="9" t="s">
        <v>19</v>
      </c>
      <c r="M225" s="9" t="str">
        <f>IFERROR(INDEX(T_CleanCustomers[Sales_Rep_ID],MATCH(B225,T_CleanCustomers[Customer_ID],0)),"Unmatched")</f>
        <v>REP015</v>
      </c>
      <c r="N225" s="9" t="str">
        <f>IFERROR(INDEX(T_CleanCustomers[Channel],MATCH(B225,T_CleanCustomers[Customer_ID],0)),"Unmatched")</f>
        <v>Partner</v>
      </c>
      <c r="O225" s="9" t="str">
        <f>IFERROR(INDEX(T_CleanCustomers[Product],MATCH(B225,T_CleanCustomers[Customer_ID],0)),"Unmatched")</f>
        <v>Toll Solution</v>
      </c>
      <c r="P225" s="9" t="str">
        <f>IFERROR(INDEX(T_CleanCustomers[Customer_Segment],MATCH(B225,T_CleanCustomers[Customer_ID],0)),"Unmatched")</f>
        <v>Mid-Market</v>
      </c>
    </row>
    <row r="226" spans="1:16" ht="15" customHeight="1" x14ac:dyDescent="0.2">
      <c r="A226" s="9" t="s">
        <v>1588</v>
      </c>
      <c r="B226" s="9" t="s">
        <v>1174</v>
      </c>
      <c r="C226" s="9" t="b">
        <f>TRUE()</f>
        <v>1</v>
      </c>
      <c r="D226" s="10">
        <v>45835</v>
      </c>
      <c r="E226" s="10">
        <v>45809</v>
      </c>
      <c r="F226" s="9" t="s">
        <v>1373</v>
      </c>
      <c r="G226" s="11">
        <v>5323.78</v>
      </c>
      <c r="H226" s="11">
        <v>83.3</v>
      </c>
      <c r="I226" s="9" t="b">
        <f>TRUE()</f>
        <v>1</v>
      </c>
      <c r="J226" s="9" t="s">
        <v>1361</v>
      </c>
      <c r="K226" s="11">
        <v>83.3</v>
      </c>
      <c r="L226" s="9" t="s">
        <v>19</v>
      </c>
      <c r="M226" s="9" t="str">
        <f>IFERROR(INDEX(T_CleanCustomers[Sales_Rep_ID],MATCH(B226,T_CleanCustomers[Customer_ID],0)),"Unmatched")</f>
        <v>REP015</v>
      </c>
      <c r="N226" s="9" t="str">
        <f>IFERROR(INDEX(T_CleanCustomers[Channel],MATCH(B226,T_CleanCustomers[Customer_ID],0)),"Unmatched")</f>
        <v>Partner</v>
      </c>
      <c r="O226" s="9" t="str">
        <f>IFERROR(INDEX(T_CleanCustomers[Product],MATCH(B226,T_CleanCustomers[Customer_ID],0)),"Unmatched")</f>
        <v>Toll Solution</v>
      </c>
      <c r="P226" s="9" t="str">
        <f>IFERROR(INDEX(T_CleanCustomers[Customer_Segment],MATCH(B226,T_CleanCustomers[Customer_ID],0)),"Unmatched")</f>
        <v>Mid-Market</v>
      </c>
    </row>
    <row r="227" spans="1:16" ht="15" customHeight="1" x14ac:dyDescent="0.2">
      <c r="A227" s="9" t="s">
        <v>129</v>
      </c>
      <c r="B227" s="9" t="s">
        <v>1174</v>
      </c>
      <c r="C227" s="9" t="b">
        <f>TRUE()</f>
        <v>1</v>
      </c>
      <c r="D227" s="10">
        <v>45817</v>
      </c>
      <c r="E227" s="10">
        <v>45809</v>
      </c>
      <c r="F227" s="9" t="s">
        <v>1373</v>
      </c>
      <c r="G227" s="11">
        <v>17671.79</v>
      </c>
      <c r="H227" s="11">
        <v>15</v>
      </c>
      <c r="I227" s="9" t="b">
        <f>TRUE()</f>
        <v>1</v>
      </c>
      <c r="J227" s="9" t="s">
        <v>1408</v>
      </c>
      <c r="K227" s="11">
        <v>0</v>
      </c>
      <c r="L227" s="9" t="s">
        <v>19</v>
      </c>
      <c r="M227" s="9" t="str">
        <f>IFERROR(INDEX(T_CleanCustomers[Sales_Rep_ID],MATCH(B227,T_CleanCustomers[Customer_ID],0)),"Unmatched")</f>
        <v>REP015</v>
      </c>
      <c r="N227" s="9" t="str">
        <f>IFERROR(INDEX(T_CleanCustomers[Channel],MATCH(B227,T_CleanCustomers[Customer_ID],0)),"Unmatched")</f>
        <v>Partner</v>
      </c>
      <c r="O227" s="9" t="str">
        <f>IFERROR(INDEX(T_CleanCustomers[Product],MATCH(B227,T_CleanCustomers[Customer_ID],0)),"Unmatched")</f>
        <v>Toll Solution</v>
      </c>
      <c r="P227" s="9" t="str">
        <f>IFERROR(INDEX(T_CleanCustomers[Customer_Segment],MATCH(B227,T_CleanCustomers[Customer_ID],0)),"Unmatched")</f>
        <v>Mid-Market</v>
      </c>
    </row>
    <row r="228" spans="1:16" ht="15" customHeight="1" x14ac:dyDescent="0.2">
      <c r="A228" s="9" t="s">
        <v>1589</v>
      </c>
      <c r="B228" s="9" t="s">
        <v>1174</v>
      </c>
      <c r="C228" s="9" t="b">
        <f>TRUE()</f>
        <v>1</v>
      </c>
      <c r="D228" s="10">
        <v>45861</v>
      </c>
      <c r="E228" s="10">
        <v>45839</v>
      </c>
      <c r="F228" s="9" t="s">
        <v>1373</v>
      </c>
      <c r="G228" s="11">
        <v>6014.12</v>
      </c>
      <c r="H228" s="11">
        <v>102.6</v>
      </c>
      <c r="I228" s="9" t="b">
        <f>TRUE()</f>
        <v>1</v>
      </c>
      <c r="J228" s="9" t="s">
        <v>1361</v>
      </c>
      <c r="K228" s="11">
        <v>102.6</v>
      </c>
      <c r="L228" s="9" t="s">
        <v>19</v>
      </c>
      <c r="M228" s="9" t="str">
        <f>IFERROR(INDEX(T_CleanCustomers[Sales_Rep_ID],MATCH(B228,T_CleanCustomers[Customer_ID],0)),"Unmatched")</f>
        <v>REP015</v>
      </c>
      <c r="N228" s="9" t="str">
        <f>IFERROR(INDEX(T_CleanCustomers[Channel],MATCH(B228,T_CleanCustomers[Customer_ID],0)),"Unmatched")</f>
        <v>Partner</v>
      </c>
      <c r="O228" s="9" t="str">
        <f>IFERROR(INDEX(T_CleanCustomers[Product],MATCH(B228,T_CleanCustomers[Customer_ID],0)),"Unmatched")</f>
        <v>Toll Solution</v>
      </c>
      <c r="P228" s="9" t="str">
        <f>IFERROR(INDEX(T_CleanCustomers[Customer_Segment],MATCH(B228,T_CleanCustomers[Customer_ID],0)),"Unmatched")</f>
        <v>Mid-Market</v>
      </c>
    </row>
    <row r="229" spans="1:16" ht="15" customHeight="1" x14ac:dyDescent="0.2">
      <c r="A229" s="9" t="s">
        <v>1590</v>
      </c>
      <c r="B229" s="9" t="s">
        <v>1174</v>
      </c>
      <c r="C229" s="9" t="b">
        <f>TRUE()</f>
        <v>1</v>
      </c>
      <c r="D229" s="10">
        <v>45868</v>
      </c>
      <c r="E229" s="10">
        <v>45839</v>
      </c>
      <c r="F229" s="9" t="s">
        <v>1373</v>
      </c>
      <c r="G229" s="11">
        <v>6143.83</v>
      </c>
      <c r="H229" s="11">
        <v>120.34</v>
      </c>
      <c r="I229" s="9" t="b">
        <f>TRUE()</f>
        <v>1</v>
      </c>
      <c r="J229" s="9" t="s">
        <v>1361</v>
      </c>
      <c r="K229" s="11">
        <v>120.34</v>
      </c>
      <c r="L229" s="9" t="s">
        <v>19</v>
      </c>
      <c r="M229" s="9" t="str">
        <f>IFERROR(INDEX(T_CleanCustomers[Sales_Rep_ID],MATCH(B229,T_CleanCustomers[Customer_ID],0)),"Unmatched")</f>
        <v>REP015</v>
      </c>
      <c r="N229" s="9" t="str">
        <f>IFERROR(INDEX(T_CleanCustomers[Channel],MATCH(B229,T_CleanCustomers[Customer_ID],0)),"Unmatched")</f>
        <v>Partner</v>
      </c>
      <c r="O229" s="9" t="str">
        <f>IFERROR(INDEX(T_CleanCustomers[Product],MATCH(B229,T_CleanCustomers[Customer_ID],0)),"Unmatched")</f>
        <v>Toll Solution</v>
      </c>
      <c r="P229" s="9" t="str">
        <f>IFERROR(INDEX(T_CleanCustomers[Customer_Segment],MATCH(B229,T_CleanCustomers[Customer_ID],0)),"Unmatched")</f>
        <v>Mid-Market</v>
      </c>
    </row>
    <row r="230" spans="1:16" ht="15" customHeight="1" x14ac:dyDescent="0.2">
      <c r="A230" s="9" t="s">
        <v>1591</v>
      </c>
      <c r="B230" s="9" t="s">
        <v>1174</v>
      </c>
      <c r="C230" s="9" t="b">
        <f>TRUE()</f>
        <v>1</v>
      </c>
      <c r="D230" s="10">
        <v>45863</v>
      </c>
      <c r="E230" s="10">
        <v>45839</v>
      </c>
      <c r="F230" s="9" t="s">
        <v>1373</v>
      </c>
      <c r="G230" s="11">
        <v>7394.88</v>
      </c>
      <c r="H230" s="11">
        <v>120.11</v>
      </c>
      <c r="I230" s="9" t="b">
        <f>TRUE()</f>
        <v>1</v>
      </c>
      <c r="J230" s="9" t="s">
        <v>1361</v>
      </c>
      <c r="K230" s="11">
        <v>120.11</v>
      </c>
      <c r="L230" s="9" t="s">
        <v>19</v>
      </c>
      <c r="M230" s="9" t="str">
        <f>IFERROR(INDEX(T_CleanCustomers[Sales_Rep_ID],MATCH(B230,T_CleanCustomers[Customer_ID],0)),"Unmatched")</f>
        <v>REP015</v>
      </c>
      <c r="N230" s="9" t="str">
        <f>IFERROR(INDEX(T_CleanCustomers[Channel],MATCH(B230,T_CleanCustomers[Customer_ID],0)),"Unmatched")</f>
        <v>Partner</v>
      </c>
      <c r="O230" s="9" t="str">
        <f>IFERROR(INDEX(T_CleanCustomers[Product],MATCH(B230,T_CleanCustomers[Customer_ID],0)),"Unmatched")</f>
        <v>Toll Solution</v>
      </c>
      <c r="P230" s="9" t="str">
        <f>IFERROR(INDEX(T_CleanCustomers[Customer_Segment],MATCH(B230,T_CleanCustomers[Customer_ID],0)),"Unmatched")</f>
        <v>Mid-Market</v>
      </c>
    </row>
    <row r="231" spans="1:16" ht="15" customHeight="1" x14ac:dyDescent="0.2">
      <c r="A231" s="9" t="s">
        <v>1592</v>
      </c>
      <c r="B231" s="9" t="s">
        <v>1174</v>
      </c>
      <c r="C231" s="9" t="b">
        <f>TRUE()</f>
        <v>1</v>
      </c>
      <c r="D231" s="10">
        <v>45898</v>
      </c>
      <c r="E231" s="10">
        <v>45870</v>
      </c>
      <c r="F231" s="9" t="s">
        <v>1373</v>
      </c>
      <c r="G231" s="11">
        <v>8566.6</v>
      </c>
      <c r="H231" s="11">
        <v>138.16999999999999</v>
      </c>
      <c r="I231" s="9" t="b">
        <f>TRUE()</f>
        <v>1</v>
      </c>
      <c r="J231" s="9" t="s">
        <v>1361</v>
      </c>
      <c r="K231" s="11">
        <v>138.16999999999999</v>
      </c>
      <c r="L231" s="9" t="s">
        <v>19</v>
      </c>
      <c r="M231" s="9" t="str">
        <f>IFERROR(INDEX(T_CleanCustomers[Sales_Rep_ID],MATCH(B231,T_CleanCustomers[Customer_ID],0)),"Unmatched")</f>
        <v>REP015</v>
      </c>
      <c r="N231" s="9" t="str">
        <f>IFERROR(INDEX(T_CleanCustomers[Channel],MATCH(B231,T_CleanCustomers[Customer_ID],0)),"Unmatched")</f>
        <v>Partner</v>
      </c>
      <c r="O231" s="9" t="str">
        <f>IFERROR(INDEX(T_CleanCustomers[Product],MATCH(B231,T_CleanCustomers[Customer_ID],0)),"Unmatched")</f>
        <v>Toll Solution</v>
      </c>
      <c r="P231" s="9" t="str">
        <f>IFERROR(INDEX(T_CleanCustomers[Customer_Segment],MATCH(B231,T_CleanCustomers[Customer_ID],0)),"Unmatched")</f>
        <v>Mid-Market</v>
      </c>
    </row>
    <row r="232" spans="1:16" ht="15" customHeight="1" x14ac:dyDescent="0.2">
      <c r="A232" s="9" t="s">
        <v>1593</v>
      </c>
      <c r="B232" s="9" t="s">
        <v>1174</v>
      </c>
      <c r="C232" s="9" t="b">
        <f>TRUE()</f>
        <v>1</v>
      </c>
      <c r="D232" s="10">
        <v>45888</v>
      </c>
      <c r="E232" s="10">
        <v>45870</v>
      </c>
      <c r="F232" s="9" t="s">
        <v>1373</v>
      </c>
      <c r="G232" s="11">
        <v>16959.349999999999</v>
      </c>
      <c r="H232" s="11">
        <v>0</v>
      </c>
      <c r="I232" s="9" t="b">
        <f>TRUE()</f>
        <v>1</v>
      </c>
      <c r="J232" s="9" t="s">
        <v>1408</v>
      </c>
      <c r="K232" s="11">
        <v>0</v>
      </c>
      <c r="L232" s="9" t="s">
        <v>19</v>
      </c>
      <c r="M232" s="9" t="str">
        <f>IFERROR(INDEX(T_CleanCustomers[Sales_Rep_ID],MATCH(B232,T_CleanCustomers[Customer_ID],0)),"Unmatched")</f>
        <v>REP015</v>
      </c>
      <c r="N232" s="9" t="str">
        <f>IFERROR(INDEX(T_CleanCustomers[Channel],MATCH(B232,T_CleanCustomers[Customer_ID],0)),"Unmatched")</f>
        <v>Partner</v>
      </c>
      <c r="O232" s="9" t="str">
        <f>IFERROR(INDEX(T_CleanCustomers[Product],MATCH(B232,T_CleanCustomers[Customer_ID],0)),"Unmatched")</f>
        <v>Toll Solution</v>
      </c>
      <c r="P232" s="9" t="str">
        <f>IFERROR(INDEX(T_CleanCustomers[Customer_Segment],MATCH(B232,T_CleanCustomers[Customer_ID],0)),"Unmatched")</f>
        <v>Mid-Market</v>
      </c>
    </row>
    <row r="233" spans="1:16" ht="15" customHeight="1" x14ac:dyDescent="0.2">
      <c r="A233" s="9" t="s">
        <v>1594</v>
      </c>
      <c r="B233" s="9" t="s">
        <v>1174</v>
      </c>
      <c r="C233" s="9" t="b">
        <f>TRUE()</f>
        <v>1</v>
      </c>
      <c r="D233" s="10">
        <v>45918</v>
      </c>
      <c r="E233" s="10">
        <v>45901</v>
      </c>
      <c r="F233" s="9" t="s">
        <v>1373</v>
      </c>
      <c r="G233" s="11">
        <v>6185.78</v>
      </c>
      <c r="H233" s="11">
        <v>110</v>
      </c>
      <c r="I233" s="9" t="b">
        <f>TRUE()</f>
        <v>1</v>
      </c>
      <c r="J233" s="9" t="s">
        <v>1361</v>
      </c>
      <c r="K233" s="11">
        <v>110</v>
      </c>
      <c r="L233" s="9" t="s">
        <v>19</v>
      </c>
      <c r="M233" s="9" t="str">
        <f>IFERROR(INDEX(T_CleanCustomers[Sales_Rep_ID],MATCH(B233,T_CleanCustomers[Customer_ID],0)),"Unmatched")</f>
        <v>REP015</v>
      </c>
      <c r="N233" s="9" t="str">
        <f>IFERROR(INDEX(T_CleanCustomers[Channel],MATCH(B233,T_CleanCustomers[Customer_ID],0)),"Unmatched")</f>
        <v>Partner</v>
      </c>
      <c r="O233" s="9" t="str">
        <f>IFERROR(INDEX(T_CleanCustomers[Product],MATCH(B233,T_CleanCustomers[Customer_ID],0)),"Unmatched")</f>
        <v>Toll Solution</v>
      </c>
      <c r="P233" s="9" t="str">
        <f>IFERROR(INDEX(T_CleanCustomers[Customer_Segment],MATCH(B233,T_CleanCustomers[Customer_ID],0)),"Unmatched")</f>
        <v>Mid-Market</v>
      </c>
    </row>
    <row r="234" spans="1:16" ht="15" customHeight="1" x14ac:dyDescent="0.2">
      <c r="A234" s="9" t="s">
        <v>1595</v>
      </c>
      <c r="B234" s="9" t="s">
        <v>1174</v>
      </c>
      <c r="C234" s="9" t="b">
        <f>TRUE()</f>
        <v>1</v>
      </c>
      <c r="D234" s="10">
        <v>45944</v>
      </c>
      <c r="E234" s="10">
        <v>45931</v>
      </c>
      <c r="F234" s="9" t="s">
        <v>1373</v>
      </c>
      <c r="G234" s="11">
        <v>15404.36</v>
      </c>
      <c r="H234" s="11">
        <v>254.08</v>
      </c>
      <c r="I234" s="9" t="b">
        <f>TRUE()</f>
        <v>1</v>
      </c>
      <c r="J234" s="9" t="s">
        <v>1361</v>
      </c>
      <c r="K234" s="11">
        <v>254.08</v>
      </c>
      <c r="L234" s="9" t="s">
        <v>19</v>
      </c>
      <c r="M234" s="9" t="str">
        <f>IFERROR(INDEX(T_CleanCustomers[Sales_Rep_ID],MATCH(B234,T_CleanCustomers[Customer_ID],0)),"Unmatched")</f>
        <v>REP015</v>
      </c>
      <c r="N234" s="9" t="str">
        <f>IFERROR(INDEX(T_CleanCustomers[Channel],MATCH(B234,T_CleanCustomers[Customer_ID],0)),"Unmatched")</f>
        <v>Partner</v>
      </c>
      <c r="O234" s="9" t="str">
        <f>IFERROR(INDEX(T_CleanCustomers[Product],MATCH(B234,T_CleanCustomers[Customer_ID],0)),"Unmatched")</f>
        <v>Toll Solution</v>
      </c>
      <c r="P234" s="9" t="str">
        <f>IFERROR(INDEX(T_CleanCustomers[Customer_Segment],MATCH(B234,T_CleanCustomers[Customer_ID],0)),"Unmatched")</f>
        <v>Mid-Market</v>
      </c>
    </row>
    <row r="235" spans="1:16" ht="15" customHeight="1" x14ac:dyDescent="0.2">
      <c r="A235" s="9" t="s">
        <v>1596</v>
      </c>
      <c r="B235" s="9" t="s">
        <v>1174</v>
      </c>
      <c r="C235" s="9" t="b">
        <f>TRUE()</f>
        <v>1</v>
      </c>
      <c r="D235" s="10">
        <v>45989</v>
      </c>
      <c r="E235" s="10">
        <v>45962</v>
      </c>
      <c r="F235" s="9" t="s">
        <v>1373</v>
      </c>
      <c r="G235" s="11">
        <v>10029.6</v>
      </c>
      <c r="H235" s="11">
        <v>184.65</v>
      </c>
      <c r="I235" s="9" t="b">
        <f>TRUE()</f>
        <v>1</v>
      </c>
      <c r="J235" s="9" t="s">
        <v>1361</v>
      </c>
      <c r="K235" s="11">
        <v>184.65</v>
      </c>
      <c r="L235" s="9" t="s">
        <v>19</v>
      </c>
      <c r="M235" s="9" t="str">
        <f>IFERROR(INDEX(T_CleanCustomers[Sales_Rep_ID],MATCH(B235,T_CleanCustomers[Customer_ID],0)),"Unmatched")</f>
        <v>REP015</v>
      </c>
      <c r="N235" s="9" t="str">
        <f>IFERROR(INDEX(T_CleanCustomers[Channel],MATCH(B235,T_CleanCustomers[Customer_ID],0)),"Unmatched")</f>
        <v>Partner</v>
      </c>
      <c r="O235" s="9" t="str">
        <f>IFERROR(INDEX(T_CleanCustomers[Product],MATCH(B235,T_CleanCustomers[Customer_ID],0)),"Unmatched")</f>
        <v>Toll Solution</v>
      </c>
      <c r="P235" s="9" t="str">
        <f>IFERROR(INDEX(T_CleanCustomers[Customer_Segment],MATCH(B235,T_CleanCustomers[Customer_ID],0)),"Unmatched")</f>
        <v>Mid-Market</v>
      </c>
    </row>
    <row r="236" spans="1:16" ht="15" customHeight="1" x14ac:dyDescent="0.2">
      <c r="A236" s="9" t="s">
        <v>1597</v>
      </c>
      <c r="B236" s="9" t="s">
        <v>1174</v>
      </c>
      <c r="C236" s="9" t="b">
        <f>TRUE()</f>
        <v>1</v>
      </c>
      <c r="D236" s="10">
        <v>45980</v>
      </c>
      <c r="E236" s="10">
        <v>45962</v>
      </c>
      <c r="F236" s="9" t="s">
        <v>1373</v>
      </c>
      <c r="G236" s="11">
        <v>4310.25</v>
      </c>
      <c r="H236" s="11">
        <v>70.739999999999995</v>
      </c>
      <c r="I236" s="9" t="b">
        <f>TRUE()</f>
        <v>1</v>
      </c>
      <c r="J236" s="9" t="s">
        <v>1361</v>
      </c>
      <c r="K236" s="11">
        <v>70.739999999999995</v>
      </c>
      <c r="L236" s="9" t="s">
        <v>19</v>
      </c>
      <c r="M236" s="9" t="str">
        <f>IFERROR(INDEX(T_CleanCustomers[Sales_Rep_ID],MATCH(B236,T_CleanCustomers[Customer_ID],0)),"Unmatched")</f>
        <v>REP015</v>
      </c>
      <c r="N236" s="9" t="str">
        <f>IFERROR(INDEX(T_CleanCustomers[Channel],MATCH(B236,T_CleanCustomers[Customer_ID],0)),"Unmatched")</f>
        <v>Partner</v>
      </c>
      <c r="O236" s="9" t="str">
        <f>IFERROR(INDEX(T_CleanCustomers[Product],MATCH(B236,T_CleanCustomers[Customer_ID],0)),"Unmatched")</f>
        <v>Toll Solution</v>
      </c>
      <c r="P236" s="9" t="str">
        <f>IFERROR(INDEX(T_CleanCustomers[Customer_Segment],MATCH(B236,T_CleanCustomers[Customer_ID],0)),"Unmatched")</f>
        <v>Mid-Market</v>
      </c>
    </row>
    <row r="237" spans="1:16" ht="15" customHeight="1" x14ac:dyDescent="0.2">
      <c r="A237" s="9" t="s">
        <v>1598</v>
      </c>
      <c r="B237" s="9" t="s">
        <v>1174</v>
      </c>
      <c r="C237" s="9" t="b">
        <f>TRUE()</f>
        <v>1</v>
      </c>
      <c r="D237" s="10">
        <v>46015</v>
      </c>
      <c r="E237" s="10">
        <v>45992</v>
      </c>
      <c r="F237" s="9" t="s">
        <v>1373</v>
      </c>
      <c r="G237" s="11">
        <v>17629.86</v>
      </c>
      <c r="H237" s="11">
        <v>278.77999999999997</v>
      </c>
      <c r="I237" s="9" t="b">
        <f>TRUE()</f>
        <v>1</v>
      </c>
      <c r="J237" s="9" t="s">
        <v>1361</v>
      </c>
      <c r="K237" s="11">
        <v>278.77999999999997</v>
      </c>
      <c r="L237" s="9" t="s">
        <v>19</v>
      </c>
      <c r="M237" s="9" t="str">
        <f>IFERROR(INDEX(T_CleanCustomers[Sales_Rep_ID],MATCH(B237,T_CleanCustomers[Customer_ID],0)),"Unmatched")</f>
        <v>REP015</v>
      </c>
      <c r="N237" s="9" t="str">
        <f>IFERROR(INDEX(T_CleanCustomers[Channel],MATCH(B237,T_CleanCustomers[Customer_ID],0)),"Unmatched")</f>
        <v>Partner</v>
      </c>
      <c r="O237" s="9" t="str">
        <f>IFERROR(INDEX(T_CleanCustomers[Product],MATCH(B237,T_CleanCustomers[Customer_ID],0)),"Unmatched")</f>
        <v>Toll Solution</v>
      </c>
      <c r="P237" s="9" t="str">
        <f>IFERROR(INDEX(T_CleanCustomers[Customer_Segment],MATCH(B237,T_CleanCustomers[Customer_ID],0)),"Unmatched")</f>
        <v>Mid-Market</v>
      </c>
    </row>
    <row r="238" spans="1:16" ht="15" customHeight="1" x14ac:dyDescent="0.2">
      <c r="A238" s="9" t="s">
        <v>1599</v>
      </c>
      <c r="B238" s="9" t="s">
        <v>1174</v>
      </c>
      <c r="C238" s="9" t="b">
        <f>TRUE()</f>
        <v>1</v>
      </c>
      <c r="D238" s="10">
        <v>46004</v>
      </c>
      <c r="E238" s="10">
        <v>45992</v>
      </c>
      <c r="F238" s="9" t="s">
        <v>1373</v>
      </c>
      <c r="G238" s="11">
        <v>10589.15</v>
      </c>
      <c r="H238" s="11">
        <v>171.52</v>
      </c>
      <c r="I238" s="9" t="b">
        <f>TRUE()</f>
        <v>1</v>
      </c>
      <c r="J238" s="9" t="s">
        <v>1361</v>
      </c>
      <c r="K238" s="11">
        <v>171.52</v>
      </c>
      <c r="L238" s="9" t="s">
        <v>19</v>
      </c>
      <c r="M238" s="9" t="str">
        <f>IFERROR(INDEX(T_CleanCustomers[Sales_Rep_ID],MATCH(B238,T_CleanCustomers[Customer_ID],0)),"Unmatched")</f>
        <v>REP015</v>
      </c>
      <c r="N238" s="9" t="str">
        <f>IFERROR(INDEX(T_CleanCustomers[Channel],MATCH(B238,T_CleanCustomers[Customer_ID],0)),"Unmatched")</f>
        <v>Partner</v>
      </c>
      <c r="O238" s="9" t="str">
        <f>IFERROR(INDEX(T_CleanCustomers[Product],MATCH(B238,T_CleanCustomers[Customer_ID],0)),"Unmatched")</f>
        <v>Toll Solution</v>
      </c>
      <c r="P238" s="9" t="str">
        <f>IFERROR(INDEX(T_CleanCustomers[Customer_Segment],MATCH(B238,T_CleanCustomers[Customer_ID],0)),"Unmatched")</f>
        <v>Mid-Market</v>
      </c>
    </row>
    <row r="239" spans="1:16" ht="15" customHeight="1" x14ac:dyDescent="0.2">
      <c r="A239" s="9" t="s">
        <v>1600</v>
      </c>
      <c r="B239" s="9" t="s">
        <v>1174</v>
      </c>
      <c r="C239" s="9" t="b">
        <f>TRUE()</f>
        <v>1</v>
      </c>
      <c r="D239" s="10">
        <v>46018</v>
      </c>
      <c r="E239" s="10">
        <v>45992</v>
      </c>
      <c r="F239" s="9" t="s">
        <v>1373</v>
      </c>
      <c r="G239" s="11">
        <v>13260.21</v>
      </c>
      <c r="H239" s="11">
        <v>231.66</v>
      </c>
      <c r="I239" s="9" t="b">
        <f>TRUE()</f>
        <v>1</v>
      </c>
      <c r="J239" s="9" t="s">
        <v>1361</v>
      </c>
      <c r="K239" s="11">
        <v>231.66</v>
      </c>
      <c r="L239" s="9" t="s">
        <v>19</v>
      </c>
      <c r="M239" s="9" t="str">
        <f>IFERROR(INDEX(T_CleanCustomers[Sales_Rep_ID],MATCH(B239,T_CleanCustomers[Customer_ID],0)),"Unmatched")</f>
        <v>REP015</v>
      </c>
      <c r="N239" s="9" t="str">
        <f>IFERROR(INDEX(T_CleanCustomers[Channel],MATCH(B239,T_CleanCustomers[Customer_ID],0)),"Unmatched")</f>
        <v>Partner</v>
      </c>
      <c r="O239" s="9" t="str">
        <f>IFERROR(INDEX(T_CleanCustomers[Product],MATCH(B239,T_CleanCustomers[Customer_ID],0)),"Unmatched")</f>
        <v>Toll Solution</v>
      </c>
      <c r="P239" s="9" t="str">
        <f>IFERROR(INDEX(T_CleanCustomers[Customer_Segment],MATCH(B239,T_CleanCustomers[Customer_ID],0)),"Unmatched")</f>
        <v>Mid-Market</v>
      </c>
    </row>
    <row r="240" spans="1:16" ht="15" customHeight="1" x14ac:dyDescent="0.2">
      <c r="A240" s="9" t="s">
        <v>1601</v>
      </c>
      <c r="B240" s="9" t="s">
        <v>1175</v>
      </c>
      <c r="C240" s="9" t="b">
        <f>TRUE()</f>
        <v>1</v>
      </c>
      <c r="D240" s="10">
        <v>45900</v>
      </c>
      <c r="E240" s="10">
        <v>45870</v>
      </c>
      <c r="F240" s="9" t="s">
        <v>1360</v>
      </c>
      <c r="G240" s="11">
        <v>1831.95</v>
      </c>
      <c r="H240" s="11">
        <v>52.27</v>
      </c>
      <c r="I240" s="9" t="b">
        <f>TRUE()</f>
        <v>1</v>
      </c>
      <c r="J240" s="9" t="s">
        <v>1361</v>
      </c>
      <c r="K240" s="11">
        <v>52.27</v>
      </c>
      <c r="L240" s="9" t="s">
        <v>21</v>
      </c>
      <c r="M240" s="9" t="str">
        <f>IFERROR(INDEX(T_CleanCustomers[Sales_Rep_ID],MATCH(B240,T_CleanCustomers[Customer_ID],0)),"Unmatched")</f>
        <v>REP008</v>
      </c>
      <c r="N240" s="9" t="str">
        <f>IFERROR(INDEX(T_CleanCustomers[Channel],MATCH(B240,T_CleanCustomers[Customer_ID],0)),"Unmatched")</f>
        <v>Partner</v>
      </c>
      <c r="O240" s="9" t="str">
        <f>IFERROR(INDEX(T_CleanCustomers[Product],MATCH(B240,T_CleanCustomers[Customer_ID],0)),"Unmatched")</f>
        <v>Fleet Expense Card</v>
      </c>
      <c r="P240" s="9" t="str">
        <f>IFERROR(INDEX(T_CleanCustomers[Customer_Segment],MATCH(B240,T_CleanCustomers[Customer_ID],0)),"Unmatched")</f>
        <v>SME</v>
      </c>
    </row>
    <row r="241" spans="1:16" ht="15" customHeight="1" x14ac:dyDescent="0.2">
      <c r="A241" s="9" t="s">
        <v>1602</v>
      </c>
      <c r="B241" s="9" t="s">
        <v>1175</v>
      </c>
      <c r="C241" s="9" t="b">
        <f>TRUE()</f>
        <v>1</v>
      </c>
      <c r="D241" s="10">
        <v>45886</v>
      </c>
      <c r="E241" s="10">
        <v>45870</v>
      </c>
      <c r="F241" s="9" t="s">
        <v>1360</v>
      </c>
      <c r="G241" s="11">
        <v>3504.43</v>
      </c>
      <c r="H241" s="11">
        <v>101.42</v>
      </c>
      <c r="I241" s="9" t="b">
        <f>TRUE()</f>
        <v>1</v>
      </c>
      <c r="J241" s="9" t="s">
        <v>1361</v>
      </c>
      <c r="K241" s="11">
        <v>101.42</v>
      </c>
      <c r="L241" s="9" t="s">
        <v>21</v>
      </c>
      <c r="M241" s="9" t="str">
        <f>IFERROR(INDEX(T_CleanCustomers[Sales_Rep_ID],MATCH(B241,T_CleanCustomers[Customer_ID],0)),"Unmatched")</f>
        <v>REP008</v>
      </c>
      <c r="N241" s="9" t="str">
        <f>IFERROR(INDEX(T_CleanCustomers[Channel],MATCH(B241,T_CleanCustomers[Customer_ID],0)),"Unmatched")</f>
        <v>Partner</v>
      </c>
      <c r="O241" s="9" t="str">
        <f>IFERROR(INDEX(T_CleanCustomers[Product],MATCH(B241,T_CleanCustomers[Customer_ID],0)),"Unmatched")</f>
        <v>Fleet Expense Card</v>
      </c>
      <c r="P241" s="9" t="str">
        <f>IFERROR(INDEX(T_CleanCustomers[Customer_Segment],MATCH(B241,T_CleanCustomers[Customer_ID],0)),"Unmatched")</f>
        <v>SME</v>
      </c>
    </row>
    <row r="242" spans="1:16" ht="15" customHeight="1" x14ac:dyDescent="0.2">
      <c r="A242" s="9" t="s">
        <v>1603</v>
      </c>
      <c r="B242" s="9" t="s">
        <v>1175</v>
      </c>
      <c r="C242" s="9" t="b">
        <f>TRUE()</f>
        <v>1</v>
      </c>
      <c r="D242" s="10">
        <v>45889</v>
      </c>
      <c r="E242" s="10">
        <v>45870</v>
      </c>
      <c r="F242" s="9" t="s">
        <v>1481</v>
      </c>
      <c r="G242" s="11">
        <v>1801.04</v>
      </c>
      <c r="H242" s="11">
        <v>52.2</v>
      </c>
      <c r="I242" s="9" t="b">
        <f>TRUE()</f>
        <v>1</v>
      </c>
      <c r="J242" s="9" t="s">
        <v>1361</v>
      </c>
      <c r="K242" s="11">
        <v>52.2</v>
      </c>
      <c r="L242" s="9" t="s">
        <v>21</v>
      </c>
      <c r="M242" s="9" t="str">
        <f>IFERROR(INDEX(T_CleanCustomers[Sales_Rep_ID],MATCH(B242,T_CleanCustomers[Customer_ID],0)),"Unmatched")</f>
        <v>REP008</v>
      </c>
      <c r="N242" s="9" t="str">
        <f>IFERROR(INDEX(T_CleanCustomers[Channel],MATCH(B242,T_CleanCustomers[Customer_ID],0)),"Unmatched")</f>
        <v>Partner</v>
      </c>
      <c r="O242" s="9" t="str">
        <f>IFERROR(INDEX(T_CleanCustomers[Product],MATCH(B242,T_CleanCustomers[Customer_ID],0)),"Unmatched")</f>
        <v>Fleet Expense Card</v>
      </c>
      <c r="P242" s="9" t="str">
        <f>IFERROR(INDEX(T_CleanCustomers[Customer_Segment],MATCH(B242,T_CleanCustomers[Customer_ID],0)),"Unmatched")</f>
        <v>SME</v>
      </c>
    </row>
    <row r="243" spans="1:16" ht="15" customHeight="1" x14ac:dyDescent="0.2">
      <c r="A243" s="9" t="s">
        <v>1604</v>
      </c>
      <c r="B243" s="9" t="s">
        <v>1175</v>
      </c>
      <c r="C243" s="9" t="b">
        <f>TRUE()</f>
        <v>1</v>
      </c>
      <c r="D243" s="10">
        <v>45924</v>
      </c>
      <c r="E243" s="10">
        <v>45901</v>
      </c>
      <c r="F243" s="9" t="s">
        <v>1360</v>
      </c>
      <c r="G243" s="11">
        <v>1438.1</v>
      </c>
      <c r="H243" s="11">
        <v>39.76</v>
      </c>
      <c r="I243" s="9" t="b">
        <f>TRUE()</f>
        <v>1</v>
      </c>
      <c r="J243" s="9" t="s">
        <v>1361</v>
      </c>
      <c r="K243" s="11">
        <v>39.76</v>
      </c>
      <c r="L243" s="9" t="s">
        <v>21</v>
      </c>
      <c r="M243" s="9" t="str">
        <f>IFERROR(INDEX(T_CleanCustomers[Sales_Rep_ID],MATCH(B243,T_CleanCustomers[Customer_ID],0)),"Unmatched")</f>
        <v>REP008</v>
      </c>
      <c r="N243" s="9" t="str">
        <f>IFERROR(INDEX(T_CleanCustomers[Channel],MATCH(B243,T_CleanCustomers[Customer_ID],0)),"Unmatched")</f>
        <v>Partner</v>
      </c>
      <c r="O243" s="9" t="str">
        <f>IFERROR(INDEX(T_CleanCustomers[Product],MATCH(B243,T_CleanCustomers[Customer_ID],0)),"Unmatched")</f>
        <v>Fleet Expense Card</v>
      </c>
      <c r="P243" s="9" t="str">
        <f>IFERROR(INDEX(T_CleanCustomers[Customer_Segment],MATCH(B243,T_CleanCustomers[Customer_ID],0)),"Unmatched")</f>
        <v>SME</v>
      </c>
    </row>
    <row r="244" spans="1:16" ht="15" customHeight="1" x14ac:dyDescent="0.2">
      <c r="A244" s="9" t="s">
        <v>1605</v>
      </c>
      <c r="B244" s="9" t="s">
        <v>1175</v>
      </c>
      <c r="C244" s="9" t="b">
        <f>TRUE()</f>
        <v>1</v>
      </c>
      <c r="D244" s="10">
        <v>45925</v>
      </c>
      <c r="E244" s="10">
        <v>45901</v>
      </c>
      <c r="F244" s="9" t="s">
        <v>1479</v>
      </c>
      <c r="G244" s="11">
        <v>4730.82</v>
      </c>
      <c r="H244" s="11">
        <v>116.97</v>
      </c>
      <c r="I244" s="9" t="b">
        <f>TRUE()</f>
        <v>1</v>
      </c>
      <c r="J244" s="9" t="s">
        <v>1361</v>
      </c>
      <c r="K244" s="11">
        <v>116.97</v>
      </c>
      <c r="L244" s="9" t="s">
        <v>21</v>
      </c>
      <c r="M244" s="9" t="str">
        <f>IFERROR(INDEX(T_CleanCustomers[Sales_Rep_ID],MATCH(B244,T_CleanCustomers[Customer_ID],0)),"Unmatched")</f>
        <v>REP008</v>
      </c>
      <c r="N244" s="9" t="str">
        <f>IFERROR(INDEX(T_CleanCustomers[Channel],MATCH(B244,T_CleanCustomers[Customer_ID],0)),"Unmatched")</f>
        <v>Partner</v>
      </c>
      <c r="O244" s="9" t="str">
        <f>IFERROR(INDEX(T_CleanCustomers[Product],MATCH(B244,T_CleanCustomers[Customer_ID],0)),"Unmatched")</f>
        <v>Fleet Expense Card</v>
      </c>
      <c r="P244" s="9" t="str">
        <f>IFERROR(INDEX(T_CleanCustomers[Customer_Segment],MATCH(B244,T_CleanCustomers[Customer_ID],0)),"Unmatched")</f>
        <v>SME</v>
      </c>
    </row>
    <row r="245" spans="1:16" ht="15" customHeight="1" x14ac:dyDescent="0.2">
      <c r="A245" s="9" t="s">
        <v>1606</v>
      </c>
      <c r="B245" s="9" t="s">
        <v>1175</v>
      </c>
      <c r="C245" s="9" t="b">
        <f>TRUE()</f>
        <v>1</v>
      </c>
      <c r="D245" s="10">
        <v>45958</v>
      </c>
      <c r="E245" s="10">
        <v>45931</v>
      </c>
      <c r="F245" s="9" t="s">
        <v>1479</v>
      </c>
      <c r="G245" s="11">
        <v>1689.38</v>
      </c>
      <c r="H245" s="11">
        <v>0</v>
      </c>
      <c r="I245" s="9" t="b">
        <f>TRUE()</f>
        <v>1</v>
      </c>
      <c r="J245" s="9" t="s">
        <v>1408</v>
      </c>
      <c r="K245" s="11">
        <v>0</v>
      </c>
      <c r="L245" s="9" t="s">
        <v>21</v>
      </c>
      <c r="M245" s="9" t="str">
        <f>IFERROR(INDEX(T_CleanCustomers[Sales_Rep_ID],MATCH(B245,T_CleanCustomers[Customer_ID],0)),"Unmatched")</f>
        <v>REP008</v>
      </c>
      <c r="N245" s="9" t="str">
        <f>IFERROR(INDEX(T_CleanCustomers[Channel],MATCH(B245,T_CleanCustomers[Customer_ID],0)),"Unmatched")</f>
        <v>Partner</v>
      </c>
      <c r="O245" s="9" t="str">
        <f>IFERROR(INDEX(T_CleanCustomers[Product],MATCH(B245,T_CleanCustomers[Customer_ID],0)),"Unmatched")</f>
        <v>Fleet Expense Card</v>
      </c>
      <c r="P245" s="9" t="str">
        <f>IFERROR(INDEX(T_CleanCustomers[Customer_Segment],MATCH(B245,T_CleanCustomers[Customer_ID],0)),"Unmatched")</f>
        <v>SME</v>
      </c>
    </row>
    <row r="246" spans="1:16" ht="15" customHeight="1" x14ac:dyDescent="0.2">
      <c r="A246" s="9" t="s">
        <v>1607</v>
      </c>
      <c r="B246" s="9" t="s">
        <v>1175</v>
      </c>
      <c r="C246" s="9" t="b">
        <f>TRUE()</f>
        <v>1</v>
      </c>
      <c r="D246" s="10">
        <v>45938</v>
      </c>
      <c r="E246" s="10">
        <v>45931</v>
      </c>
      <c r="F246" s="9" t="s">
        <v>1481</v>
      </c>
      <c r="G246" s="11">
        <v>4654.4799999999996</v>
      </c>
      <c r="H246" s="11">
        <v>136.62</v>
      </c>
      <c r="I246" s="9" t="b">
        <f>TRUE()</f>
        <v>1</v>
      </c>
      <c r="J246" s="9" t="s">
        <v>1361</v>
      </c>
      <c r="K246" s="11">
        <v>136.62</v>
      </c>
      <c r="L246" s="9" t="s">
        <v>21</v>
      </c>
      <c r="M246" s="9" t="str">
        <f>IFERROR(INDEX(T_CleanCustomers[Sales_Rep_ID],MATCH(B246,T_CleanCustomers[Customer_ID],0)),"Unmatched")</f>
        <v>REP008</v>
      </c>
      <c r="N246" s="9" t="str">
        <f>IFERROR(INDEX(T_CleanCustomers[Channel],MATCH(B246,T_CleanCustomers[Customer_ID],0)),"Unmatched")</f>
        <v>Partner</v>
      </c>
      <c r="O246" s="9" t="str">
        <f>IFERROR(INDEX(T_CleanCustomers[Product],MATCH(B246,T_CleanCustomers[Customer_ID],0)),"Unmatched")</f>
        <v>Fleet Expense Card</v>
      </c>
      <c r="P246" s="9" t="str">
        <f>IFERROR(INDEX(T_CleanCustomers[Customer_Segment],MATCH(B246,T_CleanCustomers[Customer_ID],0)),"Unmatched")</f>
        <v>SME</v>
      </c>
    </row>
    <row r="247" spans="1:16" ht="15" customHeight="1" x14ac:dyDescent="0.2">
      <c r="A247" s="9" t="s">
        <v>1608</v>
      </c>
      <c r="B247" s="9" t="s">
        <v>1175</v>
      </c>
      <c r="C247" s="9" t="b">
        <f>TRUE()</f>
        <v>1</v>
      </c>
      <c r="D247" s="10">
        <v>45953</v>
      </c>
      <c r="E247" s="10">
        <v>45931</v>
      </c>
      <c r="F247" s="9" t="s">
        <v>1360</v>
      </c>
      <c r="G247" s="11">
        <v>2738.34</v>
      </c>
      <c r="H247" s="11">
        <v>84.63</v>
      </c>
      <c r="I247" s="9" t="b">
        <f>TRUE()</f>
        <v>1</v>
      </c>
      <c r="J247" s="9" t="s">
        <v>1361</v>
      </c>
      <c r="K247" s="11">
        <v>84.63</v>
      </c>
      <c r="L247" s="9" t="s">
        <v>21</v>
      </c>
      <c r="M247" s="9" t="str">
        <f>IFERROR(INDEX(T_CleanCustomers[Sales_Rep_ID],MATCH(B247,T_CleanCustomers[Customer_ID],0)),"Unmatched")</f>
        <v>REP008</v>
      </c>
      <c r="N247" s="9" t="str">
        <f>IFERROR(INDEX(T_CleanCustomers[Channel],MATCH(B247,T_CleanCustomers[Customer_ID],0)),"Unmatched")</f>
        <v>Partner</v>
      </c>
      <c r="O247" s="9" t="str">
        <f>IFERROR(INDEX(T_CleanCustomers[Product],MATCH(B247,T_CleanCustomers[Customer_ID],0)),"Unmatched")</f>
        <v>Fleet Expense Card</v>
      </c>
      <c r="P247" s="9" t="str">
        <f>IFERROR(INDEX(T_CleanCustomers[Customer_Segment],MATCH(B247,T_CleanCustomers[Customer_ID],0)),"Unmatched")</f>
        <v>SME</v>
      </c>
    </row>
    <row r="248" spans="1:16" ht="15" customHeight="1" x14ac:dyDescent="0.2">
      <c r="A248" s="9" t="s">
        <v>1609</v>
      </c>
      <c r="B248" s="9" t="s">
        <v>1175</v>
      </c>
      <c r="C248" s="9" t="b">
        <f>TRUE()</f>
        <v>1</v>
      </c>
      <c r="D248" s="10">
        <v>45971</v>
      </c>
      <c r="E248" s="10">
        <v>45962</v>
      </c>
      <c r="F248" s="9" t="s">
        <v>1481</v>
      </c>
      <c r="G248" s="11">
        <v>3602.73</v>
      </c>
      <c r="H248" s="11">
        <v>93.84</v>
      </c>
      <c r="I248" s="9" t="b">
        <f>TRUE()</f>
        <v>1</v>
      </c>
      <c r="J248" s="9" t="s">
        <v>1361</v>
      </c>
      <c r="K248" s="11">
        <v>93.84</v>
      </c>
      <c r="L248" s="9" t="s">
        <v>21</v>
      </c>
      <c r="M248" s="9" t="str">
        <f>IFERROR(INDEX(T_CleanCustomers[Sales_Rep_ID],MATCH(B248,T_CleanCustomers[Customer_ID],0)),"Unmatched")</f>
        <v>REP008</v>
      </c>
      <c r="N248" s="9" t="str">
        <f>IFERROR(INDEX(T_CleanCustomers[Channel],MATCH(B248,T_CleanCustomers[Customer_ID],0)),"Unmatched")</f>
        <v>Partner</v>
      </c>
      <c r="O248" s="9" t="str">
        <f>IFERROR(INDEX(T_CleanCustomers[Product],MATCH(B248,T_CleanCustomers[Customer_ID],0)),"Unmatched")</f>
        <v>Fleet Expense Card</v>
      </c>
      <c r="P248" s="9" t="str">
        <f>IFERROR(INDEX(T_CleanCustomers[Customer_Segment],MATCH(B248,T_CleanCustomers[Customer_ID],0)),"Unmatched")</f>
        <v>SME</v>
      </c>
    </row>
    <row r="249" spans="1:16" ht="15" customHeight="1" x14ac:dyDescent="0.2">
      <c r="A249" s="9" t="s">
        <v>1610</v>
      </c>
      <c r="B249" s="9" t="s">
        <v>1175</v>
      </c>
      <c r="C249" s="9" t="b">
        <f>TRUE()</f>
        <v>1</v>
      </c>
      <c r="D249" s="10">
        <v>45964</v>
      </c>
      <c r="E249" s="10">
        <v>45962</v>
      </c>
      <c r="F249" s="9" t="s">
        <v>1481</v>
      </c>
      <c r="G249" s="11">
        <v>2533.9899999999998</v>
      </c>
      <c r="H249" s="11">
        <v>60.08</v>
      </c>
      <c r="I249" s="9" t="b">
        <f>TRUE()</f>
        <v>1</v>
      </c>
      <c r="J249" s="9" t="s">
        <v>1361</v>
      </c>
      <c r="K249" s="11">
        <v>60.08</v>
      </c>
      <c r="L249" s="9" t="s">
        <v>21</v>
      </c>
      <c r="M249" s="9" t="str">
        <f>IFERROR(INDEX(T_CleanCustomers[Sales_Rep_ID],MATCH(B249,T_CleanCustomers[Customer_ID],0)),"Unmatched")</f>
        <v>REP008</v>
      </c>
      <c r="N249" s="9" t="str">
        <f>IFERROR(INDEX(T_CleanCustomers[Channel],MATCH(B249,T_CleanCustomers[Customer_ID],0)),"Unmatched")</f>
        <v>Partner</v>
      </c>
      <c r="O249" s="9" t="str">
        <f>IFERROR(INDEX(T_CleanCustomers[Product],MATCH(B249,T_CleanCustomers[Customer_ID],0)),"Unmatched")</f>
        <v>Fleet Expense Card</v>
      </c>
      <c r="P249" s="9" t="str">
        <f>IFERROR(INDEX(T_CleanCustomers[Customer_Segment],MATCH(B249,T_CleanCustomers[Customer_ID],0)),"Unmatched")</f>
        <v>SME</v>
      </c>
    </row>
    <row r="250" spans="1:16" ht="15" customHeight="1" x14ac:dyDescent="0.2">
      <c r="A250" s="9" t="s">
        <v>1611</v>
      </c>
      <c r="B250" s="9" t="s">
        <v>1175</v>
      </c>
      <c r="C250" s="9" t="b">
        <f>TRUE()</f>
        <v>1</v>
      </c>
      <c r="D250" s="10">
        <v>45988</v>
      </c>
      <c r="E250" s="10">
        <v>45962</v>
      </c>
      <c r="F250" s="9" t="s">
        <v>1479</v>
      </c>
      <c r="G250" s="11">
        <v>4185.87</v>
      </c>
      <c r="H250" s="11">
        <v>98.03</v>
      </c>
      <c r="I250" s="9" t="b">
        <f>TRUE()</f>
        <v>1</v>
      </c>
      <c r="J250" s="9" t="s">
        <v>1361</v>
      </c>
      <c r="K250" s="11">
        <v>98.03</v>
      </c>
      <c r="L250" s="9" t="s">
        <v>21</v>
      </c>
      <c r="M250" s="9" t="str">
        <f>IFERROR(INDEX(T_CleanCustomers[Sales_Rep_ID],MATCH(B250,T_CleanCustomers[Customer_ID],0)),"Unmatched")</f>
        <v>REP008</v>
      </c>
      <c r="N250" s="9" t="str">
        <f>IFERROR(INDEX(T_CleanCustomers[Channel],MATCH(B250,T_CleanCustomers[Customer_ID],0)),"Unmatched")</f>
        <v>Partner</v>
      </c>
      <c r="O250" s="9" t="str">
        <f>IFERROR(INDEX(T_CleanCustomers[Product],MATCH(B250,T_CleanCustomers[Customer_ID],0)),"Unmatched")</f>
        <v>Fleet Expense Card</v>
      </c>
      <c r="P250" s="9" t="str">
        <f>IFERROR(INDEX(T_CleanCustomers[Customer_Segment],MATCH(B250,T_CleanCustomers[Customer_ID],0)),"Unmatched")</f>
        <v>SME</v>
      </c>
    </row>
    <row r="251" spans="1:16" ht="15" customHeight="1" x14ac:dyDescent="0.2">
      <c r="A251" s="9" t="s">
        <v>1612</v>
      </c>
      <c r="B251" s="9" t="s">
        <v>1175</v>
      </c>
      <c r="C251" s="9" t="b">
        <f>TRUE()</f>
        <v>1</v>
      </c>
      <c r="D251" s="10">
        <v>45999</v>
      </c>
      <c r="E251" s="10">
        <v>45992</v>
      </c>
      <c r="F251" s="9" t="s">
        <v>1479</v>
      </c>
      <c r="G251" s="11">
        <v>2518.9899999999998</v>
      </c>
      <c r="H251" s="11">
        <v>59.57</v>
      </c>
      <c r="I251" s="9" t="b">
        <f>TRUE()</f>
        <v>1</v>
      </c>
      <c r="J251" s="9" t="s">
        <v>1361</v>
      </c>
      <c r="K251" s="11">
        <v>59.57</v>
      </c>
      <c r="L251" s="9" t="s">
        <v>21</v>
      </c>
      <c r="M251" s="9" t="str">
        <f>IFERROR(INDEX(T_CleanCustomers[Sales_Rep_ID],MATCH(B251,T_CleanCustomers[Customer_ID],0)),"Unmatched")</f>
        <v>REP008</v>
      </c>
      <c r="N251" s="9" t="str">
        <f>IFERROR(INDEX(T_CleanCustomers[Channel],MATCH(B251,T_CleanCustomers[Customer_ID],0)),"Unmatched")</f>
        <v>Partner</v>
      </c>
      <c r="O251" s="9" t="str">
        <f>IFERROR(INDEX(T_CleanCustomers[Product],MATCH(B251,T_CleanCustomers[Customer_ID],0)),"Unmatched")</f>
        <v>Fleet Expense Card</v>
      </c>
      <c r="P251" s="9" t="str">
        <f>IFERROR(INDEX(T_CleanCustomers[Customer_Segment],MATCH(B251,T_CleanCustomers[Customer_ID],0)),"Unmatched")</f>
        <v>SME</v>
      </c>
    </row>
    <row r="252" spans="1:16" ht="15" customHeight="1" x14ac:dyDescent="0.2">
      <c r="A252" s="9" t="s">
        <v>1613</v>
      </c>
      <c r="B252" s="9" t="s">
        <v>1177</v>
      </c>
      <c r="C252" s="9" t="b">
        <f>TRUE()</f>
        <v>1</v>
      </c>
      <c r="D252" s="10">
        <v>45926</v>
      </c>
      <c r="E252" s="10">
        <v>45901</v>
      </c>
      <c r="F252" s="9" t="s">
        <v>1360</v>
      </c>
      <c r="G252" s="11">
        <v>6798.24</v>
      </c>
      <c r="H252" s="11">
        <v>159.36000000000001</v>
      </c>
      <c r="I252" s="9" t="b">
        <f>TRUE()</f>
        <v>1</v>
      </c>
      <c r="J252" s="9" t="s">
        <v>1361</v>
      </c>
      <c r="K252" s="11">
        <v>159.36000000000001</v>
      </c>
      <c r="L252" s="9" t="s">
        <v>19</v>
      </c>
      <c r="M252" s="9" t="str">
        <f>IFERROR(INDEX(T_CleanCustomers[Sales_Rep_ID],MATCH(B252,T_CleanCustomers[Customer_ID],0)),"Unmatched")</f>
        <v>REP015</v>
      </c>
      <c r="N252" s="9" t="str">
        <f>IFERROR(INDEX(T_CleanCustomers[Channel],MATCH(B252,T_CleanCustomers[Customer_ID],0)),"Unmatched")</f>
        <v>Direct Sales</v>
      </c>
      <c r="O252" s="9" t="str">
        <f>IFERROR(INDEX(T_CleanCustomers[Product],MATCH(B252,T_CleanCustomers[Customer_ID],0)),"Unmatched")</f>
        <v>Fuel Card</v>
      </c>
      <c r="P252" s="9" t="str">
        <f>IFERROR(INDEX(T_CleanCustomers[Customer_Segment],MATCH(B252,T_CleanCustomers[Customer_ID],0)),"Unmatched")</f>
        <v>Mid-Market</v>
      </c>
    </row>
    <row r="253" spans="1:16" ht="15" customHeight="1" x14ac:dyDescent="0.2">
      <c r="A253" s="9" t="s">
        <v>1614</v>
      </c>
      <c r="B253" s="9" t="s">
        <v>1177</v>
      </c>
      <c r="C253" s="9" t="b">
        <f>TRUE()</f>
        <v>1</v>
      </c>
      <c r="D253" s="10">
        <v>45952</v>
      </c>
      <c r="E253" s="10">
        <v>45931</v>
      </c>
      <c r="F253" s="9" t="s">
        <v>1360</v>
      </c>
      <c r="G253" s="11">
        <v>7157.48</v>
      </c>
      <c r="H253" s="11">
        <v>203.45</v>
      </c>
      <c r="I253" s="9" t="b">
        <f>TRUE()</f>
        <v>1</v>
      </c>
      <c r="J253" s="9" t="s">
        <v>1361</v>
      </c>
      <c r="K253" s="11">
        <v>203.45</v>
      </c>
      <c r="L253" s="9" t="s">
        <v>19</v>
      </c>
      <c r="M253" s="9" t="str">
        <f>IFERROR(INDEX(T_CleanCustomers[Sales_Rep_ID],MATCH(B253,T_CleanCustomers[Customer_ID],0)),"Unmatched")</f>
        <v>REP015</v>
      </c>
      <c r="N253" s="9" t="str">
        <f>IFERROR(INDEX(T_CleanCustomers[Channel],MATCH(B253,T_CleanCustomers[Customer_ID],0)),"Unmatched")</f>
        <v>Direct Sales</v>
      </c>
      <c r="O253" s="9" t="str">
        <f>IFERROR(INDEX(T_CleanCustomers[Product],MATCH(B253,T_CleanCustomers[Customer_ID],0)),"Unmatched")</f>
        <v>Fuel Card</v>
      </c>
      <c r="P253" s="9" t="str">
        <f>IFERROR(INDEX(T_CleanCustomers[Customer_Segment],MATCH(B253,T_CleanCustomers[Customer_ID],0)),"Unmatched")</f>
        <v>Mid-Market</v>
      </c>
    </row>
    <row r="254" spans="1:16" ht="15" customHeight="1" x14ac:dyDescent="0.2">
      <c r="A254" s="9" t="s">
        <v>1615</v>
      </c>
      <c r="B254" s="9" t="s">
        <v>1177</v>
      </c>
      <c r="C254" s="9" t="b">
        <f>TRUE()</f>
        <v>1</v>
      </c>
      <c r="D254" s="10">
        <v>45960</v>
      </c>
      <c r="E254" s="10">
        <v>45931</v>
      </c>
      <c r="F254" s="9" t="s">
        <v>1360</v>
      </c>
      <c r="G254" s="11">
        <v>5672.69</v>
      </c>
      <c r="H254" s="11">
        <v>142.32</v>
      </c>
      <c r="I254" s="9" t="b">
        <f>TRUE()</f>
        <v>1</v>
      </c>
      <c r="J254" s="9" t="s">
        <v>1361</v>
      </c>
      <c r="K254" s="11">
        <v>142.32</v>
      </c>
      <c r="L254" s="9" t="s">
        <v>19</v>
      </c>
      <c r="M254" s="9" t="str">
        <f>IFERROR(INDEX(T_CleanCustomers[Sales_Rep_ID],MATCH(B254,T_CleanCustomers[Customer_ID],0)),"Unmatched")</f>
        <v>REP015</v>
      </c>
      <c r="N254" s="9" t="str">
        <f>IFERROR(INDEX(T_CleanCustomers[Channel],MATCH(B254,T_CleanCustomers[Customer_ID],0)),"Unmatched")</f>
        <v>Direct Sales</v>
      </c>
      <c r="O254" s="9" t="str">
        <f>IFERROR(INDEX(T_CleanCustomers[Product],MATCH(B254,T_CleanCustomers[Customer_ID],0)),"Unmatched")</f>
        <v>Fuel Card</v>
      </c>
      <c r="P254" s="9" t="str">
        <f>IFERROR(INDEX(T_CleanCustomers[Customer_Segment],MATCH(B254,T_CleanCustomers[Customer_ID],0)),"Unmatched")</f>
        <v>Mid-Market</v>
      </c>
    </row>
    <row r="255" spans="1:16" ht="15" customHeight="1" x14ac:dyDescent="0.2">
      <c r="A255" s="9" t="s">
        <v>1616</v>
      </c>
      <c r="B255" s="9" t="s">
        <v>1177</v>
      </c>
      <c r="C255" s="9" t="b">
        <f>TRUE()</f>
        <v>1</v>
      </c>
      <c r="D255" s="10">
        <v>45982</v>
      </c>
      <c r="E255" s="10">
        <v>45962</v>
      </c>
      <c r="F255" s="9" t="s">
        <v>1360</v>
      </c>
      <c r="G255" s="11">
        <v>4522.34</v>
      </c>
      <c r="H255" s="11">
        <v>97.52</v>
      </c>
      <c r="I255" s="9" t="b">
        <f>TRUE()</f>
        <v>1</v>
      </c>
      <c r="J255" s="9" t="s">
        <v>1361</v>
      </c>
      <c r="K255" s="11">
        <v>97.52</v>
      </c>
      <c r="L255" s="9" t="s">
        <v>19</v>
      </c>
      <c r="M255" s="9" t="str">
        <f>IFERROR(INDEX(T_CleanCustomers[Sales_Rep_ID],MATCH(B255,T_CleanCustomers[Customer_ID],0)),"Unmatched")</f>
        <v>REP015</v>
      </c>
      <c r="N255" s="9" t="str">
        <f>IFERROR(INDEX(T_CleanCustomers[Channel],MATCH(B255,T_CleanCustomers[Customer_ID],0)),"Unmatched")</f>
        <v>Direct Sales</v>
      </c>
      <c r="O255" s="9" t="str">
        <f>IFERROR(INDEX(T_CleanCustomers[Product],MATCH(B255,T_CleanCustomers[Customer_ID],0)),"Unmatched")</f>
        <v>Fuel Card</v>
      </c>
      <c r="P255" s="9" t="str">
        <f>IFERROR(INDEX(T_CleanCustomers[Customer_Segment],MATCH(B255,T_CleanCustomers[Customer_ID],0)),"Unmatched")</f>
        <v>Mid-Market</v>
      </c>
    </row>
    <row r="256" spans="1:16" ht="15" customHeight="1" x14ac:dyDescent="0.2">
      <c r="A256" s="9" t="s">
        <v>1617</v>
      </c>
      <c r="B256" s="9" t="s">
        <v>1177</v>
      </c>
      <c r="C256" s="9" t="b">
        <f>TRUE()</f>
        <v>1</v>
      </c>
      <c r="D256" s="10">
        <v>45963</v>
      </c>
      <c r="E256" s="10">
        <v>45962</v>
      </c>
      <c r="F256" s="9" t="s">
        <v>1360</v>
      </c>
      <c r="G256" s="11">
        <v>8413.09</v>
      </c>
      <c r="H256" s="11">
        <v>229</v>
      </c>
      <c r="I256" s="9" t="b">
        <f>TRUE()</f>
        <v>1</v>
      </c>
      <c r="J256" s="9" t="s">
        <v>1361</v>
      </c>
      <c r="K256" s="11">
        <v>229</v>
      </c>
      <c r="L256" s="9" t="s">
        <v>19</v>
      </c>
      <c r="M256" s="9" t="str">
        <f>IFERROR(INDEX(T_CleanCustomers[Sales_Rep_ID],MATCH(B256,T_CleanCustomers[Customer_ID],0)),"Unmatched")</f>
        <v>REP015</v>
      </c>
      <c r="N256" s="9" t="str">
        <f>IFERROR(INDEX(T_CleanCustomers[Channel],MATCH(B256,T_CleanCustomers[Customer_ID],0)),"Unmatched")</f>
        <v>Direct Sales</v>
      </c>
      <c r="O256" s="9" t="str">
        <f>IFERROR(INDEX(T_CleanCustomers[Product],MATCH(B256,T_CleanCustomers[Customer_ID],0)),"Unmatched")</f>
        <v>Fuel Card</v>
      </c>
      <c r="P256" s="9" t="str">
        <f>IFERROR(INDEX(T_CleanCustomers[Customer_Segment],MATCH(B256,T_CleanCustomers[Customer_ID],0)),"Unmatched")</f>
        <v>Mid-Market</v>
      </c>
    </row>
    <row r="257" spans="1:16" ht="15" customHeight="1" x14ac:dyDescent="0.2">
      <c r="A257" s="9" t="s">
        <v>1618</v>
      </c>
      <c r="B257" s="9" t="s">
        <v>1177</v>
      </c>
      <c r="C257" s="9" t="b">
        <f>TRUE()</f>
        <v>1</v>
      </c>
      <c r="D257" s="10">
        <v>46019</v>
      </c>
      <c r="E257" s="10">
        <v>45992</v>
      </c>
      <c r="F257" s="9" t="s">
        <v>1360</v>
      </c>
      <c r="G257" s="11">
        <v>10899.48</v>
      </c>
      <c r="H257" s="11">
        <v>270.31</v>
      </c>
      <c r="I257" s="9" t="b">
        <f>TRUE()</f>
        <v>1</v>
      </c>
      <c r="J257" s="9" t="s">
        <v>1361</v>
      </c>
      <c r="K257" s="11">
        <v>270.31</v>
      </c>
      <c r="L257" s="9" t="s">
        <v>19</v>
      </c>
      <c r="M257" s="9" t="str">
        <f>IFERROR(INDEX(T_CleanCustomers[Sales_Rep_ID],MATCH(B257,T_CleanCustomers[Customer_ID],0)),"Unmatched")</f>
        <v>REP015</v>
      </c>
      <c r="N257" s="9" t="str">
        <f>IFERROR(INDEX(T_CleanCustomers[Channel],MATCH(B257,T_CleanCustomers[Customer_ID],0)),"Unmatched")</f>
        <v>Direct Sales</v>
      </c>
      <c r="O257" s="9" t="str">
        <f>IFERROR(INDEX(T_CleanCustomers[Product],MATCH(B257,T_CleanCustomers[Customer_ID],0)),"Unmatched")</f>
        <v>Fuel Card</v>
      </c>
      <c r="P257" s="9" t="str">
        <f>IFERROR(INDEX(T_CleanCustomers[Customer_Segment],MATCH(B257,T_CleanCustomers[Customer_ID],0)),"Unmatched")</f>
        <v>Mid-Market</v>
      </c>
    </row>
    <row r="258" spans="1:16" ht="15" customHeight="1" x14ac:dyDescent="0.2">
      <c r="A258" s="9" t="s">
        <v>1619</v>
      </c>
      <c r="B258" s="9" t="s">
        <v>1177</v>
      </c>
      <c r="C258" s="9" t="b">
        <f>TRUE()</f>
        <v>1</v>
      </c>
      <c r="D258" s="10">
        <v>46016</v>
      </c>
      <c r="E258" s="10">
        <v>45992</v>
      </c>
      <c r="F258" s="9" t="s">
        <v>1360</v>
      </c>
      <c r="G258" s="11">
        <v>11524.71</v>
      </c>
      <c r="H258" s="11">
        <v>248.41</v>
      </c>
      <c r="I258" s="9" t="b">
        <f>TRUE()</f>
        <v>1</v>
      </c>
      <c r="J258" s="9" t="s">
        <v>1361</v>
      </c>
      <c r="K258" s="11">
        <v>248.41</v>
      </c>
      <c r="L258" s="9" t="s">
        <v>19</v>
      </c>
      <c r="M258" s="9" t="str">
        <f>IFERROR(INDEX(T_CleanCustomers[Sales_Rep_ID],MATCH(B258,T_CleanCustomers[Customer_ID],0)),"Unmatched")</f>
        <v>REP015</v>
      </c>
      <c r="N258" s="9" t="str">
        <f>IFERROR(INDEX(T_CleanCustomers[Channel],MATCH(B258,T_CleanCustomers[Customer_ID],0)),"Unmatched")</f>
        <v>Direct Sales</v>
      </c>
      <c r="O258" s="9" t="str">
        <f>IFERROR(INDEX(T_CleanCustomers[Product],MATCH(B258,T_CleanCustomers[Customer_ID],0)),"Unmatched")</f>
        <v>Fuel Card</v>
      </c>
      <c r="P258" s="9" t="str">
        <f>IFERROR(INDEX(T_CleanCustomers[Customer_Segment],MATCH(B258,T_CleanCustomers[Customer_ID],0)),"Unmatched")</f>
        <v>Mid-Market</v>
      </c>
    </row>
    <row r="259" spans="1:16" ht="15" customHeight="1" x14ac:dyDescent="0.2">
      <c r="A259" s="9" t="s">
        <v>1620</v>
      </c>
      <c r="B259" s="9" t="s">
        <v>1177</v>
      </c>
      <c r="C259" s="9" t="b">
        <f>TRUE()</f>
        <v>1</v>
      </c>
      <c r="D259" s="10">
        <v>46005</v>
      </c>
      <c r="E259" s="10">
        <v>45992</v>
      </c>
      <c r="F259" s="9" t="s">
        <v>1360</v>
      </c>
      <c r="G259" s="11">
        <v>10771.26</v>
      </c>
      <c r="H259" s="11">
        <v>232.79</v>
      </c>
      <c r="I259" s="9" t="b">
        <f>TRUE()</f>
        <v>1</v>
      </c>
      <c r="J259" s="9" t="s">
        <v>1361</v>
      </c>
      <c r="K259" s="11">
        <v>232.79</v>
      </c>
      <c r="L259" s="9" t="s">
        <v>19</v>
      </c>
      <c r="M259" s="9" t="str">
        <f>IFERROR(INDEX(T_CleanCustomers[Sales_Rep_ID],MATCH(B259,T_CleanCustomers[Customer_ID],0)),"Unmatched")</f>
        <v>REP015</v>
      </c>
      <c r="N259" s="9" t="str">
        <f>IFERROR(INDEX(T_CleanCustomers[Channel],MATCH(B259,T_CleanCustomers[Customer_ID],0)),"Unmatched")</f>
        <v>Direct Sales</v>
      </c>
      <c r="O259" s="9" t="str">
        <f>IFERROR(INDEX(T_CleanCustomers[Product],MATCH(B259,T_CleanCustomers[Customer_ID],0)),"Unmatched")</f>
        <v>Fuel Card</v>
      </c>
      <c r="P259" s="9" t="str">
        <f>IFERROR(INDEX(T_CleanCustomers[Customer_Segment],MATCH(B259,T_CleanCustomers[Customer_ID],0)),"Unmatched")</f>
        <v>Mid-Market</v>
      </c>
    </row>
    <row r="260" spans="1:16" ht="15" customHeight="1" x14ac:dyDescent="0.2">
      <c r="A260" s="9" t="s">
        <v>1621</v>
      </c>
      <c r="B260" s="9" t="s">
        <v>1178</v>
      </c>
      <c r="C260" s="9" t="b">
        <f>TRUE()</f>
        <v>1</v>
      </c>
      <c r="D260" s="10">
        <v>45930</v>
      </c>
      <c r="E260" s="10">
        <v>45901</v>
      </c>
      <c r="F260" s="9" t="s">
        <v>1360</v>
      </c>
      <c r="G260" s="11">
        <v>15821.53</v>
      </c>
      <c r="H260" s="11">
        <v>412.46</v>
      </c>
      <c r="I260" s="9" t="b">
        <f>TRUE()</f>
        <v>1</v>
      </c>
      <c r="J260" s="9" t="s">
        <v>1361</v>
      </c>
      <c r="K260" s="11">
        <v>412.46</v>
      </c>
      <c r="L260" s="9" t="s">
        <v>19</v>
      </c>
      <c r="M260" s="9" t="str">
        <f>IFERROR(INDEX(T_CleanCustomers[Sales_Rep_ID],MATCH(B260,T_CleanCustomers[Customer_ID],0)),"Unmatched")</f>
        <v>REP015</v>
      </c>
      <c r="N260" s="9" t="str">
        <f>IFERROR(INDEX(T_CleanCustomers[Channel],MATCH(B260,T_CleanCustomers[Customer_ID],0)),"Unmatched")</f>
        <v>Direct Sales</v>
      </c>
      <c r="O260" s="9" t="str">
        <f>IFERROR(INDEX(T_CleanCustomers[Product],MATCH(B260,T_CleanCustomers[Customer_ID],0)),"Unmatched")</f>
        <v>Fuel Card</v>
      </c>
      <c r="P260" s="9" t="str">
        <f>IFERROR(INDEX(T_CleanCustomers[Customer_Segment],MATCH(B260,T_CleanCustomers[Customer_ID],0)),"Unmatched")</f>
        <v>Mid-Market</v>
      </c>
    </row>
    <row r="261" spans="1:16" ht="15" customHeight="1" x14ac:dyDescent="0.2">
      <c r="A261" s="9" t="s">
        <v>1622</v>
      </c>
      <c r="B261" s="9" t="s">
        <v>1178</v>
      </c>
      <c r="C261" s="9" t="b">
        <f>TRUE()</f>
        <v>1</v>
      </c>
      <c r="D261" s="10">
        <v>45924</v>
      </c>
      <c r="E261" s="10">
        <v>45901</v>
      </c>
      <c r="F261" s="9" t="s">
        <v>1360</v>
      </c>
      <c r="G261" s="11">
        <v>13461.97</v>
      </c>
      <c r="H261" s="11">
        <v>380.92</v>
      </c>
      <c r="I261" s="9" t="b">
        <f>TRUE()</f>
        <v>1</v>
      </c>
      <c r="J261" s="9" t="s">
        <v>1361</v>
      </c>
      <c r="K261" s="11">
        <v>380.92</v>
      </c>
      <c r="L261" s="9" t="s">
        <v>19</v>
      </c>
      <c r="M261" s="9" t="str">
        <f>IFERROR(INDEX(T_CleanCustomers[Sales_Rep_ID],MATCH(B261,T_CleanCustomers[Customer_ID],0)),"Unmatched")</f>
        <v>REP015</v>
      </c>
      <c r="N261" s="9" t="str">
        <f>IFERROR(INDEX(T_CleanCustomers[Channel],MATCH(B261,T_CleanCustomers[Customer_ID],0)),"Unmatched")</f>
        <v>Direct Sales</v>
      </c>
      <c r="O261" s="9" t="str">
        <f>IFERROR(INDEX(T_CleanCustomers[Product],MATCH(B261,T_CleanCustomers[Customer_ID],0)),"Unmatched")</f>
        <v>Fuel Card</v>
      </c>
      <c r="P261" s="9" t="str">
        <f>IFERROR(INDEX(T_CleanCustomers[Customer_Segment],MATCH(B261,T_CleanCustomers[Customer_ID],0)),"Unmatched")</f>
        <v>Mid-Market</v>
      </c>
    </row>
    <row r="262" spans="1:16" ht="15" customHeight="1" x14ac:dyDescent="0.2">
      <c r="A262" s="9" t="s">
        <v>1623</v>
      </c>
      <c r="B262" s="9" t="s">
        <v>1178</v>
      </c>
      <c r="C262" s="9" t="b">
        <f>TRUE()</f>
        <v>1</v>
      </c>
      <c r="D262" s="10">
        <v>45925</v>
      </c>
      <c r="E262" s="10">
        <v>45901</v>
      </c>
      <c r="F262" s="9" t="s">
        <v>1360</v>
      </c>
      <c r="G262" s="11">
        <v>6439.38</v>
      </c>
      <c r="H262" s="11">
        <v>182.33</v>
      </c>
      <c r="I262" s="9" t="b">
        <f>TRUE()</f>
        <v>1</v>
      </c>
      <c r="J262" s="9" t="s">
        <v>1361</v>
      </c>
      <c r="K262" s="11">
        <v>182.33</v>
      </c>
      <c r="L262" s="9" t="s">
        <v>19</v>
      </c>
      <c r="M262" s="9" t="str">
        <f>IFERROR(INDEX(T_CleanCustomers[Sales_Rep_ID],MATCH(B262,T_CleanCustomers[Customer_ID],0)),"Unmatched")</f>
        <v>REP015</v>
      </c>
      <c r="N262" s="9" t="str">
        <f>IFERROR(INDEX(T_CleanCustomers[Channel],MATCH(B262,T_CleanCustomers[Customer_ID],0)),"Unmatched")</f>
        <v>Direct Sales</v>
      </c>
      <c r="O262" s="9" t="str">
        <f>IFERROR(INDEX(T_CleanCustomers[Product],MATCH(B262,T_CleanCustomers[Customer_ID],0)),"Unmatched")</f>
        <v>Fuel Card</v>
      </c>
      <c r="P262" s="9" t="str">
        <f>IFERROR(INDEX(T_CleanCustomers[Customer_Segment],MATCH(B262,T_CleanCustomers[Customer_ID],0)),"Unmatched")</f>
        <v>Mid-Market</v>
      </c>
    </row>
    <row r="263" spans="1:16" ht="15" customHeight="1" x14ac:dyDescent="0.2">
      <c r="A263" s="9" t="s">
        <v>1624</v>
      </c>
      <c r="B263" s="9" t="s">
        <v>1178</v>
      </c>
      <c r="C263" s="9" t="b">
        <f>TRUE()</f>
        <v>1</v>
      </c>
      <c r="D263" s="10">
        <v>45951</v>
      </c>
      <c r="E263" s="10">
        <v>45931</v>
      </c>
      <c r="F263" s="9" t="s">
        <v>1360</v>
      </c>
      <c r="G263" s="11">
        <v>9850.75</v>
      </c>
      <c r="H263" s="11">
        <v>262.73</v>
      </c>
      <c r="I263" s="9" t="b">
        <f>TRUE()</f>
        <v>1</v>
      </c>
      <c r="J263" s="9" t="s">
        <v>1361</v>
      </c>
      <c r="K263" s="11">
        <v>262.73</v>
      </c>
      <c r="L263" s="9" t="s">
        <v>19</v>
      </c>
      <c r="M263" s="9" t="str">
        <f>IFERROR(INDEX(T_CleanCustomers[Sales_Rep_ID],MATCH(B263,T_CleanCustomers[Customer_ID],0)),"Unmatched")</f>
        <v>REP015</v>
      </c>
      <c r="N263" s="9" t="str">
        <f>IFERROR(INDEX(T_CleanCustomers[Channel],MATCH(B263,T_CleanCustomers[Customer_ID],0)),"Unmatched")</f>
        <v>Direct Sales</v>
      </c>
      <c r="O263" s="9" t="str">
        <f>IFERROR(INDEX(T_CleanCustomers[Product],MATCH(B263,T_CleanCustomers[Customer_ID],0)),"Unmatched")</f>
        <v>Fuel Card</v>
      </c>
      <c r="P263" s="9" t="str">
        <f>IFERROR(INDEX(T_CleanCustomers[Customer_Segment],MATCH(B263,T_CleanCustomers[Customer_ID],0)),"Unmatched")</f>
        <v>Mid-Market</v>
      </c>
    </row>
    <row r="264" spans="1:16" ht="15" customHeight="1" x14ac:dyDescent="0.2">
      <c r="A264" s="9" t="s">
        <v>1625</v>
      </c>
      <c r="B264" s="9" t="s">
        <v>1178</v>
      </c>
      <c r="C264" s="9" t="b">
        <f>TRUE()</f>
        <v>1</v>
      </c>
      <c r="D264" s="10">
        <v>45934</v>
      </c>
      <c r="E264" s="10">
        <v>45931</v>
      </c>
      <c r="F264" s="9" t="s">
        <v>1360</v>
      </c>
      <c r="G264" s="11">
        <v>6578.99</v>
      </c>
      <c r="H264" s="11">
        <v>149.93</v>
      </c>
      <c r="I264" s="9" t="b">
        <f>TRUE()</f>
        <v>1</v>
      </c>
      <c r="J264" s="9" t="s">
        <v>1361</v>
      </c>
      <c r="K264" s="11">
        <v>149.93</v>
      </c>
      <c r="L264" s="9" t="s">
        <v>19</v>
      </c>
      <c r="M264" s="9" t="str">
        <f>IFERROR(INDEX(T_CleanCustomers[Sales_Rep_ID],MATCH(B264,T_CleanCustomers[Customer_ID],0)),"Unmatched")</f>
        <v>REP015</v>
      </c>
      <c r="N264" s="9" t="str">
        <f>IFERROR(INDEX(T_CleanCustomers[Channel],MATCH(B264,T_CleanCustomers[Customer_ID],0)),"Unmatched")</f>
        <v>Direct Sales</v>
      </c>
      <c r="O264" s="9" t="str">
        <f>IFERROR(INDEX(T_CleanCustomers[Product],MATCH(B264,T_CleanCustomers[Customer_ID],0)),"Unmatched")</f>
        <v>Fuel Card</v>
      </c>
      <c r="P264" s="9" t="str">
        <f>IFERROR(INDEX(T_CleanCustomers[Customer_Segment],MATCH(B264,T_CleanCustomers[Customer_ID],0)),"Unmatched")</f>
        <v>Mid-Market</v>
      </c>
    </row>
    <row r="265" spans="1:16" ht="15" customHeight="1" x14ac:dyDescent="0.2">
      <c r="A265" s="9" t="s">
        <v>1626</v>
      </c>
      <c r="B265" s="9" t="s">
        <v>1178</v>
      </c>
      <c r="C265" s="9" t="b">
        <f>TRUE()</f>
        <v>1</v>
      </c>
      <c r="D265" s="10">
        <v>45988</v>
      </c>
      <c r="E265" s="10">
        <v>45962</v>
      </c>
      <c r="F265" s="9" t="s">
        <v>1360</v>
      </c>
      <c r="G265" s="11">
        <v>13212.58</v>
      </c>
      <c r="H265" s="11">
        <v>330.89</v>
      </c>
      <c r="I265" s="9" t="b">
        <f>TRUE()</f>
        <v>1</v>
      </c>
      <c r="J265" s="9" t="s">
        <v>1361</v>
      </c>
      <c r="K265" s="11">
        <v>330.89</v>
      </c>
      <c r="L265" s="9" t="s">
        <v>19</v>
      </c>
      <c r="M265" s="9" t="str">
        <f>IFERROR(INDEX(T_CleanCustomers[Sales_Rep_ID],MATCH(B265,T_CleanCustomers[Customer_ID],0)),"Unmatched")</f>
        <v>REP015</v>
      </c>
      <c r="N265" s="9" t="str">
        <f>IFERROR(INDEX(T_CleanCustomers[Channel],MATCH(B265,T_CleanCustomers[Customer_ID],0)),"Unmatched")</f>
        <v>Direct Sales</v>
      </c>
      <c r="O265" s="9" t="str">
        <f>IFERROR(INDEX(T_CleanCustomers[Product],MATCH(B265,T_CleanCustomers[Customer_ID],0)),"Unmatched")</f>
        <v>Fuel Card</v>
      </c>
      <c r="P265" s="9" t="str">
        <f>IFERROR(INDEX(T_CleanCustomers[Customer_Segment],MATCH(B265,T_CleanCustomers[Customer_ID],0)),"Unmatched")</f>
        <v>Mid-Market</v>
      </c>
    </row>
    <row r="266" spans="1:16" ht="15" customHeight="1" x14ac:dyDescent="0.2">
      <c r="A266" s="9" t="s">
        <v>1627</v>
      </c>
      <c r="B266" s="9" t="s">
        <v>1178</v>
      </c>
      <c r="C266" s="9" t="b">
        <f>TRUE()</f>
        <v>1</v>
      </c>
      <c r="D266" s="10">
        <v>45974</v>
      </c>
      <c r="E266" s="10">
        <v>45962</v>
      </c>
      <c r="F266" s="9" t="s">
        <v>1360</v>
      </c>
      <c r="G266" s="11">
        <v>10854.22</v>
      </c>
      <c r="H266" s="11">
        <v>250.98</v>
      </c>
      <c r="I266" s="9" t="b">
        <f>TRUE()</f>
        <v>1</v>
      </c>
      <c r="J266" s="9" t="s">
        <v>1361</v>
      </c>
      <c r="K266" s="11">
        <v>250.98</v>
      </c>
      <c r="L266" s="9" t="s">
        <v>19</v>
      </c>
      <c r="M266" s="9" t="str">
        <f>IFERROR(INDEX(T_CleanCustomers[Sales_Rep_ID],MATCH(B266,T_CleanCustomers[Customer_ID],0)),"Unmatched")</f>
        <v>REP015</v>
      </c>
      <c r="N266" s="9" t="str">
        <f>IFERROR(INDEX(T_CleanCustomers[Channel],MATCH(B266,T_CleanCustomers[Customer_ID],0)),"Unmatched")</f>
        <v>Direct Sales</v>
      </c>
      <c r="O266" s="9" t="str">
        <f>IFERROR(INDEX(T_CleanCustomers[Product],MATCH(B266,T_CleanCustomers[Customer_ID],0)),"Unmatched")</f>
        <v>Fuel Card</v>
      </c>
      <c r="P266" s="9" t="str">
        <f>IFERROR(INDEX(T_CleanCustomers[Customer_Segment],MATCH(B266,T_CleanCustomers[Customer_ID],0)),"Unmatched")</f>
        <v>Mid-Market</v>
      </c>
    </row>
    <row r="267" spans="1:16" ht="15" customHeight="1" x14ac:dyDescent="0.2">
      <c r="A267" s="9" t="s">
        <v>1628</v>
      </c>
      <c r="B267" s="9" t="s">
        <v>1178</v>
      </c>
      <c r="C267" s="9" t="b">
        <f>TRUE()</f>
        <v>1</v>
      </c>
      <c r="D267" s="10">
        <v>45985</v>
      </c>
      <c r="E267" s="10">
        <v>45962</v>
      </c>
      <c r="F267" s="9" t="s">
        <v>1360</v>
      </c>
      <c r="G267" s="11">
        <v>7865.26</v>
      </c>
      <c r="H267" s="11">
        <v>0</v>
      </c>
      <c r="I267" s="9" t="b">
        <f>TRUE()</f>
        <v>1</v>
      </c>
      <c r="J267" s="9" t="s">
        <v>1408</v>
      </c>
      <c r="K267" s="11">
        <v>0</v>
      </c>
      <c r="L267" s="9" t="s">
        <v>19</v>
      </c>
      <c r="M267" s="9" t="str">
        <f>IFERROR(INDEX(T_CleanCustomers[Sales_Rep_ID],MATCH(B267,T_CleanCustomers[Customer_ID],0)),"Unmatched")</f>
        <v>REP015</v>
      </c>
      <c r="N267" s="9" t="str">
        <f>IFERROR(INDEX(T_CleanCustomers[Channel],MATCH(B267,T_CleanCustomers[Customer_ID],0)),"Unmatched")</f>
        <v>Direct Sales</v>
      </c>
      <c r="O267" s="9" t="str">
        <f>IFERROR(INDEX(T_CleanCustomers[Product],MATCH(B267,T_CleanCustomers[Customer_ID],0)),"Unmatched")</f>
        <v>Fuel Card</v>
      </c>
      <c r="P267" s="9" t="str">
        <f>IFERROR(INDEX(T_CleanCustomers[Customer_Segment],MATCH(B267,T_CleanCustomers[Customer_ID],0)),"Unmatched")</f>
        <v>Mid-Market</v>
      </c>
    </row>
    <row r="268" spans="1:16" ht="15" customHeight="1" x14ac:dyDescent="0.2">
      <c r="A268" s="9" t="s">
        <v>1629</v>
      </c>
      <c r="B268" s="9" t="s">
        <v>1178</v>
      </c>
      <c r="C268" s="9" t="b">
        <f>TRUE()</f>
        <v>1</v>
      </c>
      <c r="D268" s="10">
        <v>46012</v>
      </c>
      <c r="E268" s="10">
        <v>45992</v>
      </c>
      <c r="F268" s="9" t="s">
        <v>1360</v>
      </c>
      <c r="G268" s="11">
        <v>10749.55</v>
      </c>
      <c r="H268" s="11">
        <v>302.25</v>
      </c>
      <c r="I268" s="9" t="b">
        <f>TRUE()</f>
        <v>1</v>
      </c>
      <c r="J268" s="9" t="s">
        <v>1361</v>
      </c>
      <c r="K268" s="11">
        <v>302.25</v>
      </c>
      <c r="L268" s="9" t="s">
        <v>19</v>
      </c>
      <c r="M268" s="9" t="str">
        <f>IFERROR(INDEX(T_CleanCustomers[Sales_Rep_ID],MATCH(B268,T_CleanCustomers[Customer_ID],0)),"Unmatched")</f>
        <v>REP015</v>
      </c>
      <c r="N268" s="9" t="str">
        <f>IFERROR(INDEX(T_CleanCustomers[Channel],MATCH(B268,T_CleanCustomers[Customer_ID],0)),"Unmatched")</f>
        <v>Direct Sales</v>
      </c>
      <c r="O268" s="9" t="str">
        <f>IFERROR(INDEX(T_CleanCustomers[Product],MATCH(B268,T_CleanCustomers[Customer_ID],0)),"Unmatched")</f>
        <v>Fuel Card</v>
      </c>
      <c r="P268" s="9" t="str">
        <f>IFERROR(INDEX(T_CleanCustomers[Customer_Segment],MATCH(B268,T_CleanCustomers[Customer_ID],0)),"Unmatched")</f>
        <v>Mid-Market</v>
      </c>
    </row>
    <row r="269" spans="1:16" ht="15" customHeight="1" x14ac:dyDescent="0.2">
      <c r="A269" s="9" t="s">
        <v>105</v>
      </c>
      <c r="B269" s="9" t="s">
        <v>86</v>
      </c>
      <c r="C269" s="9" t="b">
        <f>TRUE()</f>
        <v>1</v>
      </c>
      <c r="D269" s="10">
        <v>45836</v>
      </c>
      <c r="E269" s="10">
        <v>45809</v>
      </c>
      <c r="F269" s="9" t="s">
        <v>1360</v>
      </c>
      <c r="G269" s="11">
        <v>2238.19</v>
      </c>
      <c r="H269" s="11">
        <v>61.75</v>
      </c>
      <c r="I269" s="9" t="b">
        <f>TRUE()</f>
        <v>1</v>
      </c>
      <c r="J269" s="9" t="s">
        <v>1361</v>
      </c>
      <c r="K269" s="11">
        <v>61.75</v>
      </c>
      <c r="L269" s="9" t="s">
        <v>21</v>
      </c>
      <c r="M269" s="9" t="str">
        <f>IFERROR(INDEX(T_CleanCustomers[Sales_Rep_ID],MATCH(B269,T_CleanCustomers[Customer_ID],0)),"Unmatched")</f>
        <v>REP008</v>
      </c>
      <c r="N269" s="9" t="str">
        <f>IFERROR(INDEX(T_CleanCustomers[Channel],MATCH(B269,T_CleanCustomers[Customer_ID],0)),"Unmatched")</f>
        <v>Referral</v>
      </c>
      <c r="O269" s="9" t="str">
        <f>IFERROR(INDEX(T_CleanCustomers[Product],MATCH(B269,T_CleanCustomers[Customer_ID],0)),"Unmatched")</f>
        <v>Fuel Card</v>
      </c>
      <c r="P269" s="9" t="str">
        <f>IFERROR(INDEX(T_CleanCustomers[Customer_Segment],MATCH(B269,T_CleanCustomers[Customer_ID],0)),"Unmatched")</f>
        <v>Unclassified</v>
      </c>
    </row>
    <row r="270" spans="1:16" ht="15" customHeight="1" x14ac:dyDescent="0.2">
      <c r="A270" s="9" t="s">
        <v>1630</v>
      </c>
      <c r="B270" s="9" t="s">
        <v>86</v>
      </c>
      <c r="C270" s="9" t="b">
        <f>TRUE()</f>
        <v>1</v>
      </c>
      <c r="D270" s="10">
        <v>45833</v>
      </c>
      <c r="E270" s="10">
        <v>45809</v>
      </c>
      <c r="F270" s="9" t="s">
        <v>1360</v>
      </c>
      <c r="G270" s="11">
        <v>3996.86</v>
      </c>
      <c r="H270" s="11">
        <v>104</v>
      </c>
      <c r="I270" s="9" t="b">
        <f>TRUE()</f>
        <v>1</v>
      </c>
      <c r="J270" s="9" t="s">
        <v>1361</v>
      </c>
      <c r="K270" s="11">
        <v>104</v>
      </c>
      <c r="L270" s="9" t="s">
        <v>21</v>
      </c>
      <c r="M270" s="9" t="str">
        <f>IFERROR(INDEX(T_CleanCustomers[Sales_Rep_ID],MATCH(B270,T_CleanCustomers[Customer_ID],0)),"Unmatched")</f>
        <v>REP008</v>
      </c>
      <c r="N270" s="9" t="str">
        <f>IFERROR(INDEX(T_CleanCustomers[Channel],MATCH(B270,T_CleanCustomers[Customer_ID],0)),"Unmatched")</f>
        <v>Referral</v>
      </c>
      <c r="O270" s="9" t="str">
        <f>IFERROR(INDEX(T_CleanCustomers[Product],MATCH(B270,T_CleanCustomers[Customer_ID],0)),"Unmatched")</f>
        <v>Fuel Card</v>
      </c>
      <c r="P270" s="9" t="str">
        <f>IFERROR(INDEX(T_CleanCustomers[Customer_Segment],MATCH(B270,T_CleanCustomers[Customer_ID],0)),"Unmatched")</f>
        <v>Unclassified</v>
      </c>
    </row>
    <row r="271" spans="1:16" ht="15" customHeight="1" x14ac:dyDescent="0.2">
      <c r="A271" s="9" t="s">
        <v>1631</v>
      </c>
      <c r="B271" s="9" t="s">
        <v>86</v>
      </c>
      <c r="C271" s="9" t="b">
        <f>TRUE()</f>
        <v>1</v>
      </c>
      <c r="D271" s="10">
        <v>45848</v>
      </c>
      <c r="E271" s="10">
        <v>45839</v>
      </c>
      <c r="F271" s="9" t="s">
        <v>1360</v>
      </c>
      <c r="G271" s="11">
        <v>1765.09</v>
      </c>
      <c r="H271" s="11">
        <v>49.92</v>
      </c>
      <c r="I271" s="9" t="b">
        <f>TRUE()</f>
        <v>1</v>
      </c>
      <c r="J271" s="9" t="s">
        <v>1361</v>
      </c>
      <c r="K271" s="11">
        <v>49.92</v>
      </c>
      <c r="L271" s="9" t="s">
        <v>21</v>
      </c>
      <c r="M271" s="9" t="str">
        <f>IFERROR(INDEX(T_CleanCustomers[Sales_Rep_ID],MATCH(B271,T_CleanCustomers[Customer_ID],0)),"Unmatched")</f>
        <v>REP008</v>
      </c>
      <c r="N271" s="9" t="str">
        <f>IFERROR(INDEX(T_CleanCustomers[Channel],MATCH(B271,T_CleanCustomers[Customer_ID],0)),"Unmatched")</f>
        <v>Referral</v>
      </c>
      <c r="O271" s="9" t="str">
        <f>IFERROR(INDEX(T_CleanCustomers[Product],MATCH(B271,T_CleanCustomers[Customer_ID],0)),"Unmatched")</f>
        <v>Fuel Card</v>
      </c>
      <c r="P271" s="9" t="str">
        <f>IFERROR(INDEX(T_CleanCustomers[Customer_Segment],MATCH(B271,T_CleanCustomers[Customer_ID],0)),"Unmatched")</f>
        <v>Unclassified</v>
      </c>
    </row>
    <row r="272" spans="1:16" ht="15" customHeight="1" x14ac:dyDescent="0.2">
      <c r="A272" s="9" t="s">
        <v>1632</v>
      </c>
      <c r="B272" s="9" t="s">
        <v>86</v>
      </c>
      <c r="C272" s="9" t="b">
        <f>TRUE()</f>
        <v>1</v>
      </c>
      <c r="D272" s="10">
        <v>45813</v>
      </c>
      <c r="E272" s="10">
        <v>45809</v>
      </c>
      <c r="F272" s="9" t="s">
        <v>1360</v>
      </c>
      <c r="G272" s="11">
        <v>4310.04</v>
      </c>
      <c r="H272" s="11">
        <v>102.09</v>
      </c>
      <c r="I272" s="9" t="b">
        <f>TRUE()</f>
        <v>1</v>
      </c>
      <c r="J272" s="9" t="s">
        <v>1361</v>
      </c>
      <c r="K272" s="11">
        <v>102.09</v>
      </c>
      <c r="L272" s="9" t="s">
        <v>21</v>
      </c>
      <c r="M272" s="9" t="str">
        <f>IFERROR(INDEX(T_CleanCustomers[Sales_Rep_ID],MATCH(B272,T_CleanCustomers[Customer_ID],0)),"Unmatched")</f>
        <v>REP008</v>
      </c>
      <c r="N272" s="9" t="str">
        <f>IFERROR(INDEX(T_CleanCustomers[Channel],MATCH(B272,T_CleanCustomers[Customer_ID],0)),"Unmatched")</f>
        <v>Referral</v>
      </c>
      <c r="O272" s="9" t="str">
        <f>IFERROR(INDEX(T_CleanCustomers[Product],MATCH(B272,T_CleanCustomers[Customer_ID],0)),"Unmatched")</f>
        <v>Fuel Card</v>
      </c>
      <c r="P272" s="9" t="str">
        <f>IFERROR(INDEX(T_CleanCustomers[Customer_Segment],MATCH(B272,T_CleanCustomers[Customer_ID],0)),"Unmatched")</f>
        <v>Unclassified</v>
      </c>
    </row>
    <row r="273" spans="1:16" ht="15" customHeight="1" x14ac:dyDescent="0.2">
      <c r="A273" s="9" t="s">
        <v>1633</v>
      </c>
      <c r="B273" s="9" t="s">
        <v>86</v>
      </c>
      <c r="C273" s="9" t="b">
        <f>TRUE()</f>
        <v>1</v>
      </c>
      <c r="D273" s="10">
        <v>45841</v>
      </c>
      <c r="E273" s="10">
        <v>45839</v>
      </c>
      <c r="F273" s="9" t="s">
        <v>1360</v>
      </c>
      <c r="G273" s="11">
        <v>1974</v>
      </c>
      <c r="H273" s="11">
        <v>56.5</v>
      </c>
      <c r="I273" s="9" t="b">
        <f>TRUE()</f>
        <v>1</v>
      </c>
      <c r="J273" s="9" t="s">
        <v>1361</v>
      </c>
      <c r="K273" s="11">
        <v>56.5</v>
      </c>
      <c r="L273" s="9" t="s">
        <v>21</v>
      </c>
      <c r="M273" s="9" t="str">
        <f>IFERROR(INDEX(T_CleanCustomers[Sales_Rep_ID],MATCH(B273,T_CleanCustomers[Customer_ID],0)),"Unmatched")</f>
        <v>REP008</v>
      </c>
      <c r="N273" s="9" t="str">
        <f>IFERROR(INDEX(T_CleanCustomers[Channel],MATCH(B273,T_CleanCustomers[Customer_ID],0)),"Unmatched")</f>
        <v>Referral</v>
      </c>
      <c r="O273" s="9" t="str">
        <f>IFERROR(INDEX(T_CleanCustomers[Product],MATCH(B273,T_CleanCustomers[Customer_ID],0)),"Unmatched")</f>
        <v>Fuel Card</v>
      </c>
      <c r="P273" s="9" t="str">
        <f>IFERROR(INDEX(T_CleanCustomers[Customer_Segment],MATCH(B273,T_CleanCustomers[Customer_ID],0)),"Unmatched")</f>
        <v>Unclassified</v>
      </c>
    </row>
    <row r="274" spans="1:16" ht="15" customHeight="1" x14ac:dyDescent="0.2">
      <c r="A274" s="9" t="s">
        <v>1634</v>
      </c>
      <c r="B274" s="9" t="s">
        <v>86</v>
      </c>
      <c r="C274" s="9" t="b">
        <f>TRUE()</f>
        <v>1</v>
      </c>
      <c r="D274" s="10">
        <v>45882</v>
      </c>
      <c r="E274" s="10">
        <v>45870</v>
      </c>
      <c r="F274" s="9" t="s">
        <v>1360</v>
      </c>
      <c r="G274" s="11">
        <v>3260.84</v>
      </c>
      <c r="H274" s="11">
        <v>84.6</v>
      </c>
      <c r="I274" s="9" t="b">
        <f>TRUE()</f>
        <v>1</v>
      </c>
      <c r="J274" s="9" t="s">
        <v>1361</v>
      </c>
      <c r="K274" s="11">
        <v>84.6</v>
      </c>
      <c r="L274" s="9" t="s">
        <v>21</v>
      </c>
      <c r="M274" s="9" t="str">
        <f>IFERROR(INDEX(T_CleanCustomers[Sales_Rep_ID],MATCH(B274,T_CleanCustomers[Customer_ID],0)),"Unmatched")</f>
        <v>REP008</v>
      </c>
      <c r="N274" s="9" t="str">
        <f>IFERROR(INDEX(T_CleanCustomers[Channel],MATCH(B274,T_CleanCustomers[Customer_ID],0)),"Unmatched")</f>
        <v>Referral</v>
      </c>
      <c r="O274" s="9" t="str">
        <f>IFERROR(INDEX(T_CleanCustomers[Product],MATCH(B274,T_CleanCustomers[Customer_ID],0)),"Unmatched")</f>
        <v>Fuel Card</v>
      </c>
      <c r="P274" s="9" t="str">
        <f>IFERROR(INDEX(T_CleanCustomers[Customer_Segment],MATCH(B274,T_CleanCustomers[Customer_ID],0)),"Unmatched")</f>
        <v>Unclassified</v>
      </c>
    </row>
    <row r="275" spans="1:16" ht="15" customHeight="1" x14ac:dyDescent="0.2">
      <c r="A275" s="9" t="s">
        <v>1635</v>
      </c>
      <c r="B275" s="9" t="s">
        <v>1179</v>
      </c>
      <c r="C275" s="9" t="b">
        <f>TRUE()</f>
        <v>1</v>
      </c>
      <c r="D275" s="10">
        <v>45989</v>
      </c>
      <c r="E275" s="10">
        <v>45962</v>
      </c>
      <c r="F275" s="9" t="s">
        <v>1423</v>
      </c>
      <c r="G275" s="11">
        <v>5239.6499999999996</v>
      </c>
      <c r="H275" s="11">
        <v>162.91</v>
      </c>
      <c r="I275" s="9" t="b">
        <f>TRUE()</f>
        <v>1</v>
      </c>
      <c r="J275" s="9" t="s">
        <v>1361</v>
      </c>
      <c r="K275" s="11">
        <v>162.91</v>
      </c>
      <c r="L275" s="9" t="s">
        <v>22</v>
      </c>
      <c r="M275" s="9" t="str">
        <f>IFERROR(INDEX(T_CleanCustomers[Sales_Rep_ID],MATCH(B275,T_CleanCustomers[Customer_ID],0)),"Unmatched")</f>
        <v>REP004</v>
      </c>
      <c r="N275" s="9" t="str">
        <f>IFERROR(INDEX(T_CleanCustomers[Channel],MATCH(B275,T_CleanCustomers[Customer_ID],0)),"Unmatched")</f>
        <v>Referral</v>
      </c>
      <c r="O275" s="9" t="str">
        <f>IFERROR(INDEX(T_CleanCustomers[Product],MATCH(B275,T_CleanCustomers[Customer_ID],0)),"Unmatched")</f>
        <v>EV Charge Card</v>
      </c>
      <c r="P275" s="9" t="str">
        <f>IFERROR(INDEX(T_CleanCustomers[Customer_Segment],MATCH(B275,T_CleanCustomers[Customer_ID],0)),"Unmatched")</f>
        <v>SME</v>
      </c>
    </row>
    <row r="276" spans="1:16" ht="15" customHeight="1" x14ac:dyDescent="0.2">
      <c r="A276" s="9" t="s">
        <v>1636</v>
      </c>
      <c r="B276" s="9" t="s">
        <v>1179</v>
      </c>
      <c r="C276" s="9" t="b">
        <f>TRUE()</f>
        <v>1</v>
      </c>
      <c r="D276" s="10">
        <v>46014</v>
      </c>
      <c r="E276" s="10">
        <v>45992</v>
      </c>
      <c r="F276" s="9" t="s">
        <v>1423</v>
      </c>
      <c r="G276" s="11">
        <v>3711.23</v>
      </c>
      <c r="H276" s="11">
        <v>115.05</v>
      </c>
      <c r="I276" s="9" t="b">
        <f>TRUE()</f>
        <v>1</v>
      </c>
      <c r="J276" s="9" t="s">
        <v>1361</v>
      </c>
      <c r="K276" s="11">
        <v>115.05</v>
      </c>
      <c r="L276" s="9" t="s">
        <v>22</v>
      </c>
      <c r="M276" s="9" t="str">
        <f>IFERROR(INDEX(T_CleanCustomers[Sales_Rep_ID],MATCH(B276,T_CleanCustomers[Customer_ID],0)),"Unmatched")</f>
        <v>REP004</v>
      </c>
      <c r="N276" s="9" t="str">
        <f>IFERROR(INDEX(T_CleanCustomers[Channel],MATCH(B276,T_CleanCustomers[Customer_ID],0)),"Unmatched")</f>
        <v>Referral</v>
      </c>
      <c r="O276" s="9" t="str">
        <f>IFERROR(INDEX(T_CleanCustomers[Product],MATCH(B276,T_CleanCustomers[Customer_ID],0)),"Unmatched")</f>
        <v>EV Charge Card</v>
      </c>
      <c r="P276" s="9" t="str">
        <f>IFERROR(INDEX(T_CleanCustomers[Customer_Segment],MATCH(B276,T_CleanCustomers[Customer_ID],0)),"Unmatched")</f>
        <v>SME</v>
      </c>
    </row>
    <row r="277" spans="1:16" ht="15" customHeight="1" x14ac:dyDescent="0.2">
      <c r="A277" s="9" t="s">
        <v>1637</v>
      </c>
      <c r="B277" s="9" t="s">
        <v>1180</v>
      </c>
      <c r="C277" s="9" t="b">
        <f>TRUE()</f>
        <v>1</v>
      </c>
      <c r="D277" s="10">
        <v>45771</v>
      </c>
      <c r="E277" s="10">
        <v>45748</v>
      </c>
      <c r="F277" s="9" t="s">
        <v>1360</v>
      </c>
      <c r="G277" s="11">
        <v>1541.65</v>
      </c>
      <c r="H277" s="11">
        <v>40.090000000000003</v>
      </c>
      <c r="I277" s="9" t="b">
        <f>TRUE()</f>
        <v>1</v>
      </c>
      <c r="J277" s="9" t="s">
        <v>1361</v>
      </c>
      <c r="K277" s="11">
        <v>40.090000000000003</v>
      </c>
      <c r="L277" s="9" t="s">
        <v>20</v>
      </c>
      <c r="M277" s="9" t="str">
        <f>IFERROR(INDEX(T_CleanCustomers[Sales_Rep_ID],MATCH(B277,T_CleanCustomers[Customer_ID],0)),"Unmatched")</f>
        <v>REP001</v>
      </c>
      <c r="N277" s="9" t="str">
        <f>IFERROR(INDEX(T_CleanCustomers[Channel],MATCH(B277,T_CleanCustomers[Customer_ID],0)),"Unmatched")</f>
        <v>Telesales</v>
      </c>
      <c r="O277" s="9" t="str">
        <f>IFERROR(INDEX(T_CleanCustomers[Product],MATCH(B277,T_CleanCustomers[Customer_ID],0)),"Unmatched")</f>
        <v>Fuel Card</v>
      </c>
      <c r="P277" s="9" t="str">
        <f>IFERROR(INDEX(T_CleanCustomers[Customer_Segment],MATCH(B277,T_CleanCustomers[Customer_ID],0)),"Unmatched")</f>
        <v>SME</v>
      </c>
    </row>
    <row r="278" spans="1:16" ht="15" customHeight="1" x14ac:dyDescent="0.2">
      <c r="A278" s="9" t="s">
        <v>1638</v>
      </c>
      <c r="B278" s="9" t="s">
        <v>1180</v>
      </c>
      <c r="C278" s="9" t="b">
        <f>TRUE()</f>
        <v>1</v>
      </c>
      <c r="D278" s="10">
        <v>45769</v>
      </c>
      <c r="E278" s="10">
        <v>45748</v>
      </c>
      <c r="F278" s="9" t="s">
        <v>1360</v>
      </c>
      <c r="G278" s="11">
        <v>3372.17</v>
      </c>
      <c r="H278" s="11">
        <v>96.42</v>
      </c>
      <c r="I278" s="9" t="b">
        <f>TRUE()</f>
        <v>1</v>
      </c>
      <c r="J278" s="9" t="s">
        <v>1361</v>
      </c>
      <c r="K278" s="11">
        <v>96.42</v>
      </c>
      <c r="L278" s="9" t="s">
        <v>20</v>
      </c>
      <c r="M278" s="9" t="str">
        <f>IFERROR(INDEX(T_CleanCustomers[Sales_Rep_ID],MATCH(B278,T_CleanCustomers[Customer_ID],0)),"Unmatched")</f>
        <v>REP001</v>
      </c>
      <c r="N278" s="9" t="str">
        <f>IFERROR(INDEX(T_CleanCustomers[Channel],MATCH(B278,T_CleanCustomers[Customer_ID],0)),"Unmatched")</f>
        <v>Telesales</v>
      </c>
      <c r="O278" s="9" t="str">
        <f>IFERROR(INDEX(T_CleanCustomers[Product],MATCH(B278,T_CleanCustomers[Customer_ID],0)),"Unmatched")</f>
        <v>Fuel Card</v>
      </c>
      <c r="P278" s="9" t="str">
        <f>IFERROR(INDEX(T_CleanCustomers[Customer_Segment],MATCH(B278,T_CleanCustomers[Customer_ID],0)),"Unmatched")</f>
        <v>SME</v>
      </c>
    </row>
    <row r="279" spans="1:16" ht="15" customHeight="1" x14ac:dyDescent="0.2">
      <c r="A279" s="9" t="s">
        <v>1639</v>
      </c>
      <c r="B279" s="9" t="s">
        <v>1180</v>
      </c>
      <c r="C279" s="9" t="b">
        <f>TRUE()</f>
        <v>1</v>
      </c>
      <c r="D279" s="10">
        <v>45793</v>
      </c>
      <c r="E279" s="10">
        <v>45778</v>
      </c>
      <c r="F279" s="9" t="s">
        <v>1360</v>
      </c>
      <c r="G279" s="11">
        <v>3966.57</v>
      </c>
      <c r="H279" s="11">
        <v>0</v>
      </c>
      <c r="I279" s="9" t="b">
        <f>TRUE()</f>
        <v>1</v>
      </c>
      <c r="J279" s="9" t="s">
        <v>1408</v>
      </c>
      <c r="K279" s="11">
        <v>0</v>
      </c>
      <c r="L279" s="9" t="s">
        <v>20</v>
      </c>
      <c r="M279" s="9" t="str">
        <f>IFERROR(INDEX(T_CleanCustomers[Sales_Rep_ID],MATCH(B279,T_CleanCustomers[Customer_ID],0)),"Unmatched")</f>
        <v>REP001</v>
      </c>
      <c r="N279" s="9" t="str">
        <f>IFERROR(INDEX(T_CleanCustomers[Channel],MATCH(B279,T_CleanCustomers[Customer_ID],0)),"Unmatched")</f>
        <v>Telesales</v>
      </c>
      <c r="O279" s="9" t="str">
        <f>IFERROR(INDEX(T_CleanCustomers[Product],MATCH(B279,T_CleanCustomers[Customer_ID],0)),"Unmatched")</f>
        <v>Fuel Card</v>
      </c>
      <c r="P279" s="9" t="str">
        <f>IFERROR(INDEX(T_CleanCustomers[Customer_Segment],MATCH(B279,T_CleanCustomers[Customer_ID],0)),"Unmatched")</f>
        <v>SME</v>
      </c>
    </row>
    <row r="280" spans="1:16" ht="15" customHeight="1" x14ac:dyDescent="0.2">
      <c r="A280" s="9" t="s">
        <v>1640</v>
      </c>
      <c r="B280" s="9" t="s">
        <v>1180</v>
      </c>
      <c r="C280" s="9" t="b">
        <f>TRUE()</f>
        <v>1</v>
      </c>
      <c r="D280" s="10">
        <v>45833</v>
      </c>
      <c r="E280" s="10">
        <v>45809</v>
      </c>
      <c r="F280" s="9" t="s">
        <v>1360</v>
      </c>
      <c r="G280" s="11">
        <v>2543.9</v>
      </c>
      <c r="H280" s="11">
        <v>57.79</v>
      </c>
      <c r="I280" s="9" t="b">
        <f>TRUE()</f>
        <v>1</v>
      </c>
      <c r="J280" s="9" t="s">
        <v>1361</v>
      </c>
      <c r="K280" s="11">
        <v>57.79</v>
      </c>
      <c r="L280" s="9" t="s">
        <v>20</v>
      </c>
      <c r="M280" s="9" t="str">
        <f>IFERROR(INDEX(T_CleanCustomers[Sales_Rep_ID],MATCH(B280,T_CleanCustomers[Customer_ID],0)),"Unmatched")</f>
        <v>REP001</v>
      </c>
      <c r="N280" s="9" t="str">
        <f>IFERROR(INDEX(T_CleanCustomers[Channel],MATCH(B280,T_CleanCustomers[Customer_ID],0)),"Unmatched")</f>
        <v>Telesales</v>
      </c>
      <c r="O280" s="9" t="str">
        <f>IFERROR(INDEX(T_CleanCustomers[Product],MATCH(B280,T_CleanCustomers[Customer_ID],0)),"Unmatched")</f>
        <v>Fuel Card</v>
      </c>
      <c r="P280" s="9" t="str">
        <f>IFERROR(INDEX(T_CleanCustomers[Customer_Segment],MATCH(B280,T_CleanCustomers[Customer_ID],0)),"Unmatched")</f>
        <v>SME</v>
      </c>
    </row>
    <row r="281" spans="1:16" ht="15" customHeight="1" x14ac:dyDescent="0.2">
      <c r="A281" s="9" t="s">
        <v>1641</v>
      </c>
      <c r="B281" s="9" t="s">
        <v>1180</v>
      </c>
      <c r="C281" s="9" t="b">
        <f>TRUE()</f>
        <v>1</v>
      </c>
      <c r="D281" s="10">
        <v>45854</v>
      </c>
      <c r="E281" s="10">
        <v>45839</v>
      </c>
      <c r="F281" s="9" t="s">
        <v>1360</v>
      </c>
      <c r="G281" s="11">
        <v>2360.8000000000002</v>
      </c>
      <c r="H281" s="11">
        <v>54.96</v>
      </c>
      <c r="I281" s="9" t="b">
        <f>TRUE()</f>
        <v>1</v>
      </c>
      <c r="J281" s="9" t="s">
        <v>1361</v>
      </c>
      <c r="K281" s="11">
        <v>54.96</v>
      </c>
      <c r="L281" s="9" t="s">
        <v>20</v>
      </c>
      <c r="M281" s="9" t="str">
        <f>IFERROR(INDEX(T_CleanCustomers[Sales_Rep_ID],MATCH(B281,T_CleanCustomers[Customer_ID],0)),"Unmatched")</f>
        <v>REP001</v>
      </c>
      <c r="N281" s="9" t="str">
        <f>IFERROR(INDEX(T_CleanCustomers[Channel],MATCH(B281,T_CleanCustomers[Customer_ID],0)),"Unmatched")</f>
        <v>Telesales</v>
      </c>
      <c r="O281" s="9" t="str">
        <f>IFERROR(INDEX(T_CleanCustomers[Product],MATCH(B281,T_CleanCustomers[Customer_ID],0)),"Unmatched")</f>
        <v>Fuel Card</v>
      </c>
      <c r="P281" s="9" t="str">
        <f>IFERROR(INDEX(T_CleanCustomers[Customer_Segment],MATCH(B281,T_CleanCustomers[Customer_ID],0)),"Unmatched")</f>
        <v>SME</v>
      </c>
    </row>
    <row r="282" spans="1:16" ht="15" customHeight="1" x14ac:dyDescent="0.2">
      <c r="A282" s="9" t="s">
        <v>1642</v>
      </c>
      <c r="B282" s="9" t="s">
        <v>1180</v>
      </c>
      <c r="C282" s="9" t="b">
        <f>TRUE()</f>
        <v>1</v>
      </c>
      <c r="D282" s="10">
        <v>45844</v>
      </c>
      <c r="E282" s="10">
        <v>45839</v>
      </c>
      <c r="F282" s="9" t="s">
        <v>1360</v>
      </c>
      <c r="G282" s="11">
        <v>4004.13</v>
      </c>
      <c r="H282" s="11">
        <v>109.63</v>
      </c>
      <c r="I282" s="9" t="b">
        <f>TRUE()</f>
        <v>1</v>
      </c>
      <c r="J282" s="9" t="s">
        <v>1361</v>
      </c>
      <c r="K282" s="11">
        <v>109.63</v>
      </c>
      <c r="L282" s="9" t="s">
        <v>20</v>
      </c>
      <c r="M282" s="9" t="str">
        <f>IFERROR(INDEX(T_CleanCustomers[Sales_Rep_ID],MATCH(B282,T_CleanCustomers[Customer_ID],0)),"Unmatched")</f>
        <v>REP001</v>
      </c>
      <c r="N282" s="9" t="str">
        <f>IFERROR(INDEX(T_CleanCustomers[Channel],MATCH(B282,T_CleanCustomers[Customer_ID],0)),"Unmatched")</f>
        <v>Telesales</v>
      </c>
      <c r="O282" s="9" t="str">
        <f>IFERROR(INDEX(T_CleanCustomers[Product],MATCH(B282,T_CleanCustomers[Customer_ID],0)),"Unmatched")</f>
        <v>Fuel Card</v>
      </c>
      <c r="P282" s="9" t="str">
        <f>IFERROR(INDEX(T_CleanCustomers[Customer_Segment],MATCH(B282,T_CleanCustomers[Customer_ID],0)),"Unmatched")</f>
        <v>SME</v>
      </c>
    </row>
    <row r="283" spans="1:16" ht="15" customHeight="1" x14ac:dyDescent="0.2">
      <c r="A283" s="9" t="s">
        <v>1643</v>
      </c>
      <c r="B283" s="9" t="s">
        <v>1180</v>
      </c>
      <c r="C283" s="9" t="b">
        <f>TRUE()</f>
        <v>1</v>
      </c>
      <c r="D283" s="10">
        <v>45883</v>
      </c>
      <c r="E283" s="10">
        <v>45870</v>
      </c>
      <c r="F283" s="9" t="s">
        <v>1360</v>
      </c>
      <c r="G283" s="11">
        <v>3419.51</v>
      </c>
      <c r="H283" s="11">
        <v>87.15</v>
      </c>
      <c r="I283" s="9" t="b">
        <f>TRUE()</f>
        <v>1</v>
      </c>
      <c r="J283" s="9" t="s">
        <v>1361</v>
      </c>
      <c r="K283" s="11">
        <v>87.15</v>
      </c>
      <c r="L283" s="9" t="s">
        <v>20</v>
      </c>
      <c r="M283" s="9" t="str">
        <f>IFERROR(INDEX(T_CleanCustomers[Sales_Rep_ID],MATCH(B283,T_CleanCustomers[Customer_ID],0)),"Unmatched")</f>
        <v>REP001</v>
      </c>
      <c r="N283" s="9" t="str">
        <f>IFERROR(INDEX(T_CleanCustomers[Channel],MATCH(B283,T_CleanCustomers[Customer_ID],0)),"Unmatched")</f>
        <v>Telesales</v>
      </c>
      <c r="O283" s="9" t="str">
        <f>IFERROR(INDEX(T_CleanCustomers[Product],MATCH(B283,T_CleanCustomers[Customer_ID],0)),"Unmatched")</f>
        <v>Fuel Card</v>
      </c>
      <c r="P283" s="9" t="str">
        <f>IFERROR(INDEX(T_CleanCustomers[Customer_Segment],MATCH(B283,T_CleanCustomers[Customer_ID],0)),"Unmatched")</f>
        <v>SME</v>
      </c>
    </row>
    <row r="284" spans="1:16" ht="15" customHeight="1" x14ac:dyDescent="0.2">
      <c r="A284" s="9" t="s">
        <v>1644</v>
      </c>
      <c r="B284" s="9" t="s">
        <v>1180</v>
      </c>
      <c r="C284" s="9" t="b">
        <f>TRUE()</f>
        <v>1</v>
      </c>
      <c r="D284" s="10">
        <v>45905</v>
      </c>
      <c r="E284" s="10">
        <v>45901</v>
      </c>
      <c r="F284" s="9" t="s">
        <v>1360</v>
      </c>
      <c r="G284" s="11">
        <v>5176.75</v>
      </c>
      <c r="H284" s="11">
        <v>124.24</v>
      </c>
      <c r="I284" s="9" t="b">
        <f>TRUE()</f>
        <v>1</v>
      </c>
      <c r="J284" s="9" t="s">
        <v>1361</v>
      </c>
      <c r="K284" s="11">
        <v>124.24</v>
      </c>
      <c r="L284" s="9" t="s">
        <v>20</v>
      </c>
      <c r="M284" s="9" t="str">
        <f>IFERROR(INDEX(T_CleanCustomers[Sales_Rep_ID],MATCH(B284,T_CleanCustomers[Customer_ID],0)),"Unmatched")</f>
        <v>REP001</v>
      </c>
      <c r="N284" s="9" t="str">
        <f>IFERROR(INDEX(T_CleanCustomers[Channel],MATCH(B284,T_CleanCustomers[Customer_ID],0)),"Unmatched")</f>
        <v>Telesales</v>
      </c>
      <c r="O284" s="9" t="str">
        <f>IFERROR(INDEX(T_CleanCustomers[Product],MATCH(B284,T_CleanCustomers[Customer_ID],0)),"Unmatched")</f>
        <v>Fuel Card</v>
      </c>
      <c r="P284" s="9" t="str">
        <f>IFERROR(INDEX(T_CleanCustomers[Customer_Segment],MATCH(B284,T_CleanCustomers[Customer_ID],0)),"Unmatched")</f>
        <v>SME</v>
      </c>
    </row>
    <row r="285" spans="1:16" ht="15" customHeight="1" x14ac:dyDescent="0.2">
      <c r="A285" s="9" t="s">
        <v>1645</v>
      </c>
      <c r="B285" s="9" t="s">
        <v>1180</v>
      </c>
      <c r="C285" s="9" t="b">
        <f>TRUE()</f>
        <v>1</v>
      </c>
      <c r="D285" s="10">
        <v>45902</v>
      </c>
      <c r="E285" s="10">
        <v>45901</v>
      </c>
      <c r="F285" s="9" t="s">
        <v>1360</v>
      </c>
      <c r="G285" s="11">
        <v>3479.73</v>
      </c>
      <c r="H285" s="11">
        <v>87.1</v>
      </c>
      <c r="I285" s="9" t="b">
        <f>TRUE()</f>
        <v>1</v>
      </c>
      <c r="J285" s="9" t="s">
        <v>1361</v>
      </c>
      <c r="K285" s="11">
        <v>87.1</v>
      </c>
      <c r="L285" s="9" t="s">
        <v>20</v>
      </c>
      <c r="M285" s="9" t="str">
        <f>IFERROR(INDEX(T_CleanCustomers[Sales_Rep_ID],MATCH(B285,T_CleanCustomers[Customer_ID],0)),"Unmatched")</f>
        <v>REP001</v>
      </c>
      <c r="N285" s="9" t="str">
        <f>IFERROR(INDEX(T_CleanCustomers[Channel],MATCH(B285,T_CleanCustomers[Customer_ID],0)),"Unmatched")</f>
        <v>Telesales</v>
      </c>
      <c r="O285" s="9" t="str">
        <f>IFERROR(INDEX(T_CleanCustomers[Product],MATCH(B285,T_CleanCustomers[Customer_ID],0)),"Unmatched")</f>
        <v>Fuel Card</v>
      </c>
      <c r="P285" s="9" t="str">
        <f>IFERROR(INDEX(T_CleanCustomers[Customer_Segment],MATCH(B285,T_CleanCustomers[Customer_ID],0)),"Unmatched")</f>
        <v>SME</v>
      </c>
    </row>
    <row r="286" spans="1:16" ht="15" customHeight="1" x14ac:dyDescent="0.2">
      <c r="A286" s="9" t="s">
        <v>1646</v>
      </c>
      <c r="B286" s="9" t="s">
        <v>1180</v>
      </c>
      <c r="C286" s="9" t="b">
        <f>TRUE()</f>
        <v>1</v>
      </c>
      <c r="D286" s="10">
        <v>45930</v>
      </c>
      <c r="E286" s="10">
        <v>45901</v>
      </c>
      <c r="F286" s="9" t="s">
        <v>1360</v>
      </c>
      <c r="G286" s="11">
        <v>1995.85</v>
      </c>
      <c r="H286" s="11">
        <v>55.17</v>
      </c>
      <c r="I286" s="9" t="b">
        <f>TRUE()</f>
        <v>1</v>
      </c>
      <c r="J286" s="9" t="s">
        <v>1361</v>
      </c>
      <c r="K286" s="11">
        <v>55.17</v>
      </c>
      <c r="L286" s="9" t="s">
        <v>20</v>
      </c>
      <c r="M286" s="9" t="str">
        <f>IFERROR(INDEX(T_CleanCustomers[Sales_Rep_ID],MATCH(B286,T_CleanCustomers[Customer_ID],0)),"Unmatched")</f>
        <v>REP001</v>
      </c>
      <c r="N286" s="9" t="str">
        <f>IFERROR(INDEX(T_CleanCustomers[Channel],MATCH(B286,T_CleanCustomers[Customer_ID],0)),"Unmatched")</f>
        <v>Telesales</v>
      </c>
      <c r="O286" s="9" t="str">
        <f>IFERROR(INDEX(T_CleanCustomers[Product],MATCH(B286,T_CleanCustomers[Customer_ID],0)),"Unmatched")</f>
        <v>Fuel Card</v>
      </c>
      <c r="P286" s="9" t="str">
        <f>IFERROR(INDEX(T_CleanCustomers[Customer_Segment],MATCH(B286,T_CleanCustomers[Customer_ID],0)),"Unmatched")</f>
        <v>SME</v>
      </c>
    </row>
    <row r="287" spans="1:16" ht="15" customHeight="1" x14ac:dyDescent="0.2">
      <c r="A287" s="9" t="s">
        <v>1647</v>
      </c>
      <c r="B287" s="9" t="s">
        <v>1180</v>
      </c>
      <c r="C287" s="9" t="b">
        <f>TRUE()</f>
        <v>1</v>
      </c>
      <c r="D287" s="10">
        <v>45943</v>
      </c>
      <c r="E287" s="10">
        <v>45931</v>
      </c>
      <c r="F287" s="9" t="s">
        <v>1360</v>
      </c>
      <c r="G287" s="11">
        <v>2351.66</v>
      </c>
      <c r="H287" s="11">
        <v>60.59</v>
      </c>
      <c r="I287" s="9" t="b">
        <f>TRUE()</f>
        <v>1</v>
      </c>
      <c r="J287" s="9" t="s">
        <v>1361</v>
      </c>
      <c r="K287" s="11">
        <v>60.59</v>
      </c>
      <c r="L287" s="9" t="s">
        <v>20</v>
      </c>
      <c r="M287" s="9" t="str">
        <f>IFERROR(INDEX(T_CleanCustomers[Sales_Rep_ID],MATCH(B287,T_CleanCustomers[Customer_ID],0)),"Unmatched")</f>
        <v>REP001</v>
      </c>
      <c r="N287" s="9" t="str">
        <f>IFERROR(INDEX(T_CleanCustomers[Channel],MATCH(B287,T_CleanCustomers[Customer_ID],0)),"Unmatched")</f>
        <v>Telesales</v>
      </c>
      <c r="O287" s="9" t="str">
        <f>IFERROR(INDEX(T_CleanCustomers[Product],MATCH(B287,T_CleanCustomers[Customer_ID],0)),"Unmatched")</f>
        <v>Fuel Card</v>
      </c>
      <c r="P287" s="9" t="str">
        <f>IFERROR(INDEX(T_CleanCustomers[Customer_Segment],MATCH(B287,T_CleanCustomers[Customer_ID],0)),"Unmatched")</f>
        <v>SME</v>
      </c>
    </row>
    <row r="288" spans="1:16" ht="15" customHeight="1" x14ac:dyDescent="0.2">
      <c r="A288" s="9" t="s">
        <v>1648</v>
      </c>
      <c r="B288" s="9" t="s">
        <v>1180</v>
      </c>
      <c r="C288" s="9" t="b">
        <f>TRUE()</f>
        <v>1</v>
      </c>
      <c r="D288" s="10">
        <v>45967</v>
      </c>
      <c r="E288" s="10">
        <v>45962</v>
      </c>
      <c r="F288" s="9" t="s">
        <v>1360</v>
      </c>
      <c r="G288" s="11">
        <v>2971.42</v>
      </c>
      <c r="H288" s="11">
        <v>77.23</v>
      </c>
      <c r="I288" s="9" t="b">
        <f>TRUE()</f>
        <v>1</v>
      </c>
      <c r="J288" s="9" t="s">
        <v>1361</v>
      </c>
      <c r="K288" s="11">
        <v>77.23</v>
      </c>
      <c r="L288" s="9" t="s">
        <v>20</v>
      </c>
      <c r="M288" s="9" t="str">
        <f>IFERROR(INDEX(T_CleanCustomers[Sales_Rep_ID],MATCH(B288,T_CleanCustomers[Customer_ID],0)),"Unmatched")</f>
        <v>REP001</v>
      </c>
      <c r="N288" s="9" t="str">
        <f>IFERROR(INDEX(T_CleanCustomers[Channel],MATCH(B288,T_CleanCustomers[Customer_ID],0)),"Unmatched")</f>
        <v>Telesales</v>
      </c>
      <c r="O288" s="9" t="str">
        <f>IFERROR(INDEX(T_CleanCustomers[Product],MATCH(B288,T_CleanCustomers[Customer_ID],0)),"Unmatched")</f>
        <v>Fuel Card</v>
      </c>
      <c r="P288" s="9" t="str">
        <f>IFERROR(INDEX(T_CleanCustomers[Customer_Segment],MATCH(B288,T_CleanCustomers[Customer_ID],0)),"Unmatched")</f>
        <v>SME</v>
      </c>
    </row>
    <row r="289" spans="1:16" ht="15" customHeight="1" x14ac:dyDescent="0.2">
      <c r="A289" s="9" t="s">
        <v>1649</v>
      </c>
      <c r="B289" s="9" t="s">
        <v>1180</v>
      </c>
      <c r="C289" s="9" t="b">
        <f>TRUE()</f>
        <v>1</v>
      </c>
      <c r="D289" s="10">
        <v>45981</v>
      </c>
      <c r="E289" s="10">
        <v>45962</v>
      </c>
      <c r="F289" s="9" t="s">
        <v>1360</v>
      </c>
      <c r="G289" s="11">
        <v>2874.52</v>
      </c>
      <c r="H289" s="11">
        <v>61.19</v>
      </c>
      <c r="I289" s="9" t="b">
        <f>TRUE()</f>
        <v>1</v>
      </c>
      <c r="J289" s="9" t="s">
        <v>1361</v>
      </c>
      <c r="K289" s="11">
        <v>61.19</v>
      </c>
      <c r="L289" s="9" t="s">
        <v>20</v>
      </c>
      <c r="M289" s="9" t="str">
        <f>IFERROR(INDEX(T_CleanCustomers[Sales_Rep_ID],MATCH(B289,T_CleanCustomers[Customer_ID],0)),"Unmatched")</f>
        <v>REP001</v>
      </c>
      <c r="N289" s="9" t="str">
        <f>IFERROR(INDEX(T_CleanCustomers[Channel],MATCH(B289,T_CleanCustomers[Customer_ID],0)),"Unmatched")</f>
        <v>Telesales</v>
      </c>
      <c r="O289" s="9" t="str">
        <f>IFERROR(INDEX(T_CleanCustomers[Product],MATCH(B289,T_CleanCustomers[Customer_ID],0)),"Unmatched")</f>
        <v>Fuel Card</v>
      </c>
      <c r="P289" s="9" t="str">
        <f>IFERROR(INDEX(T_CleanCustomers[Customer_Segment],MATCH(B289,T_CleanCustomers[Customer_ID],0)),"Unmatched")</f>
        <v>SME</v>
      </c>
    </row>
    <row r="290" spans="1:16" ht="15" customHeight="1" x14ac:dyDescent="0.2">
      <c r="A290" s="9" t="s">
        <v>1650</v>
      </c>
      <c r="B290" s="9" t="s">
        <v>1180</v>
      </c>
      <c r="C290" s="9" t="b">
        <f>TRUE()</f>
        <v>1</v>
      </c>
      <c r="D290" s="10">
        <v>45997</v>
      </c>
      <c r="E290" s="10">
        <v>45992</v>
      </c>
      <c r="F290" s="9" t="s">
        <v>1360</v>
      </c>
      <c r="G290" s="11">
        <v>4018.71</v>
      </c>
      <c r="H290" s="11">
        <v>105.21</v>
      </c>
      <c r="I290" s="9" t="b">
        <f>TRUE()</f>
        <v>1</v>
      </c>
      <c r="J290" s="9" t="s">
        <v>1361</v>
      </c>
      <c r="K290" s="11">
        <v>105.21</v>
      </c>
      <c r="L290" s="9" t="s">
        <v>20</v>
      </c>
      <c r="M290" s="9" t="str">
        <f>IFERROR(INDEX(T_CleanCustomers[Sales_Rep_ID],MATCH(B290,T_CleanCustomers[Customer_ID],0)),"Unmatched")</f>
        <v>REP001</v>
      </c>
      <c r="N290" s="9" t="str">
        <f>IFERROR(INDEX(T_CleanCustomers[Channel],MATCH(B290,T_CleanCustomers[Customer_ID],0)),"Unmatched")</f>
        <v>Telesales</v>
      </c>
      <c r="O290" s="9" t="str">
        <f>IFERROR(INDEX(T_CleanCustomers[Product],MATCH(B290,T_CleanCustomers[Customer_ID],0)),"Unmatched")</f>
        <v>Fuel Card</v>
      </c>
      <c r="P290" s="9" t="str">
        <f>IFERROR(INDEX(T_CleanCustomers[Customer_Segment],MATCH(B290,T_CleanCustomers[Customer_ID],0)),"Unmatched")</f>
        <v>SME</v>
      </c>
    </row>
    <row r="291" spans="1:16" ht="15" customHeight="1" x14ac:dyDescent="0.2">
      <c r="A291" s="9" t="s">
        <v>1651</v>
      </c>
      <c r="B291" s="9" t="s">
        <v>1180</v>
      </c>
      <c r="C291" s="9" t="b">
        <f>TRUE()</f>
        <v>1</v>
      </c>
      <c r="D291" s="10">
        <v>46000</v>
      </c>
      <c r="E291" s="10">
        <v>45992</v>
      </c>
      <c r="F291" s="9" t="s">
        <v>1360</v>
      </c>
      <c r="G291" s="11">
        <v>4029.68</v>
      </c>
      <c r="H291" s="11">
        <v>109.23</v>
      </c>
      <c r="I291" s="9" t="b">
        <f>TRUE()</f>
        <v>1</v>
      </c>
      <c r="J291" s="9" t="s">
        <v>1361</v>
      </c>
      <c r="K291" s="11">
        <v>109.23</v>
      </c>
      <c r="L291" s="9" t="s">
        <v>20</v>
      </c>
      <c r="M291" s="9" t="str">
        <f>IFERROR(INDEX(T_CleanCustomers[Sales_Rep_ID],MATCH(B291,T_CleanCustomers[Customer_ID],0)),"Unmatched")</f>
        <v>REP001</v>
      </c>
      <c r="N291" s="9" t="str">
        <f>IFERROR(INDEX(T_CleanCustomers[Channel],MATCH(B291,T_CleanCustomers[Customer_ID],0)),"Unmatched")</f>
        <v>Telesales</v>
      </c>
      <c r="O291" s="9" t="str">
        <f>IFERROR(INDEX(T_CleanCustomers[Product],MATCH(B291,T_CleanCustomers[Customer_ID],0)),"Unmatched")</f>
        <v>Fuel Card</v>
      </c>
      <c r="P291" s="9" t="str">
        <f>IFERROR(INDEX(T_CleanCustomers[Customer_Segment],MATCH(B291,T_CleanCustomers[Customer_ID],0)),"Unmatched")</f>
        <v>SME</v>
      </c>
    </row>
    <row r="292" spans="1:16" ht="15" customHeight="1" x14ac:dyDescent="0.2">
      <c r="A292" s="9" t="s">
        <v>1652</v>
      </c>
      <c r="B292" s="9" t="s">
        <v>1181</v>
      </c>
      <c r="C292" s="9" t="b">
        <f>TRUE()</f>
        <v>1</v>
      </c>
      <c r="D292" s="10">
        <v>46022</v>
      </c>
      <c r="E292" s="10">
        <v>45992</v>
      </c>
      <c r="F292" s="9" t="s">
        <v>1360</v>
      </c>
      <c r="G292" s="11">
        <v>55762.05</v>
      </c>
      <c r="H292" s="11">
        <v>1432.1</v>
      </c>
      <c r="I292" s="9" t="b">
        <f>TRUE()</f>
        <v>1</v>
      </c>
      <c r="J292" s="9" t="s">
        <v>1361</v>
      </c>
      <c r="K292" s="11">
        <v>1432.1</v>
      </c>
      <c r="L292" s="9" t="s">
        <v>20</v>
      </c>
      <c r="M292" s="9" t="str">
        <f>IFERROR(INDEX(T_CleanCustomers[Sales_Rep_ID],MATCH(B292,T_CleanCustomers[Customer_ID],0)),"Unmatched")</f>
        <v>REP003</v>
      </c>
      <c r="N292" s="9" t="str">
        <f>IFERROR(INDEX(T_CleanCustomers[Channel],MATCH(B292,T_CleanCustomers[Customer_ID],0)),"Unmatched")</f>
        <v>Partner</v>
      </c>
      <c r="O292" s="9" t="str">
        <f>IFERROR(INDEX(T_CleanCustomers[Product],MATCH(B292,T_CleanCustomers[Customer_ID],0)),"Unmatched")</f>
        <v>Fuel Card</v>
      </c>
      <c r="P292" s="9" t="str">
        <f>IFERROR(INDEX(T_CleanCustomers[Customer_Segment],MATCH(B292,T_CleanCustomers[Customer_ID],0)),"Unmatched")</f>
        <v>Enterprise</v>
      </c>
    </row>
    <row r="293" spans="1:16" ht="15" customHeight="1" x14ac:dyDescent="0.2">
      <c r="A293" s="9" t="s">
        <v>1653</v>
      </c>
      <c r="B293" s="9" t="s">
        <v>1181</v>
      </c>
      <c r="C293" s="9" t="b">
        <f>TRUE()</f>
        <v>1</v>
      </c>
      <c r="D293" s="10">
        <v>46018</v>
      </c>
      <c r="E293" s="10">
        <v>45992</v>
      </c>
      <c r="F293" s="9" t="s">
        <v>1360</v>
      </c>
      <c r="G293" s="11">
        <v>23045.43</v>
      </c>
      <c r="H293" s="11">
        <v>637.39</v>
      </c>
      <c r="I293" s="9" t="b">
        <f>TRUE()</f>
        <v>1</v>
      </c>
      <c r="J293" s="9" t="s">
        <v>1361</v>
      </c>
      <c r="K293" s="11">
        <v>637.39</v>
      </c>
      <c r="L293" s="9" t="s">
        <v>20</v>
      </c>
      <c r="M293" s="9" t="str">
        <f>IFERROR(INDEX(T_CleanCustomers[Sales_Rep_ID],MATCH(B293,T_CleanCustomers[Customer_ID],0)),"Unmatched")</f>
        <v>REP003</v>
      </c>
      <c r="N293" s="9" t="str">
        <f>IFERROR(INDEX(T_CleanCustomers[Channel],MATCH(B293,T_CleanCustomers[Customer_ID],0)),"Unmatched")</f>
        <v>Partner</v>
      </c>
      <c r="O293" s="9" t="str">
        <f>IFERROR(INDEX(T_CleanCustomers[Product],MATCH(B293,T_CleanCustomers[Customer_ID],0)),"Unmatched")</f>
        <v>Fuel Card</v>
      </c>
      <c r="P293" s="9" t="str">
        <f>IFERROR(INDEX(T_CleanCustomers[Customer_Segment],MATCH(B293,T_CleanCustomers[Customer_ID],0)),"Unmatched")</f>
        <v>Enterprise</v>
      </c>
    </row>
    <row r="294" spans="1:16" ht="15" customHeight="1" x14ac:dyDescent="0.2">
      <c r="A294" s="9" t="s">
        <v>1654</v>
      </c>
      <c r="B294" s="9" t="s">
        <v>1182</v>
      </c>
      <c r="C294" s="9" t="b">
        <f>TRUE()</f>
        <v>1</v>
      </c>
      <c r="D294" s="10">
        <v>45913</v>
      </c>
      <c r="E294" s="10">
        <v>45901</v>
      </c>
      <c r="F294" s="9" t="s">
        <v>1360</v>
      </c>
      <c r="G294" s="11">
        <v>3252.77</v>
      </c>
      <c r="H294" s="11">
        <v>92.1</v>
      </c>
      <c r="I294" s="9" t="b">
        <f>TRUE()</f>
        <v>1</v>
      </c>
      <c r="J294" s="9" t="s">
        <v>1361</v>
      </c>
      <c r="K294" s="11">
        <v>92.1</v>
      </c>
      <c r="L294" s="9" t="s">
        <v>18</v>
      </c>
      <c r="M294" s="9" t="str">
        <f>IFERROR(INDEX(T_CleanCustomers[Sales_Rep_ID],MATCH(B294,T_CleanCustomers[Customer_ID],0)),"Unmatched")</f>
        <v>REP010</v>
      </c>
      <c r="N294" s="9" t="str">
        <f>IFERROR(INDEX(T_CleanCustomers[Channel],MATCH(B294,T_CleanCustomers[Customer_ID],0)),"Unmatched")</f>
        <v>Direct Sales</v>
      </c>
      <c r="O294" s="9" t="str">
        <f>IFERROR(INDEX(T_CleanCustomers[Product],MATCH(B294,T_CleanCustomers[Customer_ID],0)),"Unmatched")</f>
        <v>Fuel Card</v>
      </c>
      <c r="P294" s="9" t="str">
        <f>IFERROR(INDEX(T_CleanCustomers[Customer_Segment],MATCH(B294,T_CleanCustomers[Customer_ID],0)),"Unmatched")</f>
        <v>SME</v>
      </c>
    </row>
    <row r="295" spans="1:16" ht="15" customHeight="1" x14ac:dyDescent="0.2">
      <c r="A295" s="9" t="s">
        <v>1655</v>
      </c>
      <c r="B295" s="9" t="s">
        <v>1182</v>
      </c>
      <c r="C295" s="9" t="b">
        <f>TRUE()</f>
        <v>1</v>
      </c>
      <c r="D295" s="10">
        <v>45910</v>
      </c>
      <c r="E295" s="10">
        <v>45901</v>
      </c>
      <c r="F295" s="9" t="s">
        <v>1360</v>
      </c>
      <c r="G295" s="11">
        <v>1377.05</v>
      </c>
      <c r="H295" s="11">
        <v>30.81</v>
      </c>
      <c r="I295" s="9" t="b">
        <f>TRUE()</f>
        <v>1</v>
      </c>
      <c r="J295" s="9" t="s">
        <v>1361</v>
      </c>
      <c r="K295" s="11">
        <v>30.81</v>
      </c>
      <c r="L295" s="9" t="s">
        <v>18</v>
      </c>
      <c r="M295" s="9" t="str">
        <f>IFERROR(INDEX(T_CleanCustomers[Sales_Rep_ID],MATCH(B295,T_CleanCustomers[Customer_ID],0)),"Unmatched")</f>
        <v>REP010</v>
      </c>
      <c r="N295" s="9" t="str">
        <f>IFERROR(INDEX(T_CleanCustomers[Channel],MATCH(B295,T_CleanCustomers[Customer_ID],0)),"Unmatched")</f>
        <v>Direct Sales</v>
      </c>
      <c r="O295" s="9" t="str">
        <f>IFERROR(INDEX(T_CleanCustomers[Product],MATCH(B295,T_CleanCustomers[Customer_ID],0)),"Unmatched")</f>
        <v>Fuel Card</v>
      </c>
      <c r="P295" s="9" t="str">
        <f>IFERROR(INDEX(T_CleanCustomers[Customer_Segment],MATCH(B295,T_CleanCustomers[Customer_ID],0)),"Unmatched")</f>
        <v>SME</v>
      </c>
    </row>
    <row r="296" spans="1:16" ht="15" customHeight="1" x14ac:dyDescent="0.2">
      <c r="A296" s="9" t="s">
        <v>1656</v>
      </c>
      <c r="B296" s="9" t="s">
        <v>1182</v>
      </c>
      <c r="C296" s="9" t="b">
        <f>TRUE()</f>
        <v>1</v>
      </c>
      <c r="D296" s="10">
        <v>45922</v>
      </c>
      <c r="E296" s="10">
        <v>45901</v>
      </c>
      <c r="F296" s="9" t="s">
        <v>1360</v>
      </c>
      <c r="G296" s="11">
        <v>4022.5</v>
      </c>
      <c r="H296" s="11">
        <v>98.89</v>
      </c>
      <c r="I296" s="9" t="b">
        <f>TRUE()</f>
        <v>1</v>
      </c>
      <c r="J296" s="9" t="s">
        <v>1361</v>
      </c>
      <c r="K296" s="11">
        <v>98.89</v>
      </c>
      <c r="L296" s="9" t="s">
        <v>18</v>
      </c>
      <c r="M296" s="9" t="str">
        <f>IFERROR(INDEX(T_CleanCustomers[Sales_Rep_ID],MATCH(B296,T_CleanCustomers[Customer_ID],0)),"Unmatched")</f>
        <v>REP010</v>
      </c>
      <c r="N296" s="9" t="str">
        <f>IFERROR(INDEX(T_CleanCustomers[Channel],MATCH(B296,T_CleanCustomers[Customer_ID],0)),"Unmatched")</f>
        <v>Direct Sales</v>
      </c>
      <c r="O296" s="9" t="str">
        <f>IFERROR(INDEX(T_CleanCustomers[Product],MATCH(B296,T_CleanCustomers[Customer_ID],0)),"Unmatched")</f>
        <v>Fuel Card</v>
      </c>
      <c r="P296" s="9" t="str">
        <f>IFERROR(INDEX(T_CleanCustomers[Customer_Segment],MATCH(B296,T_CleanCustomers[Customer_ID],0)),"Unmatched")</f>
        <v>SME</v>
      </c>
    </row>
    <row r="297" spans="1:16" ht="15" customHeight="1" x14ac:dyDescent="0.2">
      <c r="A297" s="9" t="s">
        <v>1657</v>
      </c>
      <c r="B297" s="9" t="s">
        <v>1182</v>
      </c>
      <c r="C297" s="9" t="b">
        <f>TRUE()</f>
        <v>1</v>
      </c>
      <c r="D297" s="10">
        <v>45950</v>
      </c>
      <c r="E297" s="10">
        <v>45931</v>
      </c>
      <c r="F297" s="9" t="s">
        <v>1360</v>
      </c>
      <c r="G297" s="11">
        <v>5185.1000000000004</v>
      </c>
      <c r="H297" s="11">
        <v>116.06</v>
      </c>
      <c r="I297" s="9" t="b">
        <f>TRUE()</f>
        <v>1</v>
      </c>
      <c r="J297" s="9" t="s">
        <v>1361</v>
      </c>
      <c r="K297" s="11">
        <v>116.06</v>
      </c>
      <c r="L297" s="9" t="s">
        <v>18</v>
      </c>
      <c r="M297" s="9" t="str">
        <f>IFERROR(INDEX(T_CleanCustomers[Sales_Rep_ID],MATCH(B297,T_CleanCustomers[Customer_ID],0)),"Unmatched")</f>
        <v>REP010</v>
      </c>
      <c r="N297" s="9" t="str">
        <f>IFERROR(INDEX(T_CleanCustomers[Channel],MATCH(B297,T_CleanCustomers[Customer_ID],0)),"Unmatched")</f>
        <v>Direct Sales</v>
      </c>
      <c r="O297" s="9" t="str">
        <f>IFERROR(INDEX(T_CleanCustomers[Product],MATCH(B297,T_CleanCustomers[Customer_ID],0)),"Unmatched")</f>
        <v>Fuel Card</v>
      </c>
      <c r="P297" s="9" t="str">
        <f>IFERROR(INDEX(T_CleanCustomers[Customer_Segment],MATCH(B297,T_CleanCustomers[Customer_ID],0)),"Unmatched")</f>
        <v>SME</v>
      </c>
    </row>
    <row r="298" spans="1:16" ht="15" customHeight="1" x14ac:dyDescent="0.2">
      <c r="A298" s="9" t="s">
        <v>1658</v>
      </c>
      <c r="B298" s="9" t="s">
        <v>1182</v>
      </c>
      <c r="C298" s="9" t="b">
        <f>TRUE()</f>
        <v>1</v>
      </c>
      <c r="D298" s="10">
        <v>45984</v>
      </c>
      <c r="E298" s="10">
        <v>45962</v>
      </c>
      <c r="F298" s="9" t="s">
        <v>1360</v>
      </c>
      <c r="G298" s="11">
        <v>1640.27</v>
      </c>
      <c r="H298" s="11">
        <v>43.01</v>
      </c>
      <c r="I298" s="9" t="b">
        <f>TRUE()</f>
        <v>1</v>
      </c>
      <c r="J298" s="9" t="s">
        <v>1361</v>
      </c>
      <c r="K298" s="11">
        <v>43.01</v>
      </c>
      <c r="L298" s="9" t="s">
        <v>18</v>
      </c>
      <c r="M298" s="9" t="str">
        <f>IFERROR(INDEX(T_CleanCustomers[Sales_Rep_ID],MATCH(B298,T_CleanCustomers[Customer_ID],0)),"Unmatched")</f>
        <v>REP010</v>
      </c>
      <c r="N298" s="9" t="str">
        <f>IFERROR(INDEX(T_CleanCustomers[Channel],MATCH(B298,T_CleanCustomers[Customer_ID],0)),"Unmatched")</f>
        <v>Direct Sales</v>
      </c>
      <c r="O298" s="9" t="str">
        <f>IFERROR(INDEX(T_CleanCustomers[Product],MATCH(B298,T_CleanCustomers[Customer_ID],0)),"Unmatched")</f>
        <v>Fuel Card</v>
      </c>
      <c r="P298" s="9" t="str">
        <f>IFERROR(INDEX(T_CleanCustomers[Customer_Segment],MATCH(B298,T_CleanCustomers[Customer_ID],0)),"Unmatched")</f>
        <v>SME</v>
      </c>
    </row>
    <row r="299" spans="1:16" ht="15" customHeight="1" x14ac:dyDescent="0.2">
      <c r="A299" s="9" t="s">
        <v>1659</v>
      </c>
      <c r="B299" s="9" t="s">
        <v>1182</v>
      </c>
      <c r="C299" s="9" t="b">
        <f>TRUE()</f>
        <v>1</v>
      </c>
      <c r="D299" s="10">
        <v>45966</v>
      </c>
      <c r="E299" s="10">
        <v>45962</v>
      </c>
      <c r="F299" s="9" t="s">
        <v>1360</v>
      </c>
      <c r="G299" s="11">
        <v>3554.51</v>
      </c>
      <c r="H299" s="11">
        <v>80.17</v>
      </c>
      <c r="I299" s="9" t="b">
        <f>TRUE()</f>
        <v>1</v>
      </c>
      <c r="J299" s="9" t="s">
        <v>1361</v>
      </c>
      <c r="K299" s="11">
        <v>80.17</v>
      </c>
      <c r="L299" s="9" t="s">
        <v>18</v>
      </c>
      <c r="M299" s="9" t="str">
        <f>IFERROR(INDEX(T_CleanCustomers[Sales_Rep_ID],MATCH(B299,T_CleanCustomers[Customer_ID],0)),"Unmatched")</f>
        <v>REP010</v>
      </c>
      <c r="N299" s="9" t="str">
        <f>IFERROR(INDEX(T_CleanCustomers[Channel],MATCH(B299,T_CleanCustomers[Customer_ID],0)),"Unmatched")</f>
        <v>Direct Sales</v>
      </c>
      <c r="O299" s="9" t="str">
        <f>IFERROR(INDEX(T_CleanCustomers[Product],MATCH(B299,T_CleanCustomers[Customer_ID],0)),"Unmatched")</f>
        <v>Fuel Card</v>
      </c>
      <c r="P299" s="9" t="str">
        <f>IFERROR(INDEX(T_CleanCustomers[Customer_Segment],MATCH(B299,T_CleanCustomers[Customer_ID],0)),"Unmatched")</f>
        <v>SME</v>
      </c>
    </row>
    <row r="300" spans="1:16" ht="15" customHeight="1" x14ac:dyDescent="0.2">
      <c r="A300" s="9" t="s">
        <v>1660</v>
      </c>
      <c r="B300" s="9" t="s">
        <v>1182</v>
      </c>
      <c r="C300" s="9" t="b">
        <f>TRUE()</f>
        <v>1</v>
      </c>
      <c r="D300" s="10">
        <v>45981</v>
      </c>
      <c r="E300" s="10">
        <v>45962</v>
      </c>
      <c r="F300" s="9" t="s">
        <v>1360</v>
      </c>
      <c r="G300" s="11">
        <v>2205.59</v>
      </c>
      <c r="H300" s="11">
        <v>56.87</v>
      </c>
      <c r="I300" s="9" t="b">
        <f>TRUE()</f>
        <v>1</v>
      </c>
      <c r="J300" s="9" t="s">
        <v>1361</v>
      </c>
      <c r="K300" s="11">
        <v>56.87</v>
      </c>
      <c r="L300" s="9" t="s">
        <v>18</v>
      </c>
      <c r="M300" s="9" t="str">
        <f>IFERROR(INDEX(T_CleanCustomers[Sales_Rep_ID],MATCH(B300,T_CleanCustomers[Customer_ID],0)),"Unmatched")</f>
        <v>REP010</v>
      </c>
      <c r="N300" s="9" t="str">
        <f>IFERROR(INDEX(T_CleanCustomers[Channel],MATCH(B300,T_CleanCustomers[Customer_ID],0)),"Unmatched")</f>
        <v>Direct Sales</v>
      </c>
      <c r="O300" s="9" t="str">
        <f>IFERROR(INDEX(T_CleanCustomers[Product],MATCH(B300,T_CleanCustomers[Customer_ID],0)),"Unmatched")</f>
        <v>Fuel Card</v>
      </c>
      <c r="P300" s="9" t="str">
        <f>IFERROR(INDEX(T_CleanCustomers[Customer_Segment],MATCH(B300,T_CleanCustomers[Customer_ID],0)),"Unmatched")</f>
        <v>SME</v>
      </c>
    </row>
    <row r="301" spans="1:16" ht="15" customHeight="1" x14ac:dyDescent="0.2">
      <c r="A301" s="9" t="s">
        <v>1661</v>
      </c>
      <c r="B301" s="9" t="s">
        <v>1182</v>
      </c>
      <c r="C301" s="9" t="b">
        <f>TRUE()</f>
        <v>1</v>
      </c>
      <c r="D301" s="10">
        <v>45996</v>
      </c>
      <c r="E301" s="10">
        <v>45992</v>
      </c>
      <c r="F301" s="9" t="s">
        <v>1360</v>
      </c>
      <c r="G301" s="11">
        <v>3381.69</v>
      </c>
      <c r="H301" s="11">
        <v>85.49</v>
      </c>
      <c r="I301" s="9" t="b">
        <f>TRUE()</f>
        <v>1</v>
      </c>
      <c r="J301" s="9" t="s">
        <v>1361</v>
      </c>
      <c r="K301" s="11">
        <v>85.49</v>
      </c>
      <c r="L301" s="9" t="s">
        <v>18</v>
      </c>
      <c r="M301" s="9" t="str">
        <f>IFERROR(INDEX(T_CleanCustomers[Sales_Rep_ID],MATCH(B301,T_CleanCustomers[Customer_ID],0)),"Unmatched")</f>
        <v>REP010</v>
      </c>
      <c r="N301" s="9" t="str">
        <f>IFERROR(INDEX(T_CleanCustomers[Channel],MATCH(B301,T_CleanCustomers[Customer_ID],0)),"Unmatched")</f>
        <v>Direct Sales</v>
      </c>
      <c r="O301" s="9" t="str">
        <f>IFERROR(INDEX(T_CleanCustomers[Product],MATCH(B301,T_CleanCustomers[Customer_ID],0)),"Unmatched")</f>
        <v>Fuel Card</v>
      </c>
      <c r="P301" s="9" t="str">
        <f>IFERROR(INDEX(T_CleanCustomers[Customer_Segment],MATCH(B301,T_CleanCustomers[Customer_ID],0)),"Unmatched")</f>
        <v>SME</v>
      </c>
    </row>
    <row r="302" spans="1:16" ht="15" customHeight="1" x14ac:dyDescent="0.2">
      <c r="A302" s="9" t="s">
        <v>1662</v>
      </c>
      <c r="B302" s="9" t="s">
        <v>1183</v>
      </c>
      <c r="C302" s="9" t="b">
        <f>TRUE()</f>
        <v>1</v>
      </c>
      <c r="D302" s="10">
        <v>45789</v>
      </c>
      <c r="E302" s="10">
        <v>45778</v>
      </c>
      <c r="F302" s="9" t="s">
        <v>1373</v>
      </c>
      <c r="G302" s="11">
        <v>6880.47</v>
      </c>
      <c r="H302" s="11">
        <v>139.66</v>
      </c>
      <c r="I302" s="9" t="b">
        <f>TRUE()</f>
        <v>1</v>
      </c>
      <c r="J302" s="9" t="s">
        <v>1361</v>
      </c>
      <c r="K302" s="11">
        <v>139.66</v>
      </c>
      <c r="L302" s="9" t="s">
        <v>19</v>
      </c>
      <c r="M302" s="9" t="str">
        <f>IFERROR(INDEX(T_CleanCustomers[Sales_Rep_ID],MATCH(B302,T_CleanCustomers[Customer_ID],0)),"Unmatched")</f>
        <v>REP014</v>
      </c>
      <c r="N302" s="9" t="str">
        <f>IFERROR(INDEX(T_CleanCustomers[Channel],MATCH(B302,T_CleanCustomers[Customer_ID],0)),"Unmatched")</f>
        <v>Direct Sales</v>
      </c>
      <c r="O302" s="9" t="str">
        <f>IFERROR(INDEX(T_CleanCustomers[Product],MATCH(B302,T_CleanCustomers[Customer_ID],0)),"Unmatched")</f>
        <v>Toll Solution</v>
      </c>
      <c r="P302" s="9" t="str">
        <f>IFERROR(INDEX(T_CleanCustomers[Customer_Segment],MATCH(B302,T_CleanCustomers[Customer_ID],0)),"Unmatched")</f>
        <v>Mid-Market</v>
      </c>
    </row>
    <row r="303" spans="1:16" ht="15" customHeight="1" x14ac:dyDescent="0.2">
      <c r="A303" s="9" t="s">
        <v>1663</v>
      </c>
      <c r="B303" s="9" t="s">
        <v>1183</v>
      </c>
      <c r="C303" s="9" t="b">
        <f>TRUE()</f>
        <v>1</v>
      </c>
      <c r="D303" s="10">
        <v>45789</v>
      </c>
      <c r="E303" s="10">
        <v>45778</v>
      </c>
      <c r="F303" s="9" t="s">
        <v>1373</v>
      </c>
      <c r="G303" s="11">
        <v>6880.2</v>
      </c>
      <c r="H303" s="11">
        <v>124.07</v>
      </c>
      <c r="I303" s="9" t="b">
        <f>TRUE()</f>
        <v>1</v>
      </c>
      <c r="J303" s="9" t="s">
        <v>1361</v>
      </c>
      <c r="K303" s="11">
        <v>124.07</v>
      </c>
      <c r="L303" s="9" t="s">
        <v>19</v>
      </c>
      <c r="M303" s="9" t="str">
        <f>IFERROR(INDEX(T_CleanCustomers[Sales_Rep_ID],MATCH(B303,T_CleanCustomers[Customer_ID],0)),"Unmatched")</f>
        <v>REP014</v>
      </c>
      <c r="N303" s="9" t="str">
        <f>IFERROR(INDEX(T_CleanCustomers[Channel],MATCH(B303,T_CleanCustomers[Customer_ID],0)),"Unmatched")</f>
        <v>Direct Sales</v>
      </c>
      <c r="O303" s="9" t="str">
        <f>IFERROR(INDEX(T_CleanCustomers[Product],MATCH(B303,T_CleanCustomers[Customer_ID],0)),"Unmatched")</f>
        <v>Toll Solution</v>
      </c>
      <c r="P303" s="9" t="str">
        <f>IFERROR(INDEX(T_CleanCustomers[Customer_Segment],MATCH(B303,T_CleanCustomers[Customer_ID],0)),"Unmatched")</f>
        <v>Mid-Market</v>
      </c>
    </row>
    <row r="304" spans="1:16" ht="15" customHeight="1" x14ac:dyDescent="0.2">
      <c r="A304" s="9" t="s">
        <v>1664</v>
      </c>
      <c r="B304" s="9" t="s">
        <v>1183</v>
      </c>
      <c r="C304" s="9" t="b">
        <f>TRUE()</f>
        <v>1</v>
      </c>
      <c r="D304" s="10">
        <v>45827</v>
      </c>
      <c r="E304" s="10">
        <v>45809</v>
      </c>
      <c r="F304" s="9" t="s">
        <v>1373</v>
      </c>
      <c r="G304" s="11">
        <v>6614.62</v>
      </c>
      <c r="H304" s="11">
        <v>107.78</v>
      </c>
      <c r="I304" s="9" t="b">
        <f>TRUE()</f>
        <v>1</v>
      </c>
      <c r="J304" s="9" t="s">
        <v>1361</v>
      </c>
      <c r="K304" s="11">
        <v>107.78</v>
      </c>
      <c r="L304" s="9" t="s">
        <v>19</v>
      </c>
      <c r="M304" s="9" t="str">
        <f>IFERROR(INDEX(T_CleanCustomers[Sales_Rep_ID],MATCH(B304,T_CleanCustomers[Customer_ID],0)),"Unmatched")</f>
        <v>REP014</v>
      </c>
      <c r="N304" s="9" t="str">
        <f>IFERROR(INDEX(T_CleanCustomers[Channel],MATCH(B304,T_CleanCustomers[Customer_ID],0)),"Unmatched")</f>
        <v>Direct Sales</v>
      </c>
      <c r="O304" s="9" t="str">
        <f>IFERROR(INDEX(T_CleanCustomers[Product],MATCH(B304,T_CleanCustomers[Customer_ID],0)),"Unmatched")</f>
        <v>Toll Solution</v>
      </c>
      <c r="P304" s="9" t="str">
        <f>IFERROR(INDEX(T_CleanCustomers[Customer_Segment],MATCH(B304,T_CleanCustomers[Customer_ID],0)),"Unmatched")</f>
        <v>Mid-Market</v>
      </c>
    </row>
    <row r="305" spans="1:16" ht="15" customHeight="1" x14ac:dyDescent="0.2">
      <c r="A305" s="9" t="s">
        <v>1665</v>
      </c>
      <c r="B305" s="9" t="s">
        <v>1183</v>
      </c>
      <c r="C305" s="9" t="b">
        <f>TRUE()</f>
        <v>1</v>
      </c>
      <c r="D305" s="10">
        <v>45809</v>
      </c>
      <c r="E305" s="10">
        <v>45809</v>
      </c>
      <c r="F305" s="9" t="s">
        <v>1373</v>
      </c>
      <c r="G305" s="11">
        <v>11921.74</v>
      </c>
      <c r="H305" s="11">
        <v>240.43</v>
      </c>
      <c r="I305" s="9" t="b">
        <f>TRUE()</f>
        <v>1</v>
      </c>
      <c r="J305" s="9" t="s">
        <v>1361</v>
      </c>
      <c r="K305" s="11">
        <v>240.43</v>
      </c>
      <c r="L305" s="9" t="s">
        <v>19</v>
      </c>
      <c r="M305" s="9" t="str">
        <f>IFERROR(INDEX(T_CleanCustomers[Sales_Rep_ID],MATCH(B305,T_CleanCustomers[Customer_ID],0)),"Unmatched")</f>
        <v>REP014</v>
      </c>
      <c r="N305" s="9" t="str">
        <f>IFERROR(INDEX(T_CleanCustomers[Channel],MATCH(B305,T_CleanCustomers[Customer_ID],0)),"Unmatched")</f>
        <v>Direct Sales</v>
      </c>
      <c r="O305" s="9" t="str">
        <f>IFERROR(INDEX(T_CleanCustomers[Product],MATCH(B305,T_CleanCustomers[Customer_ID],0)),"Unmatched")</f>
        <v>Toll Solution</v>
      </c>
      <c r="P305" s="9" t="str">
        <f>IFERROR(INDEX(T_CleanCustomers[Customer_Segment],MATCH(B305,T_CleanCustomers[Customer_ID],0)),"Unmatched")</f>
        <v>Mid-Market</v>
      </c>
    </row>
    <row r="306" spans="1:16" ht="15" customHeight="1" x14ac:dyDescent="0.2">
      <c r="A306" s="9" t="s">
        <v>1666</v>
      </c>
      <c r="B306" s="9" t="s">
        <v>1183</v>
      </c>
      <c r="C306" s="9" t="b">
        <f>TRUE()</f>
        <v>1</v>
      </c>
      <c r="D306" s="10">
        <v>45836</v>
      </c>
      <c r="E306" s="10">
        <v>45809</v>
      </c>
      <c r="F306" s="9" t="s">
        <v>1373</v>
      </c>
      <c r="G306" s="11">
        <v>12653.88</v>
      </c>
      <c r="H306" s="11">
        <v>243.03</v>
      </c>
      <c r="I306" s="9" t="b">
        <f>TRUE()</f>
        <v>1</v>
      </c>
      <c r="J306" s="9" t="s">
        <v>1361</v>
      </c>
      <c r="K306" s="11">
        <v>243.03</v>
      </c>
      <c r="L306" s="9" t="s">
        <v>19</v>
      </c>
      <c r="M306" s="9" t="str">
        <f>IFERROR(INDEX(T_CleanCustomers[Sales_Rep_ID],MATCH(B306,T_CleanCustomers[Customer_ID],0)),"Unmatched")</f>
        <v>REP014</v>
      </c>
      <c r="N306" s="9" t="str">
        <f>IFERROR(INDEX(T_CleanCustomers[Channel],MATCH(B306,T_CleanCustomers[Customer_ID],0)),"Unmatched")</f>
        <v>Direct Sales</v>
      </c>
      <c r="O306" s="9" t="str">
        <f>IFERROR(INDEX(T_CleanCustomers[Product],MATCH(B306,T_CleanCustomers[Customer_ID],0)),"Unmatched")</f>
        <v>Toll Solution</v>
      </c>
      <c r="P306" s="9" t="str">
        <f>IFERROR(INDEX(T_CleanCustomers[Customer_Segment],MATCH(B306,T_CleanCustomers[Customer_ID],0)),"Unmatched")</f>
        <v>Mid-Market</v>
      </c>
    </row>
    <row r="307" spans="1:16" ht="15" customHeight="1" x14ac:dyDescent="0.2">
      <c r="A307" s="9" t="s">
        <v>1667</v>
      </c>
      <c r="B307" s="9" t="s">
        <v>1183</v>
      </c>
      <c r="C307" s="9" t="b">
        <f>TRUE()</f>
        <v>1</v>
      </c>
      <c r="D307" s="10">
        <v>45865</v>
      </c>
      <c r="E307" s="10">
        <v>45839</v>
      </c>
      <c r="F307" s="9" t="s">
        <v>1373</v>
      </c>
      <c r="G307" s="11">
        <v>7612.21</v>
      </c>
      <c r="H307" s="11">
        <v>126.84</v>
      </c>
      <c r="I307" s="9" t="b">
        <f>TRUE()</f>
        <v>1</v>
      </c>
      <c r="J307" s="9" t="s">
        <v>1361</v>
      </c>
      <c r="K307" s="11">
        <v>126.84</v>
      </c>
      <c r="L307" s="9" t="s">
        <v>19</v>
      </c>
      <c r="M307" s="9" t="str">
        <f>IFERROR(INDEX(T_CleanCustomers[Sales_Rep_ID],MATCH(B307,T_CleanCustomers[Customer_ID],0)),"Unmatched")</f>
        <v>REP014</v>
      </c>
      <c r="N307" s="9" t="str">
        <f>IFERROR(INDEX(T_CleanCustomers[Channel],MATCH(B307,T_CleanCustomers[Customer_ID],0)),"Unmatched")</f>
        <v>Direct Sales</v>
      </c>
      <c r="O307" s="9" t="str">
        <f>IFERROR(INDEX(T_CleanCustomers[Product],MATCH(B307,T_CleanCustomers[Customer_ID],0)),"Unmatched")</f>
        <v>Toll Solution</v>
      </c>
      <c r="P307" s="9" t="str">
        <f>IFERROR(INDEX(T_CleanCustomers[Customer_Segment],MATCH(B307,T_CleanCustomers[Customer_ID],0)),"Unmatched")</f>
        <v>Mid-Market</v>
      </c>
    </row>
    <row r="308" spans="1:16" ht="15" customHeight="1" x14ac:dyDescent="0.2">
      <c r="A308" s="9" t="s">
        <v>1668</v>
      </c>
      <c r="B308" s="9" t="s">
        <v>1183</v>
      </c>
      <c r="C308" s="9" t="b">
        <f>TRUE()</f>
        <v>1</v>
      </c>
      <c r="D308" s="10">
        <v>45858</v>
      </c>
      <c r="E308" s="10">
        <v>45839</v>
      </c>
      <c r="F308" s="9" t="s">
        <v>1373</v>
      </c>
      <c r="G308" s="11">
        <v>4308.37</v>
      </c>
      <c r="H308" s="11">
        <v>73.69</v>
      </c>
      <c r="I308" s="9" t="b">
        <f>TRUE()</f>
        <v>1</v>
      </c>
      <c r="J308" s="9" t="s">
        <v>1361</v>
      </c>
      <c r="K308" s="11">
        <v>73.69</v>
      </c>
      <c r="L308" s="9" t="s">
        <v>19</v>
      </c>
      <c r="M308" s="9" t="str">
        <f>IFERROR(INDEX(T_CleanCustomers[Sales_Rep_ID],MATCH(B308,T_CleanCustomers[Customer_ID],0)),"Unmatched")</f>
        <v>REP014</v>
      </c>
      <c r="N308" s="9" t="str">
        <f>IFERROR(INDEX(T_CleanCustomers[Channel],MATCH(B308,T_CleanCustomers[Customer_ID],0)),"Unmatched")</f>
        <v>Direct Sales</v>
      </c>
      <c r="O308" s="9" t="str">
        <f>IFERROR(INDEX(T_CleanCustomers[Product],MATCH(B308,T_CleanCustomers[Customer_ID],0)),"Unmatched")</f>
        <v>Toll Solution</v>
      </c>
      <c r="P308" s="9" t="str">
        <f>IFERROR(INDEX(T_CleanCustomers[Customer_Segment],MATCH(B308,T_CleanCustomers[Customer_ID],0)),"Unmatched")</f>
        <v>Mid-Market</v>
      </c>
    </row>
    <row r="309" spans="1:16" ht="15" customHeight="1" x14ac:dyDescent="0.2">
      <c r="A309" s="9" t="s">
        <v>1669</v>
      </c>
      <c r="B309" s="9" t="s">
        <v>1183</v>
      </c>
      <c r="C309" s="9" t="b">
        <f>TRUE()</f>
        <v>1</v>
      </c>
      <c r="D309" s="10">
        <v>45877</v>
      </c>
      <c r="E309" s="10">
        <v>45870</v>
      </c>
      <c r="F309" s="9" t="s">
        <v>1373</v>
      </c>
      <c r="G309" s="11">
        <v>4942.74</v>
      </c>
      <c r="H309" s="11">
        <v>82.85</v>
      </c>
      <c r="I309" s="9" t="b">
        <f>TRUE()</f>
        <v>1</v>
      </c>
      <c r="J309" s="9" t="s">
        <v>1361</v>
      </c>
      <c r="K309" s="11">
        <v>82.85</v>
      </c>
      <c r="L309" s="9" t="s">
        <v>19</v>
      </c>
      <c r="M309" s="9" t="str">
        <f>IFERROR(INDEX(T_CleanCustomers[Sales_Rep_ID],MATCH(B309,T_CleanCustomers[Customer_ID],0)),"Unmatched")</f>
        <v>REP014</v>
      </c>
      <c r="N309" s="9" t="str">
        <f>IFERROR(INDEX(T_CleanCustomers[Channel],MATCH(B309,T_CleanCustomers[Customer_ID],0)),"Unmatched")</f>
        <v>Direct Sales</v>
      </c>
      <c r="O309" s="9" t="str">
        <f>IFERROR(INDEX(T_CleanCustomers[Product],MATCH(B309,T_CleanCustomers[Customer_ID],0)),"Unmatched")</f>
        <v>Toll Solution</v>
      </c>
      <c r="P309" s="9" t="str">
        <f>IFERROR(INDEX(T_CleanCustomers[Customer_Segment],MATCH(B309,T_CleanCustomers[Customer_ID],0)),"Unmatched")</f>
        <v>Mid-Market</v>
      </c>
    </row>
    <row r="310" spans="1:16" ht="15" customHeight="1" x14ac:dyDescent="0.2">
      <c r="A310" s="9" t="s">
        <v>1670</v>
      </c>
      <c r="B310" s="9" t="s">
        <v>1183</v>
      </c>
      <c r="C310" s="9" t="b">
        <f>TRUE()</f>
        <v>1</v>
      </c>
      <c r="D310" s="10">
        <v>45897</v>
      </c>
      <c r="E310" s="10">
        <v>45870</v>
      </c>
      <c r="F310" s="9" t="s">
        <v>1373</v>
      </c>
      <c r="G310" s="11">
        <v>13712.27</v>
      </c>
      <c r="H310" s="11">
        <v>280.22000000000003</v>
      </c>
      <c r="I310" s="9" t="b">
        <f>TRUE()</f>
        <v>1</v>
      </c>
      <c r="J310" s="9" t="s">
        <v>1361</v>
      </c>
      <c r="K310" s="11">
        <v>280.22000000000003</v>
      </c>
      <c r="L310" s="9" t="s">
        <v>19</v>
      </c>
      <c r="M310" s="9" t="str">
        <f>IFERROR(INDEX(T_CleanCustomers[Sales_Rep_ID],MATCH(B310,T_CleanCustomers[Customer_ID],0)),"Unmatched")</f>
        <v>REP014</v>
      </c>
      <c r="N310" s="9" t="str">
        <f>IFERROR(INDEX(T_CleanCustomers[Channel],MATCH(B310,T_CleanCustomers[Customer_ID],0)),"Unmatched")</f>
        <v>Direct Sales</v>
      </c>
      <c r="O310" s="9" t="str">
        <f>IFERROR(INDEX(T_CleanCustomers[Product],MATCH(B310,T_CleanCustomers[Customer_ID],0)),"Unmatched")</f>
        <v>Toll Solution</v>
      </c>
      <c r="P310" s="9" t="str">
        <f>IFERROR(INDEX(T_CleanCustomers[Customer_Segment],MATCH(B310,T_CleanCustomers[Customer_ID],0)),"Unmatched")</f>
        <v>Mid-Market</v>
      </c>
    </row>
    <row r="311" spans="1:16" ht="15" customHeight="1" x14ac:dyDescent="0.2">
      <c r="A311" s="9" t="s">
        <v>1671</v>
      </c>
      <c r="B311" s="9" t="s">
        <v>1183</v>
      </c>
      <c r="C311" s="9" t="b">
        <f>TRUE()</f>
        <v>1</v>
      </c>
      <c r="D311" s="10">
        <v>45871</v>
      </c>
      <c r="E311" s="10">
        <v>45870</v>
      </c>
      <c r="F311" s="9" t="s">
        <v>1373</v>
      </c>
      <c r="G311" s="11">
        <v>8304.1299999999992</v>
      </c>
      <c r="H311" s="11">
        <v>165.28</v>
      </c>
      <c r="I311" s="9" t="b">
        <f>TRUE()</f>
        <v>1</v>
      </c>
      <c r="J311" s="9" t="s">
        <v>1361</v>
      </c>
      <c r="K311" s="11">
        <v>165.28</v>
      </c>
      <c r="L311" s="9" t="s">
        <v>19</v>
      </c>
      <c r="M311" s="9" t="str">
        <f>IFERROR(INDEX(T_CleanCustomers[Sales_Rep_ID],MATCH(B311,T_CleanCustomers[Customer_ID],0)),"Unmatched")</f>
        <v>REP014</v>
      </c>
      <c r="N311" s="9" t="str">
        <f>IFERROR(INDEX(T_CleanCustomers[Channel],MATCH(B311,T_CleanCustomers[Customer_ID],0)),"Unmatched")</f>
        <v>Direct Sales</v>
      </c>
      <c r="O311" s="9" t="str">
        <f>IFERROR(INDEX(T_CleanCustomers[Product],MATCH(B311,T_CleanCustomers[Customer_ID],0)),"Unmatched")</f>
        <v>Toll Solution</v>
      </c>
      <c r="P311" s="9" t="str">
        <f>IFERROR(INDEX(T_CleanCustomers[Customer_Segment],MATCH(B311,T_CleanCustomers[Customer_ID],0)),"Unmatched")</f>
        <v>Mid-Market</v>
      </c>
    </row>
    <row r="312" spans="1:16" ht="15" customHeight="1" x14ac:dyDescent="0.2">
      <c r="A312" s="9" t="s">
        <v>124</v>
      </c>
      <c r="B312" s="9" t="s">
        <v>1183</v>
      </c>
      <c r="C312" s="9" t="b">
        <f>TRUE()</f>
        <v>1</v>
      </c>
      <c r="D312" s="10">
        <v>45924</v>
      </c>
      <c r="E312" s="10">
        <v>45901</v>
      </c>
      <c r="F312" s="9" t="s">
        <v>1373</v>
      </c>
      <c r="G312" s="11">
        <v>15689.38</v>
      </c>
      <c r="H312" s="11">
        <v>-288.02</v>
      </c>
      <c r="I312" s="9" t="b">
        <f>FALSE()</f>
        <v>0</v>
      </c>
      <c r="J312" s="9" t="s">
        <v>1361</v>
      </c>
      <c r="K312" s="11">
        <v>0</v>
      </c>
      <c r="L312" s="9" t="s">
        <v>19</v>
      </c>
      <c r="M312" s="9" t="str">
        <f>IFERROR(INDEX(T_CleanCustomers[Sales_Rep_ID],MATCH(B312,T_CleanCustomers[Customer_ID],0)),"Unmatched")</f>
        <v>REP014</v>
      </c>
      <c r="N312" s="9" t="str">
        <f>IFERROR(INDEX(T_CleanCustomers[Channel],MATCH(B312,T_CleanCustomers[Customer_ID],0)),"Unmatched")</f>
        <v>Direct Sales</v>
      </c>
      <c r="O312" s="9" t="str">
        <f>IFERROR(INDEX(T_CleanCustomers[Product],MATCH(B312,T_CleanCustomers[Customer_ID],0)),"Unmatched")</f>
        <v>Toll Solution</v>
      </c>
      <c r="P312" s="9" t="str">
        <f>IFERROR(INDEX(T_CleanCustomers[Customer_Segment],MATCH(B312,T_CleanCustomers[Customer_ID],0)),"Unmatched")</f>
        <v>Mid-Market</v>
      </c>
    </row>
    <row r="313" spans="1:16" ht="15" customHeight="1" x14ac:dyDescent="0.2">
      <c r="A313" s="9" t="s">
        <v>1672</v>
      </c>
      <c r="B313" s="9" t="s">
        <v>1183</v>
      </c>
      <c r="C313" s="9" t="b">
        <f>TRUE()</f>
        <v>1</v>
      </c>
      <c r="D313" s="10">
        <v>45909</v>
      </c>
      <c r="E313" s="10">
        <v>45901</v>
      </c>
      <c r="F313" s="9" t="s">
        <v>1373</v>
      </c>
      <c r="G313" s="11">
        <v>15177.07</v>
      </c>
      <c r="H313" s="11">
        <v>276.95</v>
      </c>
      <c r="I313" s="9" t="b">
        <f>TRUE()</f>
        <v>1</v>
      </c>
      <c r="J313" s="9" t="s">
        <v>1361</v>
      </c>
      <c r="K313" s="11">
        <v>276.95</v>
      </c>
      <c r="L313" s="9" t="s">
        <v>19</v>
      </c>
      <c r="M313" s="9" t="str">
        <f>IFERROR(INDEX(T_CleanCustomers[Sales_Rep_ID],MATCH(B313,T_CleanCustomers[Customer_ID],0)),"Unmatched")</f>
        <v>REP014</v>
      </c>
      <c r="N313" s="9" t="str">
        <f>IFERROR(INDEX(T_CleanCustomers[Channel],MATCH(B313,T_CleanCustomers[Customer_ID],0)),"Unmatched")</f>
        <v>Direct Sales</v>
      </c>
      <c r="O313" s="9" t="str">
        <f>IFERROR(INDEX(T_CleanCustomers[Product],MATCH(B313,T_CleanCustomers[Customer_ID],0)),"Unmatched")</f>
        <v>Toll Solution</v>
      </c>
      <c r="P313" s="9" t="str">
        <f>IFERROR(INDEX(T_CleanCustomers[Customer_Segment],MATCH(B313,T_CleanCustomers[Customer_ID],0)),"Unmatched")</f>
        <v>Mid-Market</v>
      </c>
    </row>
    <row r="314" spans="1:16" ht="15" customHeight="1" x14ac:dyDescent="0.2">
      <c r="A314" s="9" t="s">
        <v>1673</v>
      </c>
      <c r="B314" s="9" t="s">
        <v>1183</v>
      </c>
      <c r="C314" s="9" t="b">
        <f>TRUE()</f>
        <v>1</v>
      </c>
      <c r="D314" s="10">
        <v>45930</v>
      </c>
      <c r="E314" s="10">
        <v>45901</v>
      </c>
      <c r="F314" s="9" t="s">
        <v>1373</v>
      </c>
      <c r="G314" s="11">
        <v>14910.66</v>
      </c>
      <c r="H314" s="11">
        <v>253.17</v>
      </c>
      <c r="I314" s="9" t="b">
        <f>TRUE()</f>
        <v>1</v>
      </c>
      <c r="J314" s="9" t="s">
        <v>1361</v>
      </c>
      <c r="K314" s="11">
        <v>253.17</v>
      </c>
      <c r="L314" s="9" t="s">
        <v>19</v>
      </c>
      <c r="M314" s="9" t="str">
        <f>IFERROR(INDEX(T_CleanCustomers[Sales_Rep_ID],MATCH(B314,T_CleanCustomers[Customer_ID],0)),"Unmatched")</f>
        <v>REP014</v>
      </c>
      <c r="N314" s="9" t="str">
        <f>IFERROR(INDEX(T_CleanCustomers[Channel],MATCH(B314,T_CleanCustomers[Customer_ID],0)),"Unmatched")</f>
        <v>Direct Sales</v>
      </c>
      <c r="O314" s="9" t="str">
        <f>IFERROR(INDEX(T_CleanCustomers[Product],MATCH(B314,T_CleanCustomers[Customer_ID],0)),"Unmatched")</f>
        <v>Toll Solution</v>
      </c>
      <c r="P314" s="9" t="str">
        <f>IFERROR(INDEX(T_CleanCustomers[Customer_Segment],MATCH(B314,T_CleanCustomers[Customer_ID],0)),"Unmatched")</f>
        <v>Mid-Market</v>
      </c>
    </row>
    <row r="315" spans="1:16" ht="15" customHeight="1" x14ac:dyDescent="0.2">
      <c r="A315" s="9" t="s">
        <v>1674</v>
      </c>
      <c r="B315" s="9" t="s">
        <v>1183</v>
      </c>
      <c r="C315" s="9" t="b">
        <f>TRUE()</f>
        <v>1</v>
      </c>
      <c r="D315" s="10">
        <v>45947</v>
      </c>
      <c r="E315" s="10">
        <v>45931</v>
      </c>
      <c r="F315" s="9" t="s">
        <v>1373</v>
      </c>
      <c r="G315" s="11">
        <v>15806.11</v>
      </c>
      <c r="H315" s="11">
        <v>270.8</v>
      </c>
      <c r="I315" s="9" t="b">
        <f>TRUE()</f>
        <v>1</v>
      </c>
      <c r="J315" s="9" t="s">
        <v>1361</v>
      </c>
      <c r="K315" s="11">
        <v>270.8</v>
      </c>
      <c r="L315" s="9" t="s">
        <v>19</v>
      </c>
      <c r="M315" s="9" t="str">
        <f>IFERROR(INDEX(T_CleanCustomers[Sales_Rep_ID],MATCH(B315,T_CleanCustomers[Customer_ID],0)),"Unmatched")</f>
        <v>REP014</v>
      </c>
      <c r="N315" s="9" t="str">
        <f>IFERROR(INDEX(T_CleanCustomers[Channel],MATCH(B315,T_CleanCustomers[Customer_ID],0)),"Unmatched")</f>
        <v>Direct Sales</v>
      </c>
      <c r="O315" s="9" t="str">
        <f>IFERROR(INDEX(T_CleanCustomers[Product],MATCH(B315,T_CleanCustomers[Customer_ID],0)),"Unmatched")</f>
        <v>Toll Solution</v>
      </c>
      <c r="P315" s="9" t="str">
        <f>IFERROR(INDEX(T_CleanCustomers[Customer_Segment],MATCH(B315,T_CleanCustomers[Customer_ID],0)),"Unmatched")</f>
        <v>Mid-Market</v>
      </c>
    </row>
    <row r="316" spans="1:16" ht="15" customHeight="1" x14ac:dyDescent="0.2">
      <c r="A316" s="9" t="s">
        <v>1675</v>
      </c>
      <c r="B316" s="9" t="s">
        <v>1183</v>
      </c>
      <c r="C316" s="9" t="b">
        <f>TRUE()</f>
        <v>1</v>
      </c>
      <c r="D316" s="10">
        <v>45960</v>
      </c>
      <c r="E316" s="10">
        <v>45931</v>
      </c>
      <c r="F316" s="9" t="s">
        <v>1373</v>
      </c>
      <c r="G316" s="11">
        <v>15176.56</v>
      </c>
      <c r="H316" s="11">
        <v>282.76</v>
      </c>
      <c r="I316" s="9" t="b">
        <f>TRUE()</f>
        <v>1</v>
      </c>
      <c r="J316" s="9" t="s">
        <v>1361</v>
      </c>
      <c r="K316" s="11">
        <v>282.76</v>
      </c>
      <c r="L316" s="9" t="s">
        <v>19</v>
      </c>
      <c r="M316" s="9" t="str">
        <f>IFERROR(INDEX(T_CleanCustomers[Sales_Rep_ID],MATCH(B316,T_CleanCustomers[Customer_ID],0)),"Unmatched")</f>
        <v>REP014</v>
      </c>
      <c r="N316" s="9" t="str">
        <f>IFERROR(INDEX(T_CleanCustomers[Channel],MATCH(B316,T_CleanCustomers[Customer_ID],0)),"Unmatched")</f>
        <v>Direct Sales</v>
      </c>
      <c r="O316" s="9" t="str">
        <f>IFERROR(INDEX(T_CleanCustomers[Product],MATCH(B316,T_CleanCustomers[Customer_ID],0)),"Unmatched")</f>
        <v>Toll Solution</v>
      </c>
      <c r="P316" s="9" t="str">
        <f>IFERROR(INDEX(T_CleanCustomers[Customer_Segment],MATCH(B316,T_CleanCustomers[Customer_ID],0)),"Unmatched")</f>
        <v>Mid-Market</v>
      </c>
    </row>
    <row r="317" spans="1:16" ht="15" customHeight="1" x14ac:dyDescent="0.2">
      <c r="A317" s="9" t="s">
        <v>1676</v>
      </c>
      <c r="B317" s="9" t="s">
        <v>1183</v>
      </c>
      <c r="C317" s="9" t="b">
        <f>TRUE()</f>
        <v>1</v>
      </c>
      <c r="D317" s="10">
        <v>45959</v>
      </c>
      <c r="E317" s="10">
        <v>45931</v>
      </c>
      <c r="F317" s="9" t="s">
        <v>1373</v>
      </c>
      <c r="G317" s="11">
        <v>13285.84</v>
      </c>
      <c r="H317" s="11">
        <v>226.01</v>
      </c>
      <c r="I317" s="9" t="b">
        <f>TRUE()</f>
        <v>1</v>
      </c>
      <c r="J317" s="9" t="s">
        <v>1361</v>
      </c>
      <c r="K317" s="11">
        <v>226.01</v>
      </c>
      <c r="L317" s="9" t="s">
        <v>19</v>
      </c>
      <c r="M317" s="9" t="str">
        <f>IFERROR(INDEX(T_CleanCustomers[Sales_Rep_ID],MATCH(B317,T_CleanCustomers[Customer_ID],0)),"Unmatched")</f>
        <v>REP014</v>
      </c>
      <c r="N317" s="9" t="str">
        <f>IFERROR(INDEX(T_CleanCustomers[Channel],MATCH(B317,T_CleanCustomers[Customer_ID],0)),"Unmatched")</f>
        <v>Direct Sales</v>
      </c>
      <c r="O317" s="9" t="str">
        <f>IFERROR(INDEX(T_CleanCustomers[Product],MATCH(B317,T_CleanCustomers[Customer_ID],0)),"Unmatched")</f>
        <v>Toll Solution</v>
      </c>
      <c r="P317" s="9" t="str">
        <f>IFERROR(INDEX(T_CleanCustomers[Customer_Segment],MATCH(B317,T_CleanCustomers[Customer_ID],0)),"Unmatched")</f>
        <v>Mid-Market</v>
      </c>
    </row>
    <row r="318" spans="1:16" ht="15" customHeight="1" x14ac:dyDescent="0.2">
      <c r="A318" s="9" t="s">
        <v>1677</v>
      </c>
      <c r="B318" s="9" t="s">
        <v>1183</v>
      </c>
      <c r="C318" s="9" t="b">
        <f>TRUE()</f>
        <v>1</v>
      </c>
      <c r="D318" s="10">
        <v>45966</v>
      </c>
      <c r="E318" s="10">
        <v>45962</v>
      </c>
      <c r="F318" s="9" t="s">
        <v>1373</v>
      </c>
      <c r="G318" s="11">
        <v>12865.21</v>
      </c>
      <c r="H318" s="11">
        <v>257.39</v>
      </c>
      <c r="I318" s="9" t="b">
        <f>TRUE()</f>
        <v>1</v>
      </c>
      <c r="J318" s="9" t="s">
        <v>1361</v>
      </c>
      <c r="K318" s="11">
        <v>257.39</v>
      </c>
      <c r="L318" s="9" t="s">
        <v>19</v>
      </c>
      <c r="M318" s="9" t="str">
        <f>IFERROR(INDEX(T_CleanCustomers[Sales_Rep_ID],MATCH(B318,T_CleanCustomers[Customer_ID],0)),"Unmatched")</f>
        <v>REP014</v>
      </c>
      <c r="N318" s="9" t="str">
        <f>IFERROR(INDEX(T_CleanCustomers[Channel],MATCH(B318,T_CleanCustomers[Customer_ID],0)),"Unmatched")</f>
        <v>Direct Sales</v>
      </c>
      <c r="O318" s="9" t="str">
        <f>IFERROR(INDEX(T_CleanCustomers[Product],MATCH(B318,T_CleanCustomers[Customer_ID],0)),"Unmatched")</f>
        <v>Toll Solution</v>
      </c>
      <c r="P318" s="9" t="str">
        <f>IFERROR(INDEX(T_CleanCustomers[Customer_Segment],MATCH(B318,T_CleanCustomers[Customer_ID],0)),"Unmatched")</f>
        <v>Mid-Market</v>
      </c>
    </row>
    <row r="319" spans="1:16" ht="15" customHeight="1" x14ac:dyDescent="0.2">
      <c r="A319" s="9" t="s">
        <v>1678</v>
      </c>
      <c r="B319" s="9" t="s">
        <v>1183</v>
      </c>
      <c r="C319" s="9" t="b">
        <f>TRUE()</f>
        <v>1</v>
      </c>
      <c r="D319" s="10">
        <v>45982</v>
      </c>
      <c r="E319" s="10">
        <v>45962</v>
      </c>
      <c r="F319" s="9" t="s">
        <v>1373</v>
      </c>
      <c r="G319" s="11">
        <v>17707.05</v>
      </c>
      <c r="H319" s="11">
        <v>322.99</v>
      </c>
      <c r="I319" s="9" t="b">
        <f>TRUE()</f>
        <v>1</v>
      </c>
      <c r="J319" s="9" t="s">
        <v>1361</v>
      </c>
      <c r="K319" s="11">
        <v>322.99</v>
      </c>
      <c r="L319" s="9" t="s">
        <v>19</v>
      </c>
      <c r="M319" s="9" t="str">
        <f>IFERROR(INDEX(T_CleanCustomers[Sales_Rep_ID],MATCH(B319,T_CleanCustomers[Customer_ID],0)),"Unmatched")</f>
        <v>REP014</v>
      </c>
      <c r="N319" s="9" t="str">
        <f>IFERROR(INDEX(T_CleanCustomers[Channel],MATCH(B319,T_CleanCustomers[Customer_ID],0)),"Unmatched")</f>
        <v>Direct Sales</v>
      </c>
      <c r="O319" s="9" t="str">
        <f>IFERROR(INDEX(T_CleanCustomers[Product],MATCH(B319,T_CleanCustomers[Customer_ID],0)),"Unmatched")</f>
        <v>Toll Solution</v>
      </c>
      <c r="P319" s="9" t="str">
        <f>IFERROR(INDEX(T_CleanCustomers[Customer_Segment],MATCH(B319,T_CleanCustomers[Customer_ID],0)),"Unmatched")</f>
        <v>Mid-Market</v>
      </c>
    </row>
    <row r="320" spans="1:16" ht="15" customHeight="1" x14ac:dyDescent="0.2">
      <c r="A320" s="9" t="s">
        <v>1679</v>
      </c>
      <c r="B320" s="9" t="s">
        <v>1183</v>
      </c>
      <c r="C320" s="9" t="b">
        <f>TRUE()</f>
        <v>1</v>
      </c>
      <c r="D320" s="10">
        <v>45983</v>
      </c>
      <c r="E320" s="10">
        <v>45962</v>
      </c>
      <c r="F320" s="9" t="s">
        <v>1373</v>
      </c>
      <c r="G320" s="11">
        <v>11999.86</v>
      </c>
      <c r="H320" s="11">
        <v>244.13</v>
      </c>
      <c r="I320" s="9" t="b">
        <f>TRUE()</f>
        <v>1</v>
      </c>
      <c r="J320" s="9" t="s">
        <v>1361</v>
      </c>
      <c r="K320" s="11">
        <v>244.13</v>
      </c>
      <c r="L320" s="9" t="s">
        <v>19</v>
      </c>
      <c r="M320" s="9" t="str">
        <f>IFERROR(INDEX(T_CleanCustomers[Sales_Rep_ID],MATCH(B320,T_CleanCustomers[Customer_ID],0)),"Unmatched")</f>
        <v>REP014</v>
      </c>
      <c r="N320" s="9" t="str">
        <f>IFERROR(INDEX(T_CleanCustomers[Channel],MATCH(B320,T_CleanCustomers[Customer_ID],0)),"Unmatched")</f>
        <v>Direct Sales</v>
      </c>
      <c r="O320" s="9" t="str">
        <f>IFERROR(INDEX(T_CleanCustomers[Product],MATCH(B320,T_CleanCustomers[Customer_ID],0)),"Unmatched")</f>
        <v>Toll Solution</v>
      </c>
      <c r="P320" s="9" t="str">
        <f>IFERROR(INDEX(T_CleanCustomers[Customer_Segment],MATCH(B320,T_CleanCustomers[Customer_ID],0)),"Unmatched")</f>
        <v>Mid-Market</v>
      </c>
    </row>
    <row r="321" spans="1:16" ht="15" customHeight="1" x14ac:dyDescent="0.2">
      <c r="A321" s="9" t="s">
        <v>1680</v>
      </c>
      <c r="B321" s="9" t="s">
        <v>1183</v>
      </c>
      <c r="C321" s="9" t="b">
        <f>TRUE()</f>
        <v>1</v>
      </c>
      <c r="D321" s="10">
        <v>46005</v>
      </c>
      <c r="E321" s="10">
        <v>45992</v>
      </c>
      <c r="F321" s="9" t="s">
        <v>1373</v>
      </c>
      <c r="G321" s="11">
        <v>13093.37</v>
      </c>
      <c r="H321" s="11">
        <v>233.21</v>
      </c>
      <c r="I321" s="9" t="b">
        <f>TRUE()</f>
        <v>1</v>
      </c>
      <c r="J321" s="9" t="s">
        <v>1361</v>
      </c>
      <c r="K321" s="11">
        <v>233.21</v>
      </c>
      <c r="L321" s="9" t="s">
        <v>19</v>
      </c>
      <c r="M321" s="9" t="str">
        <f>IFERROR(INDEX(T_CleanCustomers[Sales_Rep_ID],MATCH(B321,T_CleanCustomers[Customer_ID],0)),"Unmatched")</f>
        <v>REP014</v>
      </c>
      <c r="N321" s="9" t="str">
        <f>IFERROR(INDEX(T_CleanCustomers[Channel],MATCH(B321,T_CleanCustomers[Customer_ID],0)),"Unmatched")</f>
        <v>Direct Sales</v>
      </c>
      <c r="O321" s="9" t="str">
        <f>IFERROR(INDEX(T_CleanCustomers[Product],MATCH(B321,T_CleanCustomers[Customer_ID],0)),"Unmatched")</f>
        <v>Toll Solution</v>
      </c>
      <c r="P321" s="9" t="str">
        <f>IFERROR(INDEX(T_CleanCustomers[Customer_Segment],MATCH(B321,T_CleanCustomers[Customer_ID],0)),"Unmatched")</f>
        <v>Mid-Market</v>
      </c>
    </row>
    <row r="322" spans="1:16" ht="15" customHeight="1" x14ac:dyDescent="0.2">
      <c r="A322" s="9" t="s">
        <v>1681</v>
      </c>
      <c r="B322" s="9" t="s">
        <v>1183</v>
      </c>
      <c r="C322" s="9" t="b">
        <f>TRUE()</f>
        <v>1</v>
      </c>
      <c r="D322" s="10">
        <v>46000</v>
      </c>
      <c r="E322" s="10">
        <v>45992</v>
      </c>
      <c r="F322" s="9" t="s">
        <v>1373</v>
      </c>
      <c r="G322" s="11">
        <v>12349.52</v>
      </c>
      <c r="H322" s="11">
        <v>227.87</v>
      </c>
      <c r="I322" s="9" t="b">
        <f>TRUE()</f>
        <v>1</v>
      </c>
      <c r="J322" s="9" t="s">
        <v>1361</v>
      </c>
      <c r="K322" s="11">
        <v>227.87</v>
      </c>
      <c r="L322" s="9" t="s">
        <v>19</v>
      </c>
      <c r="M322" s="9" t="str">
        <f>IFERROR(INDEX(T_CleanCustomers[Sales_Rep_ID],MATCH(B322,T_CleanCustomers[Customer_ID],0)),"Unmatched")</f>
        <v>REP014</v>
      </c>
      <c r="N322" s="9" t="str">
        <f>IFERROR(INDEX(T_CleanCustomers[Channel],MATCH(B322,T_CleanCustomers[Customer_ID],0)),"Unmatched")</f>
        <v>Direct Sales</v>
      </c>
      <c r="O322" s="9" t="str">
        <f>IFERROR(INDEX(T_CleanCustomers[Product],MATCH(B322,T_CleanCustomers[Customer_ID],0)),"Unmatched")</f>
        <v>Toll Solution</v>
      </c>
      <c r="P322" s="9" t="str">
        <f>IFERROR(INDEX(T_CleanCustomers[Customer_Segment],MATCH(B322,T_CleanCustomers[Customer_ID],0)),"Unmatched")</f>
        <v>Mid-Market</v>
      </c>
    </row>
    <row r="323" spans="1:16" ht="15" customHeight="1" x14ac:dyDescent="0.2">
      <c r="A323" s="9" t="s">
        <v>116</v>
      </c>
      <c r="B323" s="9" t="s">
        <v>1437</v>
      </c>
      <c r="C323" s="9" t="b">
        <f>FALSE()</f>
        <v>0</v>
      </c>
      <c r="D323" s="10">
        <v>45822</v>
      </c>
      <c r="E323" s="10">
        <v>45809</v>
      </c>
      <c r="F323" s="9" t="s">
        <v>1360</v>
      </c>
      <c r="G323" s="11">
        <v>30265.56</v>
      </c>
      <c r="H323" s="11">
        <v>838.88</v>
      </c>
      <c r="I323" s="9" t="b">
        <f>TRUE()</f>
        <v>1</v>
      </c>
      <c r="J323" s="9" t="s">
        <v>1361</v>
      </c>
      <c r="K323" s="11">
        <v>0</v>
      </c>
      <c r="L323" s="9" t="s">
        <v>18</v>
      </c>
      <c r="M323" s="9" t="str">
        <f>IFERROR(INDEX(T_CleanCustomers[Sales_Rep_ID],MATCH(B323,T_CleanCustomers[Customer_ID],0)),"Unmatched")</f>
        <v>Unmatched</v>
      </c>
      <c r="N323" s="9" t="str">
        <f>IFERROR(INDEX(T_CleanCustomers[Channel],MATCH(B323,T_CleanCustomers[Customer_ID],0)),"Unmatched")</f>
        <v>Unmatched</v>
      </c>
      <c r="O323" s="9" t="str">
        <f>IFERROR(INDEX(T_CleanCustomers[Product],MATCH(B323,T_CleanCustomers[Customer_ID],0)),"Unmatched")</f>
        <v>Unmatched</v>
      </c>
      <c r="P323" s="9" t="str">
        <f>IFERROR(INDEX(T_CleanCustomers[Customer_Segment],MATCH(B323,T_CleanCustomers[Customer_ID],0)),"Unmatched")</f>
        <v>Unmatched</v>
      </c>
    </row>
    <row r="324" spans="1:16" ht="15" customHeight="1" x14ac:dyDescent="0.2">
      <c r="A324" s="9" t="s">
        <v>1682</v>
      </c>
      <c r="B324" s="9" t="s">
        <v>1184</v>
      </c>
      <c r="C324" s="9" t="b">
        <f>TRUE()</f>
        <v>1</v>
      </c>
      <c r="D324" s="10">
        <v>45830</v>
      </c>
      <c r="E324" s="10">
        <v>45809</v>
      </c>
      <c r="F324" s="9" t="s">
        <v>1360</v>
      </c>
      <c r="G324" s="11">
        <v>36484.74</v>
      </c>
      <c r="H324" s="11">
        <v>800.62</v>
      </c>
      <c r="I324" s="9" t="b">
        <f>TRUE()</f>
        <v>1</v>
      </c>
      <c r="J324" s="9" t="s">
        <v>1361</v>
      </c>
      <c r="K324" s="11">
        <v>800.62</v>
      </c>
      <c r="L324" s="9" t="s">
        <v>18</v>
      </c>
      <c r="M324" s="9" t="str">
        <f>IFERROR(INDEX(T_CleanCustomers[Sales_Rep_ID],MATCH(B324,T_CleanCustomers[Customer_ID],0)),"Unmatched")</f>
        <v>REP011</v>
      </c>
      <c r="N324" s="9" t="str">
        <f>IFERROR(INDEX(T_CleanCustomers[Channel],MATCH(B324,T_CleanCustomers[Customer_ID],0)),"Unmatched")</f>
        <v>Referral</v>
      </c>
      <c r="O324" s="9" t="str">
        <f>IFERROR(INDEX(T_CleanCustomers[Product],MATCH(B324,T_CleanCustomers[Customer_ID],0)),"Unmatched")</f>
        <v>Fuel Card</v>
      </c>
      <c r="P324" s="9" t="str">
        <f>IFERROR(INDEX(T_CleanCustomers[Customer_Segment],MATCH(B324,T_CleanCustomers[Customer_ID],0)),"Unmatched")</f>
        <v>Enterprise</v>
      </c>
    </row>
    <row r="325" spans="1:16" ht="15" customHeight="1" x14ac:dyDescent="0.2">
      <c r="A325" s="9" t="s">
        <v>1683</v>
      </c>
      <c r="B325" s="9" t="s">
        <v>1184</v>
      </c>
      <c r="C325" s="9" t="b">
        <f>TRUE()</f>
        <v>1</v>
      </c>
      <c r="D325" s="10">
        <v>45835</v>
      </c>
      <c r="E325" s="10">
        <v>45809</v>
      </c>
      <c r="F325" s="9" t="s">
        <v>1360</v>
      </c>
      <c r="G325" s="11">
        <v>41527.22</v>
      </c>
      <c r="H325" s="11">
        <v>935.7</v>
      </c>
      <c r="I325" s="9" t="b">
        <f>TRUE()</f>
        <v>1</v>
      </c>
      <c r="J325" s="9" t="s">
        <v>1361</v>
      </c>
      <c r="K325" s="11">
        <v>935.7</v>
      </c>
      <c r="L325" s="9" t="s">
        <v>18</v>
      </c>
      <c r="M325" s="9" t="str">
        <f>IFERROR(INDEX(T_CleanCustomers[Sales_Rep_ID],MATCH(B325,T_CleanCustomers[Customer_ID],0)),"Unmatched")</f>
        <v>REP011</v>
      </c>
      <c r="N325" s="9" t="str">
        <f>IFERROR(INDEX(T_CleanCustomers[Channel],MATCH(B325,T_CleanCustomers[Customer_ID],0)),"Unmatched")</f>
        <v>Referral</v>
      </c>
      <c r="O325" s="9" t="str">
        <f>IFERROR(INDEX(T_CleanCustomers[Product],MATCH(B325,T_CleanCustomers[Customer_ID],0)),"Unmatched")</f>
        <v>Fuel Card</v>
      </c>
      <c r="P325" s="9" t="str">
        <f>IFERROR(INDEX(T_CleanCustomers[Customer_Segment],MATCH(B325,T_CleanCustomers[Customer_ID],0)),"Unmatched")</f>
        <v>Enterprise</v>
      </c>
    </row>
    <row r="326" spans="1:16" ht="15" customHeight="1" x14ac:dyDescent="0.2">
      <c r="A326" s="9" t="s">
        <v>1684</v>
      </c>
      <c r="B326" s="9" t="s">
        <v>1184</v>
      </c>
      <c r="C326" s="9" t="b">
        <f>TRUE()</f>
        <v>1</v>
      </c>
      <c r="D326" s="10">
        <v>45843</v>
      </c>
      <c r="E326" s="10">
        <v>45839</v>
      </c>
      <c r="F326" s="9" t="s">
        <v>1360</v>
      </c>
      <c r="G326" s="11">
        <v>17272.099999999999</v>
      </c>
      <c r="H326" s="11">
        <v>477.56</v>
      </c>
      <c r="I326" s="9" t="b">
        <f>TRUE()</f>
        <v>1</v>
      </c>
      <c r="J326" s="9" t="s">
        <v>1361</v>
      </c>
      <c r="K326" s="11">
        <v>477.56</v>
      </c>
      <c r="L326" s="9" t="s">
        <v>18</v>
      </c>
      <c r="M326" s="9" t="str">
        <f>IFERROR(INDEX(T_CleanCustomers[Sales_Rep_ID],MATCH(B326,T_CleanCustomers[Customer_ID],0)),"Unmatched")</f>
        <v>REP011</v>
      </c>
      <c r="N326" s="9" t="str">
        <f>IFERROR(INDEX(T_CleanCustomers[Channel],MATCH(B326,T_CleanCustomers[Customer_ID],0)),"Unmatched")</f>
        <v>Referral</v>
      </c>
      <c r="O326" s="9" t="str">
        <f>IFERROR(INDEX(T_CleanCustomers[Product],MATCH(B326,T_CleanCustomers[Customer_ID],0)),"Unmatched")</f>
        <v>Fuel Card</v>
      </c>
      <c r="P326" s="9" t="str">
        <f>IFERROR(INDEX(T_CleanCustomers[Customer_Segment],MATCH(B326,T_CleanCustomers[Customer_ID],0)),"Unmatched")</f>
        <v>Enterprise</v>
      </c>
    </row>
    <row r="327" spans="1:16" ht="15" customHeight="1" x14ac:dyDescent="0.2">
      <c r="A327" s="9" t="s">
        <v>1685</v>
      </c>
      <c r="B327" s="9" t="s">
        <v>1184</v>
      </c>
      <c r="C327" s="9" t="b">
        <f>TRUE()</f>
        <v>1</v>
      </c>
      <c r="D327" s="10">
        <v>45853</v>
      </c>
      <c r="E327" s="10">
        <v>45839</v>
      </c>
      <c r="F327" s="9" t="s">
        <v>1360</v>
      </c>
      <c r="G327" s="11">
        <v>35257.07</v>
      </c>
      <c r="H327" s="11">
        <v>848.82</v>
      </c>
      <c r="I327" s="9" t="b">
        <f>TRUE()</f>
        <v>1</v>
      </c>
      <c r="J327" s="9" t="s">
        <v>1361</v>
      </c>
      <c r="K327" s="11">
        <v>848.82</v>
      </c>
      <c r="L327" s="9" t="s">
        <v>18</v>
      </c>
      <c r="M327" s="9" t="str">
        <f>IFERROR(INDEX(T_CleanCustomers[Sales_Rep_ID],MATCH(B327,T_CleanCustomers[Customer_ID],0)),"Unmatched")</f>
        <v>REP011</v>
      </c>
      <c r="N327" s="9" t="str">
        <f>IFERROR(INDEX(T_CleanCustomers[Channel],MATCH(B327,T_CleanCustomers[Customer_ID],0)),"Unmatched")</f>
        <v>Referral</v>
      </c>
      <c r="O327" s="9" t="str">
        <f>IFERROR(INDEX(T_CleanCustomers[Product],MATCH(B327,T_CleanCustomers[Customer_ID],0)),"Unmatched")</f>
        <v>Fuel Card</v>
      </c>
      <c r="P327" s="9" t="str">
        <f>IFERROR(INDEX(T_CleanCustomers[Customer_Segment],MATCH(B327,T_CleanCustomers[Customer_ID],0)),"Unmatched")</f>
        <v>Enterprise</v>
      </c>
    </row>
    <row r="328" spans="1:16" ht="15" customHeight="1" x14ac:dyDescent="0.2">
      <c r="A328" s="9" t="s">
        <v>1686</v>
      </c>
      <c r="B328" s="9" t="s">
        <v>1184</v>
      </c>
      <c r="C328" s="9" t="b">
        <f>TRUE()</f>
        <v>1</v>
      </c>
      <c r="D328" s="10">
        <v>45887</v>
      </c>
      <c r="E328" s="10">
        <v>45870</v>
      </c>
      <c r="F328" s="9" t="s">
        <v>1360</v>
      </c>
      <c r="G328" s="11">
        <v>43554.17</v>
      </c>
      <c r="H328" s="11">
        <v>1083.25</v>
      </c>
      <c r="I328" s="9" t="b">
        <f>TRUE()</f>
        <v>1</v>
      </c>
      <c r="J328" s="9" t="s">
        <v>1361</v>
      </c>
      <c r="K328" s="11">
        <v>1083.25</v>
      </c>
      <c r="L328" s="9" t="s">
        <v>18</v>
      </c>
      <c r="M328" s="9" t="str">
        <f>IFERROR(INDEX(T_CleanCustomers[Sales_Rep_ID],MATCH(B328,T_CleanCustomers[Customer_ID],0)),"Unmatched")</f>
        <v>REP011</v>
      </c>
      <c r="N328" s="9" t="str">
        <f>IFERROR(INDEX(T_CleanCustomers[Channel],MATCH(B328,T_CleanCustomers[Customer_ID],0)),"Unmatched")</f>
        <v>Referral</v>
      </c>
      <c r="O328" s="9" t="str">
        <f>IFERROR(INDEX(T_CleanCustomers[Product],MATCH(B328,T_CleanCustomers[Customer_ID],0)),"Unmatched")</f>
        <v>Fuel Card</v>
      </c>
      <c r="P328" s="9" t="str">
        <f>IFERROR(INDEX(T_CleanCustomers[Customer_Segment],MATCH(B328,T_CleanCustomers[Customer_ID],0)),"Unmatched")</f>
        <v>Enterprise</v>
      </c>
    </row>
    <row r="329" spans="1:16" ht="15" customHeight="1" x14ac:dyDescent="0.2">
      <c r="A329" s="9" t="s">
        <v>1687</v>
      </c>
      <c r="B329" s="9" t="s">
        <v>1184</v>
      </c>
      <c r="C329" s="9" t="b">
        <f>TRUE()</f>
        <v>1</v>
      </c>
      <c r="D329" s="10">
        <v>45894</v>
      </c>
      <c r="E329" s="10">
        <v>45870</v>
      </c>
      <c r="F329" s="9" t="s">
        <v>1360</v>
      </c>
      <c r="G329" s="11">
        <v>19940.22</v>
      </c>
      <c r="H329" s="11">
        <v>426.21</v>
      </c>
      <c r="I329" s="9" t="b">
        <f>TRUE()</f>
        <v>1</v>
      </c>
      <c r="J329" s="9" t="s">
        <v>1361</v>
      </c>
      <c r="K329" s="11">
        <v>426.21</v>
      </c>
      <c r="L329" s="9" t="s">
        <v>18</v>
      </c>
      <c r="M329" s="9" t="str">
        <f>IFERROR(INDEX(T_CleanCustomers[Sales_Rep_ID],MATCH(B329,T_CleanCustomers[Customer_ID],0)),"Unmatched")</f>
        <v>REP011</v>
      </c>
      <c r="N329" s="9" t="str">
        <f>IFERROR(INDEX(T_CleanCustomers[Channel],MATCH(B329,T_CleanCustomers[Customer_ID],0)),"Unmatched")</f>
        <v>Referral</v>
      </c>
      <c r="O329" s="9" t="str">
        <f>IFERROR(INDEX(T_CleanCustomers[Product],MATCH(B329,T_CleanCustomers[Customer_ID],0)),"Unmatched")</f>
        <v>Fuel Card</v>
      </c>
      <c r="P329" s="9" t="str">
        <f>IFERROR(INDEX(T_CleanCustomers[Customer_Segment],MATCH(B329,T_CleanCustomers[Customer_ID],0)),"Unmatched")</f>
        <v>Enterprise</v>
      </c>
    </row>
    <row r="330" spans="1:16" ht="15" customHeight="1" x14ac:dyDescent="0.2">
      <c r="A330" s="9" t="s">
        <v>1688</v>
      </c>
      <c r="B330" s="9" t="s">
        <v>1184</v>
      </c>
      <c r="C330" s="9" t="b">
        <f>TRUE()</f>
        <v>1</v>
      </c>
      <c r="D330" s="10">
        <v>45918</v>
      </c>
      <c r="E330" s="10">
        <v>45901</v>
      </c>
      <c r="F330" s="9" t="s">
        <v>1360</v>
      </c>
      <c r="G330" s="11">
        <v>52695.03</v>
      </c>
      <c r="H330" s="11">
        <v>1124.05</v>
      </c>
      <c r="I330" s="9" t="b">
        <f>TRUE()</f>
        <v>1</v>
      </c>
      <c r="J330" s="9" t="s">
        <v>1361</v>
      </c>
      <c r="K330" s="11">
        <v>1124.05</v>
      </c>
      <c r="L330" s="9" t="s">
        <v>18</v>
      </c>
      <c r="M330" s="9" t="str">
        <f>IFERROR(INDEX(T_CleanCustomers[Sales_Rep_ID],MATCH(B330,T_CleanCustomers[Customer_ID],0)),"Unmatched")</f>
        <v>REP011</v>
      </c>
      <c r="N330" s="9" t="str">
        <f>IFERROR(INDEX(T_CleanCustomers[Channel],MATCH(B330,T_CleanCustomers[Customer_ID],0)),"Unmatched")</f>
        <v>Referral</v>
      </c>
      <c r="O330" s="9" t="str">
        <f>IFERROR(INDEX(T_CleanCustomers[Product],MATCH(B330,T_CleanCustomers[Customer_ID],0)),"Unmatched")</f>
        <v>Fuel Card</v>
      </c>
      <c r="P330" s="9" t="str">
        <f>IFERROR(INDEX(T_CleanCustomers[Customer_Segment],MATCH(B330,T_CleanCustomers[Customer_ID],0)),"Unmatched")</f>
        <v>Enterprise</v>
      </c>
    </row>
    <row r="331" spans="1:16" ht="15" customHeight="1" x14ac:dyDescent="0.2">
      <c r="A331" s="9" t="s">
        <v>1689</v>
      </c>
      <c r="B331" s="9" t="s">
        <v>1184</v>
      </c>
      <c r="C331" s="9" t="b">
        <f>TRUE()</f>
        <v>1</v>
      </c>
      <c r="D331" s="10">
        <v>45910</v>
      </c>
      <c r="E331" s="10">
        <v>45901</v>
      </c>
      <c r="F331" s="9" t="s">
        <v>1360</v>
      </c>
      <c r="G331" s="11">
        <v>16759.099999999999</v>
      </c>
      <c r="H331" s="11">
        <v>0</v>
      </c>
      <c r="I331" s="9" t="b">
        <f>TRUE()</f>
        <v>1</v>
      </c>
      <c r="J331" s="9" t="s">
        <v>1408</v>
      </c>
      <c r="K331" s="11">
        <v>0</v>
      </c>
      <c r="L331" s="9" t="s">
        <v>18</v>
      </c>
      <c r="M331" s="9" t="str">
        <f>IFERROR(INDEX(T_CleanCustomers[Sales_Rep_ID],MATCH(B331,T_CleanCustomers[Customer_ID],0)),"Unmatched")</f>
        <v>REP011</v>
      </c>
      <c r="N331" s="9" t="str">
        <f>IFERROR(INDEX(T_CleanCustomers[Channel],MATCH(B331,T_CleanCustomers[Customer_ID],0)),"Unmatched")</f>
        <v>Referral</v>
      </c>
      <c r="O331" s="9" t="str">
        <f>IFERROR(INDEX(T_CleanCustomers[Product],MATCH(B331,T_CleanCustomers[Customer_ID],0)),"Unmatched")</f>
        <v>Fuel Card</v>
      </c>
      <c r="P331" s="9" t="str">
        <f>IFERROR(INDEX(T_CleanCustomers[Customer_Segment],MATCH(B331,T_CleanCustomers[Customer_ID],0)),"Unmatched")</f>
        <v>Enterprise</v>
      </c>
    </row>
    <row r="332" spans="1:16" ht="15" customHeight="1" x14ac:dyDescent="0.2">
      <c r="A332" s="9" t="s">
        <v>1690</v>
      </c>
      <c r="B332" s="9" t="s">
        <v>1184</v>
      </c>
      <c r="C332" s="9" t="b">
        <f>TRUE()</f>
        <v>1</v>
      </c>
      <c r="D332" s="10">
        <v>45922</v>
      </c>
      <c r="E332" s="10">
        <v>45901</v>
      </c>
      <c r="F332" s="9" t="s">
        <v>1360</v>
      </c>
      <c r="G332" s="11">
        <v>59801.66</v>
      </c>
      <c r="H332" s="11">
        <v>1308.7</v>
      </c>
      <c r="I332" s="9" t="b">
        <f>TRUE()</f>
        <v>1</v>
      </c>
      <c r="J332" s="9" t="s">
        <v>1361</v>
      </c>
      <c r="K332" s="11">
        <v>1308.7</v>
      </c>
      <c r="L332" s="9" t="s">
        <v>18</v>
      </c>
      <c r="M332" s="9" t="str">
        <f>IFERROR(INDEX(T_CleanCustomers[Sales_Rep_ID],MATCH(B332,T_CleanCustomers[Customer_ID],0)),"Unmatched")</f>
        <v>REP011</v>
      </c>
      <c r="N332" s="9" t="str">
        <f>IFERROR(INDEX(T_CleanCustomers[Channel],MATCH(B332,T_CleanCustomers[Customer_ID],0)),"Unmatched")</f>
        <v>Referral</v>
      </c>
      <c r="O332" s="9" t="str">
        <f>IFERROR(INDEX(T_CleanCustomers[Product],MATCH(B332,T_CleanCustomers[Customer_ID],0)),"Unmatched")</f>
        <v>Fuel Card</v>
      </c>
      <c r="P332" s="9" t="str">
        <f>IFERROR(INDEX(T_CleanCustomers[Customer_Segment],MATCH(B332,T_CleanCustomers[Customer_ID],0)),"Unmatched")</f>
        <v>Enterprise</v>
      </c>
    </row>
    <row r="333" spans="1:16" ht="15" customHeight="1" x14ac:dyDescent="0.2">
      <c r="A333" s="9" t="s">
        <v>1691</v>
      </c>
      <c r="B333" s="9" t="s">
        <v>1184</v>
      </c>
      <c r="C333" s="9" t="b">
        <f>TRUE()</f>
        <v>1</v>
      </c>
      <c r="D333" s="10">
        <v>45944</v>
      </c>
      <c r="E333" s="10">
        <v>45931</v>
      </c>
      <c r="F333" s="9" t="s">
        <v>1360</v>
      </c>
      <c r="G333" s="11">
        <v>31970.14</v>
      </c>
      <c r="H333" s="11">
        <v>882.25</v>
      </c>
      <c r="I333" s="9" t="b">
        <f>TRUE()</f>
        <v>1</v>
      </c>
      <c r="J333" s="9" t="s">
        <v>1361</v>
      </c>
      <c r="K333" s="11">
        <v>882.25</v>
      </c>
      <c r="L333" s="9" t="s">
        <v>18</v>
      </c>
      <c r="M333" s="9" t="str">
        <f>IFERROR(INDEX(T_CleanCustomers[Sales_Rep_ID],MATCH(B333,T_CleanCustomers[Customer_ID],0)),"Unmatched")</f>
        <v>REP011</v>
      </c>
      <c r="N333" s="9" t="str">
        <f>IFERROR(INDEX(T_CleanCustomers[Channel],MATCH(B333,T_CleanCustomers[Customer_ID],0)),"Unmatched")</f>
        <v>Referral</v>
      </c>
      <c r="O333" s="9" t="str">
        <f>IFERROR(INDEX(T_CleanCustomers[Product],MATCH(B333,T_CleanCustomers[Customer_ID],0)),"Unmatched")</f>
        <v>Fuel Card</v>
      </c>
      <c r="P333" s="9" t="str">
        <f>IFERROR(INDEX(T_CleanCustomers[Customer_Segment],MATCH(B333,T_CleanCustomers[Customer_ID],0)),"Unmatched")</f>
        <v>Enterprise</v>
      </c>
    </row>
    <row r="334" spans="1:16" ht="15" customHeight="1" x14ac:dyDescent="0.2">
      <c r="A334" s="9" t="s">
        <v>1692</v>
      </c>
      <c r="B334" s="9" t="s">
        <v>1184</v>
      </c>
      <c r="C334" s="9" t="b">
        <f>TRUE()</f>
        <v>1</v>
      </c>
      <c r="D334" s="10">
        <v>45952</v>
      </c>
      <c r="E334" s="10">
        <v>45931</v>
      </c>
      <c r="F334" s="9" t="s">
        <v>1360</v>
      </c>
      <c r="G334" s="11">
        <v>21090.77</v>
      </c>
      <c r="H334" s="11">
        <v>466.76</v>
      </c>
      <c r="I334" s="9" t="b">
        <f>TRUE()</f>
        <v>1</v>
      </c>
      <c r="J334" s="9" t="s">
        <v>1361</v>
      </c>
      <c r="K334" s="11">
        <v>466.76</v>
      </c>
      <c r="L334" s="9" t="s">
        <v>18</v>
      </c>
      <c r="M334" s="9" t="str">
        <f>IFERROR(INDEX(T_CleanCustomers[Sales_Rep_ID],MATCH(B334,T_CleanCustomers[Customer_ID],0)),"Unmatched")</f>
        <v>REP011</v>
      </c>
      <c r="N334" s="9" t="str">
        <f>IFERROR(INDEX(T_CleanCustomers[Channel],MATCH(B334,T_CleanCustomers[Customer_ID],0)),"Unmatched")</f>
        <v>Referral</v>
      </c>
      <c r="O334" s="9" t="str">
        <f>IFERROR(INDEX(T_CleanCustomers[Product],MATCH(B334,T_CleanCustomers[Customer_ID],0)),"Unmatched")</f>
        <v>Fuel Card</v>
      </c>
      <c r="P334" s="9" t="str">
        <f>IFERROR(INDEX(T_CleanCustomers[Customer_Segment],MATCH(B334,T_CleanCustomers[Customer_ID],0)),"Unmatched")</f>
        <v>Enterprise</v>
      </c>
    </row>
    <row r="335" spans="1:16" ht="15" customHeight="1" x14ac:dyDescent="0.2">
      <c r="A335" s="9" t="s">
        <v>1693</v>
      </c>
      <c r="B335" s="9" t="s">
        <v>1184</v>
      </c>
      <c r="C335" s="9" t="b">
        <f>TRUE()</f>
        <v>1</v>
      </c>
      <c r="D335" s="10">
        <v>45943</v>
      </c>
      <c r="E335" s="10">
        <v>45931</v>
      </c>
      <c r="F335" s="9" t="s">
        <v>1360</v>
      </c>
      <c r="G335" s="11">
        <v>42413.4</v>
      </c>
      <c r="H335" s="11">
        <v>942.96</v>
      </c>
      <c r="I335" s="9" t="b">
        <f>TRUE()</f>
        <v>1</v>
      </c>
      <c r="J335" s="9" t="s">
        <v>1361</v>
      </c>
      <c r="K335" s="11">
        <v>942.96</v>
      </c>
      <c r="L335" s="9" t="s">
        <v>18</v>
      </c>
      <c r="M335" s="9" t="str">
        <f>IFERROR(INDEX(T_CleanCustomers[Sales_Rep_ID],MATCH(B335,T_CleanCustomers[Customer_ID],0)),"Unmatched")</f>
        <v>REP011</v>
      </c>
      <c r="N335" s="9" t="str">
        <f>IFERROR(INDEX(T_CleanCustomers[Channel],MATCH(B335,T_CleanCustomers[Customer_ID],0)),"Unmatched")</f>
        <v>Referral</v>
      </c>
      <c r="O335" s="9" t="str">
        <f>IFERROR(INDEX(T_CleanCustomers[Product],MATCH(B335,T_CleanCustomers[Customer_ID],0)),"Unmatched")</f>
        <v>Fuel Card</v>
      </c>
      <c r="P335" s="9" t="str">
        <f>IFERROR(INDEX(T_CleanCustomers[Customer_Segment],MATCH(B335,T_CleanCustomers[Customer_ID],0)),"Unmatched")</f>
        <v>Enterprise</v>
      </c>
    </row>
    <row r="336" spans="1:16" ht="15" customHeight="1" x14ac:dyDescent="0.2">
      <c r="A336" s="9" t="s">
        <v>1694</v>
      </c>
      <c r="B336" s="9" t="s">
        <v>1184</v>
      </c>
      <c r="C336" s="9" t="b">
        <f>TRUE()</f>
        <v>1</v>
      </c>
      <c r="D336" s="10">
        <v>45965</v>
      </c>
      <c r="E336" s="10">
        <v>45962</v>
      </c>
      <c r="F336" s="9" t="s">
        <v>1360</v>
      </c>
      <c r="G336" s="11">
        <v>14855.34</v>
      </c>
      <c r="H336" s="11">
        <v>349.17</v>
      </c>
      <c r="I336" s="9" t="b">
        <f>TRUE()</f>
        <v>1</v>
      </c>
      <c r="J336" s="9" t="s">
        <v>1361</v>
      </c>
      <c r="K336" s="11">
        <v>349.17</v>
      </c>
      <c r="L336" s="9" t="s">
        <v>18</v>
      </c>
      <c r="M336" s="9" t="str">
        <f>IFERROR(INDEX(T_CleanCustomers[Sales_Rep_ID],MATCH(B336,T_CleanCustomers[Customer_ID],0)),"Unmatched")</f>
        <v>REP011</v>
      </c>
      <c r="N336" s="9" t="str">
        <f>IFERROR(INDEX(T_CleanCustomers[Channel],MATCH(B336,T_CleanCustomers[Customer_ID],0)),"Unmatched")</f>
        <v>Referral</v>
      </c>
      <c r="O336" s="9" t="str">
        <f>IFERROR(INDEX(T_CleanCustomers[Product],MATCH(B336,T_CleanCustomers[Customer_ID],0)),"Unmatched")</f>
        <v>Fuel Card</v>
      </c>
      <c r="P336" s="9" t="str">
        <f>IFERROR(INDEX(T_CleanCustomers[Customer_Segment],MATCH(B336,T_CleanCustomers[Customer_ID],0)),"Unmatched")</f>
        <v>Enterprise</v>
      </c>
    </row>
    <row r="337" spans="1:16" ht="15" customHeight="1" x14ac:dyDescent="0.2">
      <c r="A337" s="9" t="s">
        <v>1695</v>
      </c>
      <c r="B337" s="9" t="s">
        <v>1184</v>
      </c>
      <c r="C337" s="9" t="b">
        <f>TRUE()</f>
        <v>1</v>
      </c>
      <c r="D337" s="10">
        <v>46003</v>
      </c>
      <c r="E337" s="10">
        <v>45992</v>
      </c>
      <c r="F337" s="9" t="s">
        <v>1360</v>
      </c>
      <c r="G337" s="11">
        <v>31100.84</v>
      </c>
      <c r="H337" s="11">
        <v>676.9</v>
      </c>
      <c r="I337" s="9" t="b">
        <f>TRUE()</f>
        <v>1</v>
      </c>
      <c r="J337" s="9" t="s">
        <v>1361</v>
      </c>
      <c r="K337" s="11">
        <v>676.9</v>
      </c>
      <c r="L337" s="9" t="s">
        <v>18</v>
      </c>
      <c r="M337" s="9" t="str">
        <f>IFERROR(INDEX(T_CleanCustomers[Sales_Rep_ID],MATCH(B337,T_CleanCustomers[Customer_ID],0)),"Unmatched")</f>
        <v>REP011</v>
      </c>
      <c r="N337" s="9" t="str">
        <f>IFERROR(INDEX(T_CleanCustomers[Channel],MATCH(B337,T_CleanCustomers[Customer_ID],0)),"Unmatched")</f>
        <v>Referral</v>
      </c>
      <c r="O337" s="9" t="str">
        <f>IFERROR(INDEX(T_CleanCustomers[Product],MATCH(B337,T_CleanCustomers[Customer_ID],0)),"Unmatched")</f>
        <v>Fuel Card</v>
      </c>
      <c r="P337" s="9" t="str">
        <f>IFERROR(INDEX(T_CleanCustomers[Customer_Segment],MATCH(B337,T_CleanCustomers[Customer_ID],0)),"Unmatched")</f>
        <v>Enterprise</v>
      </c>
    </row>
    <row r="338" spans="1:16" ht="15" customHeight="1" x14ac:dyDescent="0.2">
      <c r="A338" s="9" t="s">
        <v>1696</v>
      </c>
      <c r="B338" s="9" t="s">
        <v>1184</v>
      </c>
      <c r="C338" s="9" t="b">
        <f>TRUE()</f>
        <v>1</v>
      </c>
      <c r="D338" s="10">
        <v>45997</v>
      </c>
      <c r="E338" s="10">
        <v>45992</v>
      </c>
      <c r="F338" s="9" t="s">
        <v>1360</v>
      </c>
      <c r="G338" s="11">
        <v>37406.32</v>
      </c>
      <c r="H338" s="11">
        <v>1013.33</v>
      </c>
      <c r="I338" s="9" t="b">
        <f>TRUE()</f>
        <v>1</v>
      </c>
      <c r="J338" s="9" t="s">
        <v>1361</v>
      </c>
      <c r="K338" s="11">
        <v>1013.33</v>
      </c>
      <c r="L338" s="9" t="s">
        <v>18</v>
      </c>
      <c r="M338" s="9" t="str">
        <f>IFERROR(INDEX(T_CleanCustomers[Sales_Rep_ID],MATCH(B338,T_CleanCustomers[Customer_ID],0)),"Unmatched")</f>
        <v>REP011</v>
      </c>
      <c r="N338" s="9" t="str">
        <f>IFERROR(INDEX(T_CleanCustomers[Channel],MATCH(B338,T_CleanCustomers[Customer_ID],0)),"Unmatched")</f>
        <v>Referral</v>
      </c>
      <c r="O338" s="9" t="str">
        <f>IFERROR(INDEX(T_CleanCustomers[Product],MATCH(B338,T_CleanCustomers[Customer_ID],0)),"Unmatched")</f>
        <v>Fuel Card</v>
      </c>
      <c r="P338" s="9" t="str">
        <f>IFERROR(INDEX(T_CleanCustomers[Customer_Segment],MATCH(B338,T_CleanCustomers[Customer_ID],0)),"Unmatched")</f>
        <v>Enterprise</v>
      </c>
    </row>
    <row r="339" spans="1:16" ht="15" customHeight="1" x14ac:dyDescent="0.2">
      <c r="A339" s="9" t="s">
        <v>1697</v>
      </c>
      <c r="B339" s="9" t="s">
        <v>1185</v>
      </c>
      <c r="C339" s="9" t="b">
        <f>TRUE()</f>
        <v>1</v>
      </c>
      <c r="D339" s="10">
        <v>46021</v>
      </c>
      <c r="E339" s="10">
        <v>45992</v>
      </c>
      <c r="F339" s="9" t="s">
        <v>1360</v>
      </c>
      <c r="G339" s="11">
        <v>4282.6899999999996</v>
      </c>
      <c r="H339" s="11">
        <v>97.62</v>
      </c>
      <c r="I339" s="9" t="b">
        <f>TRUE()</f>
        <v>1</v>
      </c>
      <c r="J339" s="9" t="s">
        <v>1361</v>
      </c>
      <c r="K339" s="11">
        <v>97.62</v>
      </c>
      <c r="L339" s="9" t="s">
        <v>19</v>
      </c>
      <c r="M339" s="9" t="str">
        <f>IFERROR(INDEX(T_CleanCustomers[Sales_Rep_ID],MATCH(B339,T_CleanCustomers[Customer_ID],0)),"Unmatched")</f>
        <v>REP014</v>
      </c>
      <c r="N339" s="9" t="str">
        <f>IFERROR(INDEX(T_CleanCustomers[Channel],MATCH(B339,T_CleanCustomers[Customer_ID],0)),"Unmatched")</f>
        <v>Direct Sales</v>
      </c>
      <c r="O339" s="9" t="str">
        <f>IFERROR(INDEX(T_CleanCustomers[Product],MATCH(B339,T_CleanCustomers[Customer_ID],0)),"Unmatched")</f>
        <v>Fuel Card</v>
      </c>
      <c r="P339" s="9" t="str">
        <f>IFERROR(INDEX(T_CleanCustomers[Customer_Segment],MATCH(B339,T_CleanCustomers[Customer_ID],0)),"Unmatched")</f>
        <v>Mid-Market</v>
      </c>
    </row>
    <row r="340" spans="1:16" ht="15" customHeight="1" x14ac:dyDescent="0.2">
      <c r="A340" s="9" t="s">
        <v>1698</v>
      </c>
      <c r="B340" s="9" t="s">
        <v>1185</v>
      </c>
      <c r="C340" s="9" t="b">
        <f>TRUE()</f>
        <v>1</v>
      </c>
      <c r="D340" s="10">
        <v>46019</v>
      </c>
      <c r="E340" s="10">
        <v>45992</v>
      </c>
      <c r="F340" s="9" t="s">
        <v>1360</v>
      </c>
      <c r="G340" s="11">
        <v>5493.53</v>
      </c>
      <c r="H340" s="11">
        <v>140.63999999999999</v>
      </c>
      <c r="I340" s="9" t="b">
        <f>TRUE()</f>
        <v>1</v>
      </c>
      <c r="J340" s="9" t="s">
        <v>1361</v>
      </c>
      <c r="K340" s="11">
        <v>140.63999999999999</v>
      </c>
      <c r="L340" s="9" t="s">
        <v>19</v>
      </c>
      <c r="M340" s="9" t="str">
        <f>IFERROR(INDEX(T_CleanCustomers[Sales_Rep_ID],MATCH(B340,T_CleanCustomers[Customer_ID],0)),"Unmatched")</f>
        <v>REP014</v>
      </c>
      <c r="N340" s="9" t="str">
        <f>IFERROR(INDEX(T_CleanCustomers[Channel],MATCH(B340,T_CleanCustomers[Customer_ID],0)),"Unmatched")</f>
        <v>Direct Sales</v>
      </c>
      <c r="O340" s="9" t="str">
        <f>IFERROR(INDEX(T_CleanCustomers[Product],MATCH(B340,T_CleanCustomers[Customer_ID],0)),"Unmatched")</f>
        <v>Fuel Card</v>
      </c>
      <c r="P340" s="9" t="str">
        <f>IFERROR(INDEX(T_CleanCustomers[Customer_Segment],MATCH(B340,T_CleanCustomers[Customer_ID],0)),"Unmatched")</f>
        <v>Mid-Market</v>
      </c>
    </row>
    <row r="341" spans="1:16" ht="15" customHeight="1" x14ac:dyDescent="0.2">
      <c r="A341" s="9" t="s">
        <v>1699</v>
      </c>
      <c r="B341" s="9" t="s">
        <v>1185</v>
      </c>
      <c r="C341" s="9" t="b">
        <f>TRUE()</f>
        <v>1</v>
      </c>
      <c r="D341" s="10">
        <v>46015</v>
      </c>
      <c r="E341" s="10">
        <v>45992</v>
      </c>
      <c r="F341" s="9" t="s">
        <v>1360</v>
      </c>
      <c r="G341" s="11">
        <v>8764.42</v>
      </c>
      <c r="H341" s="11">
        <v>236.59</v>
      </c>
      <c r="I341" s="9" t="b">
        <f>TRUE()</f>
        <v>1</v>
      </c>
      <c r="J341" s="9" t="s">
        <v>1361</v>
      </c>
      <c r="K341" s="11">
        <v>236.59</v>
      </c>
      <c r="L341" s="9" t="s">
        <v>19</v>
      </c>
      <c r="M341" s="9" t="str">
        <f>IFERROR(INDEX(T_CleanCustomers[Sales_Rep_ID],MATCH(B341,T_CleanCustomers[Customer_ID],0)),"Unmatched")</f>
        <v>REP014</v>
      </c>
      <c r="N341" s="9" t="str">
        <f>IFERROR(INDEX(T_CleanCustomers[Channel],MATCH(B341,T_CleanCustomers[Customer_ID],0)),"Unmatched")</f>
        <v>Direct Sales</v>
      </c>
      <c r="O341" s="9" t="str">
        <f>IFERROR(INDEX(T_CleanCustomers[Product],MATCH(B341,T_CleanCustomers[Customer_ID],0)),"Unmatched")</f>
        <v>Fuel Card</v>
      </c>
      <c r="P341" s="9" t="str">
        <f>IFERROR(INDEX(T_CleanCustomers[Customer_Segment],MATCH(B341,T_CleanCustomers[Customer_ID],0)),"Unmatched")</f>
        <v>Mid-Market</v>
      </c>
    </row>
    <row r="342" spans="1:16" ht="15" customHeight="1" x14ac:dyDescent="0.2">
      <c r="A342" s="9" t="s">
        <v>130</v>
      </c>
      <c r="B342" s="9" t="s">
        <v>1186</v>
      </c>
      <c r="C342" s="9" t="b">
        <f>TRUE()</f>
        <v>1</v>
      </c>
      <c r="D342" s="10">
        <v>45838</v>
      </c>
      <c r="E342" s="10">
        <v>45809</v>
      </c>
      <c r="F342" s="9" t="s">
        <v>1423</v>
      </c>
      <c r="G342" s="11">
        <v>3372.11</v>
      </c>
      <c r="H342" s="11">
        <v>129.47</v>
      </c>
      <c r="I342" s="9" t="b">
        <f>TRUE()</f>
        <v>1</v>
      </c>
      <c r="J342" s="9" t="s">
        <v>1408</v>
      </c>
      <c r="K342" s="11">
        <v>0</v>
      </c>
      <c r="L342" s="9" t="s">
        <v>22</v>
      </c>
      <c r="M342" s="9" t="str">
        <f>IFERROR(INDEX(T_CleanCustomers[Sales_Rep_ID],MATCH(B342,T_CleanCustomers[Customer_ID],0)),"Unmatched")</f>
        <v>REP006</v>
      </c>
      <c r="N342" s="9" t="str">
        <f>IFERROR(INDEX(T_CleanCustomers[Channel],MATCH(B342,T_CleanCustomers[Customer_ID],0)),"Unmatched")</f>
        <v>Direct Sales</v>
      </c>
      <c r="O342" s="9" t="str">
        <f>IFERROR(INDEX(T_CleanCustomers[Product],MATCH(B342,T_CleanCustomers[Customer_ID],0)),"Unmatched")</f>
        <v>EV Charge Card</v>
      </c>
      <c r="P342" s="9" t="str">
        <f>IFERROR(INDEX(T_CleanCustomers[Customer_Segment],MATCH(B342,T_CleanCustomers[Customer_ID],0)),"Unmatched")</f>
        <v>SME</v>
      </c>
    </row>
    <row r="343" spans="1:16" ht="15" customHeight="1" x14ac:dyDescent="0.2">
      <c r="A343" s="9" t="s">
        <v>1700</v>
      </c>
      <c r="B343" s="9" t="s">
        <v>1186</v>
      </c>
      <c r="C343" s="9" t="b">
        <f>TRUE()</f>
        <v>1</v>
      </c>
      <c r="D343" s="10">
        <v>45857</v>
      </c>
      <c r="E343" s="10">
        <v>45839</v>
      </c>
      <c r="F343" s="9" t="s">
        <v>1423</v>
      </c>
      <c r="G343" s="11">
        <v>4081.24</v>
      </c>
      <c r="H343" s="11">
        <v>133.65</v>
      </c>
      <c r="I343" s="9" t="b">
        <f>TRUE()</f>
        <v>1</v>
      </c>
      <c r="J343" s="9" t="s">
        <v>1361</v>
      </c>
      <c r="K343" s="11">
        <v>133.65</v>
      </c>
      <c r="L343" s="9" t="s">
        <v>22</v>
      </c>
      <c r="M343" s="9" t="str">
        <f>IFERROR(INDEX(T_CleanCustomers[Sales_Rep_ID],MATCH(B343,T_CleanCustomers[Customer_ID],0)),"Unmatched")</f>
        <v>REP006</v>
      </c>
      <c r="N343" s="9" t="str">
        <f>IFERROR(INDEX(T_CleanCustomers[Channel],MATCH(B343,T_CleanCustomers[Customer_ID],0)),"Unmatched")</f>
        <v>Direct Sales</v>
      </c>
      <c r="O343" s="9" t="str">
        <f>IFERROR(INDEX(T_CleanCustomers[Product],MATCH(B343,T_CleanCustomers[Customer_ID],0)),"Unmatched")</f>
        <v>EV Charge Card</v>
      </c>
      <c r="P343" s="9" t="str">
        <f>IFERROR(INDEX(T_CleanCustomers[Customer_Segment],MATCH(B343,T_CleanCustomers[Customer_ID],0)),"Unmatched")</f>
        <v>SME</v>
      </c>
    </row>
    <row r="344" spans="1:16" ht="15" customHeight="1" x14ac:dyDescent="0.2">
      <c r="A344" s="9" t="s">
        <v>1701</v>
      </c>
      <c r="B344" s="9" t="s">
        <v>1186</v>
      </c>
      <c r="C344" s="9" t="b">
        <f>TRUE()</f>
        <v>1</v>
      </c>
      <c r="D344" s="10">
        <v>45877</v>
      </c>
      <c r="E344" s="10">
        <v>45870</v>
      </c>
      <c r="F344" s="9" t="s">
        <v>1423</v>
      </c>
      <c r="G344" s="11">
        <v>2512.52</v>
      </c>
      <c r="H344" s="11">
        <v>88.39</v>
      </c>
      <c r="I344" s="9" t="b">
        <f>TRUE()</f>
        <v>1</v>
      </c>
      <c r="J344" s="9" t="s">
        <v>1361</v>
      </c>
      <c r="K344" s="11">
        <v>88.39</v>
      </c>
      <c r="L344" s="9" t="s">
        <v>22</v>
      </c>
      <c r="M344" s="9" t="str">
        <f>IFERROR(INDEX(T_CleanCustomers[Sales_Rep_ID],MATCH(B344,T_CleanCustomers[Customer_ID],0)),"Unmatched")</f>
        <v>REP006</v>
      </c>
      <c r="N344" s="9" t="str">
        <f>IFERROR(INDEX(T_CleanCustomers[Channel],MATCH(B344,T_CleanCustomers[Customer_ID],0)),"Unmatched")</f>
        <v>Direct Sales</v>
      </c>
      <c r="O344" s="9" t="str">
        <f>IFERROR(INDEX(T_CleanCustomers[Product],MATCH(B344,T_CleanCustomers[Customer_ID],0)),"Unmatched")</f>
        <v>EV Charge Card</v>
      </c>
      <c r="P344" s="9" t="str">
        <f>IFERROR(INDEX(T_CleanCustomers[Customer_Segment],MATCH(B344,T_CleanCustomers[Customer_ID],0)),"Unmatched")</f>
        <v>SME</v>
      </c>
    </row>
    <row r="345" spans="1:16" ht="15" customHeight="1" x14ac:dyDescent="0.2">
      <c r="A345" s="9" t="s">
        <v>1702</v>
      </c>
      <c r="B345" s="9" t="s">
        <v>1186</v>
      </c>
      <c r="C345" s="9" t="b">
        <f>TRUE()</f>
        <v>1</v>
      </c>
      <c r="D345" s="10">
        <v>45876</v>
      </c>
      <c r="E345" s="10">
        <v>45870</v>
      </c>
      <c r="F345" s="9" t="s">
        <v>1423</v>
      </c>
      <c r="G345" s="11">
        <v>3999.11</v>
      </c>
      <c r="H345" s="11">
        <v>128.97</v>
      </c>
      <c r="I345" s="9" t="b">
        <f>TRUE()</f>
        <v>1</v>
      </c>
      <c r="J345" s="9" t="s">
        <v>1361</v>
      </c>
      <c r="K345" s="11">
        <v>128.97</v>
      </c>
      <c r="L345" s="9" t="s">
        <v>22</v>
      </c>
      <c r="M345" s="9" t="str">
        <f>IFERROR(INDEX(T_CleanCustomers[Sales_Rep_ID],MATCH(B345,T_CleanCustomers[Customer_ID],0)),"Unmatched")</f>
        <v>REP006</v>
      </c>
      <c r="N345" s="9" t="str">
        <f>IFERROR(INDEX(T_CleanCustomers[Channel],MATCH(B345,T_CleanCustomers[Customer_ID],0)),"Unmatched")</f>
        <v>Direct Sales</v>
      </c>
      <c r="O345" s="9" t="str">
        <f>IFERROR(INDEX(T_CleanCustomers[Product],MATCH(B345,T_CleanCustomers[Customer_ID],0)),"Unmatched")</f>
        <v>EV Charge Card</v>
      </c>
      <c r="P345" s="9" t="str">
        <f>IFERROR(INDEX(T_CleanCustomers[Customer_Segment],MATCH(B345,T_CleanCustomers[Customer_ID],0)),"Unmatched")</f>
        <v>SME</v>
      </c>
    </row>
    <row r="346" spans="1:16" ht="15" customHeight="1" x14ac:dyDescent="0.2">
      <c r="A346" s="9" t="s">
        <v>1703</v>
      </c>
      <c r="B346" s="9" t="s">
        <v>1186</v>
      </c>
      <c r="C346" s="9" t="b">
        <f>TRUE()</f>
        <v>1</v>
      </c>
      <c r="D346" s="10">
        <v>45895</v>
      </c>
      <c r="E346" s="10">
        <v>45870</v>
      </c>
      <c r="F346" s="9" t="s">
        <v>1423</v>
      </c>
      <c r="G346" s="11">
        <v>1252.99</v>
      </c>
      <c r="H346" s="11">
        <v>40.1</v>
      </c>
      <c r="I346" s="9" t="b">
        <f>TRUE()</f>
        <v>1</v>
      </c>
      <c r="J346" s="9" t="s">
        <v>1361</v>
      </c>
      <c r="K346" s="11">
        <v>40.1</v>
      </c>
      <c r="L346" s="9" t="s">
        <v>22</v>
      </c>
      <c r="M346" s="9" t="str">
        <f>IFERROR(INDEX(T_CleanCustomers[Sales_Rep_ID],MATCH(B346,T_CleanCustomers[Customer_ID],0)),"Unmatched")</f>
        <v>REP006</v>
      </c>
      <c r="N346" s="9" t="str">
        <f>IFERROR(INDEX(T_CleanCustomers[Channel],MATCH(B346,T_CleanCustomers[Customer_ID],0)),"Unmatched")</f>
        <v>Direct Sales</v>
      </c>
      <c r="O346" s="9" t="str">
        <f>IFERROR(INDEX(T_CleanCustomers[Product],MATCH(B346,T_CleanCustomers[Customer_ID],0)),"Unmatched")</f>
        <v>EV Charge Card</v>
      </c>
      <c r="P346" s="9" t="str">
        <f>IFERROR(INDEX(T_CleanCustomers[Customer_Segment],MATCH(B346,T_CleanCustomers[Customer_ID],0)),"Unmatched")</f>
        <v>SME</v>
      </c>
    </row>
    <row r="347" spans="1:16" ht="15" customHeight="1" x14ac:dyDescent="0.2">
      <c r="A347" s="9" t="s">
        <v>1704</v>
      </c>
      <c r="B347" s="9" t="s">
        <v>1186</v>
      </c>
      <c r="C347" s="9" t="b">
        <f>TRUE()</f>
        <v>1</v>
      </c>
      <c r="D347" s="10">
        <v>45917</v>
      </c>
      <c r="E347" s="10">
        <v>45901</v>
      </c>
      <c r="F347" s="9" t="s">
        <v>1423</v>
      </c>
      <c r="G347" s="11">
        <v>4381.13</v>
      </c>
      <c r="H347" s="11">
        <v>129.25</v>
      </c>
      <c r="I347" s="9" t="b">
        <f>TRUE()</f>
        <v>1</v>
      </c>
      <c r="J347" s="9" t="s">
        <v>1361</v>
      </c>
      <c r="K347" s="11">
        <v>129.25</v>
      </c>
      <c r="L347" s="9" t="s">
        <v>22</v>
      </c>
      <c r="M347" s="9" t="str">
        <f>IFERROR(INDEX(T_CleanCustomers[Sales_Rep_ID],MATCH(B347,T_CleanCustomers[Customer_ID],0)),"Unmatched")</f>
        <v>REP006</v>
      </c>
      <c r="N347" s="9" t="str">
        <f>IFERROR(INDEX(T_CleanCustomers[Channel],MATCH(B347,T_CleanCustomers[Customer_ID],0)),"Unmatched")</f>
        <v>Direct Sales</v>
      </c>
      <c r="O347" s="9" t="str">
        <f>IFERROR(INDEX(T_CleanCustomers[Product],MATCH(B347,T_CleanCustomers[Customer_ID],0)),"Unmatched")</f>
        <v>EV Charge Card</v>
      </c>
      <c r="P347" s="9" t="str">
        <f>IFERROR(INDEX(T_CleanCustomers[Customer_Segment],MATCH(B347,T_CleanCustomers[Customer_ID],0)),"Unmatched")</f>
        <v>SME</v>
      </c>
    </row>
    <row r="348" spans="1:16" ht="15" customHeight="1" x14ac:dyDescent="0.2">
      <c r="A348" s="9" t="s">
        <v>1705</v>
      </c>
      <c r="B348" s="9" t="s">
        <v>1186</v>
      </c>
      <c r="C348" s="9" t="b">
        <f>TRUE()</f>
        <v>1</v>
      </c>
      <c r="D348" s="10">
        <v>45902</v>
      </c>
      <c r="E348" s="10">
        <v>45901</v>
      </c>
      <c r="F348" s="9" t="s">
        <v>1423</v>
      </c>
      <c r="G348" s="11">
        <v>1487.07</v>
      </c>
      <c r="H348" s="11">
        <v>0</v>
      </c>
      <c r="I348" s="9" t="b">
        <f>TRUE()</f>
        <v>1</v>
      </c>
      <c r="J348" s="9" t="s">
        <v>1408</v>
      </c>
      <c r="K348" s="11">
        <v>0</v>
      </c>
      <c r="L348" s="9" t="s">
        <v>22</v>
      </c>
      <c r="M348" s="9" t="str">
        <f>IFERROR(INDEX(T_CleanCustomers[Sales_Rep_ID],MATCH(B348,T_CleanCustomers[Customer_ID],0)),"Unmatched")</f>
        <v>REP006</v>
      </c>
      <c r="N348" s="9" t="str">
        <f>IFERROR(INDEX(T_CleanCustomers[Channel],MATCH(B348,T_CleanCustomers[Customer_ID],0)),"Unmatched")</f>
        <v>Direct Sales</v>
      </c>
      <c r="O348" s="9" t="str">
        <f>IFERROR(INDEX(T_CleanCustomers[Product],MATCH(B348,T_CleanCustomers[Customer_ID],0)),"Unmatched")</f>
        <v>EV Charge Card</v>
      </c>
      <c r="P348" s="9" t="str">
        <f>IFERROR(INDEX(T_CleanCustomers[Customer_Segment],MATCH(B348,T_CleanCustomers[Customer_ID],0)),"Unmatched")</f>
        <v>SME</v>
      </c>
    </row>
    <row r="349" spans="1:16" ht="15" customHeight="1" x14ac:dyDescent="0.2">
      <c r="A349" s="9" t="s">
        <v>1706</v>
      </c>
      <c r="B349" s="9" t="s">
        <v>1186</v>
      </c>
      <c r="C349" s="9" t="b">
        <f>TRUE()</f>
        <v>1</v>
      </c>
      <c r="D349" s="10">
        <v>45951</v>
      </c>
      <c r="E349" s="10">
        <v>45931</v>
      </c>
      <c r="F349" s="9" t="s">
        <v>1423</v>
      </c>
      <c r="G349" s="11">
        <v>2645.48</v>
      </c>
      <c r="H349" s="11">
        <v>90.97</v>
      </c>
      <c r="I349" s="9" t="b">
        <f>TRUE()</f>
        <v>1</v>
      </c>
      <c r="J349" s="9" t="s">
        <v>1361</v>
      </c>
      <c r="K349" s="11">
        <v>90.97</v>
      </c>
      <c r="L349" s="9" t="s">
        <v>22</v>
      </c>
      <c r="M349" s="9" t="str">
        <f>IFERROR(INDEX(T_CleanCustomers[Sales_Rep_ID],MATCH(B349,T_CleanCustomers[Customer_ID],0)),"Unmatched")</f>
        <v>REP006</v>
      </c>
      <c r="N349" s="9" t="str">
        <f>IFERROR(INDEX(T_CleanCustomers[Channel],MATCH(B349,T_CleanCustomers[Customer_ID],0)),"Unmatched")</f>
        <v>Direct Sales</v>
      </c>
      <c r="O349" s="9" t="str">
        <f>IFERROR(INDEX(T_CleanCustomers[Product],MATCH(B349,T_CleanCustomers[Customer_ID],0)),"Unmatched")</f>
        <v>EV Charge Card</v>
      </c>
      <c r="P349" s="9" t="str">
        <f>IFERROR(INDEX(T_CleanCustomers[Customer_Segment],MATCH(B349,T_CleanCustomers[Customer_ID],0)),"Unmatched")</f>
        <v>SME</v>
      </c>
    </row>
    <row r="350" spans="1:16" ht="15" customHeight="1" x14ac:dyDescent="0.2">
      <c r="A350" s="9" t="s">
        <v>1707</v>
      </c>
      <c r="B350" s="9" t="s">
        <v>1186</v>
      </c>
      <c r="C350" s="9" t="b">
        <f>TRUE()</f>
        <v>1</v>
      </c>
      <c r="D350" s="10">
        <v>45946</v>
      </c>
      <c r="E350" s="10">
        <v>45931</v>
      </c>
      <c r="F350" s="9" t="s">
        <v>1423</v>
      </c>
      <c r="G350" s="11">
        <v>2596.02</v>
      </c>
      <c r="H350" s="11">
        <v>74.7</v>
      </c>
      <c r="I350" s="9" t="b">
        <f>TRUE()</f>
        <v>1</v>
      </c>
      <c r="J350" s="9" t="s">
        <v>1361</v>
      </c>
      <c r="K350" s="11">
        <v>74.7</v>
      </c>
      <c r="L350" s="9" t="s">
        <v>22</v>
      </c>
      <c r="M350" s="9" t="str">
        <f>IFERROR(INDEX(T_CleanCustomers[Sales_Rep_ID],MATCH(B350,T_CleanCustomers[Customer_ID],0)),"Unmatched")</f>
        <v>REP006</v>
      </c>
      <c r="N350" s="9" t="str">
        <f>IFERROR(INDEX(T_CleanCustomers[Channel],MATCH(B350,T_CleanCustomers[Customer_ID],0)),"Unmatched")</f>
        <v>Direct Sales</v>
      </c>
      <c r="O350" s="9" t="str">
        <f>IFERROR(INDEX(T_CleanCustomers[Product],MATCH(B350,T_CleanCustomers[Customer_ID],0)),"Unmatched")</f>
        <v>EV Charge Card</v>
      </c>
      <c r="P350" s="9" t="str">
        <f>IFERROR(INDEX(T_CleanCustomers[Customer_Segment],MATCH(B350,T_CleanCustomers[Customer_ID],0)),"Unmatched")</f>
        <v>SME</v>
      </c>
    </row>
    <row r="351" spans="1:16" ht="15" customHeight="1" x14ac:dyDescent="0.2">
      <c r="A351" s="9" t="s">
        <v>1708</v>
      </c>
      <c r="B351" s="9" t="s">
        <v>1186</v>
      </c>
      <c r="C351" s="9" t="b">
        <f>TRUE()</f>
        <v>1</v>
      </c>
      <c r="D351" s="10">
        <v>45977</v>
      </c>
      <c r="E351" s="10">
        <v>45962</v>
      </c>
      <c r="F351" s="9" t="s">
        <v>1423</v>
      </c>
      <c r="G351" s="11">
        <v>1679.91</v>
      </c>
      <c r="H351" s="11">
        <v>59.77</v>
      </c>
      <c r="I351" s="9" t="b">
        <f>TRUE()</f>
        <v>1</v>
      </c>
      <c r="J351" s="9" t="s">
        <v>1361</v>
      </c>
      <c r="K351" s="11">
        <v>59.77</v>
      </c>
      <c r="L351" s="9" t="s">
        <v>22</v>
      </c>
      <c r="M351" s="9" t="str">
        <f>IFERROR(INDEX(T_CleanCustomers[Sales_Rep_ID],MATCH(B351,T_CleanCustomers[Customer_ID],0)),"Unmatched")</f>
        <v>REP006</v>
      </c>
      <c r="N351" s="9" t="str">
        <f>IFERROR(INDEX(T_CleanCustomers[Channel],MATCH(B351,T_CleanCustomers[Customer_ID],0)),"Unmatched")</f>
        <v>Direct Sales</v>
      </c>
      <c r="O351" s="9" t="str">
        <f>IFERROR(INDEX(T_CleanCustomers[Product],MATCH(B351,T_CleanCustomers[Customer_ID],0)),"Unmatched")</f>
        <v>EV Charge Card</v>
      </c>
      <c r="P351" s="9" t="str">
        <f>IFERROR(INDEX(T_CleanCustomers[Customer_Segment],MATCH(B351,T_CleanCustomers[Customer_ID],0)),"Unmatched")</f>
        <v>SME</v>
      </c>
    </row>
    <row r="352" spans="1:16" ht="15" customHeight="1" x14ac:dyDescent="0.2">
      <c r="A352" s="9" t="s">
        <v>1709</v>
      </c>
      <c r="B352" s="9" t="s">
        <v>1186</v>
      </c>
      <c r="C352" s="9" t="b">
        <f>TRUE()</f>
        <v>1</v>
      </c>
      <c r="D352" s="10">
        <v>46008</v>
      </c>
      <c r="E352" s="10">
        <v>45992</v>
      </c>
      <c r="F352" s="9" t="s">
        <v>1423</v>
      </c>
      <c r="G352" s="11">
        <v>1436.84</v>
      </c>
      <c r="H352" s="11">
        <v>49.13</v>
      </c>
      <c r="I352" s="9" t="b">
        <f>TRUE()</f>
        <v>1</v>
      </c>
      <c r="J352" s="9" t="s">
        <v>1361</v>
      </c>
      <c r="K352" s="11">
        <v>49.13</v>
      </c>
      <c r="L352" s="9" t="s">
        <v>22</v>
      </c>
      <c r="M352" s="9" t="str">
        <f>IFERROR(INDEX(T_CleanCustomers[Sales_Rep_ID],MATCH(B352,T_CleanCustomers[Customer_ID],0)),"Unmatched")</f>
        <v>REP006</v>
      </c>
      <c r="N352" s="9" t="str">
        <f>IFERROR(INDEX(T_CleanCustomers[Channel],MATCH(B352,T_CleanCustomers[Customer_ID],0)),"Unmatched")</f>
        <v>Direct Sales</v>
      </c>
      <c r="O352" s="9" t="str">
        <f>IFERROR(INDEX(T_CleanCustomers[Product],MATCH(B352,T_CleanCustomers[Customer_ID],0)),"Unmatched")</f>
        <v>EV Charge Card</v>
      </c>
      <c r="P352" s="9" t="str">
        <f>IFERROR(INDEX(T_CleanCustomers[Customer_Segment],MATCH(B352,T_CleanCustomers[Customer_ID],0)),"Unmatched")</f>
        <v>SME</v>
      </c>
    </row>
    <row r="353" spans="1:16" ht="15" customHeight="1" x14ac:dyDescent="0.2">
      <c r="A353" s="9" t="s">
        <v>1710</v>
      </c>
      <c r="B353" s="9" t="s">
        <v>1186</v>
      </c>
      <c r="C353" s="9" t="b">
        <f>TRUE()</f>
        <v>1</v>
      </c>
      <c r="D353" s="10">
        <v>46015</v>
      </c>
      <c r="E353" s="10">
        <v>45992</v>
      </c>
      <c r="F353" s="9" t="s">
        <v>1423</v>
      </c>
      <c r="G353" s="11">
        <v>2070.4899999999998</v>
      </c>
      <c r="H353" s="11">
        <v>56.37</v>
      </c>
      <c r="I353" s="9" t="b">
        <f>TRUE()</f>
        <v>1</v>
      </c>
      <c r="J353" s="9" t="s">
        <v>1361</v>
      </c>
      <c r="K353" s="11">
        <v>56.37</v>
      </c>
      <c r="L353" s="9" t="s">
        <v>22</v>
      </c>
      <c r="M353" s="9" t="str">
        <f>IFERROR(INDEX(T_CleanCustomers[Sales_Rep_ID],MATCH(B353,T_CleanCustomers[Customer_ID],0)),"Unmatched")</f>
        <v>REP006</v>
      </c>
      <c r="N353" s="9" t="str">
        <f>IFERROR(INDEX(T_CleanCustomers[Channel],MATCH(B353,T_CleanCustomers[Customer_ID],0)),"Unmatched")</f>
        <v>Direct Sales</v>
      </c>
      <c r="O353" s="9" t="str">
        <f>IFERROR(INDEX(T_CleanCustomers[Product],MATCH(B353,T_CleanCustomers[Customer_ID],0)),"Unmatched")</f>
        <v>EV Charge Card</v>
      </c>
      <c r="P353" s="9" t="str">
        <f>IFERROR(INDEX(T_CleanCustomers[Customer_Segment],MATCH(B353,T_CleanCustomers[Customer_ID],0)),"Unmatched")</f>
        <v>SME</v>
      </c>
    </row>
    <row r="354" spans="1:16" ht="15" customHeight="1" x14ac:dyDescent="0.2">
      <c r="A354" s="9" t="s">
        <v>1711</v>
      </c>
      <c r="B354" s="9" t="s">
        <v>1186</v>
      </c>
      <c r="C354" s="9" t="b">
        <f>TRUE()</f>
        <v>1</v>
      </c>
      <c r="D354" s="10">
        <v>45995</v>
      </c>
      <c r="E354" s="10">
        <v>45992</v>
      </c>
      <c r="F354" s="9" t="s">
        <v>1423</v>
      </c>
      <c r="G354" s="11">
        <v>3357.99</v>
      </c>
      <c r="H354" s="11">
        <v>96.82</v>
      </c>
      <c r="I354" s="9" t="b">
        <f>TRUE()</f>
        <v>1</v>
      </c>
      <c r="J354" s="9" t="s">
        <v>1361</v>
      </c>
      <c r="K354" s="11">
        <v>96.82</v>
      </c>
      <c r="L354" s="9" t="s">
        <v>22</v>
      </c>
      <c r="M354" s="9" t="str">
        <f>IFERROR(INDEX(T_CleanCustomers[Sales_Rep_ID],MATCH(B354,T_CleanCustomers[Customer_ID],0)),"Unmatched")</f>
        <v>REP006</v>
      </c>
      <c r="N354" s="9" t="str">
        <f>IFERROR(INDEX(T_CleanCustomers[Channel],MATCH(B354,T_CleanCustomers[Customer_ID],0)),"Unmatched")</f>
        <v>Direct Sales</v>
      </c>
      <c r="O354" s="9" t="str">
        <f>IFERROR(INDEX(T_CleanCustomers[Product],MATCH(B354,T_CleanCustomers[Customer_ID],0)),"Unmatched")</f>
        <v>EV Charge Card</v>
      </c>
      <c r="P354" s="9" t="str">
        <f>IFERROR(INDEX(T_CleanCustomers[Customer_Segment],MATCH(B354,T_CleanCustomers[Customer_ID],0)),"Unmatched")</f>
        <v>SME</v>
      </c>
    </row>
    <row r="355" spans="1:16" ht="15" customHeight="1" x14ac:dyDescent="0.2">
      <c r="A355" s="9" t="s">
        <v>1712</v>
      </c>
      <c r="B355" s="9" t="s">
        <v>1187</v>
      </c>
      <c r="C355" s="9" t="b">
        <f>TRUE()</f>
        <v>1</v>
      </c>
      <c r="D355" s="10">
        <v>45774</v>
      </c>
      <c r="E355" s="10">
        <v>45748</v>
      </c>
      <c r="F355" s="9" t="s">
        <v>1360</v>
      </c>
      <c r="G355" s="11">
        <v>3398.55</v>
      </c>
      <c r="H355" s="11">
        <v>72.930000000000007</v>
      </c>
      <c r="I355" s="9" t="b">
        <f>TRUE()</f>
        <v>1</v>
      </c>
      <c r="J355" s="9" t="s">
        <v>1361</v>
      </c>
      <c r="K355" s="11">
        <v>72.930000000000007</v>
      </c>
      <c r="L355" s="9" t="s">
        <v>21</v>
      </c>
      <c r="M355" s="9" t="str">
        <f>IFERROR(INDEX(T_CleanCustomers[Sales_Rep_ID],MATCH(B355,T_CleanCustomers[Customer_ID],0)),"Unmatched")</f>
        <v>REP007</v>
      </c>
      <c r="N355" s="9" t="str">
        <f>IFERROR(INDEX(T_CleanCustomers[Channel],MATCH(B355,T_CleanCustomers[Customer_ID],0)),"Unmatched")</f>
        <v>Direct Sales</v>
      </c>
      <c r="O355" s="9" t="str">
        <f>IFERROR(INDEX(T_CleanCustomers[Product],MATCH(B355,T_CleanCustomers[Customer_ID],0)),"Unmatched")</f>
        <v>Fuel Card</v>
      </c>
      <c r="P355" s="9" t="str">
        <f>IFERROR(INDEX(T_CleanCustomers[Customer_Segment],MATCH(B355,T_CleanCustomers[Customer_ID],0)),"Unmatched")</f>
        <v>SME</v>
      </c>
    </row>
    <row r="356" spans="1:16" ht="15" customHeight="1" x14ac:dyDescent="0.2">
      <c r="A356" s="9" t="s">
        <v>1713</v>
      </c>
      <c r="B356" s="9" t="s">
        <v>1187</v>
      </c>
      <c r="C356" s="9" t="b">
        <f>TRUE()</f>
        <v>1</v>
      </c>
      <c r="D356" s="10">
        <v>45775</v>
      </c>
      <c r="E356" s="10">
        <v>45748</v>
      </c>
      <c r="F356" s="9" t="s">
        <v>1360</v>
      </c>
      <c r="G356" s="11">
        <v>3409.85</v>
      </c>
      <c r="H356" s="11">
        <v>94.1</v>
      </c>
      <c r="I356" s="9" t="b">
        <f>TRUE()</f>
        <v>1</v>
      </c>
      <c r="J356" s="9" t="s">
        <v>1361</v>
      </c>
      <c r="K356" s="11">
        <v>94.1</v>
      </c>
      <c r="L356" s="9" t="s">
        <v>21</v>
      </c>
      <c r="M356" s="9" t="str">
        <f>IFERROR(INDEX(T_CleanCustomers[Sales_Rep_ID],MATCH(B356,T_CleanCustomers[Customer_ID],0)),"Unmatched")</f>
        <v>REP007</v>
      </c>
      <c r="N356" s="9" t="str">
        <f>IFERROR(INDEX(T_CleanCustomers[Channel],MATCH(B356,T_CleanCustomers[Customer_ID],0)),"Unmatched")</f>
        <v>Direct Sales</v>
      </c>
      <c r="O356" s="9" t="str">
        <f>IFERROR(INDEX(T_CleanCustomers[Product],MATCH(B356,T_CleanCustomers[Customer_ID],0)),"Unmatched")</f>
        <v>Fuel Card</v>
      </c>
      <c r="P356" s="9" t="str">
        <f>IFERROR(INDEX(T_CleanCustomers[Customer_Segment],MATCH(B356,T_CleanCustomers[Customer_ID],0)),"Unmatched")</f>
        <v>SME</v>
      </c>
    </row>
    <row r="357" spans="1:16" ht="15" customHeight="1" x14ac:dyDescent="0.2">
      <c r="A357" s="9" t="s">
        <v>1714</v>
      </c>
      <c r="B357" s="9" t="s">
        <v>1187</v>
      </c>
      <c r="C357" s="9" t="b">
        <f>TRUE()</f>
        <v>1</v>
      </c>
      <c r="D357" s="10">
        <v>45790</v>
      </c>
      <c r="E357" s="10">
        <v>45778</v>
      </c>
      <c r="F357" s="9" t="s">
        <v>1360</v>
      </c>
      <c r="G357" s="11">
        <v>4979.68</v>
      </c>
      <c r="H357" s="11">
        <v>106.95</v>
      </c>
      <c r="I357" s="9" t="b">
        <f>TRUE()</f>
        <v>1</v>
      </c>
      <c r="J357" s="9" t="s">
        <v>1361</v>
      </c>
      <c r="K357" s="11">
        <v>106.95</v>
      </c>
      <c r="L357" s="9" t="s">
        <v>21</v>
      </c>
      <c r="M357" s="9" t="str">
        <f>IFERROR(INDEX(T_CleanCustomers[Sales_Rep_ID],MATCH(B357,T_CleanCustomers[Customer_ID],0)),"Unmatched")</f>
        <v>REP007</v>
      </c>
      <c r="N357" s="9" t="str">
        <f>IFERROR(INDEX(T_CleanCustomers[Channel],MATCH(B357,T_CleanCustomers[Customer_ID],0)),"Unmatched")</f>
        <v>Direct Sales</v>
      </c>
      <c r="O357" s="9" t="str">
        <f>IFERROR(INDEX(T_CleanCustomers[Product],MATCH(B357,T_CleanCustomers[Customer_ID],0)),"Unmatched")</f>
        <v>Fuel Card</v>
      </c>
      <c r="P357" s="9" t="str">
        <f>IFERROR(INDEX(T_CleanCustomers[Customer_Segment],MATCH(B357,T_CleanCustomers[Customer_ID],0)),"Unmatched")</f>
        <v>SME</v>
      </c>
    </row>
    <row r="358" spans="1:16" ht="15" customHeight="1" x14ac:dyDescent="0.2">
      <c r="A358" s="9" t="s">
        <v>1715</v>
      </c>
      <c r="B358" s="9" t="s">
        <v>1187</v>
      </c>
      <c r="C358" s="9" t="b">
        <f>TRUE()</f>
        <v>1</v>
      </c>
      <c r="D358" s="10">
        <v>45790</v>
      </c>
      <c r="E358" s="10">
        <v>45778</v>
      </c>
      <c r="F358" s="9" t="s">
        <v>1360</v>
      </c>
      <c r="G358" s="11">
        <v>5027.76</v>
      </c>
      <c r="H358" s="11">
        <v>124.72</v>
      </c>
      <c r="I358" s="9" t="b">
        <f>TRUE()</f>
        <v>1</v>
      </c>
      <c r="J358" s="9" t="s">
        <v>1361</v>
      </c>
      <c r="K358" s="11">
        <v>124.72</v>
      </c>
      <c r="L358" s="9" t="s">
        <v>21</v>
      </c>
      <c r="M358" s="9" t="str">
        <f>IFERROR(INDEX(T_CleanCustomers[Sales_Rep_ID],MATCH(B358,T_CleanCustomers[Customer_ID],0)),"Unmatched")</f>
        <v>REP007</v>
      </c>
      <c r="N358" s="9" t="str">
        <f>IFERROR(INDEX(T_CleanCustomers[Channel],MATCH(B358,T_CleanCustomers[Customer_ID],0)),"Unmatched")</f>
        <v>Direct Sales</v>
      </c>
      <c r="O358" s="9" t="str">
        <f>IFERROR(INDEX(T_CleanCustomers[Product],MATCH(B358,T_CleanCustomers[Customer_ID],0)),"Unmatched")</f>
        <v>Fuel Card</v>
      </c>
      <c r="P358" s="9" t="str">
        <f>IFERROR(INDEX(T_CleanCustomers[Customer_Segment],MATCH(B358,T_CleanCustomers[Customer_ID],0)),"Unmatched")</f>
        <v>SME</v>
      </c>
    </row>
    <row r="359" spans="1:16" ht="15" customHeight="1" x14ac:dyDescent="0.2">
      <c r="A359" s="9" t="s">
        <v>1716</v>
      </c>
      <c r="B359" s="9" t="s">
        <v>1187</v>
      </c>
      <c r="C359" s="9" t="b">
        <f>TRUE()</f>
        <v>1</v>
      </c>
      <c r="D359" s="10">
        <v>45818</v>
      </c>
      <c r="E359" s="10">
        <v>45809</v>
      </c>
      <c r="F359" s="9" t="s">
        <v>1360</v>
      </c>
      <c r="G359" s="11">
        <v>4422.71</v>
      </c>
      <c r="H359" s="11">
        <v>105.16</v>
      </c>
      <c r="I359" s="9" t="b">
        <f>TRUE()</f>
        <v>1</v>
      </c>
      <c r="J359" s="9" t="s">
        <v>1361</v>
      </c>
      <c r="K359" s="11">
        <v>105.16</v>
      </c>
      <c r="L359" s="9" t="s">
        <v>21</v>
      </c>
      <c r="M359" s="9" t="str">
        <f>IFERROR(INDEX(T_CleanCustomers[Sales_Rep_ID],MATCH(B359,T_CleanCustomers[Customer_ID],0)),"Unmatched")</f>
        <v>REP007</v>
      </c>
      <c r="N359" s="9" t="str">
        <f>IFERROR(INDEX(T_CleanCustomers[Channel],MATCH(B359,T_CleanCustomers[Customer_ID],0)),"Unmatched")</f>
        <v>Direct Sales</v>
      </c>
      <c r="O359" s="9" t="str">
        <f>IFERROR(INDEX(T_CleanCustomers[Product],MATCH(B359,T_CleanCustomers[Customer_ID],0)),"Unmatched")</f>
        <v>Fuel Card</v>
      </c>
      <c r="P359" s="9" t="str">
        <f>IFERROR(INDEX(T_CleanCustomers[Customer_Segment],MATCH(B359,T_CleanCustomers[Customer_ID],0)),"Unmatched")</f>
        <v>SME</v>
      </c>
    </row>
    <row r="360" spans="1:16" ht="15" customHeight="1" x14ac:dyDescent="0.2">
      <c r="A360" s="9" t="s">
        <v>1717</v>
      </c>
      <c r="B360" s="9" t="s">
        <v>1187</v>
      </c>
      <c r="C360" s="9" t="b">
        <f>TRUE()</f>
        <v>1</v>
      </c>
      <c r="D360" s="10">
        <v>45854</v>
      </c>
      <c r="E360" s="10">
        <v>45839</v>
      </c>
      <c r="F360" s="9" t="s">
        <v>1360</v>
      </c>
      <c r="G360" s="11">
        <v>1261.19</v>
      </c>
      <c r="H360" s="11">
        <v>36.21</v>
      </c>
      <c r="I360" s="9" t="b">
        <f>TRUE()</f>
        <v>1</v>
      </c>
      <c r="J360" s="9" t="s">
        <v>1361</v>
      </c>
      <c r="K360" s="11">
        <v>36.21</v>
      </c>
      <c r="L360" s="9" t="s">
        <v>21</v>
      </c>
      <c r="M360" s="9" t="str">
        <f>IFERROR(INDEX(T_CleanCustomers[Sales_Rep_ID],MATCH(B360,T_CleanCustomers[Customer_ID],0)),"Unmatched")</f>
        <v>REP007</v>
      </c>
      <c r="N360" s="9" t="str">
        <f>IFERROR(INDEX(T_CleanCustomers[Channel],MATCH(B360,T_CleanCustomers[Customer_ID],0)),"Unmatched")</f>
        <v>Direct Sales</v>
      </c>
      <c r="O360" s="9" t="str">
        <f>IFERROR(INDEX(T_CleanCustomers[Product],MATCH(B360,T_CleanCustomers[Customer_ID],0)),"Unmatched")</f>
        <v>Fuel Card</v>
      </c>
      <c r="P360" s="9" t="str">
        <f>IFERROR(INDEX(T_CleanCustomers[Customer_Segment],MATCH(B360,T_CleanCustomers[Customer_ID],0)),"Unmatched")</f>
        <v>SME</v>
      </c>
    </row>
    <row r="361" spans="1:16" ht="15" customHeight="1" x14ac:dyDescent="0.2">
      <c r="A361" s="9" t="s">
        <v>1718</v>
      </c>
      <c r="B361" s="9" t="s">
        <v>1187</v>
      </c>
      <c r="C361" s="9" t="b">
        <f>TRUE()</f>
        <v>1</v>
      </c>
      <c r="D361" s="10">
        <v>45850</v>
      </c>
      <c r="E361" s="10">
        <v>45839</v>
      </c>
      <c r="F361" s="9" t="s">
        <v>1360</v>
      </c>
      <c r="G361" s="11">
        <v>3584.14</v>
      </c>
      <c r="H361" s="11">
        <v>90.31</v>
      </c>
      <c r="I361" s="9" t="b">
        <f>TRUE()</f>
        <v>1</v>
      </c>
      <c r="J361" s="9" t="s">
        <v>1361</v>
      </c>
      <c r="K361" s="11">
        <v>90.31</v>
      </c>
      <c r="L361" s="9" t="s">
        <v>21</v>
      </c>
      <c r="M361" s="9" t="str">
        <f>IFERROR(INDEX(T_CleanCustomers[Sales_Rep_ID],MATCH(B361,T_CleanCustomers[Customer_ID],0)),"Unmatched")</f>
        <v>REP007</v>
      </c>
      <c r="N361" s="9" t="str">
        <f>IFERROR(INDEX(T_CleanCustomers[Channel],MATCH(B361,T_CleanCustomers[Customer_ID],0)),"Unmatched")</f>
        <v>Direct Sales</v>
      </c>
      <c r="O361" s="9" t="str">
        <f>IFERROR(INDEX(T_CleanCustomers[Product],MATCH(B361,T_CleanCustomers[Customer_ID],0)),"Unmatched")</f>
        <v>Fuel Card</v>
      </c>
      <c r="P361" s="9" t="str">
        <f>IFERROR(INDEX(T_CleanCustomers[Customer_Segment],MATCH(B361,T_CleanCustomers[Customer_ID],0)),"Unmatched")</f>
        <v>SME</v>
      </c>
    </row>
    <row r="362" spans="1:16" ht="15" customHeight="1" x14ac:dyDescent="0.2">
      <c r="A362" s="9" t="s">
        <v>1719</v>
      </c>
      <c r="B362" s="9" t="s">
        <v>1187</v>
      </c>
      <c r="C362" s="9" t="b">
        <f>TRUE()</f>
        <v>1</v>
      </c>
      <c r="D362" s="10">
        <v>45883</v>
      </c>
      <c r="E362" s="10">
        <v>45870</v>
      </c>
      <c r="F362" s="9" t="s">
        <v>1360</v>
      </c>
      <c r="G362" s="11">
        <v>2382.4699999999998</v>
      </c>
      <c r="H362" s="11">
        <v>60.05</v>
      </c>
      <c r="I362" s="9" t="b">
        <f>TRUE()</f>
        <v>1</v>
      </c>
      <c r="J362" s="9" t="s">
        <v>1361</v>
      </c>
      <c r="K362" s="11">
        <v>60.05</v>
      </c>
      <c r="L362" s="9" t="s">
        <v>21</v>
      </c>
      <c r="M362" s="9" t="str">
        <f>IFERROR(INDEX(T_CleanCustomers[Sales_Rep_ID],MATCH(B362,T_CleanCustomers[Customer_ID],0)),"Unmatched")</f>
        <v>REP007</v>
      </c>
      <c r="N362" s="9" t="str">
        <f>IFERROR(INDEX(T_CleanCustomers[Channel],MATCH(B362,T_CleanCustomers[Customer_ID],0)),"Unmatched")</f>
        <v>Direct Sales</v>
      </c>
      <c r="O362" s="9" t="str">
        <f>IFERROR(INDEX(T_CleanCustomers[Product],MATCH(B362,T_CleanCustomers[Customer_ID],0)),"Unmatched")</f>
        <v>Fuel Card</v>
      </c>
      <c r="P362" s="9" t="str">
        <f>IFERROR(INDEX(T_CleanCustomers[Customer_Segment],MATCH(B362,T_CleanCustomers[Customer_ID],0)),"Unmatched")</f>
        <v>SME</v>
      </c>
    </row>
    <row r="363" spans="1:16" ht="15" customHeight="1" x14ac:dyDescent="0.2">
      <c r="A363" s="9" t="s">
        <v>1720</v>
      </c>
      <c r="B363" s="9" t="s">
        <v>1187</v>
      </c>
      <c r="C363" s="9" t="b">
        <f>TRUE()</f>
        <v>1</v>
      </c>
      <c r="D363" s="10">
        <v>45886</v>
      </c>
      <c r="E363" s="10">
        <v>45870</v>
      </c>
      <c r="F363" s="9" t="s">
        <v>1360</v>
      </c>
      <c r="G363" s="11">
        <v>3805.43</v>
      </c>
      <c r="H363" s="11">
        <v>94.83</v>
      </c>
      <c r="I363" s="9" t="b">
        <f>TRUE()</f>
        <v>1</v>
      </c>
      <c r="J363" s="9" t="s">
        <v>1361</v>
      </c>
      <c r="K363" s="11">
        <v>94.83</v>
      </c>
      <c r="L363" s="9" t="s">
        <v>21</v>
      </c>
      <c r="M363" s="9" t="str">
        <f>IFERROR(INDEX(T_CleanCustomers[Sales_Rep_ID],MATCH(B363,T_CleanCustomers[Customer_ID],0)),"Unmatched")</f>
        <v>REP007</v>
      </c>
      <c r="N363" s="9" t="str">
        <f>IFERROR(INDEX(T_CleanCustomers[Channel],MATCH(B363,T_CleanCustomers[Customer_ID],0)),"Unmatched")</f>
        <v>Direct Sales</v>
      </c>
      <c r="O363" s="9" t="str">
        <f>IFERROR(INDEX(T_CleanCustomers[Product],MATCH(B363,T_CleanCustomers[Customer_ID],0)),"Unmatched")</f>
        <v>Fuel Card</v>
      </c>
      <c r="P363" s="9" t="str">
        <f>IFERROR(INDEX(T_CleanCustomers[Customer_Segment],MATCH(B363,T_CleanCustomers[Customer_ID],0)),"Unmatched")</f>
        <v>SME</v>
      </c>
    </row>
    <row r="364" spans="1:16" ht="15" customHeight="1" x14ac:dyDescent="0.2">
      <c r="A364" s="9" t="s">
        <v>1721</v>
      </c>
      <c r="B364" s="9" t="s">
        <v>1187</v>
      </c>
      <c r="C364" s="9" t="b">
        <f>TRUE()</f>
        <v>1</v>
      </c>
      <c r="D364" s="10">
        <v>45925</v>
      </c>
      <c r="E364" s="10">
        <v>45901</v>
      </c>
      <c r="F364" s="9" t="s">
        <v>1360</v>
      </c>
      <c r="G364" s="11">
        <v>1708.35</v>
      </c>
      <c r="H364" s="11">
        <v>45.48</v>
      </c>
      <c r="I364" s="9" t="b">
        <f>TRUE()</f>
        <v>1</v>
      </c>
      <c r="J364" s="9" t="s">
        <v>1361</v>
      </c>
      <c r="K364" s="11">
        <v>45.48</v>
      </c>
      <c r="L364" s="9" t="s">
        <v>21</v>
      </c>
      <c r="M364" s="9" t="str">
        <f>IFERROR(INDEX(T_CleanCustomers[Sales_Rep_ID],MATCH(B364,T_CleanCustomers[Customer_ID],0)),"Unmatched")</f>
        <v>REP007</v>
      </c>
      <c r="N364" s="9" t="str">
        <f>IFERROR(INDEX(T_CleanCustomers[Channel],MATCH(B364,T_CleanCustomers[Customer_ID],0)),"Unmatched")</f>
        <v>Direct Sales</v>
      </c>
      <c r="O364" s="9" t="str">
        <f>IFERROR(INDEX(T_CleanCustomers[Product],MATCH(B364,T_CleanCustomers[Customer_ID],0)),"Unmatched")</f>
        <v>Fuel Card</v>
      </c>
      <c r="P364" s="9" t="str">
        <f>IFERROR(INDEX(T_CleanCustomers[Customer_Segment],MATCH(B364,T_CleanCustomers[Customer_ID],0)),"Unmatched")</f>
        <v>SME</v>
      </c>
    </row>
    <row r="365" spans="1:16" ht="15" customHeight="1" x14ac:dyDescent="0.2">
      <c r="A365" s="9" t="s">
        <v>1722</v>
      </c>
      <c r="B365" s="9" t="s">
        <v>1187</v>
      </c>
      <c r="C365" s="9" t="b">
        <f>TRUE()</f>
        <v>1</v>
      </c>
      <c r="D365" s="10">
        <v>45924</v>
      </c>
      <c r="E365" s="10">
        <v>45901</v>
      </c>
      <c r="F365" s="9" t="s">
        <v>1360</v>
      </c>
      <c r="G365" s="11">
        <v>1714.34</v>
      </c>
      <c r="H365" s="11">
        <v>41.53</v>
      </c>
      <c r="I365" s="9" t="b">
        <f>TRUE()</f>
        <v>1</v>
      </c>
      <c r="J365" s="9" t="s">
        <v>1361</v>
      </c>
      <c r="K365" s="11">
        <v>41.53</v>
      </c>
      <c r="L365" s="9" t="s">
        <v>21</v>
      </c>
      <c r="M365" s="9" t="str">
        <f>IFERROR(INDEX(T_CleanCustomers[Sales_Rep_ID],MATCH(B365,T_CleanCustomers[Customer_ID],0)),"Unmatched")</f>
        <v>REP007</v>
      </c>
      <c r="N365" s="9" t="str">
        <f>IFERROR(INDEX(T_CleanCustomers[Channel],MATCH(B365,T_CleanCustomers[Customer_ID],0)),"Unmatched")</f>
        <v>Direct Sales</v>
      </c>
      <c r="O365" s="9" t="str">
        <f>IFERROR(INDEX(T_CleanCustomers[Product],MATCH(B365,T_CleanCustomers[Customer_ID],0)),"Unmatched")</f>
        <v>Fuel Card</v>
      </c>
      <c r="P365" s="9" t="str">
        <f>IFERROR(INDEX(T_CleanCustomers[Customer_Segment],MATCH(B365,T_CleanCustomers[Customer_ID],0)),"Unmatched")</f>
        <v>SME</v>
      </c>
    </row>
    <row r="366" spans="1:16" ht="15" customHeight="1" x14ac:dyDescent="0.2">
      <c r="A366" s="9" t="s">
        <v>1723</v>
      </c>
      <c r="B366" s="9" t="s">
        <v>1187</v>
      </c>
      <c r="C366" s="9" t="b">
        <f>TRUE()</f>
        <v>1</v>
      </c>
      <c r="D366" s="10">
        <v>45901</v>
      </c>
      <c r="E366" s="10">
        <v>45901</v>
      </c>
      <c r="F366" s="9" t="s">
        <v>1360</v>
      </c>
      <c r="G366" s="11">
        <v>3786.66</v>
      </c>
      <c r="H366" s="11">
        <v>107.64</v>
      </c>
      <c r="I366" s="9" t="b">
        <f>TRUE()</f>
        <v>1</v>
      </c>
      <c r="J366" s="9" t="s">
        <v>1361</v>
      </c>
      <c r="K366" s="11">
        <v>107.64</v>
      </c>
      <c r="L366" s="9" t="s">
        <v>21</v>
      </c>
      <c r="M366" s="9" t="str">
        <f>IFERROR(INDEX(T_CleanCustomers[Sales_Rep_ID],MATCH(B366,T_CleanCustomers[Customer_ID],0)),"Unmatched")</f>
        <v>REP007</v>
      </c>
      <c r="N366" s="9" t="str">
        <f>IFERROR(INDEX(T_CleanCustomers[Channel],MATCH(B366,T_CleanCustomers[Customer_ID],0)),"Unmatched")</f>
        <v>Direct Sales</v>
      </c>
      <c r="O366" s="9" t="str">
        <f>IFERROR(INDEX(T_CleanCustomers[Product],MATCH(B366,T_CleanCustomers[Customer_ID],0)),"Unmatched")</f>
        <v>Fuel Card</v>
      </c>
      <c r="P366" s="9" t="str">
        <f>IFERROR(INDEX(T_CleanCustomers[Customer_Segment],MATCH(B366,T_CleanCustomers[Customer_ID],0)),"Unmatched")</f>
        <v>SME</v>
      </c>
    </row>
    <row r="367" spans="1:16" ht="15" customHeight="1" x14ac:dyDescent="0.2">
      <c r="A367" s="9" t="s">
        <v>1724</v>
      </c>
      <c r="B367" s="9" t="s">
        <v>1187</v>
      </c>
      <c r="C367" s="9" t="b">
        <f>TRUE()</f>
        <v>1</v>
      </c>
      <c r="D367" s="10">
        <v>45951</v>
      </c>
      <c r="E367" s="10">
        <v>45931</v>
      </c>
      <c r="F367" s="9" t="s">
        <v>1360</v>
      </c>
      <c r="G367" s="11">
        <v>1547.09</v>
      </c>
      <c r="H367" s="11">
        <v>36.29</v>
      </c>
      <c r="I367" s="9" t="b">
        <f>TRUE()</f>
        <v>1</v>
      </c>
      <c r="J367" s="9" t="s">
        <v>1361</v>
      </c>
      <c r="K367" s="11">
        <v>36.29</v>
      </c>
      <c r="L367" s="9" t="s">
        <v>21</v>
      </c>
      <c r="M367" s="9" t="str">
        <f>IFERROR(INDEX(T_CleanCustomers[Sales_Rep_ID],MATCH(B367,T_CleanCustomers[Customer_ID],0)),"Unmatched")</f>
        <v>REP007</v>
      </c>
      <c r="N367" s="9" t="str">
        <f>IFERROR(INDEX(T_CleanCustomers[Channel],MATCH(B367,T_CleanCustomers[Customer_ID],0)),"Unmatched")</f>
        <v>Direct Sales</v>
      </c>
      <c r="O367" s="9" t="str">
        <f>IFERROR(INDEX(T_CleanCustomers[Product],MATCH(B367,T_CleanCustomers[Customer_ID],0)),"Unmatched")</f>
        <v>Fuel Card</v>
      </c>
      <c r="P367" s="9" t="str">
        <f>IFERROR(INDEX(T_CleanCustomers[Customer_Segment],MATCH(B367,T_CleanCustomers[Customer_ID],0)),"Unmatched")</f>
        <v>SME</v>
      </c>
    </row>
    <row r="368" spans="1:16" ht="15" customHeight="1" x14ac:dyDescent="0.2">
      <c r="A368" s="9" t="s">
        <v>1725</v>
      </c>
      <c r="B368" s="9" t="s">
        <v>1187</v>
      </c>
      <c r="C368" s="9" t="b">
        <f>TRUE()</f>
        <v>1</v>
      </c>
      <c r="D368" s="10">
        <v>45939</v>
      </c>
      <c r="E368" s="10">
        <v>45931</v>
      </c>
      <c r="F368" s="9" t="s">
        <v>1360</v>
      </c>
      <c r="G368" s="11">
        <v>2029.03</v>
      </c>
      <c r="H368" s="11">
        <v>56.11</v>
      </c>
      <c r="I368" s="9" t="b">
        <f>TRUE()</f>
        <v>1</v>
      </c>
      <c r="J368" s="9" t="s">
        <v>1361</v>
      </c>
      <c r="K368" s="11">
        <v>56.11</v>
      </c>
      <c r="L368" s="9" t="s">
        <v>21</v>
      </c>
      <c r="M368" s="9" t="str">
        <f>IFERROR(INDEX(T_CleanCustomers[Sales_Rep_ID],MATCH(B368,T_CleanCustomers[Customer_ID],0)),"Unmatched")</f>
        <v>REP007</v>
      </c>
      <c r="N368" s="9" t="str">
        <f>IFERROR(INDEX(T_CleanCustomers[Channel],MATCH(B368,T_CleanCustomers[Customer_ID],0)),"Unmatched")</f>
        <v>Direct Sales</v>
      </c>
      <c r="O368" s="9" t="str">
        <f>IFERROR(INDEX(T_CleanCustomers[Product],MATCH(B368,T_CleanCustomers[Customer_ID],0)),"Unmatched")</f>
        <v>Fuel Card</v>
      </c>
      <c r="P368" s="9" t="str">
        <f>IFERROR(INDEX(T_CleanCustomers[Customer_Segment],MATCH(B368,T_CleanCustomers[Customer_ID],0)),"Unmatched")</f>
        <v>SME</v>
      </c>
    </row>
    <row r="369" spans="1:16" ht="15" customHeight="1" x14ac:dyDescent="0.2">
      <c r="A369" s="9" t="s">
        <v>1726</v>
      </c>
      <c r="B369" s="9" t="s">
        <v>1187</v>
      </c>
      <c r="C369" s="9" t="b">
        <f>TRUE()</f>
        <v>1</v>
      </c>
      <c r="D369" s="10">
        <v>45935</v>
      </c>
      <c r="E369" s="10">
        <v>45931</v>
      </c>
      <c r="F369" s="9" t="s">
        <v>1360</v>
      </c>
      <c r="G369" s="11">
        <v>1268.3599999999999</v>
      </c>
      <c r="H369" s="11">
        <v>28.95</v>
      </c>
      <c r="I369" s="9" t="b">
        <f>TRUE()</f>
        <v>1</v>
      </c>
      <c r="J369" s="9" t="s">
        <v>1361</v>
      </c>
      <c r="K369" s="11">
        <v>28.95</v>
      </c>
      <c r="L369" s="9" t="s">
        <v>21</v>
      </c>
      <c r="M369" s="9" t="str">
        <f>IFERROR(INDEX(T_CleanCustomers[Sales_Rep_ID],MATCH(B369,T_CleanCustomers[Customer_ID],0)),"Unmatched")</f>
        <v>REP007</v>
      </c>
      <c r="N369" s="9" t="str">
        <f>IFERROR(INDEX(T_CleanCustomers[Channel],MATCH(B369,T_CleanCustomers[Customer_ID],0)),"Unmatched")</f>
        <v>Direct Sales</v>
      </c>
      <c r="O369" s="9" t="str">
        <f>IFERROR(INDEX(T_CleanCustomers[Product],MATCH(B369,T_CleanCustomers[Customer_ID],0)),"Unmatched")</f>
        <v>Fuel Card</v>
      </c>
      <c r="P369" s="9" t="str">
        <f>IFERROR(INDEX(T_CleanCustomers[Customer_Segment],MATCH(B369,T_CleanCustomers[Customer_ID],0)),"Unmatched")</f>
        <v>SME</v>
      </c>
    </row>
    <row r="370" spans="1:16" ht="15" customHeight="1" x14ac:dyDescent="0.2">
      <c r="A370" s="9" t="s">
        <v>1727</v>
      </c>
      <c r="B370" s="9" t="s">
        <v>1187</v>
      </c>
      <c r="C370" s="9" t="b">
        <f>TRUE()</f>
        <v>1</v>
      </c>
      <c r="D370" s="10">
        <v>45987</v>
      </c>
      <c r="E370" s="10">
        <v>45962</v>
      </c>
      <c r="F370" s="9" t="s">
        <v>1360</v>
      </c>
      <c r="G370" s="11">
        <v>3332.63</v>
      </c>
      <c r="H370" s="11">
        <v>81.98</v>
      </c>
      <c r="I370" s="9" t="b">
        <f>TRUE()</f>
        <v>1</v>
      </c>
      <c r="J370" s="9" t="s">
        <v>1361</v>
      </c>
      <c r="K370" s="11">
        <v>81.98</v>
      </c>
      <c r="L370" s="9" t="s">
        <v>21</v>
      </c>
      <c r="M370" s="9" t="str">
        <f>IFERROR(INDEX(T_CleanCustomers[Sales_Rep_ID],MATCH(B370,T_CleanCustomers[Customer_ID],0)),"Unmatched")</f>
        <v>REP007</v>
      </c>
      <c r="N370" s="9" t="str">
        <f>IFERROR(INDEX(T_CleanCustomers[Channel],MATCH(B370,T_CleanCustomers[Customer_ID],0)),"Unmatched")</f>
        <v>Direct Sales</v>
      </c>
      <c r="O370" s="9" t="str">
        <f>IFERROR(INDEX(T_CleanCustomers[Product],MATCH(B370,T_CleanCustomers[Customer_ID],0)),"Unmatched")</f>
        <v>Fuel Card</v>
      </c>
      <c r="P370" s="9" t="str">
        <f>IFERROR(INDEX(T_CleanCustomers[Customer_Segment],MATCH(B370,T_CleanCustomers[Customer_ID],0)),"Unmatched")</f>
        <v>SME</v>
      </c>
    </row>
    <row r="371" spans="1:16" ht="15" customHeight="1" x14ac:dyDescent="0.2">
      <c r="A371" s="9" t="s">
        <v>1728</v>
      </c>
      <c r="B371" s="9" t="s">
        <v>1187</v>
      </c>
      <c r="C371" s="9" t="b">
        <f>TRUE()</f>
        <v>1</v>
      </c>
      <c r="D371" s="10">
        <v>46006</v>
      </c>
      <c r="E371" s="10">
        <v>45992</v>
      </c>
      <c r="F371" s="9" t="s">
        <v>1360</v>
      </c>
      <c r="G371" s="11">
        <v>4125.3</v>
      </c>
      <c r="H371" s="11">
        <v>102.06</v>
      </c>
      <c r="I371" s="9" t="b">
        <f>TRUE()</f>
        <v>1</v>
      </c>
      <c r="J371" s="9" t="s">
        <v>1361</v>
      </c>
      <c r="K371" s="11">
        <v>102.06</v>
      </c>
      <c r="L371" s="9" t="s">
        <v>21</v>
      </c>
      <c r="M371" s="9" t="str">
        <f>IFERROR(INDEX(T_CleanCustomers[Sales_Rep_ID],MATCH(B371,T_CleanCustomers[Customer_ID],0)),"Unmatched")</f>
        <v>REP007</v>
      </c>
      <c r="N371" s="9" t="str">
        <f>IFERROR(INDEX(T_CleanCustomers[Channel],MATCH(B371,T_CleanCustomers[Customer_ID],0)),"Unmatched")</f>
        <v>Direct Sales</v>
      </c>
      <c r="O371" s="9" t="str">
        <f>IFERROR(INDEX(T_CleanCustomers[Product],MATCH(B371,T_CleanCustomers[Customer_ID],0)),"Unmatched")</f>
        <v>Fuel Card</v>
      </c>
      <c r="P371" s="9" t="str">
        <f>IFERROR(INDEX(T_CleanCustomers[Customer_Segment],MATCH(B371,T_CleanCustomers[Customer_ID],0)),"Unmatched")</f>
        <v>SME</v>
      </c>
    </row>
    <row r="372" spans="1:16" ht="15" customHeight="1" x14ac:dyDescent="0.2">
      <c r="A372" s="9" t="s">
        <v>1729</v>
      </c>
      <c r="B372" s="9" t="s">
        <v>1187</v>
      </c>
      <c r="C372" s="9" t="b">
        <f>TRUE()</f>
        <v>1</v>
      </c>
      <c r="D372" s="10">
        <v>46001</v>
      </c>
      <c r="E372" s="10">
        <v>45992</v>
      </c>
      <c r="F372" s="9" t="s">
        <v>1360</v>
      </c>
      <c r="G372" s="11">
        <v>3632.2</v>
      </c>
      <c r="H372" s="11">
        <v>83.62</v>
      </c>
      <c r="I372" s="9" t="b">
        <f>TRUE()</f>
        <v>1</v>
      </c>
      <c r="J372" s="9" t="s">
        <v>1361</v>
      </c>
      <c r="K372" s="11">
        <v>83.62</v>
      </c>
      <c r="L372" s="9" t="s">
        <v>21</v>
      </c>
      <c r="M372" s="9" t="str">
        <f>IFERROR(INDEX(T_CleanCustomers[Sales_Rep_ID],MATCH(B372,T_CleanCustomers[Customer_ID],0)),"Unmatched")</f>
        <v>REP007</v>
      </c>
      <c r="N372" s="9" t="str">
        <f>IFERROR(INDEX(T_CleanCustomers[Channel],MATCH(B372,T_CleanCustomers[Customer_ID],0)),"Unmatched")</f>
        <v>Direct Sales</v>
      </c>
      <c r="O372" s="9" t="str">
        <f>IFERROR(INDEX(T_CleanCustomers[Product],MATCH(B372,T_CleanCustomers[Customer_ID],0)),"Unmatched")</f>
        <v>Fuel Card</v>
      </c>
      <c r="P372" s="9" t="str">
        <f>IFERROR(INDEX(T_CleanCustomers[Customer_Segment],MATCH(B372,T_CleanCustomers[Customer_ID],0)),"Unmatched")</f>
        <v>SME</v>
      </c>
    </row>
    <row r="373" spans="1:16" ht="15" customHeight="1" x14ac:dyDescent="0.2">
      <c r="A373" s="9" t="s">
        <v>1730</v>
      </c>
      <c r="B373" s="9" t="s">
        <v>1190</v>
      </c>
      <c r="C373" s="9" t="b">
        <f>TRUE()</f>
        <v>1</v>
      </c>
      <c r="D373" s="10">
        <v>45961</v>
      </c>
      <c r="E373" s="10">
        <v>45931</v>
      </c>
      <c r="F373" s="9" t="s">
        <v>1360</v>
      </c>
      <c r="G373" s="11">
        <v>17533.37</v>
      </c>
      <c r="H373" s="11">
        <v>482.08</v>
      </c>
      <c r="I373" s="9" t="b">
        <f>TRUE()</f>
        <v>1</v>
      </c>
      <c r="J373" s="9" t="s">
        <v>1361</v>
      </c>
      <c r="K373" s="11">
        <v>482.08</v>
      </c>
      <c r="L373" s="9" t="s">
        <v>20</v>
      </c>
      <c r="M373" s="9" t="str">
        <f>IFERROR(INDEX(T_CleanCustomers[Sales_Rep_ID],MATCH(B373,T_CleanCustomers[Customer_ID],0)),"Unmatched")</f>
        <v>REP003</v>
      </c>
      <c r="N373" s="9" t="str">
        <f>IFERROR(INDEX(T_CleanCustomers[Channel],MATCH(B373,T_CleanCustomers[Customer_ID],0)),"Unmatched")</f>
        <v>Direct Sales</v>
      </c>
      <c r="O373" s="9" t="str">
        <f>IFERROR(INDEX(T_CleanCustomers[Product],MATCH(B373,T_CleanCustomers[Customer_ID],0)),"Unmatched")</f>
        <v>Fleet Expense Card</v>
      </c>
      <c r="P373" s="9" t="str">
        <f>IFERROR(INDEX(T_CleanCustomers[Customer_Segment],MATCH(B373,T_CleanCustomers[Customer_ID],0)),"Unmatched")</f>
        <v>Mid-Market</v>
      </c>
    </row>
    <row r="374" spans="1:16" ht="15" customHeight="1" x14ac:dyDescent="0.2">
      <c r="A374" s="9" t="s">
        <v>1731</v>
      </c>
      <c r="B374" s="9" t="s">
        <v>1190</v>
      </c>
      <c r="C374" s="9" t="b">
        <f>TRUE()</f>
        <v>1</v>
      </c>
      <c r="D374" s="10">
        <v>45942</v>
      </c>
      <c r="E374" s="10">
        <v>45931</v>
      </c>
      <c r="F374" s="9" t="s">
        <v>1479</v>
      </c>
      <c r="G374" s="11">
        <v>14681.46</v>
      </c>
      <c r="H374" s="11">
        <v>409.95</v>
      </c>
      <c r="I374" s="9" t="b">
        <f>TRUE()</f>
        <v>1</v>
      </c>
      <c r="J374" s="9" t="s">
        <v>1361</v>
      </c>
      <c r="K374" s="11">
        <v>409.95</v>
      </c>
      <c r="L374" s="9" t="s">
        <v>20</v>
      </c>
      <c r="M374" s="9" t="str">
        <f>IFERROR(INDEX(T_CleanCustomers[Sales_Rep_ID],MATCH(B374,T_CleanCustomers[Customer_ID],0)),"Unmatched")</f>
        <v>REP003</v>
      </c>
      <c r="N374" s="9" t="str">
        <f>IFERROR(INDEX(T_CleanCustomers[Channel],MATCH(B374,T_CleanCustomers[Customer_ID],0)),"Unmatched")</f>
        <v>Direct Sales</v>
      </c>
      <c r="O374" s="9" t="str">
        <f>IFERROR(INDEX(T_CleanCustomers[Product],MATCH(B374,T_CleanCustomers[Customer_ID],0)),"Unmatched")</f>
        <v>Fleet Expense Card</v>
      </c>
      <c r="P374" s="9" t="str">
        <f>IFERROR(INDEX(T_CleanCustomers[Customer_Segment],MATCH(B374,T_CleanCustomers[Customer_ID],0)),"Unmatched")</f>
        <v>Mid-Market</v>
      </c>
    </row>
    <row r="375" spans="1:16" ht="15" customHeight="1" x14ac:dyDescent="0.2">
      <c r="A375" s="9" t="s">
        <v>1732</v>
      </c>
      <c r="B375" s="9" t="s">
        <v>1190</v>
      </c>
      <c r="C375" s="9" t="b">
        <f>TRUE()</f>
        <v>1</v>
      </c>
      <c r="D375" s="10">
        <v>45956</v>
      </c>
      <c r="E375" s="10">
        <v>45931</v>
      </c>
      <c r="F375" s="9" t="s">
        <v>1481</v>
      </c>
      <c r="G375" s="11">
        <v>14564.89</v>
      </c>
      <c r="H375" s="11">
        <v>352.54</v>
      </c>
      <c r="I375" s="9" t="b">
        <f>TRUE()</f>
        <v>1</v>
      </c>
      <c r="J375" s="9" t="s">
        <v>1361</v>
      </c>
      <c r="K375" s="11">
        <v>352.54</v>
      </c>
      <c r="L375" s="9" t="s">
        <v>20</v>
      </c>
      <c r="M375" s="9" t="str">
        <f>IFERROR(INDEX(T_CleanCustomers[Sales_Rep_ID],MATCH(B375,T_CleanCustomers[Customer_ID],0)),"Unmatched")</f>
        <v>REP003</v>
      </c>
      <c r="N375" s="9" t="str">
        <f>IFERROR(INDEX(T_CleanCustomers[Channel],MATCH(B375,T_CleanCustomers[Customer_ID],0)),"Unmatched")</f>
        <v>Direct Sales</v>
      </c>
      <c r="O375" s="9" t="str">
        <f>IFERROR(INDEX(T_CleanCustomers[Product],MATCH(B375,T_CleanCustomers[Customer_ID],0)),"Unmatched")</f>
        <v>Fleet Expense Card</v>
      </c>
      <c r="P375" s="9" t="str">
        <f>IFERROR(INDEX(T_CleanCustomers[Customer_Segment],MATCH(B375,T_CleanCustomers[Customer_ID],0)),"Unmatched")</f>
        <v>Mid-Market</v>
      </c>
    </row>
    <row r="376" spans="1:16" ht="15" customHeight="1" x14ac:dyDescent="0.2">
      <c r="A376" s="9" t="s">
        <v>1733</v>
      </c>
      <c r="B376" s="9" t="s">
        <v>1190</v>
      </c>
      <c r="C376" s="9" t="b">
        <f>TRUE()</f>
        <v>1</v>
      </c>
      <c r="D376" s="10">
        <v>45978</v>
      </c>
      <c r="E376" s="10">
        <v>45962</v>
      </c>
      <c r="F376" s="9" t="s">
        <v>1479</v>
      </c>
      <c r="G376" s="11">
        <v>7815.13</v>
      </c>
      <c r="H376" s="11">
        <v>207.61</v>
      </c>
      <c r="I376" s="9" t="b">
        <f>TRUE()</f>
        <v>1</v>
      </c>
      <c r="J376" s="9" t="s">
        <v>1361</v>
      </c>
      <c r="K376" s="11">
        <v>207.61</v>
      </c>
      <c r="L376" s="9" t="s">
        <v>20</v>
      </c>
      <c r="M376" s="9" t="str">
        <f>IFERROR(INDEX(T_CleanCustomers[Sales_Rep_ID],MATCH(B376,T_CleanCustomers[Customer_ID],0)),"Unmatched")</f>
        <v>REP003</v>
      </c>
      <c r="N376" s="9" t="str">
        <f>IFERROR(INDEX(T_CleanCustomers[Channel],MATCH(B376,T_CleanCustomers[Customer_ID],0)),"Unmatched")</f>
        <v>Direct Sales</v>
      </c>
      <c r="O376" s="9" t="str">
        <f>IFERROR(INDEX(T_CleanCustomers[Product],MATCH(B376,T_CleanCustomers[Customer_ID],0)),"Unmatched")</f>
        <v>Fleet Expense Card</v>
      </c>
      <c r="P376" s="9" t="str">
        <f>IFERROR(INDEX(T_CleanCustomers[Customer_Segment],MATCH(B376,T_CleanCustomers[Customer_ID],0)),"Unmatched")</f>
        <v>Mid-Market</v>
      </c>
    </row>
    <row r="377" spans="1:16" ht="15" customHeight="1" x14ac:dyDescent="0.2">
      <c r="A377" s="9" t="s">
        <v>1734</v>
      </c>
      <c r="B377" s="9" t="s">
        <v>1190</v>
      </c>
      <c r="C377" s="9" t="b">
        <f>TRUE()</f>
        <v>1</v>
      </c>
      <c r="D377" s="10">
        <v>45996</v>
      </c>
      <c r="E377" s="10">
        <v>45992</v>
      </c>
      <c r="F377" s="9" t="s">
        <v>1360</v>
      </c>
      <c r="G377" s="11">
        <v>8886.49</v>
      </c>
      <c r="H377" s="11">
        <v>239.35</v>
      </c>
      <c r="I377" s="9" t="b">
        <f>TRUE()</f>
        <v>1</v>
      </c>
      <c r="J377" s="9" t="s">
        <v>1361</v>
      </c>
      <c r="K377" s="11">
        <v>239.35</v>
      </c>
      <c r="L377" s="9" t="s">
        <v>20</v>
      </c>
      <c r="M377" s="9" t="str">
        <f>IFERROR(INDEX(T_CleanCustomers[Sales_Rep_ID],MATCH(B377,T_CleanCustomers[Customer_ID],0)),"Unmatched")</f>
        <v>REP003</v>
      </c>
      <c r="N377" s="9" t="str">
        <f>IFERROR(INDEX(T_CleanCustomers[Channel],MATCH(B377,T_CleanCustomers[Customer_ID],0)),"Unmatched")</f>
        <v>Direct Sales</v>
      </c>
      <c r="O377" s="9" t="str">
        <f>IFERROR(INDEX(T_CleanCustomers[Product],MATCH(B377,T_CleanCustomers[Customer_ID],0)),"Unmatched")</f>
        <v>Fleet Expense Card</v>
      </c>
      <c r="P377" s="9" t="str">
        <f>IFERROR(INDEX(T_CleanCustomers[Customer_Segment],MATCH(B377,T_CleanCustomers[Customer_ID],0)),"Unmatched")</f>
        <v>Mid-Market</v>
      </c>
    </row>
    <row r="378" spans="1:16" ht="15" customHeight="1" x14ac:dyDescent="0.2">
      <c r="A378" s="9" t="s">
        <v>1735</v>
      </c>
      <c r="B378" s="9" t="s">
        <v>1190</v>
      </c>
      <c r="C378" s="9" t="b">
        <f>TRUE()</f>
        <v>1</v>
      </c>
      <c r="D378" s="10">
        <v>46008</v>
      </c>
      <c r="E378" s="10">
        <v>45992</v>
      </c>
      <c r="F378" s="9" t="s">
        <v>1481</v>
      </c>
      <c r="G378" s="11">
        <v>6622.59</v>
      </c>
      <c r="H378" s="11">
        <v>181.47</v>
      </c>
      <c r="I378" s="9" t="b">
        <f>TRUE()</f>
        <v>1</v>
      </c>
      <c r="J378" s="9" t="s">
        <v>1361</v>
      </c>
      <c r="K378" s="11">
        <v>181.47</v>
      </c>
      <c r="L378" s="9" t="s">
        <v>20</v>
      </c>
      <c r="M378" s="9" t="str">
        <f>IFERROR(INDEX(T_CleanCustomers[Sales_Rep_ID],MATCH(B378,T_CleanCustomers[Customer_ID],0)),"Unmatched")</f>
        <v>REP003</v>
      </c>
      <c r="N378" s="9" t="str">
        <f>IFERROR(INDEX(T_CleanCustomers[Channel],MATCH(B378,T_CleanCustomers[Customer_ID],0)),"Unmatched")</f>
        <v>Direct Sales</v>
      </c>
      <c r="O378" s="9" t="str">
        <f>IFERROR(INDEX(T_CleanCustomers[Product],MATCH(B378,T_CleanCustomers[Customer_ID],0)),"Unmatched")</f>
        <v>Fleet Expense Card</v>
      </c>
      <c r="P378" s="9" t="str">
        <f>IFERROR(INDEX(T_CleanCustomers[Customer_Segment],MATCH(B378,T_CleanCustomers[Customer_ID],0)),"Unmatched")</f>
        <v>Mid-Market</v>
      </c>
    </row>
    <row r="379" spans="1:16" ht="15" customHeight="1" x14ac:dyDescent="0.2">
      <c r="A379" s="9" t="s">
        <v>1736</v>
      </c>
      <c r="B379" s="9" t="s">
        <v>1190</v>
      </c>
      <c r="C379" s="9" t="b">
        <f>TRUE()</f>
        <v>1</v>
      </c>
      <c r="D379" s="10">
        <v>45999</v>
      </c>
      <c r="E379" s="10">
        <v>45992</v>
      </c>
      <c r="F379" s="9" t="s">
        <v>1360</v>
      </c>
      <c r="G379" s="11">
        <v>7728.29</v>
      </c>
      <c r="H379" s="11">
        <v>235.54</v>
      </c>
      <c r="I379" s="9" t="b">
        <f>TRUE()</f>
        <v>1</v>
      </c>
      <c r="J379" s="9" t="s">
        <v>1361</v>
      </c>
      <c r="K379" s="11">
        <v>235.54</v>
      </c>
      <c r="L379" s="9" t="s">
        <v>20</v>
      </c>
      <c r="M379" s="9" t="str">
        <f>IFERROR(INDEX(T_CleanCustomers[Sales_Rep_ID],MATCH(B379,T_CleanCustomers[Customer_ID],0)),"Unmatched")</f>
        <v>REP003</v>
      </c>
      <c r="N379" s="9" t="str">
        <f>IFERROR(INDEX(T_CleanCustomers[Channel],MATCH(B379,T_CleanCustomers[Customer_ID],0)),"Unmatched")</f>
        <v>Direct Sales</v>
      </c>
      <c r="O379" s="9" t="str">
        <f>IFERROR(INDEX(T_CleanCustomers[Product],MATCH(B379,T_CleanCustomers[Customer_ID],0)),"Unmatched")</f>
        <v>Fleet Expense Card</v>
      </c>
      <c r="P379" s="9" t="str">
        <f>IFERROR(INDEX(T_CleanCustomers[Customer_Segment],MATCH(B379,T_CleanCustomers[Customer_ID],0)),"Unmatched")</f>
        <v>Mid-Market</v>
      </c>
    </row>
    <row r="380" spans="1:16" ht="15" customHeight="1" x14ac:dyDescent="0.2">
      <c r="A380" s="9" t="s">
        <v>1737</v>
      </c>
      <c r="B380" s="9" t="s">
        <v>1191</v>
      </c>
      <c r="C380" s="9" t="b">
        <f>TRUE()</f>
        <v>1</v>
      </c>
      <c r="D380" s="10">
        <v>45866</v>
      </c>
      <c r="E380" s="10">
        <v>45839</v>
      </c>
      <c r="F380" s="9" t="s">
        <v>1373</v>
      </c>
      <c r="G380" s="11">
        <v>17272.669999999998</v>
      </c>
      <c r="H380" s="11">
        <v>319.7</v>
      </c>
      <c r="I380" s="9" t="b">
        <f>TRUE()</f>
        <v>1</v>
      </c>
      <c r="J380" s="9" t="s">
        <v>1361</v>
      </c>
      <c r="K380" s="11">
        <v>319.7</v>
      </c>
      <c r="L380" s="9" t="s">
        <v>21</v>
      </c>
      <c r="M380" s="9" t="str">
        <f>IFERROR(INDEX(T_CleanCustomers[Sales_Rep_ID],MATCH(B380,T_CleanCustomers[Customer_ID],0)),"Unmatched")</f>
        <v>REP008</v>
      </c>
      <c r="N380" s="9" t="str">
        <f>IFERROR(INDEX(T_CleanCustomers[Channel],MATCH(B380,T_CleanCustomers[Customer_ID],0)),"Unmatched")</f>
        <v>Referral</v>
      </c>
      <c r="O380" s="9" t="str">
        <f>IFERROR(INDEX(T_CleanCustomers[Product],MATCH(B380,T_CleanCustomers[Customer_ID],0)),"Unmatched")</f>
        <v>Toll Solution</v>
      </c>
      <c r="P380" s="9" t="str">
        <f>IFERROR(INDEX(T_CleanCustomers[Customer_Segment],MATCH(B380,T_CleanCustomers[Customer_ID],0)),"Unmatched")</f>
        <v>Mid-Market</v>
      </c>
    </row>
    <row r="381" spans="1:16" ht="15" customHeight="1" x14ac:dyDescent="0.2">
      <c r="A381" s="9" t="s">
        <v>1738</v>
      </c>
      <c r="B381" s="9" t="s">
        <v>1191</v>
      </c>
      <c r="C381" s="9" t="b">
        <f>TRUE()</f>
        <v>1</v>
      </c>
      <c r="D381" s="10">
        <v>45856</v>
      </c>
      <c r="E381" s="10">
        <v>45839</v>
      </c>
      <c r="F381" s="9" t="s">
        <v>1373</v>
      </c>
      <c r="G381" s="11">
        <v>8223.93</v>
      </c>
      <c r="H381" s="11">
        <v>140.86000000000001</v>
      </c>
      <c r="I381" s="9" t="b">
        <f>TRUE()</f>
        <v>1</v>
      </c>
      <c r="J381" s="9" t="s">
        <v>1361</v>
      </c>
      <c r="K381" s="11">
        <v>140.86000000000001</v>
      </c>
      <c r="L381" s="9" t="s">
        <v>21</v>
      </c>
      <c r="M381" s="9" t="str">
        <f>IFERROR(INDEX(T_CleanCustomers[Sales_Rep_ID],MATCH(B381,T_CleanCustomers[Customer_ID],0)),"Unmatched")</f>
        <v>REP008</v>
      </c>
      <c r="N381" s="9" t="str">
        <f>IFERROR(INDEX(T_CleanCustomers[Channel],MATCH(B381,T_CleanCustomers[Customer_ID],0)),"Unmatched")</f>
        <v>Referral</v>
      </c>
      <c r="O381" s="9" t="str">
        <f>IFERROR(INDEX(T_CleanCustomers[Product],MATCH(B381,T_CleanCustomers[Customer_ID],0)),"Unmatched")</f>
        <v>Toll Solution</v>
      </c>
      <c r="P381" s="9" t="str">
        <f>IFERROR(INDEX(T_CleanCustomers[Customer_Segment],MATCH(B381,T_CleanCustomers[Customer_ID],0)),"Unmatched")</f>
        <v>Mid-Market</v>
      </c>
    </row>
    <row r="382" spans="1:16" ht="15" customHeight="1" x14ac:dyDescent="0.2">
      <c r="A382" s="9" t="s">
        <v>1739</v>
      </c>
      <c r="B382" s="9" t="s">
        <v>1191</v>
      </c>
      <c r="C382" s="9" t="b">
        <f>TRUE()</f>
        <v>1</v>
      </c>
      <c r="D382" s="10">
        <v>45894</v>
      </c>
      <c r="E382" s="10">
        <v>45870</v>
      </c>
      <c r="F382" s="9" t="s">
        <v>1373</v>
      </c>
      <c r="G382" s="11">
        <v>14036.8</v>
      </c>
      <c r="H382" s="11">
        <v>279.47000000000003</v>
      </c>
      <c r="I382" s="9" t="b">
        <f>TRUE()</f>
        <v>1</v>
      </c>
      <c r="J382" s="9" t="s">
        <v>1361</v>
      </c>
      <c r="K382" s="11">
        <v>279.47000000000003</v>
      </c>
      <c r="L382" s="9" t="s">
        <v>21</v>
      </c>
      <c r="M382" s="9" t="str">
        <f>IFERROR(INDEX(T_CleanCustomers[Sales_Rep_ID],MATCH(B382,T_CleanCustomers[Customer_ID],0)),"Unmatched")</f>
        <v>REP008</v>
      </c>
      <c r="N382" s="9" t="str">
        <f>IFERROR(INDEX(T_CleanCustomers[Channel],MATCH(B382,T_CleanCustomers[Customer_ID],0)),"Unmatched")</f>
        <v>Referral</v>
      </c>
      <c r="O382" s="9" t="str">
        <f>IFERROR(INDEX(T_CleanCustomers[Product],MATCH(B382,T_CleanCustomers[Customer_ID],0)),"Unmatched")</f>
        <v>Toll Solution</v>
      </c>
      <c r="P382" s="9" t="str">
        <f>IFERROR(INDEX(T_CleanCustomers[Customer_Segment],MATCH(B382,T_CleanCustomers[Customer_ID],0)),"Unmatched")</f>
        <v>Mid-Market</v>
      </c>
    </row>
    <row r="383" spans="1:16" ht="15" customHeight="1" x14ac:dyDescent="0.2">
      <c r="A383" s="9" t="s">
        <v>1740</v>
      </c>
      <c r="B383" s="9" t="s">
        <v>1191</v>
      </c>
      <c r="C383" s="9" t="b">
        <f>TRUE()</f>
        <v>1</v>
      </c>
      <c r="D383" s="10">
        <v>45921</v>
      </c>
      <c r="E383" s="10">
        <v>45901</v>
      </c>
      <c r="F383" s="9" t="s">
        <v>1373</v>
      </c>
      <c r="G383" s="11">
        <v>13354</v>
      </c>
      <c r="H383" s="11">
        <v>208.91</v>
      </c>
      <c r="I383" s="9" t="b">
        <f>TRUE()</f>
        <v>1</v>
      </c>
      <c r="J383" s="9" t="s">
        <v>1361</v>
      </c>
      <c r="K383" s="11">
        <v>208.91</v>
      </c>
      <c r="L383" s="9" t="s">
        <v>21</v>
      </c>
      <c r="M383" s="9" t="str">
        <f>IFERROR(INDEX(T_CleanCustomers[Sales_Rep_ID],MATCH(B383,T_CleanCustomers[Customer_ID],0)),"Unmatched")</f>
        <v>REP008</v>
      </c>
      <c r="N383" s="9" t="str">
        <f>IFERROR(INDEX(T_CleanCustomers[Channel],MATCH(B383,T_CleanCustomers[Customer_ID],0)),"Unmatched")</f>
        <v>Referral</v>
      </c>
      <c r="O383" s="9" t="str">
        <f>IFERROR(INDEX(T_CleanCustomers[Product],MATCH(B383,T_CleanCustomers[Customer_ID],0)),"Unmatched")</f>
        <v>Toll Solution</v>
      </c>
      <c r="P383" s="9" t="str">
        <f>IFERROR(INDEX(T_CleanCustomers[Customer_Segment],MATCH(B383,T_CleanCustomers[Customer_ID],0)),"Unmatched")</f>
        <v>Mid-Market</v>
      </c>
    </row>
    <row r="384" spans="1:16" ht="15" customHeight="1" x14ac:dyDescent="0.2">
      <c r="A384" s="9" t="s">
        <v>1741</v>
      </c>
      <c r="B384" s="9" t="s">
        <v>1191</v>
      </c>
      <c r="C384" s="9" t="b">
        <f>TRUE()</f>
        <v>1</v>
      </c>
      <c r="D384" s="10">
        <v>45926</v>
      </c>
      <c r="E384" s="10">
        <v>45901</v>
      </c>
      <c r="F384" s="9" t="s">
        <v>1373</v>
      </c>
      <c r="G384" s="11">
        <v>16050.68</v>
      </c>
      <c r="H384" s="11">
        <v>264.33</v>
      </c>
      <c r="I384" s="9" t="b">
        <f>TRUE()</f>
        <v>1</v>
      </c>
      <c r="J384" s="9" t="s">
        <v>1361</v>
      </c>
      <c r="K384" s="11">
        <v>264.33</v>
      </c>
      <c r="L384" s="9" t="s">
        <v>21</v>
      </c>
      <c r="M384" s="9" t="str">
        <f>IFERROR(INDEX(T_CleanCustomers[Sales_Rep_ID],MATCH(B384,T_CleanCustomers[Customer_ID],0)),"Unmatched")</f>
        <v>REP008</v>
      </c>
      <c r="N384" s="9" t="str">
        <f>IFERROR(INDEX(T_CleanCustomers[Channel],MATCH(B384,T_CleanCustomers[Customer_ID],0)),"Unmatched")</f>
        <v>Referral</v>
      </c>
      <c r="O384" s="9" t="str">
        <f>IFERROR(INDEX(T_CleanCustomers[Product],MATCH(B384,T_CleanCustomers[Customer_ID],0)),"Unmatched")</f>
        <v>Toll Solution</v>
      </c>
      <c r="P384" s="9" t="str">
        <f>IFERROR(INDEX(T_CleanCustomers[Customer_Segment],MATCH(B384,T_CleanCustomers[Customer_ID],0)),"Unmatched")</f>
        <v>Mid-Market</v>
      </c>
    </row>
    <row r="385" spans="1:16" ht="15" customHeight="1" x14ac:dyDescent="0.2">
      <c r="A385" s="9" t="s">
        <v>1742</v>
      </c>
      <c r="B385" s="9" t="s">
        <v>1191</v>
      </c>
      <c r="C385" s="9" t="b">
        <f>TRUE()</f>
        <v>1</v>
      </c>
      <c r="D385" s="10">
        <v>45938</v>
      </c>
      <c r="E385" s="10">
        <v>45931</v>
      </c>
      <c r="F385" s="9" t="s">
        <v>1373</v>
      </c>
      <c r="G385" s="11">
        <v>7695.31</v>
      </c>
      <c r="H385" s="11">
        <v>145.94</v>
      </c>
      <c r="I385" s="9" t="b">
        <f>TRUE()</f>
        <v>1</v>
      </c>
      <c r="J385" s="9" t="s">
        <v>1361</v>
      </c>
      <c r="K385" s="11">
        <v>145.94</v>
      </c>
      <c r="L385" s="9" t="s">
        <v>21</v>
      </c>
      <c r="M385" s="9" t="str">
        <f>IFERROR(INDEX(T_CleanCustomers[Sales_Rep_ID],MATCH(B385,T_CleanCustomers[Customer_ID],0)),"Unmatched")</f>
        <v>REP008</v>
      </c>
      <c r="N385" s="9" t="str">
        <f>IFERROR(INDEX(T_CleanCustomers[Channel],MATCH(B385,T_CleanCustomers[Customer_ID],0)),"Unmatched")</f>
        <v>Referral</v>
      </c>
      <c r="O385" s="9" t="str">
        <f>IFERROR(INDEX(T_CleanCustomers[Product],MATCH(B385,T_CleanCustomers[Customer_ID],0)),"Unmatched")</f>
        <v>Toll Solution</v>
      </c>
      <c r="P385" s="9" t="str">
        <f>IFERROR(INDEX(T_CleanCustomers[Customer_Segment],MATCH(B385,T_CleanCustomers[Customer_ID],0)),"Unmatched")</f>
        <v>Mid-Market</v>
      </c>
    </row>
    <row r="386" spans="1:16" ht="15" customHeight="1" x14ac:dyDescent="0.2">
      <c r="A386" s="9" t="s">
        <v>1743</v>
      </c>
      <c r="B386" s="9" t="s">
        <v>1191</v>
      </c>
      <c r="C386" s="9" t="b">
        <f>TRUE()</f>
        <v>1</v>
      </c>
      <c r="D386" s="10">
        <v>45950</v>
      </c>
      <c r="E386" s="10">
        <v>45931</v>
      </c>
      <c r="F386" s="9" t="s">
        <v>1373</v>
      </c>
      <c r="G386" s="11">
        <v>7767.68</v>
      </c>
      <c r="H386" s="11">
        <v>128.5</v>
      </c>
      <c r="I386" s="9" t="b">
        <f>TRUE()</f>
        <v>1</v>
      </c>
      <c r="J386" s="9" t="s">
        <v>1361</v>
      </c>
      <c r="K386" s="11">
        <v>128.5</v>
      </c>
      <c r="L386" s="9" t="s">
        <v>21</v>
      </c>
      <c r="M386" s="9" t="str">
        <f>IFERROR(INDEX(T_CleanCustomers[Sales_Rep_ID],MATCH(B386,T_CleanCustomers[Customer_ID],0)),"Unmatched")</f>
        <v>REP008</v>
      </c>
      <c r="N386" s="9" t="str">
        <f>IFERROR(INDEX(T_CleanCustomers[Channel],MATCH(B386,T_CleanCustomers[Customer_ID],0)),"Unmatched")</f>
        <v>Referral</v>
      </c>
      <c r="O386" s="9" t="str">
        <f>IFERROR(INDEX(T_CleanCustomers[Product],MATCH(B386,T_CleanCustomers[Customer_ID],0)),"Unmatched")</f>
        <v>Toll Solution</v>
      </c>
      <c r="P386" s="9" t="str">
        <f>IFERROR(INDEX(T_CleanCustomers[Customer_Segment],MATCH(B386,T_CleanCustomers[Customer_ID],0)),"Unmatched")</f>
        <v>Mid-Market</v>
      </c>
    </row>
    <row r="387" spans="1:16" ht="15" customHeight="1" x14ac:dyDescent="0.2">
      <c r="A387" s="9" t="s">
        <v>1744</v>
      </c>
      <c r="B387" s="9" t="s">
        <v>1191</v>
      </c>
      <c r="C387" s="9" t="b">
        <f>TRUE()</f>
        <v>1</v>
      </c>
      <c r="D387" s="10">
        <v>45984</v>
      </c>
      <c r="E387" s="10">
        <v>45962</v>
      </c>
      <c r="F387" s="9" t="s">
        <v>1373</v>
      </c>
      <c r="G387" s="11">
        <v>5901.94</v>
      </c>
      <c r="H387" s="11">
        <v>110.6</v>
      </c>
      <c r="I387" s="9" t="b">
        <f>TRUE()</f>
        <v>1</v>
      </c>
      <c r="J387" s="9" t="s">
        <v>1361</v>
      </c>
      <c r="K387" s="11">
        <v>110.6</v>
      </c>
      <c r="L387" s="9" t="s">
        <v>21</v>
      </c>
      <c r="M387" s="9" t="str">
        <f>IFERROR(INDEX(T_CleanCustomers[Sales_Rep_ID],MATCH(B387,T_CleanCustomers[Customer_ID],0)),"Unmatched")</f>
        <v>REP008</v>
      </c>
      <c r="N387" s="9" t="str">
        <f>IFERROR(INDEX(T_CleanCustomers[Channel],MATCH(B387,T_CleanCustomers[Customer_ID],0)),"Unmatched")</f>
        <v>Referral</v>
      </c>
      <c r="O387" s="9" t="str">
        <f>IFERROR(INDEX(T_CleanCustomers[Product],MATCH(B387,T_CleanCustomers[Customer_ID],0)),"Unmatched")</f>
        <v>Toll Solution</v>
      </c>
      <c r="P387" s="9" t="str">
        <f>IFERROR(INDEX(T_CleanCustomers[Customer_Segment],MATCH(B387,T_CleanCustomers[Customer_ID],0)),"Unmatched")</f>
        <v>Mid-Market</v>
      </c>
    </row>
    <row r="388" spans="1:16" ht="15" customHeight="1" x14ac:dyDescent="0.2">
      <c r="A388" s="9" t="s">
        <v>1745</v>
      </c>
      <c r="B388" s="9" t="s">
        <v>1191</v>
      </c>
      <c r="C388" s="9" t="b">
        <f>TRUE()</f>
        <v>1</v>
      </c>
      <c r="D388" s="10">
        <v>45991</v>
      </c>
      <c r="E388" s="10">
        <v>45962</v>
      </c>
      <c r="F388" s="9" t="s">
        <v>1373</v>
      </c>
      <c r="G388" s="11">
        <v>11347.06</v>
      </c>
      <c r="H388" s="11">
        <v>233.85</v>
      </c>
      <c r="I388" s="9" t="b">
        <f>TRUE()</f>
        <v>1</v>
      </c>
      <c r="J388" s="9" t="s">
        <v>1361</v>
      </c>
      <c r="K388" s="11">
        <v>233.85</v>
      </c>
      <c r="L388" s="9" t="s">
        <v>21</v>
      </c>
      <c r="M388" s="9" t="str">
        <f>IFERROR(INDEX(T_CleanCustomers[Sales_Rep_ID],MATCH(B388,T_CleanCustomers[Customer_ID],0)),"Unmatched")</f>
        <v>REP008</v>
      </c>
      <c r="N388" s="9" t="str">
        <f>IFERROR(INDEX(T_CleanCustomers[Channel],MATCH(B388,T_CleanCustomers[Customer_ID],0)),"Unmatched")</f>
        <v>Referral</v>
      </c>
      <c r="O388" s="9" t="str">
        <f>IFERROR(INDEX(T_CleanCustomers[Product],MATCH(B388,T_CleanCustomers[Customer_ID],0)),"Unmatched")</f>
        <v>Toll Solution</v>
      </c>
      <c r="P388" s="9" t="str">
        <f>IFERROR(INDEX(T_CleanCustomers[Customer_Segment],MATCH(B388,T_CleanCustomers[Customer_ID],0)),"Unmatched")</f>
        <v>Mid-Market</v>
      </c>
    </row>
    <row r="389" spans="1:16" ht="15" customHeight="1" x14ac:dyDescent="0.2">
      <c r="A389" s="9" t="s">
        <v>1746</v>
      </c>
      <c r="B389" s="9" t="s">
        <v>1191</v>
      </c>
      <c r="C389" s="9" t="b">
        <f>TRUE()</f>
        <v>1</v>
      </c>
      <c r="D389" s="10">
        <v>46021</v>
      </c>
      <c r="E389" s="10">
        <v>45992</v>
      </c>
      <c r="F389" s="9" t="s">
        <v>1373</v>
      </c>
      <c r="G389" s="11">
        <v>9274.65</v>
      </c>
      <c r="H389" s="11">
        <v>161.97999999999999</v>
      </c>
      <c r="I389" s="9" t="b">
        <f>TRUE()</f>
        <v>1</v>
      </c>
      <c r="J389" s="9" t="s">
        <v>1361</v>
      </c>
      <c r="K389" s="11">
        <v>161.97999999999999</v>
      </c>
      <c r="L389" s="9" t="s">
        <v>21</v>
      </c>
      <c r="M389" s="9" t="str">
        <f>IFERROR(INDEX(T_CleanCustomers[Sales_Rep_ID],MATCH(B389,T_CleanCustomers[Customer_ID],0)),"Unmatched")</f>
        <v>REP008</v>
      </c>
      <c r="N389" s="9" t="str">
        <f>IFERROR(INDEX(T_CleanCustomers[Channel],MATCH(B389,T_CleanCustomers[Customer_ID],0)),"Unmatched")</f>
        <v>Referral</v>
      </c>
      <c r="O389" s="9" t="str">
        <f>IFERROR(INDEX(T_CleanCustomers[Product],MATCH(B389,T_CleanCustomers[Customer_ID],0)),"Unmatched")</f>
        <v>Toll Solution</v>
      </c>
      <c r="P389" s="9" t="str">
        <f>IFERROR(INDEX(T_CleanCustomers[Customer_Segment],MATCH(B389,T_CleanCustomers[Customer_ID],0)),"Unmatched")</f>
        <v>Mid-Market</v>
      </c>
    </row>
    <row r="390" spans="1:16" ht="15" customHeight="1" x14ac:dyDescent="0.2">
      <c r="A390" s="9" t="s">
        <v>1747</v>
      </c>
      <c r="B390" s="9" t="s">
        <v>101</v>
      </c>
      <c r="C390" s="9" t="b">
        <f>TRUE()</f>
        <v>1</v>
      </c>
      <c r="D390" s="10">
        <v>45926</v>
      </c>
      <c r="E390" s="10">
        <v>45901</v>
      </c>
      <c r="F390" s="9" t="s">
        <v>1373</v>
      </c>
      <c r="G390" s="11">
        <v>15737.86</v>
      </c>
      <c r="H390" s="11">
        <v>315.98</v>
      </c>
      <c r="I390" s="9" t="b">
        <f>TRUE()</f>
        <v>1</v>
      </c>
      <c r="J390" s="9" t="s">
        <v>1361</v>
      </c>
      <c r="K390" s="11">
        <v>315.98</v>
      </c>
      <c r="L390" s="9" t="s">
        <v>20</v>
      </c>
      <c r="M390" s="9" t="str">
        <f>IFERROR(INDEX(T_CleanCustomers[Sales_Rep_ID],MATCH(B390,T_CleanCustomers[Customer_ID],0)),"Unmatched")</f>
        <v>REP002</v>
      </c>
      <c r="N390" s="9" t="str">
        <f>IFERROR(INDEX(T_CleanCustomers[Channel],MATCH(B390,T_CleanCustomers[Customer_ID],0)),"Unmatched")</f>
        <v>Direct Sales</v>
      </c>
      <c r="O390" s="9" t="str">
        <f>IFERROR(INDEX(T_CleanCustomers[Product],MATCH(B390,T_CleanCustomers[Customer_ID],0)),"Unmatched")</f>
        <v>Toll Solution</v>
      </c>
      <c r="P390" s="9" t="str">
        <f>IFERROR(INDEX(T_CleanCustomers[Customer_Segment],MATCH(B390,T_CleanCustomers[Customer_ID],0)),"Unmatched")</f>
        <v>Mid-Market</v>
      </c>
    </row>
    <row r="391" spans="1:16" ht="15" customHeight="1" x14ac:dyDescent="0.2">
      <c r="A391" s="9" t="s">
        <v>1748</v>
      </c>
      <c r="B391" s="9" t="s">
        <v>101</v>
      </c>
      <c r="C391" s="9" t="b">
        <f>TRUE()</f>
        <v>1</v>
      </c>
      <c r="D391" s="10">
        <v>45938</v>
      </c>
      <c r="E391" s="10">
        <v>45931</v>
      </c>
      <c r="F391" s="9" t="s">
        <v>1373</v>
      </c>
      <c r="G391" s="11">
        <v>8505</v>
      </c>
      <c r="H391" s="11">
        <v>172.57</v>
      </c>
      <c r="I391" s="9" t="b">
        <f>TRUE()</f>
        <v>1</v>
      </c>
      <c r="J391" s="9" t="s">
        <v>1361</v>
      </c>
      <c r="K391" s="11">
        <v>172.57</v>
      </c>
      <c r="L391" s="9" t="s">
        <v>20</v>
      </c>
      <c r="M391" s="9" t="str">
        <f>IFERROR(INDEX(T_CleanCustomers[Sales_Rep_ID],MATCH(B391,T_CleanCustomers[Customer_ID],0)),"Unmatched")</f>
        <v>REP002</v>
      </c>
      <c r="N391" s="9" t="str">
        <f>IFERROR(INDEX(T_CleanCustomers[Channel],MATCH(B391,T_CleanCustomers[Customer_ID],0)),"Unmatched")</f>
        <v>Direct Sales</v>
      </c>
      <c r="O391" s="9" t="str">
        <f>IFERROR(INDEX(T_CleanCustomers[Product],MATCH(B391,T_CleanCustomers[Customer_ID],0)),"Unmatched")</f>
        <v>Toll Solution</v>
      </c>
      <c r="P391" s="9" t="str">
        <f>IFERROR(INDEX(T_CleanCustomers[Customer_Segment],MATCH(B391,T_CleanCustomers[Customer_ID],0)),"Unmatched")</f>
        <v>Mid-Market</v>
      </c>
    </row>
    <row r="392" spans="1:16" ht="15" customHeight="1" x14ac:dyDescent="0.2">
      <c r="A392" s="9" t="s">
        <v>1749</v>
      </c>
      <c r="B392" s="9" t="s">
        <v>101</v>
      </c>
      <c r="C392" s="9" t="b">
        <f>TRUE()</f>
        <v>1</v>
      </c>
      <c r="D392" s="10">
        <v>45956</v>
      </c>
      <c r="E392" s="10">
        <v>45931</v>
      </c>
      <c r="F392" s="9" t="s">
        <v>1373</v>
      </c>
      <c r="G392" s="11">
        <v>15882.13</v>
      </c>
      <c r="H392" s="11">
        <v>269.97000000000003</v>
      </c>
      <c r="I392" s="9" t="b">
        <f>TRUE()</f>
        <v>1</v>
      </c>
      <c r="J392" s="9" t="s">
        <v>1361</v>
      </c>
      <c r="K392" s="11">
        <v>269.97000000000003</v>
      </c>
      <c r="L392" s="9" t="s">
        <v>20</v>
      </c>
      <c r="M392" s="9" t="str">
        <f>IFERROR(INDEX(T_CleanCustomers[Sales_Rep_ID],MATCH(B392,T_CleanCustomers[Customer_ID],0)),"Unmatched")</f>
        <v>REP002</v>
      </c>
      <c r="N392" s="9" t="str">
        <f>IFERROR(INDEX(T_CleanCustomers[Channel],MATCH(B392,T_CleanCustomers[Customer_ID],0)),"Unmatched")</f>
        <v>Direct Sales</v>
      </c>
      <c r="O392" s="9" t="str">
        <f>IFERROR(INDEX(T_CleanCustomers[Product],MATCH(B392,T_CleanCustomers[Customer_ID],0)),"Unmatched")</f>
        <v>Toll Solution</v>
      </c>
      <c r="P392" s="9" t="str">
        <f>IFERROR(INDEX(T_CleanCustomers[Customer_Segment],MATCH(B392,T_CleanCustomers[Customer_ID],0)),"Unmatched")</f>
        <v>Mid-Market</v>
      </c>
    </row>
    <row r="393" spans="1:16" ht="15" customHeight="1" x14ac:dyDescent="0.2">
      <c r="A393" s="9" t="s">
        <v>1750</v>
      </c>
      <c r="B393" s="9" t="s">
        <v>101</v>
      </c>
      <c r="C393" s="9" t="b">
        <f>TRUE()</f>
        <v>1</v>
      </c>
      <c r="D393" s="10">
        <v>45976</v>
      </c>
      <c r="E393" s="10">
        <v>45962</v>
      </c>
      <c r="F393" s="9" t="s">
        <v>1373</v>
      </c>
      <c r="G393" s="11">
        <v>17068.63</v>
      </c>
      <c r="H393" s="11">
        <v>337.73</v>
      </c>
      <c r="I393" s="9" t="b">
        <f>TRUE()</f>
        <v>1</v>
      </c>
      <c r="J393" s="9" t="s">
        <v>1361</v>
      </c>
      <c r="K393" s="11">
        <v>337.73</v>
      </c>
      <c r="L393" s="9" t="s">
        <v>20</v>
      </c>
      <c r="M393" s="9" t="str">
        <f>IFERROR(INDEX(T_CleanCustomers[Sales_Rep_ID],MATCH(B393,T_CleanCustomers[Customer_ID],0)),"Unmatched")</f>
        <v>REP002</v>
      </c>
      <c r="N393" s="9" t="str">
        <f>IFERROR(INDEX(T_CleanCustomers[Channel],MATCH(B393,T_CleanCustomers[Customer_ID],0)),"Unmatched")</f>
        <v>Direct Sales</v>
      </c>
      <c r="O393" s="9" t="str">
        <f>IFERROR(INDEX(T_CleanCustomers[Product],MATCH(B393,T_CleanCustomers[Customer_ID],0)),"Unmatched")</f>
        <v>Toll Solution</v>
      </c>
      <c r="P393" s="9" t="str">
        <f>IFERROR(INDEX(T_CleanCustomers[Customer_Segment],MATCH(B393,T_CleanCustomers[Customer_ID],0)),"Unmatched")</f>
        <v>Mid-Market</v>
      </c>
    </row>
    <row r="394" spans="1:16" ht="15" customHeight="1" x14ac:dyDescent="0.2">
      <c r="A394" s="9" t="s">
        <v>1751</v>
      </c>
      <c r="B394" s="9" t="s">
        <v>101</v>
      </c>
      <c r="C394" s="9" t="b">
        <f>TRUE()</f>
        <v>1</v>
      </c>
      <c r="D394" s="10">
        <v>45978</v>
      </c>
      <c r="E394" s="10">
        <v>45962</v>
      </c>
      <c r="F394" s="9" t="s">
        <v>1373</v>
      </c>
      <c r="G394" s="11">
        <v>15874.19</v>
      </c>
      <c r="H394" s="11">
        <v>271.07</v>
      </c>
      <c r="I394" s="9" t="b">
        <f>TRUE()</f>
        <v>1</v>
      </c>
      <c r="J394" s="9" t="s">
        <v>1361</v>
      </c>
      <c r="K394" s="11">
        <v>271.07</v>
      </c>
      <c r="L394" s="9" t="s">
        <v>20</v>
      </c>
      <c r="M394" s="9" t="str">
        <f>IFERROR(INDEX(T_CleanCustomers[Sales_Rep_ID],MATCH(B394,T_CleanCustomers[Customer_ID],0)),"Unmatched")</f>
        <v>REP002</v>
      </c>
      <c r="N394" s="9" t="str">
        <f>IFERROR(INDEX(T_CleanCustomers[Channel],MATCH(B394,T_CleanCustomers[Customer_ID],0)),"Unmatched")</f>
        <v>Direct Sales</v>
      </c>
      <c r="O394" s="9" t="str">
        <f>IFERROR(INDEX(T_CleanCustomers[Product],MATCH(B394,T_CleanCustomers[Customer_ID],0)),"Unmatched")</f>
        <v>Toll Solution</v>
      </c>
      <c r="P394" s="9" t="str">
        <f>IFERROR(INDEX(T_CleanCustomers[Customer_Segment],MATCH(B394,T_CleanCustomers[Customer_ID],0)),"Unmatched")</f>
        <v>Mid-Market</v>
      </c>
    </row>
    <row r="395" spans="1:16" ht="15" customHeight="1" x14ac:dyDescent="0.2">
      <c r="A395" s="9" t="s">
        <v>1752</v>
      </c>
      <c r="B395" s="9" t="s">
        <v>101</v>
      </c>
      <c r="C395" s="9" t="b">
        <f>TRUE()</f>
        <v>1</v>
      </c>
      <c r="D395" s="10">
        <v>45973</v>
      </c>
      <c r="E395" s="10">
        <v>45962</v>
      </c>
      <c r="F395" s="9" t="s">
        <v>1373</v>
      </c>
      <c r="G395" s="11">
        <v>5738.72</v>
      </c>
      <c r="H395" s="11">
        <v>96.45</v>
      </c>
      <c r="I395" s="9" t="b">
        <f>TRUE()</f>
        <v>1</v>
      </c>
      <c r="J395" s="9" t="s">
        <v>1361</v>
      </c>
      <c r="K395" s="11">
        <v>96.45</v>
      </c>
      <c r="L395" s="9" t="s">
        <v>20</v>
      </c>
      <c r="M395" s="9" t="str">
        <f>IFERROR(INDEX(T_CleanCustomers[Sales_Rep_ID],MATCH(B395,T_CleanCustomers[Customer_ID],0)),"Unmatched")</f>
        <v>REP002</v>
      </c>
      <c r="N395" s="9" t="str">
        <f>IFERROR(INDEX(T_CleanCustomers[Channel],MATCH(B395,T_CleanCustomers[Customer_ID],0)),"Unmatched")</f>
        <v>Direct Sales</v>
      </c>
      <c r="O395" s="9" t="str">
        <f>IFERROR(INDEX(T_CleanCustomers[Product],MATCH(B395,T_CleanCustomers[Customer_ID],0)),"Unmatched")</f>
        <v>Toll Solution</v>
      </c>
      <c r="P395" s="9" t="str">
        <f>IFERROR(INDEX(T_CleanCustomers[Customer_Segment],MATCH(B395,T_CleanCustomers[Customer_ID],0)),"Unmatched")</f>
        <v>Mid-Market</v>
      </c>
    </row>
    <row r="396" spans="1:16" ht="15" customHeight="1" x14ac:dyDescent="0.2">
      <c r="A396" s="9" t="s">
        <v>1753</v>
      </c>
      <c r="B396" s="9" t="s">
        <v>101</v>
      </c>
      <c r="C396" s="9" t="b">
        <f>TRUE()</f>
        <v>1</v>
      </c>
      <c r="D396" s="10">
        <v>45998</v>
      </c>
      <c r="E396" s="10">
        <v>45992</v>
      </c>
      <c r="F396" s="9" t="s">
        <v>1373</v>
      </c>
      <c r="G396" s="11">
        <v>16348.03</v>
      </c>
      <c r="H396" s="11">
        <v>323.75</v>
      </c>
      <c r="I396" s="9" t="b">
        <f>TRUE()</f>
        <v>1</v>
      </c>
      <c r="J396" s="9" t="s">
        <v>1361</v>
      </c>
      <c r="K396" s="11">
        <v>323.75</v>
      </c>
      <c r="L396" s="9" t="s">
        <v>20</v>
      </c>
      <c r="M396" s="9" t="str">
        <f>IFERROR(INDEX(T_CleanCustomers[Sales_Rep_ID],MATCH(B396,T_CleanCustomers[Customer_ID],0)),"Unmatched")</f>
        <v>REP002</v>
      </c>
      <c r="N396" s="9" t="str">
        <f>IFERROR(INDEX(T_CleanCustomers[Channel],MATCH(B396,T_CleanCustomers[Customer_ID],0)),"Unmatched")</f>
        <v>Direct Sales</v>
      </c>
      <c r="O396" s="9" t="str">
        <f>IFERROR(INDEX(T_CleanCustomers[Product],MATCH(B396,T_CleanCustomers[Customer_ID],0)),"Unmatched")</f>
        <v>Toll Solution</v>
      </c>
      <c r="P396" s="9" t="str">
        <f>IFERROR(INDEX(T_CleanCustomers[Customer_Segment],MATCH(B396,T_CleanCustomers[Customer_ID],0)),"Unmatched")</f>
        <v>Mid-Market</v>
      </c>
    </row>
    <row r="397" spans="1:16" ht="15" customHeight="1" x14ac:dyDescent="0.2">
      <c r="A397" s="9" t="s">
        <v>1754</v>
      </c>
      <c r="B397" s="9" t="s">
        <v>1192</v>
      </c>
      <c r="C397" s="9" t="b">
        <f>TRUE()</f>
        <v>1</v>
      </c>
      <c r="D397" s="10">
        <v>45930</v>
      </c>
      <c r="E397" s="10">
        <v>45901</v>
      </c>
      <c r="F397" s="9" t="s">
        <v>1479</v>
      </c>
      <c r="G397" s="11">
        <v>12358.79</v>
      </c>
      <c r="H397" s="11">
        <v>359.77</v>
      </c>
      <c r="I397" s="9" t="b">
        <f>TRUE()</f>
        <v>1</v>
      </c>
      <c r="J397" s="9" t="s">
        <v>1361</v>
      </c>
      <c r="K397" s="11">
        <v>359.77</v>
      </c>
      <c r="L397" s="9" t="s">
        <v>20</v>
      </c>
      <c r="M397" s="9" t="str">
        <f>IFERROR(INDEX(T_CleanCustomers[Sales_Rep_ID],MATCH(B397,T_CleanCustomers[Customer_ID],0)),"Unmatched")</f>
        <v>REP002</v>
      </c>
      <c r="N397" s="9" t="str">
        <f>IFERROR(INDEX(T_CleanCustomers[Channel],MATCH(B397,T_CleanCustomers[Customer_ID],0)),"Unmatched")</f>
        <v>Partner</v>
      </c>
      <c r="O397" s="9" t="str">
        <f>IFERROR(INDEX(T_CleanCustomers[Product],MATCH(B397,T_CleanCustomers[Customer_ID],0)),"Unmatched")</f>
        <v>Fleet Expense Card</v>
      </c>
      <c r="P397" s="9" t="str">
        <f>IFERROR(INDEX(T_CleanCustomers[Customer_Segment],MATCH(B397,T_CleanCustomers[Customer_ID],0)),"Unmatched")</f>
        <v>Mid-Market</v>
      </c>
    </row>
    <row r="398" spans="1:16" ht="15" customHeight="1" x14ac:dyDescent="0.2">
      <c r="A398" s="9" t="s">
        <v>1755</v>
      </c>
      <c r="B398" s="9" t="s">
        <v>1192</v>
      </c>
      <c r="C398" s="9" t="b">
        <f>TRUE()</f>
        <v>1</v>
      </c>
      <c r="D398" s="10">
        <v>45927</v>
      </c>
      <c r="E398" s="10">
        <v>45901</v>
      </c>
      <c r="F398" s="9" t="s">
        <v>1479</v>
      </c>
      <c r="G398" s="11">
        <v>6138</v>
      </c>
      <c r="H398" s="11">
        <v>166.6</v>
      </c>
      <c r="I398" s="9" t="b">
        <f>TRUE()</f>
        <v>1</v>
      </c>
      <c r="J398" s="9" t="s">
        <v>1361</v>
      </c>
      <c r="K398" s="11">
        <v>166.6</v>
      </c>
      <c r="L398" s="9" t="s">
        <v>20</v>
      </c>
      <c r="M398" s="9" t="str">
        <f>IFERROR(INDEX(T_CleanCustomers[Sales_Rep_ID],MATCH(B398,T_CleanCustomers[Customer_ID],0)),"Unmatched")</f>
        <v>REP002</v>
      </c>
      <c r="N398" s="9" t="str">
        <f>IFERROR(INDEX(T_CleanCustomers[Channel],MATCH(B398,T_CleanCustomers[Customer_ID],0)),"Unmatched")</f>
        <v>Partner</v>
      </c>
      <c r="O398" s="9" t="str">
        <f>IFERROR(INDEX(T_CleanCustomers[Product],MATCH(B398,T_CleanCustomers[Customer_ID],0)),"Unmatched")</f>
        <v>Fleet Expense Card</v>
      </c>
      <c r="P398" s="9" t="str">
        <f>IFERROR(INDEX(T_CleanCustomers[Customer_Segment],MATCH(B398,T_CleanCustomers[Customer_ID],0)),"Unmatched")</f>
        <v>Mid-Market</v>
      </c>
    </row>
    <row r="399" spans="1:16" ht="15" customHeight="1" x14ac:dyDescent="0.2">
      <c r="A399" s="9" t="s">
        <v>1756</v>
      </c>
      <c r="B399" s="9" t="s">
        <v>1192</v>
      </c>
      <c r="C399" s="9" t="b">
        <f>TRUE()</f>
        <v>1</v>
      </c>
      <c r="D399" s="10">
        <v>45933</v>
      </c>
      <c r="E399" s="10">
        <v>45931</v>
      </c>
      <c r="F399" s="9" t="s">
        <v>1481</v>
      </c>
      <c r="G399" s="11">
        <v>17527.189999999999</v>
      </c>
      <c r="H399" s="11">
        <v>498.96</v>
      </c>
      <c r="I399" s="9" t="b">
        <f>TRUE()</f>
        <v>1</v>
      </c>
      <c r="J399" s="9" t="s">
        <v>1361</v>
      </c>
      <c r="K399" s="11">
        <v>498.96</v>
      </c>
      <c r="L399" s="9" t="s">
        <v>20</v>
      </c>
      <c r="M399" s="9" t="str">
        <f>IFERROR(INDEX(T_CleanCustomers[Sales_Rep_ID],MATCH(B399,T_CleanCustomers[Customer_ID],0)),"Unmatched")</f>
        <v>REP002</v>
      </c>
      <c r="N399" s="9" t="str">
        <f>IFERROR(INDEX(T_CleanCustomers[Channel],MATCH(B399,T_CleanCustomers[Customer_ID],0)),"Unmatched")</f>
        <v>Partner</v>
      </c>
      <c r="O399" s="9" t="str">
        <f>IFERROR(INDEX(T_CleanCustomers[Product],MATCH(B399,T_CleanCustomers[Customer_ID],0)),"Unmatched")</f>
        <v>Fleet Expense Card</v>
      </c>
      <c r="P399" s="9" t="str">
        <f>IFERROR(INDEX(T_CleanCustomers[Customer_Segment],MATCH(B399,T_CleanCustomers[Customer_ID],0)),"Unmatched")</f>
        <v>Mid-Market</v>
      </c>
    </row>
    <row r="400" spans="1:16" ht="15" customHeight="1" x14ac:dyDescent="0.2">
      <c r="A400" s="9" t="s">
        <v>1757</v>
      </c>
      <c r="B400" s="9" t="s">
        <v>1192</v>
      </c>
      <c r="C400" s="9" t="b">
        <f>TRUE()</f>
        <v>1</v>
      </c>
      <c r="D400" s="10">
        <v>45942</v>
      </c>
      <c r="E400" s="10">
        <v>45931</v>
      </c>
      <c r="F400" s="9" t="s">
        <v>1360</v>
      </c>
      <c r="G400" s="11">
        <v>11305.54</v>
      </c>
      <c r="H400" s="11">
        <v>333.82</v>
      </c>
      <c r="I400" s="9" t="b">
        <f>TRUE()</f>
        <v>1</v>
      </c>
      <c r="J400" s="9" t="s">
        <v>1361</v>
      </c>
      <c r="K400" s="11">
        <v>333.82</v>
      </c>
      <c r="L400" s="9" t="s">
        <v>20</v>
      </c>
      <c r="M400" s="9" t="str">
        <f>IFERROR(INDEX(T_CleanCustomers[Sales_Rep_ID],MATCH(B400,T_CleanCustomers[Customer_ID],0)),"Unmatched")</f>
        <v>REP002</v>
      </c>
      <c r="N400" s="9" t="str">
        <f>IFERROR(INDEX(T_CleanCustomers[Channel],MATCH(B400,T_CleanCustomers[Customer_ID],0)),"Unmatched")</f>
        <v>Partner</v>
      </c>
      <c r="O400" s="9" t="str">
        <f>IFERROR(INDEX(T_CleanCustomers[Product],MATCH(B400,T_CleanCustomers[Customer_ID],0)),"Unmatched")</f>
        <v>Fleet Expense Card</v>
      </c>
      <c r="P400" s="9" t="str">
        <f>IFERROR(INDEX(T_CleanCustomers[Customer_Segment],MATCH(B400,T_CleanCustomers[Customer_ID],0)),"Unmatched")</f>
        <v>Mid-Market</v>
      </c>
    </row>
    <row r="401" spans="1:16" ht="15" customHeight="1" x14ac:dyDescent="0.2">
      <c r="A401" s="9" t="s">
        <v>1758</v>
      </c>
      <c r="B401" s="9" t="s">
        <v>1192</v>
      </c>
      <c r="C401" s="9" t="b">
        <f>TRUE()</f>
        <v>1</v>
      </c>
      <c r="D401" s="10">
        <v>45981</v>
      </c>
      <c r="E401" s="10">
        <v>45962</v>
      </c>
      <c r="F401" s="9" t="s">
        <v>1360</v>
      </c>
      <c r="G401" s="11">
        <v>5810.5</v>
      </c>
      <c r="H401" s="11">
        <v>164.78</v>
      </c>
      <c r="I401" s="9" t="b">
        <f>TRUE()</f>
        <v>1</v>
      </c>
      <c r="J401" s="9" t="s">
        <v>1361</v>
      </c>
      <c r="K401" s="11">
        <v>164.78</v>
      </c>
      <c r="L401" s="9" t="s">
        <v>20</v>
      </c>
      <c r="M401" s="9" t="str">
        <f>IFERROR(INDEX(T_CleanCustomers[Sales_Rep_ID],MATCH(B401,T_CleanCustomers[Customer_ID],0)),"Unmatched")</f>
        <v>REP002</v>
      </c>
      <c r="N401" s="9" t="str">
        <f>IFERROR(INDEX(T_CleanCustomers[Channel],MATCH(B401,T_CleanCustomers[Customer_ID],0)),"Unmatched")</f>
        <v>Partner</v>
      </c>
      <c r="O401" s="9" t="str">
        <f>IFERROR(INDEX(T_CleanCustomers[Product],MATCH(B401,T_CleanCustomers[Customer_ID],0)),"Unmatched")</f>
        <v>Fleet Expense Card</v>
      </c>
      <c r="P401" s="9" t="str">
        <f>IFERROR(INDEX(T_CleanCustomers[Customer_Segment],MATCH(B401,T_CleanCustomers[Customer_ID],0)),"Unmatched")</f>
        <v>Mid-Market</v>
      </c>
    </row>
    <row r="402" spans="1:16" ht="15" customHeight="1" x14ac:dyDescent="0.2">
      <c r="A402" s="9" t="s">
        <v>1759</v>
      </c>
      <c r="B402" s="9" t="s">
        <v>1192</v>
      </c>
      <c r="C402" s="9" t="b">
        <f>TRUE()</f>
        <v>1</v>
      </c>
      <c r="D402" s="10">
        <v>45981</v>
      </c>
      <c r="E402" s="10">
        <v>45962</v>
      </c>
      <c r="F402" s="9" t="s">
        <v>1481</v>
      </c>
      <c r="G402" s="11">
        <v>6247.56</v>
      </c>
      <c r="H402" s="11">
        <v>190.19</v>
      </c>
      <c r="I402" s="9" t="b">
        <f>TRUE()</f>
        <v>1</v>
      </c>
      <c r="J402" s="9" t="s">
        <v>1361</v>
      </c>
      <c r="K402" s="11">
        <v>190.19</v>
      </c>
      <c r="L402" s="9" t="s">
        <v>20</v>
      </c>
      <c r="M402" s="9" t="str">
        <f>IFERROR(INDEX(T_CleanCustomers[Sales_Rep_ID],MATCH(B402,T_CleanCustomers[Customer_ID],0)),"Unmatched")</f>
        <v>REP002</v>
      </c>
      <c r="N402" s="9" t="str">
        <f>IFERROR(INDEX(T_CleanCustomers[Channel],MATCH(B402,T_CleanCustomers[Customer_ID],0)),"Unmatched")</f>
        <v>Partner</v>
      </c>
      <c r="O402" s="9" t="str">
        <f>IFERROR(INDEX(T_CleanCustomers[Product],MATCH(B402,T_CleanCustomers[Customer_ID],0)),"Unmatched")</f>
        <v>Fleet Expense Card</v>
      </c>
      <c r="P402" s="9" t="str">
        <f>IFERROR(INDEX(T_CleanCustomers[Customer_Segment],MATCH(B402,T_CleanCustomers[Customer_ID],0)),"Unmatched")</f>
        <v>Mid-Market</v>
      </c>
    </row>
    <row r="403" spans="1:16" ht="15" customHeight="1" x14ac:dyDescent="0.2">
      <c r="A403" s="9" t="s">
        <v>1760</v>
      </c>
      <c r="B403" s="9" t="s">
        <v>1192</v>
      </c>
      <c r="C403" s="9" t="b">
        <f>TRUE()</f>
        <v>1</v>
      </c>
      <c r="D403" s="10">
        <v>46008</v>
      </c>
      <c r="E403" s="10">
        <v>45992</v>
      </c>
      <c r="F403" s="9" t="s">
        <v>1479</v>
      </c>
      <c r="G403" s="11">
        <v>17989.419999999998</v>
      </c>
      <c r="H403" s="11">
        <v>436.65</v>
      </c>
      <c r="I403" s="9" t="b">
        <f>TRUE()</f>
        <v>1</v>
      </c>
      <c r="J403" s="9" t="s">
        <v>1361</v>
      </c>
      <c r="K403" s="11">
        <v>436.65</v>
      </c>
      <c r="L403" s="9" t="s">
        <v>20</v>
      </c>
      <c r="M403" s="9" t="str">
        <f>IFERROR(INDEX(T_CleanCustomers[Sales_Rep_ID],MATCH(B403,T_CleanCustomers[Customer_ID],0)),"Unmatched")</f>
        <v>REP002</v>
      </c>
      <c r="N403" s="9" t="str">
        <f>IFERROR(INDEX(T_CleanCustomers[Channel],MATCH(B403,T_CleanCustomers[Customer_ID],0)),"Unmatched")</f>
        <v>Partner</v>
      </c>
      <c r="O403" s="9" t="str">
        <f>IFERROR(INDEX(T_CleanCustomers[Product],MATCH(B403,T_CleanCustomers[Customer_ID],0)),"Unmatched")</f>
        <v>Fleet Expense Card</v>
      </c>
      <c r="P403" s="9" t="str">
        <f>IFERROR(INDEX(T_CleanCustomers[Customer_Segment],MATCH(B403,T_CleanCustomers[Customer_ID],0)),"Unmatched")</f>
        <v>Mid-Market</v>
      </c>
    </row>
    <row r="404" spans="1:16" ht="15" customHeight="1" x14ac:dyDescent="0.2">
      <c r="A404" s="9" t="s">
        <v>1761</v>
      </c>
      <c r="B404" s="9" t="s">
        <v>1192</v>
      </c>
      <c r="C404" s="9" t="b">
        <f>TRUE()</f>
        <v>1</v>
      </c>
      <c r="D404" s="10">
        <v>46021</v>
      </c>
      <c r="E404" s="10">
        <v>45992</v>
      </c>
      <c r="F404" s="9" t="s">
        <v>1360</v>
      </c>
      <c r="G404" s="11">
        <v>13225.53</v>
      </c>
      <c r="H404" s="11">
        <v>409.95</v>
      </c>
      <c r="I404" s="9" t="b">
        <f>TRUE()</f>
        <v>1</v>
      </c>
      <c r="J404" s="9" t="s">
        <v>1361</v>
      </c>
      <c r="K404" s="11">
        <v>409.95</v>
      </c>
      <c r="L404" s="9" t="s">
        <v>20</v>
      </c>
      <c r="M404" s="9" t="str">
        <f>IFERROR(INDEX(T_CleanCustomers[Sales_Rep_ID],MATCH(B404,T_CleanCustomers[Customer_ID],0)),"Unmatched")</f>
        <v>REP002</v>
      </c>
      <c r="N404" s="9" t="str">
        <f>IFERROR(INDEX(T_CleanCustomers[Channel],MATCH(B404,T_CleanCustomers[Customer_ID],0)),"Unmatched")</f>
        <v>Partner</v>
      </c>
      <c r="O404" s="9" t="str">
        <f>IFERROR(INDEX(T_CleanCustomers[Product],MATCH(B404,T_CleanCustomers[Customer_ID],0)),"Unmatched")</f>
        <v>Fleet Expense Card</v>
      </c>
      <c r="P404" s="9" t="str">
        <f>IFERROR(INDEX(T_CleanCustomers[Customer_Segment],MATCH(B404,T_CleanCustomers[Customer_ID],0)),"Unmatched")</f>
        <v>Mid-Market</v>
      </c>
    </row>
    <row r="405" spans="1:16" ht="15" customHeight="1" x14ac:dyDescent="0.2">
      <c r="A405" s="9" t="s">
        <v>1762</v>
      </c>
      <c r="B405" s="9" t="s">
        <v>1192</v>
      </c>
      <c r="C405" s="9" t="b">
        <f>TRUE()</f>
        <v>1</v>
      </c>
      <c r="D405" s="10">
        <v>46002</v>
      </c>
      <c r="E405" s="10">
        <v>45992</v>
      </c>
      <c r="F405" s="9" t="s">
        <v>1481</v>
      </c>
      <c r="G405" s="11">
        <v>13716.16</v>
      </c>
      <c r="H405" s="11">
        <v>388.94</v>
      </c>
      <c r="I405" s="9" t="b">
        <f>TRUE()</f>
        <v>1</v>
      </c>
      <c r="J405" s="9" t="s">
        <v>1361</v>
      </c>
      <c r="K405" s="11">
        <v>388.94</v>
      </c>
      <c r="L405" s="9" t="s">
        <v>20</v>
      </c>
      <c r="M405" s="9" t="str">
        <f>IFERROR(INDEX(T_CleanCustomers[Sales_Rep_ID],MATCH(B405,T_CleanCustomers[Customer_ID],0)),"Unmatched")</f>
        <v>REP002</v>
      </c>
      <c r="N405" s="9" t="str">
        <f>IFERROR(INDEX(T_CleanCustomers[Channel],MATCH(B405,T_CleanCustomers[Customer_ID],0)),"Unmatched")</f>
        <v>Partner</v>
      </c>
      <c r="O405" s="9" t="str">
        <f>IFERROR(INDEX(T_CleanCustomers[Product],MATCH(B405,T_CleanCustomers[Customer_ID],0)),"Unmatched")</f>
        <v>Fleet Expense Card</v>
      </c>
      <c r="P405" s="9" t="str">
        <f>IFERROR(INDEX(T_CleanCustomers[Customer_Segment],MATCH(B405,T_CleanCustomers[Customer_ID],0)),"Unmatched")</f>
        <v>Mid-Market</v>
      </c>
    </row>
    <row r="406" spans="1:16" ht="15" customHeight="1" x14ac:dyDescent="0.2">
      <c r="A406" s="9" t="s">
        <v>1763</v>
      </c>
      <c r="B406" s="9" t="s">
        <v>1193</v>
      </c>
      <c r="C406" s="9" t="b">
        <f>TRUE()</f>
        <v>1</v>
      </c>
      <c r="D406" s="10">
        <v>45804</v>
      </c>
      <c r="E406" s="10">
        <v>45778</v>
      </c>
      <c r="F406" s="9" t="s">
        <v>1360</v>
      </c>
      <c r="G406" s="11">
        <v>3477.55</v>
      </c>
      <c r="H406" s="11">
        <v>87.68</v>
      </c>
      <c r="I406" s="9" t="b">
        <f>TRUE()</f>
        <v>1</v>
      </c>
      <c r="J406" s="9" t="s">
        <v>1361</v>
      </c>
      <c r="K406" s="11">
        <v>87.68</v>
      </c>
      <c r="L406" s="9" t="s">
        <v>20</v>
      </c>
      <c r="M406" s="9" t="str">
        <f>IFERROR(INDEX(T_CleanCustomers[Sales_Rep_ID],MATCH(B406,T_CleanCustomers[Customer_ID],0)),"Unmatched")</f>
        <v>REP003</v>
      </c>
      <c r="N406" s="9" t="str">
        <f>IFERROR(INDEX(T_CleanCustomers[Channel],MATCH(B406,T_CleanCustomers[Customer_ID],0)),"Unmatched")</f>
        <v>Digital</v>
      </c>
      <c r="O406" s="9" t="str">
        <f>IFERROR(INDEX(T_CleanCustomers[Product],MATCH(B406,T_CleanCustomers[Customer_ID],0)),"Unmatched")</f>
        <v>Fuel Card</v>
      </c>
      <c r="P406" s="9" t="str">
        <f>IFERROR(INDEX(T_CleanCustomers[Customer_Segment],MATCH(B406,T_CleanCustomers[Customer_ID],0)),"Unmatched")</f>
        <v>SME</v>
      </c>
    </row>
    <row r="407" spans="1:16" ht="15" customHeight="1" x14ac:dyDescent="0.2">
      <c r="A407" s="9" t="s">
        <v>1764</v>
      </c>
      <c r="B407" s="9" t="s">
        <v>1193</v>
      </c>
      <c r="C407" s="9" t="b">
        <f>TRUE()</f>
        <v>1</v>
      </c>
      <c r="D407" s="10">
        <v>45815</v>
      </c>
      <c r="E407" s="10">
        <v>45809</v>
      </c>
      <c r="F407" s="9" t="s">
        <v>1360</v>
      </c>
      <c r="G407" s="11">
        <v>3202.4</v>
      </c>
      <c r="H407" s="11">
        <v>72.569999999999993</v>
      </c>
      <c r="I407" s="9" t="b">
        <f>TRUE()</f>
        <v>1</v>
      </c>
      <c r="J407" s="9" t="s">
        <v>1361</v>
      </c>
      <c r="K407" s="11">
        <v>72.569999999999993</v>
      </c>
      <c r="L407" s="9" t="s">
        <v>20</v>
      </c>
      <c r="M407" s="9" t="str">
        <f>IFERROR(INDEX(T_CleanCustomers[Sales_Rep_ID],MATCH(B407,T_CleanCustomers[Customer_ID],0)),"Unmatched")</f>
        <v>REP003</v>
      </c>
      <c r="N407" s="9" t="str">
        <f>IFERROR(INDEX(T_CleanCustomers[Channel],MATCH(B407,T_CleanCustomers[Customer_ID],0)),"Unmatched")</f>
        <v>Digital</v>
      </c>
      <c r="O407" s="9" t="str">
        <f>IFERROR(INDEX(T_CleanCustomers[Product],MATCH(B407,T_CleanCustomers[Customer_ID],0)),"Unmatched")</f>
        <v>Fuel Card</v>
      </c>
      <c r="P407" s="9" t="str">
        <f>IFERROR(INDEX(T_CleanCustomers[Customer_Segment],MATCH(B407,T_CleanCustomers[Customer_ID],0)),"Unmatched")</f>
        <v>SME</v>
      </c>
    </row>
    <row r="408" spans="1:16" ht="15" customHeight="1" x14ac:dyDescent="0.2">
      <c r="A408" s="9" t="s">
        <v>1765</v>
      </c>
      <c r="B408" s="9" t="s">
        <v>1193</v>
      </c>
      <c r="C408" s="9" t="b">
        <f>TRUE()</f>
        <v>1</v>
      </c>
      <c r="D408" s="10">
        <v>45860</v>
      </c>
      <c r="E408" s="10">
        <v>45839</v>
      </c>
      <c r="F408" s="9" t="s">
        <v>1360</v>
      </c>
      <c r="G408" s="11">
        <v>3382.52</v>
      </c>
      <c r="H408" s="11">
        <v>82.52</v>
      </c>
      <c r="I408" s="9" t="b">
        <f>TRUE()</f>
        <v>1</v>
      </c>
      <c r="J408" s="9" t="s">
        <v>1361</v>
      </c>
      <c r="K408" s="11">
        <v>82.52</v>
      </c>
      <c r="L408" s="9" t="s">
        <v>20</v>
      </c>
      <c r="M408" s="9" t="str">
        <f>IFERROR(INDEX(T_CleanCustomers[Sales_Rep_ID],MATCH(B408,T_CleanCustomers[Customer_ID],0)),"Unmatched")</f>
        <v>REP003</v>
      </c>
      <c r="N408" s="9" t="str">
        <f>IFERROR(INDEX(T_CleanCustomers[Channel],MATCH(B408,T_CleanCustomers[Customer_ID],0)),"Unmatched")</f>
        <v>Digital</v>
      </c>
      <c r="O408" s="9" t="str">
        <f>IFERROR(INDEX(T_CleanCustomers[Product],MATCH(B408,T_CleanCustomers[Customer_ID],0)),"Unmatched")</f>
        <v>Fuel Card</v>
      </c>
      <c r="P408" s="9" t="str">
        <f>IFERROR(INDEX(T_CleanCustomers[Customer_Segment],MATCH(B408,T_CleanCustomers[Customer_ID],0)),"Unmatched")</f>
        <v>SME</v>
      </c>
    </row>
    <row r="409" spans="1:16" ht="15" customHeight="1" x14ac:dyDescent="0.2">
      <c r="A409" s="9" t="s">
        <v>1766</v>
      </c>
      <c r="B409" s="9" t="s">
        <v>1193</v>
      </c>
      <c r="C409" s="9" t="b">
        <f>TRUE()</f>
        <v>1</v>
      </c>
      <c r="D409" s="10">
        <v>45842</v>
      </c>
      <c r="E409" s="10">
        <v>45839</v>
      </c>
      <c r="F409" s="9" t="s">
        <v>1360</v>
      </c>
      <c r="G409" s="11">
        <v>3840.53</v>
      </c>
      <c r="H409" s="11">
        <v>91.45</v>
      </c>
      <c r="I409" s="9" t="b">
        <f>TRUE()</f>
        <v>1</v>
      </c>
      <c r="J409" s="9" t="s">
        <v>1361</v>
      </c>
      <c r="K409" s="11">
        <v>91.45</v>
      </c>
      <c r="L409" s="9" t="s">
        <v>20</v>
      </c>
      <c r="M409" s="9" t="str">
        <f>IFERROR(INDEX(T_CleanCustomers[Sales_Rep_ID],MATCH(B409,T_CleanCustomers[Customer_ID],0)),"Unmatched")</f>
        <v>REP003</v>
      </c>
      <c r="N409" s="9" t="str">
        <f>IFERROR(INDEX(T_CleanCustomers[Channel],MATCH(B409,T_CleanCustomers[Customer_ID],0)),"Unmatched")</f>
        <v>Digital</v>
      </c>
      <c r="O409" s="9" t="str">
        <f>IFERROR(INDEX(T_CleanCustomers[Product],MATCH(B409,T_CleanCustomers[Customer_ID],0)),"Unmatched")</f>
        <v>Fuel Card</v>
      </c>
      <c r="P409" s="9" t="str">
        <f>IFERROR(INDEX(T_CleanCustomers[Customer_Segment],MATCH(B409,T_CleanCustomers[Customer_ID],0)),"Unmatched")</f>
        <v>SME</v>
      </c>
    </row>
    <row r="410" spans="1:16" ht="15" customHeight="1" x14ac:dyDescent="0.2">
      <c r="A410" s="9" t="s">
        <v>1767</v>
      </c>
      <c r="B410" s="9" t="s">
        <v>1193</v>
      </c>
      <c r="C410" s="9" t="b">
        <f>TRUE()</f>
        <v>1</v>
      </c>
      <c r="D410" s="10">
        <v>45881</v>
      </c>
      <c r="E410" s="10">
        <v>45870</v>
      </c>
      <c r="F410" s="9" t="s">
        <v>1360</v>
      </c>
      <c r="G410" s="11">
        <v>2303.0700000000002</v>
      </c>
      <c r="H410" s="11">
        <v>51.78</v>
      </c>
      <c r="I410" s="9" t="b">
        <f>TRUE()</f>
        <v>1</v>
      </c>
      <c r="J410" s="9" t="s">
        <v>1361</v>
      </c>
      <c r="K410" s="11">
        <v>51.78</v>
      </c>
      <c r="L410" s="9" t="s">
        <v>20</v>
      </c>
      <c r="M410" s="9" t="str">
        <f>IFERROR(INDEX(T_CleanCustomers[Sales_Rep_ID],MATCH(B410,T_CleanCustomers[Customer_ID],0)),"Unmatched")</f>
        <v>REP003</v>
      </c>
      <c r="N410" s="9" t="str">
        <f>IFERROR(INDEX(T_CleanCustomers[Channel],MATCH(B410,T_CleanCustomers[Customer_ID],0)),"Unmatched")</f>
        <v>Digital</v>
      </c>
      <c r="O410" s="9" t="str">
        <f>IFERROR(INDEX(T_CleanCustomers[Product],MATCH(B410,T_CleanCustomers[Customer_ID],0)),"Unmatched")</f>
        <v>Fuel Card</v>
      </c>
      <c r="P410" s="9" t="str">
        <f>IFERROR(INDEX(T_CleanCustomers[Customer_Segment],MATCH(B410,T_CleanCustomers[Customer_ID],0)),"Unmatched")</f>
        <v>SME</v>
      </c>
    </row>
    <row r="411" spans="1:16" ht="15" customHeight="1" x14ac:dyDescent="0.2">
      <c r="A411" s="9" t="s">
        <v>1768</v>
      </c>
      <c r="B411" s="9" t="s">
        <v>1193</v>
      </c>
      <c r="C411" s="9" t="b">
        <f>TRUE()</f>
        <v>1</v>
      </c>
      <c r="D411" s="10">
        <v>45877</v>
      </c>
      <c r="E411" s="10">
        <v>45870</v>
      </c>
      <c r="F411" s="9" t="s">
        <v>1360</v>
      </c>
      <c r="G411" s="11">
        <v>2681.66</v>
      </c>
      <c r="H411" s="11">
        <v>64.040000000000006</v>
      </c>
      <c r="I411" s="9" t="b">
        <f>TRUE()</f>
        <v>1</v>
      </c>
      <c r="J411" s="9" t="s">
        <v>1361</v>
      </c>
      <c r="K411" s="11">
        <v>64.040000000000006</v>
      </c>
      <c r="L411" s="9" t="s">
        <v>20</v>
      </c>
      <c r="M411" s="9" t="str">
        <f>IFERROR(INDEX(T_CleanCustomers[Sales_Rep_ID],MATCH(B411,T_CleanCustomers[Customer_ID],0)),"Unmatched")</f>
        <v>REP003</v>
      </c>
      <c r="N411" s="9" t="str">
        <f>IFERROR(INDEX(T_CleanCustomers[Channel],MATCH(B411,T_CleanCustomers[Customer_ID],0)),"Unmatched")</f>
        <v>Digital</v>
      </c>
      <c r="O411" s="9" t="str">
        <f>IFERROR(INDEX(T_CleanCustomers[Product],MATCH(B411,T_CleanCustomers[Customer_ID],0)),"Unmatched")</f>
        <v>Fuel Card</v>
      </c>
      <c r="P411" s="9" t="str">
        <f>IFERROR(INDEX(T_CleanCustomers[Customer_Segment],MATCH(B411,T_CleanCustomers[Customer_ID],0)),"Unmatched")</f>
        <v>SME</v>
      </c>
    </row>
    <row r="412" spans="1:16" ht="15" customHeight="1" x14ac:dyDescent="0.2">
      <c r="A412" s="9" t="s">
        <v>1769</v>
      </c>
      <c r="B412" s="9" t="s">
        <v>1193</v>
      </c>
      <c r="C412" s="9" t="b">
        <f>TRUE()</f>
        <v>1</v>
      </c>
      <c r="D412" s="10">
        <v>45889</v>
      </c>
      <c r="E412" s="10">
        <v>45870</v>
      </c>
      <c r="F412" s="9" t="s">
        <v>1360</v>
      </c>
      <c r="G412" s="11">
        <v>5108.04</v>
      </c>
      <c r="H412" s="11">
        <v>125.61</v>
      </c>
      <c r="I412" s="9" t="b">
        <f>TRUE()</f>
        <v>1</v>
      </c>
      <c r="J412" s="9" t="s">
        <v>1361</v>
      </c>
      <c r="K412" s="11">
        <v>125.61</v>
      </c>
      <c r="L412" s="9" t="s">
        <v>20</v>
      </c>
      <c r="M412" s="9" t="str">
        <f>IFERROR(INDEX(T_CleanCustomers[Sales_Rep_ID],MATCH(B412,T_CleanCustomers[Customer_ID],0)),"Unmatched")</f>
        <v>REP003</v>
      </c>
      <c r="N412" s="9" t="str">
        <f>IFERROR(INDEX(T_CleanCustomers[Channel],MATCH(B412,T_CleanCustomers[Customer_ID],0)),"Unmatched")</f>
        <v>Digital</v>
      </c>
      <c r="O412" s="9" t="str">
        <f>IFERROR(INDEX(T_CleanCustomers[Product],MATCH(B412,T_CleanCustomers[Customer_ID],0)),"Unmatched")</f>
        <v>Fuel Card</v>
      </c>
      <c r="P412" s="9" t="str">
        <f>IFERROR(INDEX(T_CleanCustomers[Customer_Segment],MATCH(B412,T_CleanCustomers[Customer_ID],0)),"Unmatched")</f>
        <v>SME</v>
      </c>
    </row>
    <row r="413" spans="1:16" ht="15" customHeight="1" x14ac:dyDescent="0.2">
      <c r="A413" s="9" t="s">
        <v>1770</v>
      </c>
      <c r="B413" s="9" t="s">
        <v>1193</v>
      </c>
      <c r="C413" s="9" t="b">
        <f>TRUE()</f>
        <v>1</v>
      </c>
      <c r="D413" s="10">
        <v>45914</v>
      </c>
      <c r="E413" s="10">
        <v>45901</v>
      </c>
      <c r="F413" s="9" t="s">
        <v>1360</v>
      </c>
      <c r="G413" s="11">
        <v>2972.81</v>
      </c>
      <c r="H413" s="11">
        <v>85.25</v>
      </c>
      <c r="I413" s="9" t="b">
        <f>TRUE()</f>
        <v>1</v>
      </c>
      <c r="J413" s="9" t="s">
        <v>1361</v>
      </c>
      <c r="K413" s="11">
        <v>85.25</v>
      </c>
      <c r="L413" s="9" t="s">
        <v>20</v>
      </c>
      <c r="M413" s="9" t="str">
        <f>IFERROR(INDEX(T_CleanCustomers[Sales_Rep_ID],MATCH(B413,T_CleanCustomers[Customer_ID],0)),"Unmatched")</f>
        <v>REP003</v>
      </c>
      <c r="N413" s="9" t="str">
        <f>IFERROR(INDEX(T_CleanCustomers[Channel],MATCH(B413,T_CleanCustomers[Customer_ID],0)),"Unmatched")</f>
        <v>Digital</v>
      </c>
      <c r="O413" s="9" t="str">
        <f>IFERROR(INDEX(T_CleanCustomers[Product],MATCH(B413,T_CleanCustomers[Customer_ID],0)),"Unmatched")</f>
        <v>Fuel Card</v>
      </c>
      <c r="P413" s="9" t="str">
        <f>IFERROR(INDEX(T_CleanCustomers[Customer_Segment],MATCH(B413,T_CleanCustomers[Customer_ID],0)),"Unmatched")</f>
        <v>SME</v>
      </c>
    </row>
    <row r="414" spans="1:16" ht="15" customHeight="1" x14ac:dyDescent="0.2">
      <c r="A414" s="9" t="s">
        <v>1771</v>
      </c>
      <c r="B414" s="9" t="s">
        <v>1193</v>
      </c>
      <c r="C414" s="9" t="b">
        <f>TRUE()</f>
        <v>1</v>
      </c>
      <c r="D414" s="10">
        <v>45909</v>
      </c>
      <c r="E414" s="10">
        <v>45901</v>
      </c>
      <c r="F414" s="9" t="s">
        <v>1360</v>
      </c>
      <c r="G414" s="11">
        <v>5232.1400000000003</v>
      </c>
      <c r="H414" s="11">
        <v>123.76</v>
      </c>
      <c r="I414" s="9" t="b">
        <f>TRUE()</f>
        <v>1</v>
      </c>
      <c r="J414" s="9" t="s">
        <v>1361</v>
      </c>
      <c r="K414" s="11">
        <v>123.76</v>
      </c>
      <c r="L414" s="9" t="s">
        <v>20</v>
      </c>
      <c r="M414" s="9" t="str">
        <f>IFERROR(INDEX(T_CleanCustomers[Sales_Rep_ID],MATCH(B414,T_CleanCustomers[Customer_ID],0)),"Unmatched")</f>
        <v>REP003</v>
      </c>
      <c r="N414" s="9" t="str">
        <f>IFERROR(INDEX(T_CleanCustomers[Channel],MATCH(B414,T_CleanCustomers[Customer_ID],0)),"Unmatched")</f>
        <v>Digital</v>
      </c>
      <c r="O414" s="9" t="str">
        <f>IFERROR(INDEX(T_CleanCustomers[Product],MATCH(B414,T_CleanCustomers[Customer_ID],0)),"Unmatched")</f>
        <v>Fuel Card</v>
      </c>
      <c r="P414" s="9" t="str">
        <f>IFERROR(INDEX(T_CleanCustomers[Customer_Segment],MATCH(B414,T_CleanCustomers[Customer_ID],0)),"Unmatched")</f>
        <v>SME</v>
      </c>
    </row>
    <row r="415" spans="1:16" ht="15" customHeight="1" x14ac:dyDescent="0.2">
      <c r="A415" s="9" t="s">
        <v>1772</v>
      </c>
      <c r="B415" s="9" t="s">
        <v>1193</v>
      </c>
      <c r="C415" s="9" t="b">
        <f>TRUE()</f>
        <v>1</v>
      </c>
      <c r="D415" s="10">
        <v>45928</v>
      </c>
      <c r="E415" s="10">
        <v>45901</v>
      </c>
      <c r="F415" s="9" t="s">
        <v>1360</v>
      </c>
      <c r="G415" s="11">
        <v>4901.84</v>
      </c>
      <c r="H415" s="11">
        <v>111.88</v>
      </c>
      <c r="I415" s="9" t="b">
        <f>TRUE()</f>
        <v>1</v>
      </c>
      <c r="J415" s="9" t="s">
        <v>1361</v>
      </c>
      <c r="K415" s="11">
        <v>111.88</v>
      </c>
      <c r="L415" s="9" t="s">
        <v>20</v>
      </c>
      <c r="M415" s="9" t="str">
        <f>IFERROR(INDEX(T_CleanCustomers[Sales_Rep_ID],MATCH(B415,T_CleanCustomers[Customer_ID],0)),"Unmatched")</f>
        <v>REP003</v>
      </c>
      <c r="N415" s="9" t="str">
        <f>IFERROR(INDEX(T_CleanCustomers[Channel],MATCH(B415,T_CleanCustomers[Customer_ID],0)),"Unmatched")</f>
        <v>Digital</v>
      </c>
      <c r="O415" s="9" t="str">
        <f>IFERROR(INDEX(T_CleanCustomers[Product],MATCH(B415,T_CleanCustomers[Customer_ID],0)),"Unmatched")</f>
        <v>Fuel Card</v>
      </c>
      <c r="P415" s="9" t="str">
        <f>IFERROR(INDEX(T_CleanCustomers[Customer_Segment],MATCH(B415,T_CleanCustomers[Customer_ID],0)),"Unmatched")</f>
        <v>SME</v>
      </c>
    </row>
    <row r="416" spans="1:16" ht="15" customHeight="1" x14ac:dyDescent="0.2">
      <c r="A416" s="9" t="s">
        <v>1773</v>
      </c>
      <c r="B416" s="9" t="s">
        <v>1193</v>
      </c>
      <c r="C416" s="9" t="b">
        <f>TRUE()</f>
        <v>1</v>
      </c>
      <c r="D416" s="10">
        <v>45937</v>
      </c>
      <c r="E416" s="10">
        <v>45931</v>
      </c>
      <c r="F416" s="9" t="s">
        <v>1360</v>
      </c>
      <c r="G416" s="11">
        <v>4303.53</v>
      </c>
      <c r="H416" s="11">
        <v>121.52</v>
      </c>
      <c r="I416" s="9" t="b">
        <f>TRUE()</f>
        <v>1</v>
      </c>
      <c r="J416" s="9" t="s">
        <v>1361</v>
      </c>
      <c r="K416" s="11">
        <v>121.52</v>
      </c>
      <c r="L416" s="9" t="s">
        <v>20</v>
      </c>
      <c r="M416" s="9" t="str">
        <f>IFERROR(INDEX(T_CleanCustomers[Sales_Rep_ID],MATCH(B416,T_CleanCustomers[Customer_ID],0)),"Unmatched")</f>
        <v>REP003</v>
      </c>
      <c r="N416" s="9" t="str">
        <f>IFERROR(INDEX(T_CleanCustomers[Channel],MATCH(B416,T_CleanCustomers[Customer_ID],0)),"Unmatched")</f>
        <v>Digital</v>
      </c>
      <c r="O416" s="9" t="str">
        <f>IFERROR(INDEX(T_CleanCustomers[Product],MATCH(B416,T_CleanCustomers[Customer_ID],0)),"Unmatched")</f>
        <v>Fuel Card</v>
      </c>
      <c r="P416" s="9" t="str">
        <f>IFERROR(INDEX(T_CleanCustomers[Customer_Segment],MATCH(B416,T_CleanCustomers[Customer_ID],0)),"Unmatched")</f>
        <v>SME</v>
      </c>
    </row>
    <row r="417" spans="1:16" ht="15" customHeight="1" x14ac:dyDescent="0.2">
      <c r="A417" s="9" t="s">
        <v>1774</v>
      </c>
      <c r="B417" s="9" t="s">
        <v>1193</v>
      </c>
      <c r="C417" s="9" t="b">
        <f>TRUE()</f>
        <v>1</v>
      </c>
      <c r="D417" s="10">
        <v>45973</v>
      </c>
      <c r="E417" s="10">
        <v>45962</v>
      </c>
      <c r="F417" s="9" t="s">
        <v>1360</v>
      </c>
      <c r="G417" s="11">
        <v>3055.9</v>
      </c>
      <c r="H417" s="11">
        <v>83.78</v>
      </c>
      <c r="I417" s="9" t="b">
        <f>TRUE()</f>
        <v>1</v>
      </c>
      <c r="J417" s="9" t="s">
        <v>1361</v>
      </c>
      <c r="K417" s="11">
        <v>83.78</v>
      </c>
      <c r="L417" s="9" t="s">
        <v>20</v>
      </c>
      <c r="M417" s="9" t="str">
        <f>IFERROR(INDEX(T_CleanCustomers[Sales_Rep_ID],MATCH(B417,T_CleanCustomers[Customer_ID],0)),"Unmatched")</f>
        <v>REP003</v>
      </c>
      <c r="N417" s="9" t="str">
        <f>IFERROR(INDEX(T_CleanCustomers[Channel],MATCH(B417,T_CleanCustomers[Customer_ID],0)),"Unmatched")</f>
        <v>Digital</v>
      </c>
      <c r="O417" s="9" t="str">
        <f>IFERROR(INDEX(T_CleanCustomers[Product],MATCH(B417,T_CleanCustomers[Customer_ID],0)),"Unmatched")</f>
        <v>Fuel Card</v>
      </c>
      <c r="P417" s="9" t="str">
        <f>IFERROR(INDEX(T_CleanCustomers[Customer_Segment],MATCH(B417,T_CleanCustomers[Customer_ID],0)),"Unmatched")</f>
        <v>SME</v>
      </c>
    </row>
    <row r="418" spans="1:16" ht="15" customHeight="1" x14ac:dyDescent="0.2">
      <c r="A418" s="9" t="s">
        <v>1775</v>
      </c>
      <c r="B418" s="9" t="s">
        <v>1193</v>
      </c>
      <c r="C418" s="9" t="b">
        <f>TRUE()</f>
        <v>1</v>
      </c>
      <c r="D418" s="10">
        <v>45998</v>
      </c>
      <c r="E418" s="10">
        <v>45992</v>
      </c>
      <c r="F418" s="9" t="s">
        <v>1360</v>
      </c>
      <c r="G418" s="11">
        <v>2603.44</v>
      </c>
      <c r="H418" s="11">
        <v>0</v>
      </c>
      <c r="I418" s="9" t="b">
        <f>TRUE()</f>
        <v>1</v>
      </c>
      <c r="J418" s="9" t="s">
        <v>1408</v>
      </c>
      <c r="K418" s="11">
        <v>0</v>
      </c>
      <c r="L418" s="9" t="s">
        <v>20</v>
      </c>
      <c r="M418" s="9" t="str">
        <f>IFERROR(INDEX(T_CleanCustomers[Sales_Rep_ID],MATCH(B418,T_CleanCustomers[Customer_ID],0)),"Unmatched")</f>
        <v>REP003</v>
      </c>
      <c r="N418" s="9" t="str">
        <f>IFERROR(INDEX(T_CleanCustomers[Channel],MATCH(B418,T_CleanCustomers[Customer_ID],0)),"Unmatched")</f>
        <v>Digital</v>
      </c>
      <c r="O418" s="9" t="str">
        <f>IFERROR(INDEX(T_CleanCustomers[Product],MATCH(B418,T_CleanCustomers[Customer_ID],0)),"Unmatched")</f>
        <v>Fuel Card</v>
      </c>
      <c r="P418" s="9" t="str">
        <f>IFERROR(INDEX(T_CleanCustomers[Customer_Segment],MATCH(B418,T_CleanCustomers[Customer_ID],0)),"Unmatched")</f>
        <v>SME</v>
      </c>
    </row>
    <row r="419" spans="1:16" ht="15" customHeight="1" x14ac:dyDescent="0.2">
      <c r="A419" s="9" t="s">
        <v>1776</v>
      </c>
      <c r="B419" s="9" t="s">
        <v>1193</v>
      </c>
      <c r="C419" s="9" t="b">
        <f>TRUE()</f>
        <v>1</v>
      </c>
      <c r="D419" s="10">
        <v>45994</v>
      </c>
      <c r="E419" s="10">
        <v>45992</v>
      </c>
      <c r="F419" s="9" t="s">
        <v>1360</v>
      </c>
      <c r="G419" s="11">
        <v>4890.8599999999997</v>
      </c>
      <c r="H419" s="11">
        <v>107.49</v>
      </c>
      <c r="I419" s="9" t="b">
        <f>TRUE()</f>
        <v>1</v>
      </c>
      <c r="J419" s="9" t="s">
        <v>1361</v>
      </c>
      <c r="K419" s="11">
        <v>107.49</v>
      </c>
      <c r="L419" s="9" t="s">
        <v>20</v>
      </c>
      <c r="M419" s="9" t="str">
        <f>IFERROR(INDEX(T_CleanCustomers[Sales_Rep_ID],MATCH(B419,T_CleanCustomers[Customer_ID],0)),"Unmatched")</f>
        <v>REP003</v>
      </c>
      <c r="N419" s="9" t="str">
        <f>IFERROR(INDEX(T_CleanCustomers[Channel],MATCH(B419,T_CleanCustomers[Customer_ID],0)),"Unmatched")</f>
        <v>Digital</v>
      </c>
      <c r="O419" s="9" t="str">
        <f>IFERROR(INDEX(T_CleanCustomers[Product],MATCH(B419,T_CleanCustomers[Customer_ID],0)),"Unmatched")</f>
        <v>Fuel Card</v>
      </c>
      <c r="P419" s="9" t="str">
        <f>IFERROR(INDEX(T_CleanCustomers[Customer_Segment],MATCH(B419,T_CleanCustomers[Customer_ID],0)),"Unmatched")</f>
        <v>SME</v>
      </c>
    </row>
    <row r="420" spans="1:16" ht="15" customHeight="1" x14ac:dyDescent="0.2">
      <c r="A420" s="9" t="s">
        <v>1777</v>
      </c>
      <c r="B420" s="9" t="s">
        <v>1196</v>
      </c>
      <c r="C420" s="9" t="b">
        <f>TRUE()</f>
        <v>1</v>
      </c>
      <c r="D420" s="10">
        <v>45921</v>
      </c>
      <c r="E420" s="10">
        <v>45901</v>
      </c>
      <c r="F420" s="9" t="s">
        <v>1360</v>
      </c>
      <c r="G420" s="11">
        <v>4738.1400000000003</v>
      </c>
      <c r="H420" s="11">
        <v>123.91</v>
      </c>
      <c r="I420" s="9" t="b">
        <f>TRUE()</f>
        <v>1</v>
      </c>
      <c r="J420" s="9" t="s">
        <v>1361</v>
      </c>
      <c r="K420" s="11">
        <v>123.91</v>
      </c>
      <c r="L420" s="9" t="s">
        <v>19</v>
      </c>
      <c r="M420" s="9" t="str">
        <f>IFERROR(INDEX(T_CleanCustomers[Sales_Rep_ID],MATCH(B420,T_CleanCustomers[Customer_ID],0)),"Unmatched")</f>
        <v>REP015</v>
      </c>
      <c r="N420" s="9" t="str">
        <f>IFERROR(INDEX(T_CleanCustomers[Channel],MATCH(B420,T_CleanCustomers[Customer_ID],0)),"Unmatched")</f>
        <v>Direct Sales</v>
      </c>
      <c r="O420" s="9" t="str">
        <f>IFERROR(INDEX(T_CleanCustomers[Product],MATCH(B420,T_CleanCustomers[Customer_ID],0)),"Unmatched")</f>
        <v>Fuel Card</v>
      </c>
      <c r="P420" s="9" t="str">
        <f>IFERROR(INDEX(T_CleanCustomers[Customer_Segment],MATCH(B420,T_CleanCustomers[Customer_ID],0)),"Unmatched")</f>
        <v>SME</v>
      </c>
    </row>
    <row r="421" spans="1:16" ht="15" customHeight="1" x14ac:dyDescent="0.2">
      <c r="A421" s="9" t="s">
        <v>1778</v>
      </c>
      <c r="B421" s="9" t="s">
        <v>1196</v>
      </c>
      <c r="C421" s="9" t="b">
        <f>TRUE()</f>
        <v>1</v>
      </c>
      <c r="D421" s="10">
        <v>45923</v>
      </c>
      <c r="E421" s="10">
        <v>45901</v>
      </c>
      <c r="F421" s="9" t="s">
        <v>1360</v>
      </c>
      <c r="G421" s="11">
        <v>2814.03</v>
      </c>
      <c r="H421" s="11">
        <v>71.75</v>
      </c>
      <c r="I421" s="9" t="b">
        <f>TRUE()</f>
        <v>1</v>
      </c>
      <c r="J421" s="9" t="s">
        <v>1361</v>
      </c>
      <c r="K421" s="11">
        <v>71.75</v>
      </c>
      <c r="L421" s="9" t="s">
        <v>19</v>
      </c>
      <c r="M421" s="9" t="str">
        <f>IFERROR(INDEX(T_CleanCustomers[Sales_Rep_ID],MATCH(B421,T_CleanCustomers[Customer_ID],0)),"Unmatched")</f>
        <v>REP015</v>
      </c>
      <c r="N421" s="9" t="str">
        <f>IFERROR(INDEX(T_CleanCustomers[Channel],MATCH(B421,T_CleanCustomers[Customer_ID],0)),"Unmatched")</f>
        <v>Direct Sales</v>
      </c>
      <c r="O421" s="9" t="str">
        <f>IFERROR(INDEX(T_CleanCustomers[Product],MATCH(B421,T_CleanCustomers[Customer_ID],0)),"Unmatched")</f>
        <v>Fuel Card</v>
      </c>
      <c r="P421" s="9" t="str">
        <f>IFERROR(INDEX(T_CleanCustomers[Customer_Segment],MATCH(B421,T_CleanCustomers[Customer_ID],0)),"Unmatched")</f>
        <v>SME</v>
      </c>
    </row>
    <row r="422" spans="1:16" ht="15" customHeight="1" x14ac:dyDescent="0.2">
      <c r="A422" s="9" t="s">
        <v>1779</v>
      </c>
      <c r="B422" s="9" t="s">
        <v>1196</v>
      </c>
      <c r="C422" s="9" t="b">
        <f>TRUE()</f>
        <v>1</v>
      </c>
      <c r="D422" s="10">
        <v>45921</v>
      </c>
      <c r="E422" s="10">
        <v>45901</v>
      </c>
      <c r="F422" s="9" t="s">
        <v>1360</v>
      </c>
      <c r="G422" s="11">
        <v>5145.66</v>
      </c>
      <c r="H422" s="11">
        <v>141.03</v>
      </c>
      <c r="I422" s="9" t="b">
        <f>TRUE()</f>
        <v>1</v>
      </c>
      <c r="J422" s="9" t="s">
        <v>1361</v>
      </c>
      <c r="K422" s="11">
        <v>141.03</v>
      </c>
      <c r="L422" s="9" t="s">
        <v>19</v>
      </c>
      <c r="M422" s="9" t="str">
        <f>IFERROR(INDEX(T_CleanCustomers[Sales_Rep_ID],MATCH(B422,T_CleanCustomers[Customer_ID],0)),"Unmatched")</f>
        <v>REP015</v>
      </c>
      <c r="N422" s="9" t="str">
        <f>IFERROR(INDEX(T_CleanCustomers[Channel],MATCH(B422,T_CleanCustomers[Customer_ID],0)),"Unmatched")</f>
        <v>Direct Sales</v>
      </c>
      <c r="O422" s="9" t="str">
        <f>IFERROR(INDEX(T_CleanCustomers[Product],MATCH(B422,T_CleanCustomers[Customer_ID],0)),"Unmatched")</f>
        <v>Fuel Card</v>
      </c>
      <c r="P422" s="9" t="str">
        <f>IFERROR(INDEX(T_CleanCustomers[Customer_Segment],MATCH(B422,T_CleanCustomers[Customer_ID],0)),"Unmatched")</f>
        <v>SME</v>
      </c>
    </row>
    <row r="423" spans="1:16" ht="15" customHeight="1" x14ac:dyDescent="0.2">
      <c r="A423" s="9" t="s">
        <v>1780</v>
      </c>
      <c r="B423" s="9" t="s">
        <v>1196</v>
      </c>
      <c r="C423" s="9" t="b">
        <f>TRUE()</f>
        <v>1</v>
      </c>
      <c r="D423" s="10">
        <v>45944</v>
      </c>
      <c r="E423" s="10">
        <v>45931</v>
      </c>
      <c r="F423" s="9" t="s">
        <v>1360</v>
      </c>
      <c r="G423" s="11">
        <v>2539.59</v>
      </c>
      <c r="H423" s="11">
        <v>0</v>
      </c>
      <c r="I423" s="9" t="b">
        <f>TRUE()</f>
        <v>1</v>
      </c>
      <c r="J423" s="9" t="s">
        <v>1408</v>
      </c>
      <c r="K423" s="11">
        <v>0</v>
      </c>
      <c r="L423" s="9" t="s">
        <v>19</v>
      </c>
      <c r="M423" s="9" t="str">
        <f>IFERROR(INDEX(T_CleanCustomers[Sales_Rep_ID],MATCH(B423,T_CleanCustomers[Customer_ID],0)),"Unmatched")</f>
        <v>REP015</v>
      </c>
      <c r="N423" s="9" t="str">
        <f>IFERROR(INDEX(T_CleanCustomers[Channel],MATCH(B423,T_CleanCustomers[Customer_ID],0)),"Unmatched")</f>
        <v>Direct Sales</v>
      </c>
      <c r="O423" s="9" t="str">
        <f>IFERROR(INDEX(T_CleanCustomers[Product],MATCH(B423,T_CleanCustomers[Customer_ID],0)),"Unmatched")</f>
        <v>Fuel Card</v>
      </c>
      <c r="P423" s="9" t="str">
        <f>IFERROR(INDEX(T_CleanCustomers[Customer_Segment],MATCH(B423,T_CleanCustomers[Customer_ID],0)),"Unmatched")</f>
        <v>SME</v>
      </c>
    </row>
    <row r="424" spans="1:16" ht="15" customHeight="1" x14ac:dyDescent="0.2">
      <c r="A424" s="9" t="s">
        <v>1781</v>
      </c>
      <c r="B424" s="9" t="s">
        <v>1196</v>
      </c>
      <c r="C424" s="9" t="b">
        <f>TRUE()</f>
        <v>1</v>
      </c>
      <c r="D424" s="10">
        <v>45968</v>
      </c>
      <c r="E424" s="10">
        <v>45962</v>
      </c>
      <c r="F424" s="9" t="s">
        <v>1360</v>
      </c>
      <c r="G424" s="11">
        <v>1645.29</v>
      </c>
      <c r="H424" s="11">
        <v>40.450000000000003</v>
      </c>
      <c r="I424" s="9" t="b">
        <f>TRUE()</f>
        <v>1</v>
      </c>
      <c r="J424" s="9" t="s">
        <v>1361</v>
      </c>
      <c r="K424" s="11">
        <v>40.450000000000003</v>
      </c>
      <c r="L424" s="9" t="s">
        <v>19</v>
      </c>
      <c r="M424" s="9" t="str">
        <f>IFERROR(INDEX(T_CleanCustomers[Sales_Rep_ID],MATCH(B424,T_CleanCustomers[Customer_ID],0)),"Unmatched")</f>
        <v>REP015</v>
      </c>
      <c r="N424" s="9" t="str">
        <f>IFERROR(INDEX(T_CleanCustomers[Channel],MATCH(B424,T_CleanCustomers[Customer_ID],0)),"Unmatched")</f>
        <v>Direct Sales</v>
      </c>
      <c r="O424" s="9" t="str">
        <f>IFERROR(INDEX(T_CleanCustomers[Product],MATCH(B424,T_CleanCustomers[Customer_ID],0)),"Unmatched")</f>
        <v>Fuel Card</v>
      </c>
      <c r="P424" s="9" t="str">
        <f>IFERROR(INDEX(T_CleanCustomers[Customer_Segment],MATCH(B424,T_CleanCustomers[Customer_ID],0)),"Unmatched")</f>
        <v>SME</v>
      </c>
    </row>
    <row r="425" spans="1:16" ht="15" customHeight="1" x14ac:dyDescent="0.2">
      <c r="A425" s="9" t="s">
        <v>1782</v>
      </c>
      <c r="B425" s="9" t="s">
        <v>1196</v>
      </c>
      <c r="C425" s="9" t="b">
        <f>TRUE()</f>
        <v>1</v>
      </c>
      <c r="D425" s="10">
        <v>45987</v>
      </c>
      <c r="E425" s="10">
        <v>45962</v>
      </c>
      <c r="F425" s="9" t="s">
        <v>1360</v>
      </c>
      <c r="G425" s="11">
        <v>1770.38</v>
      </c>
      <c r="H425" s="11">
        <v>40.770000000000003</v>
      </c>
      <c r="I425" s="9" t="b">
        <f>TRUE()</f>
        <v>1</v>
      </c>
      <c r="J425" s="9" t="s">
        <v>1361</v>
      </c>
      <c r="K425" s="11">
        <v>40.770000000000003</v>
      </c>
      <c r="L425" s="9" t="s">
        <v>19</v>
      </c>
      <c r="M425" s="9" t="str">
        <f>IFERROR(INDEX(T_CleanCustomers[Sales_Rep_ID],MATCH(B425,T_CleanCustomers[Customer_ID],0)),"Unmatched")</f>
        <v>REP015</v>
      </c>
      <c r="N425" s="9" t="str">
        <f>IFERROR(INDEX(T_CleanCustomers[Channel],MATCH(B425,T_CleanCustomers[Customer_ID],0)),"Unmatched")</f>
        <v>Direct Sales</v>
      </c>
      <c r="O425" s="9" t="str">
        <f>IFERROR(INDEX(T_CleanCustomers[Product],MATCH(B425,T_CleanCustomers[Customer_ID],0)),"Unmatched")</f>
        <v>Fuel Card</v>
      </c>
      <c r="P425" s="9" t="str">
        <f>IFERROR(INDEX(T_CleanCustomers[Customer_Segment],MATCH(B425,T_CleanCustomers[Customer_ID],0)),"Unmatched")</f>
        <v>SME</v>
      </c>
    </row>
    <row r="426" spans="1:16" ht="15" customHeight="1" x14ac:dyDescent="0.2">
      <c r="A426" s="9" t="s">
        <v>1783</v>
      </c>
      <c r="B426" s="9" t="s">
        <v>1196</v>
      </c>
      <c r="C426" s="9" t="b">
        <f>TRUE()</f>
        <v>1</v>
      </c>
      <c r="D426" s="10">
        <v>45995</v>
      </c>
      <c r="E426" s="10">
        <v>45992</v>
      </c>
      <c r="F426" s="9" t="s">
        <v>1360</v>
      </c>
      <c r="G426" s="11">
        <v>4021.32</v>
      </c>
      <c r="H426" s="11">
        <v>92.36</v>
      </c>
      <c r="I426" s="9" t="b">
        <f>TRUE()</f>
        <v>1</v>
      </c>
      <c r="J426" s="9" t="s">
        <v>1361</v>
      </c>
      <c r="K426" s="11">
        <v>92.36</v>
      </c>
      <c r="L426" s="9" t="s">
        <v>19</v>
      </c>
      <c r="M426" s="9" t="str">
        <f>IFERROR(INDEX(T_CleanCustomers[Sales_Rep_ID],MATCH(B426,T_CleanCustomers[Customer_ID],0)),"Unmatched")</f>
        <v>REP015</v>
      </c>
      <c r="N426" s="9" t="str">
        <f>IFERROR(INDEX(T_CleanCustomers[Channel],MATCH(B426,T_CleanCustomers[Customer_ID],0)),"Unmatched")</f>
        <v>Direct Sales</v>
      </c>
      <c r="O426" s="9" t="str">
        <f>IFERROR(INDEX(T_CleanCustomers[Product],MATCH(B426,T_CleanCustomers[Customer_ID],0)),"Unmatched")</f>
        <v>Fuel Card</v>
      </c>
      <c r="P426" s="9" t="str">
        <f>IFERROR(INDEX(T_CleanCustomers[Customer_Segment],MATCH(B426,T_CleanCustomers[Customer_ID],0)),"Unmatched")</f>
        <v>SME</v>
      </c>
    </row>
    <row r="427" spans="1:16" ht="15" customHeight="1" x14ac:dyDescent="0.2">
      <c r="A427" s="9" t="s">
        <v>1784</v>
      </c>
      <c r="B427" s="9" t="s">
        <v>1196</v>
      </c>
      <c r="C427" s="9" t="b">
        <f>TRUE()</f>
        <v>1</v>
      </c>
      <c r="D427" s="10">
        <v>46003</v>
      </c>
      <c r="E427" s="10">
        <v>45992</v>
      </c>
      <c r="F427" s="9" t="s">
        <v>1360</v>
      </c>
      <c r="G427" s="11">
        <v>2604.5300000000002</v>
      </c>
      <c r="H427" s="11">
        <v>67.48</v>
      </c>
      <c r="I427" s="9" t="b">
        <f>TRUE()</f>
        <v>1</v>
      </c>
      <c r="J427" s="9" t="s">
        <v>1361</v>
      </c>
      <c r="K427" s="11">
        <v>67.48</v>
      </c>
      <c r="L427" s="9" t="s">
        <v>19</v>
      </c>
      <c r="M427" s="9" t="str">
        <f>IFERROR(INDEX(T_CleanCustomers[Sales_Rep_ID],MATCH(B427,T_CleanCustomers[Customer_ID],0)),"Unmatched")</f>
        <v>REP015</v>
      </c>
      <c r="N427" s="9" t="str">
        <f>IFERROR(INDEX(T_CleanCustomers[Channel],MATCH(B427,T_CleanCustomers[Customer_ID],0)),"Unmatched")</f>
        <v>Direct Sales</v>
      </c>
      <c r="O427" s="9" t="str">
        <f>IFERROR(INDEX(T_CleanCustomers[Product],MATCH(B427,T_CleanCustomers[Customer_ID],0)),"Unmatched")</f>
        <v>Fuel Card</v>
      </c>
      <c r="P427" s="9" t="str">
        <f>IFERROR(INDEX(T_CleanCustomers[Customer_Segment],MATCH(B427,T_CleanCustomers[Customer_ID],0)),"Unmatched")</f>
        <v>SME</v>
      </c>
    </row>
    <row r="428" spans="1:16" ht="15" customHeight="1" x14ac:dyDescent="0.2">
      <c r="A428" s="9" t="s">
        <v>1785</v>
      </c>
      <c r="B428" s="9" t="s">
        <v>1196</v>
      </c>
      <c r="C428" s="9" t="b">
        <f>TRUE()</f>
        <v>1</v>
      </c>
      <c r="D428" s="10">
        <v>46020</v>
      </c>
      <c r="E428" s="10">
        <v>45992</v>
      </c>
      <c r="F428" s="9" t="s">
        <v>1360</v>
      </c>
      <c r="G428" s="11">
        <v>2925.43</v>
      </c>
      <c r="H428" s="11">
        <v>71.73</v>
      </c>
      <c r="I428" s="9" t="b">
        <f>TRUE()</f>
        <v>1</v>
      </c>
      <c r="J428" s="9" t="s">
        <v>1361</v>
      </c>
      <c r="K428" s="11">
        <v>71.73</v>
      </c>
      <c r="L428" s="9" t="s">
        <v>19</v>
      </c>
      <c r="M428" s="9" t="str">
        <f>IFERROR(INDEX(T_CleanCustomers[Sales_Rep_ID],MATCH(B428,T_CleanCustomers[Customer_ID],0)),"Unmatched")</f>
        <v>REP015</v>
      </c>
      <c r="N428" s="9" t="str">
        <f>IFERROR(INDEX(T_CleanCustomers[Channel],MATCH(B428,T_CleanCustomers[Customer_ID],0)),"Unmatched")</f>
        <v>Direct Sales</v>
      </c>
      <c r="O428" s="9" t="str">
        <f>IFERROR(INDEX(T_CleanCustomers[Product],MATCH(B428,T_CleanCustomers[Customer_ID],0)),"Unmatched")</f>
        <v>Fuel Card</v>
      </c>
      <c r="P428" s="9" t="str">
        <f>IFERROR(INDEX(T_CleanCustomers[Customer_Segment],MATCH(B428,T_CleanCustomers[Customer_ID],0)),"Unmatched")</f>
        <v>SME</v>
      </c>
    </row>
    <row r="429" spans="1:16" ht="15" customHeight="1" x14ac:dyDescent="0.2">
      <c r="A429" s="9" t="s">
        <v>1786</v>
      </c>
      <c r="B429" s="9" t="s">
        <v>1197</v>
      </c>
      <c r="C429" s="9" t="b">
        <f>TRUE()</f>
        <v>1</v>
      </c>
      <c r="D429" s="10">
        <v>45852</v>
      </c>
      <c r="E429" s="10">
        <v>45839</v>
      </c>
      <c r="F429" s="9" t="s">
        <v>1423</v>
      </c>
      <c r="G429" s="11">
        <v>4034.42</v>
      </c>
      <c r="H429" s="11">
        <v>132.12</v>
      </c>
      <c r="I429" s="9" t="b">
        <f>TRUE()</f>
        <v>1</v>
      </c>
      <c r="J429" s="9" t="s">
        <v>1361</v>
      </c>
      <c r="K429" s="11">
        <v>132.12</v>
      </c>
      <c r="L429" s="9" t="s">
        <v>22</v>
      </c>
      <c r="M429" s="9" t="str">
        <f>IFERROR(INDEX(T_CleanCustomers[Sales_Rep_ID],MATCH(B429,T_CleanCustomers[Customer_ID],0)),"Unmatched")</f>
        <v>REP006</v>
      </c>
      <c r="N429" s="9" t="str">
        <f>IFERROR(INDEX(T_CleanCustomers[Channel],MATCH(B429,T_CleanCustomers[Customer_ID],0)),"Unmatched")</f>
        <v>Partner</v>
      </c>
      <c r="O429" s="9" t="str">
        <f>IFERROR(INDEX(T_CleanCustomers[Product],MATCH(B429,T_CleanCustomers[Customer_ID],0)),"Unmatched")</f>
        <v>EV Charge Card</v>
      </c>
      <c r="P429" s="9" t="str">
        <f>IFERROR(INDEX(T_CleanCustomers[Customer_Segment],MATCH(B429,T_CleanCustomers[Customer_ID],0)),"Unmatched")</f>
        <v>SME</v>
      </c>
    </row>
    <row r="430" spans="1:16" ht="15" customHeight="1" x14ac:dyDescent="0.2">
      <c r="A430" s="9" t="s">
        <v>1787</v>
      </c>
      <c r="B430" s="9" t="s">
        <v>1197</v>
      </c>
      <c r="C430" s="9" t="b">
        <f>TRUE()</f>
        <v>1</v>
      </c>
      <c r="D430" s="10">
        <v>45866</v>
      </c>
      <c r="E430" s="10">
        <v>45839</v>
      </c>
      <c r="F430" s="9" t="s">
        <v>1423</v>
      </c>
      <c r="G430" s="11">
        <v>2458.67</v>
      </c>
      <c r="H430" s="11">
        <v>75.7</v>
      </c>
      <c r="I430" s="9" t="b">
        <f>TRUE()</f>
        <v>1</v>
      </c>
      <c r="J430" s="9" t="s">
        <v>1361</v>
      </c>
      <c r="K430" s="11">
        <v>75.7</v>
      </c>
      <c r="L430" s="9" t="s">
        <v>22</v>
      </c>
      <c r="M430" s="9" t="str">
        <f>IFERROR(INDEX(T_CleanCustomers[Sales_Rep_ID],MATCH(B430,T_CleanCustomers[Customer_ID],0)),"Unmatched")</f>
        <v>REP006</v>
      </c>
      <c r="N430" s="9" t="str">
        <f>IFERROR(INDEX(T_CleanCustomers[Channel],MATCH(B430,T_CleanCustomers[Customer_ID],0)),"Unmatched")</f>
        <v>Partner</v>
      </c>
      <c r="O430" s="9" t="str">
        <f>IFERROR(INDEX(T_CleanCustomers[Product],MATCH(B430,T_CleanCustomers[Customer_ID],0)),"Unmatched")</f>
        <v>EV Charge Card</v>
      </c>
      <c r="P430" s="9" t="str">
        <f>IFERROR(INDEX(T_CleanCustomers[Customer_Segment],MATCH(B430,T_CleanCustomers[Customer_ID],0)),"Unmatched")</f>
        <v>SME</v>
      </c>
    </row>
    <row r="431" spans="1:16" ht="15" customHeight="1" x14ac:dyDescent="0.2">
      <c r="A431" s="9" t="s">
        <v>1788</v>
      </c>
      <c r="B431" s="9" t="s">
        <v>1197</v>
      </c>
      <c r="C431" s="9" t="b">
        <f>TRUE()</f>
        <v>1</v>
      </c>
      <c r="D431" s="10">
        <v>45860</v>
      </c>
      <c r="E431" s="10">
        <v>45839</v>
      </c>
      <c r="F431" s="9" t="s">
        <v>1423</v>
      </c>
      <c r="G431" s="11">
        <v>3888.79</v>
      </c>
      <c r="H431" s="11">
        <v>130.24</v>
      </c>
      <c r="I431" s="9" t="b">
        <f>TRUE()</f>
        <v>1</v>
      </c>
      <c r="J431" s="9" t="s">
        <v>1361</v>
      </c>
      <c r="K431" s="11">
        <v>130.24</v>
      </c>
      <c r="L431" s="9" t="s">
        <v>22</v>
      </c>
      <c r="M431" s="9" t="str">
        <f>IFERROR(INDEX(T_CleanCustomers[Sales_Rep_ID],MATCH(B431,T_CleanCustomers[Customer_ID],0)),"Unmatched")</f>
        <v>REP006</v>
      </c>
      <c r="N431" s="9" t="str">
        <f>IFERROR(INDEX(T_CleanCustomers[Channel],MATCH(B431,T_CleanCustomers[Customer_ID],0)),"Unmatched")</f>
        <v>Partner</v>
      </c>
      <c r="O431" s="9" t="str">
        <f>IFERROR(INDEX(T_CleanCustomers[Product],MATCH(B431,T_CleanCustomers[Customer_ID],0)),"Unmatched")</f>
        <v>EV Charge Card</v>
      </c>
      <c r="P431" s="9" t="str">
        <f>IFERROR(INDEX(T_CleanCustomers[Customer_Segment],MATCH(B431,T_CleanCustomers[Customer_ID],0)),"Unmatched")</f>
        <v>SME</v>
      </c>
    </row>
    <row r="432" spans="1:16" ht="15" customHeight="1" x14ac:dyDescent="0.2">
      <c r="A432" s="9" t="s">
        <v>1789</v>
      </c>
      <c r="B432" s="9" t="s">
        <v>1197</v>
      </c>
      <c r="C432" s="9" t="b">
        <f>TRUE()</f>
        <v>1</v>
      </c>
      <c r="D432" s="10">
        <v>45879</v>
      </c>
      <c r="E432" s="10">
        <v>45870</v>
      </c>
      <c r="F432" s="9" t="s">
        <v>1423</v>
      </c>
      <c r="G432" s="11">
        <v>2879.28</v>
      </c>
      <c r="H432" s="11">
        <v>94</v>
      </c>
      <c r="I432" s="9" t="b">
        <f>TRUE()</f>
        <v>1</v>
      </c>
      <c r="J432" s="9" t="s">
        <v>1361</v>
      </c>
      <c r="K432" s="11">
        <v>94</v>
      </c>
      <c r="L432" s="9" t="s">
        <v>22</v>
      </c>
      <c r="M432" s="9" t="str">
        <f>IFERROR(INDEX(T_CleanCustomers[Sales_Rep_ID],MATCH(B432,T_CleanCustomers[Customer_ID],0)),"Unmatched")</f>
        <v>REP006</v>
      </c>
      <c r="N432" s="9" t="str">
        <f>IFERROR(INDEX(T_CleanCustomers[Channel],MATCH(B432,T_CleanCustomers[Customer_ID],0)),"Unmatched")</f>
        <v>Partner</v>
      </c>
      <c r="O432" s="9" t="str">
        <f>IFERROR(INDEX(T_CleanCustomers[Product],MATCH(B432,T_CleanCustomers[Customer_ID],0)),"Unmatched")</f>
        <v>EV Charge Card</v>
      </c>
      <c r="P432" s="9" t="str">
        <f>IFERROR(INDEX(T_CleanCustomers[Customer_Segment],MATCH(B432,T_CleanCustomers[Customer_ID],0)),"Unmatched")</f>
        <v>SME</v>
      </c>
    </row>
    <row r="433" spans="1:16" ht="15" customHeight="1" x14ac:dyDescent="0.2">
      <c r="A433" s="9" t="s">
        <v>1790</v>
      </c>
      <c r="B433" s="9" t="s">
        <v>1197</v>
      </c>
      <c r="C433" s="9" t="b">
        <f>TRUE()</f>
        <v>1</v>
      </c>
      <c r="D433" s="10">
        <v>45877</v>
      </c>
      <c r="E433" s="10">
        <v>45870</v>
      </c>
      <c r="F433" s="9" t="s">
        <v>1423</v>
      </c>
      <c r="G433" s="11">
        <v>4069.73</v>
      </c>
      <c r="H433" s="11">
        <v>117.06</v>
      </c>
      <c r="I433" s="9" t="b">
        <f>TRUE()</f>
        <v>1</v>
      </c>
      <c r="J433" s="9" t="s">
        <v>1361</v>
      </c>
      <c r="K433" s="11">
        <v>117.06</v>
      </c>
      <c r="L433" s="9" t="s">
        <v>22</v>
      </c>
      <c r="M433" s="9" t="str">
        <f>IFERROR(INDEX(T_CleanCustomers[Sales_Rep_ID],MATCH(B433,T_CleanCustomers[Customer_ID],0)),"Unmatched")</f>
        <v>REP006</v>
      </c>
      <c r="N433" s="9" t="str">
        <f>IFERROR(INDEX(T_CleanCustomers[Channel],MATCH(B433,T_CleanCustomers[Customer_ID],0)),"Unmatched")</f>
        <v>Partner</v>
      </c>
      <c r="O433" s="9" t="str">
        <f>IFERROR(INDEX(T_CleanCustomers[Product],MATCH(B433,T_CleanCustomers[Customer_ID],0)),"Unmatched")</f>
        <v>EV Charge Card</v>
      </c>
      <c r="P433" s="9" t="str">
        <f>IFERROR(INDEX(T_CleanCustomers[Customer_Segment],MATCH(B433,T_CleanCustomers[Customer_ID],0)),"Unmatched")</f>
        <v>SME</v>
      </c>
    </row>
    <row r="434" spans="1:16" ht="15" customHeight="1" x14ac:dyDescent="0.2">
      <c r="A434" s="9" t="s">
        <v>1791</v>
      </c>
      <c r="B434" s="9" t="s">
        <v>1197</v>
      </c>
      <c r="C434" s="9" t="b">
        <f>TRUE()</f>
        <v>1</v>
      </c>
      <c r="D434" s="10">
        <v>45918</v>
      </c>
      <c r="E434" s="10">
        <v>45901</v>
      </c>
      <c r="F434" s="9" t="s">
        <v>1423</v>
      </c>
      <c r="G434" s="11">
        <v>3764.98</v>
      </c>
      <c r="H434" s="11">
        <v>100.93</v>
      </c>
      <c r="I434" s="9" t="b">
        <f>TRUE()</f>
        <v>1</v>
      </c>
      <c r="J434" s="9" t="s">
        <v>1361</v>
      </c>
      <c r="K434" s="11">
        <v>100.93</v>
      </c>
      <c r="L434" s="9" t="s">
        <v>22</v>
      </c>
      <c r="M434" s="9" t="str">
        <f>IFERROR(INDEX(T_CleanCustomers[Sales_Rep_ID],MATCH(B434,T_CleanCustomers[Customer_ID],0)),"Unmatched")</f>
        <v>REP006</v>
      </c>
      <c r="N434" s="9" t="str">
        <f>IFERROR(INDEX(T_CleanCustomers[Channel],MATCH(B434,T_CleanCustomers[Customer_ID],0)),"Unmatched")</f>
        <v>Partner</v>
      </c>
      <c r="O434" s="9" t="str">
        <f>IFERROR(INDEX(T_CleanCustomers[Product],MATCH(B434,T_CleanCustomers[Customer_ID],0)),"Unmatched")</f>
        <v>EV Charge Card</v>
      </c>
      <c r="P434" s="9" t="str">
        <f>IFERROR(INDEX(T_CleanCustomers[Customer_Segment],MATCH(B434,T_CleanCustomers[Customer_ID],0)),"Unmatched")</f>
        <v>SME</v>
      </c>
    </row>
    <row r="435" spans="1:16" ht="15" customHeight="1" x14ac:dyDescent="0.2">
      <c r="A435" s="9" t="s">
        <v>1792</v>
      </c>
      <c r="B435" s="9" t="s">
        <v>1197</v>
      </c>
      <c r="C435" s="9" t="b">
        <f>TRUE()</f>
        <v>1</v>
      </c>
      <c r="D435" s="10">
        <v>45939</v>
      </c>
      <c r="E435" s="10">
        <v>45931</v>
      </c>
      <c r="F435" s="9" t="s">
        <v>1423</v>
      </c>
      <c r="G435" s="11">
        <v>1690.76</v>
      </c>
      <c r="H435" s="11">
        <v>50.55</v>
      </c>
      <c r="I435" s="9" t="b">
        <f>TRUE()</f>
        <v>1</v>
      </c>
      <c r="J435" s="9" t="s">
        <v>1361</v>
      </c>
      <c r="K435" s="11">
        <v>50.55</v>
      </c>
      <c r="L435" s="9" t="s">
        <v>22</v>
      </c>
      <c r="M435" s="9" t="str">
        <f>IFERROR(INDEX(T_CleanCustomers[Sales_Rep_ID],MATCH(B435,T_CleanCustomers[Customer_ID],0)),"Unmatched")</f>
        <v>REP006</v>
      </c>
      <c r="N435" s="9" t="str">
        <f>IFERROR(INDEX(T_CleanCustomers[Channel],MATCH(B435,T_CleanCustomers[Customer_ID],0)),"Unmatched")</f>
        <v>Partner</v>
      </c>
      <c r="O435" s="9" t="str">
        <f>IFERROR(INDEX(T_CleanCustomers[Product],MATCH(B435,T_CleanCustomers[Customer_ID],0)),"Unmatched")</f>
        <v>EV Charge Card</v>
      </c>
      <c r="P435" s="9" t="str">
        <f>IFERROR(INDEX(T_CleanCustomers[Customer_Segment],MATCH(B435,T_CleanCustomers[Customer_ID],0)),"Unmatched")</f>
        <v>SME</v>
      </c>
    </row>
    <row r="436" spans="1:16" ht="15" customHeight="1" x14ac:dyDescent="0.2">
      <c r="A436" s="9" t="s">
        <v>1793</v>
      </c>
      <c r="B436" s="9" t="s">
        <v>1197</v>
      </c>
      <c r="C436" s="9" t="b">
        <f>TRUE()</f>
        <v>1</v>
      </c>
      <c r="D436" s="10">
        <v>45952</v>
      </c>
      <c r="E436" s="10">
        <v>45931</v>
      </c>
      <c r="F436" s="9" t="s">
        <v>1423</v>
      </c>
      <c r="G436" s="11">
        <v>3815.3</v>
      </c>
      <c r="H436" s="11">
        <v>100.93</v>
      </c>
      <c r="I436" s="9" t="b">
        <f>TRUE()</f>
        <v>1</v>
      </c>
      <c r="J436" s="9" t="s">
        <v>1361</v>
      </c>
      <c r="K436" s="11">
        <v>100.93</v>
      </c>
      <c r="L436" s="9" t="s">
        <v>22</v>
      </c>
      <c r="M436" s="9" t="str">
        <f>IFERROR(INDEX(T_CleanCustomers[Sales_Rep_ID],MATCH(B436,T_CleanCustomers[Customer_ID],0)),"Unmatched")</f>
        <v>REP006</v>
      </c>
      <c r="N436" s="9" t="str">
        <f>IFERROR(INDEX(T_CleanCustomers[Channel],MATCH(B436,T_CleanCustomers[Customer_ID],0)),"Unmatched")</f>
        <v>Partner</v>
      </c>
      <c r="O436" s="9" t="str">
        <f>IFERROR(INDEX(T_CleanCustomers[Product],MATCH(B436,T_CleanCustomers[Customer_ID],0)),"Unmatched")</f>
        <v>EV Charge Card</v>
      </c>
      <c r="P436" s="9" t="str">
        <f>IFERROR(INDEX(T_CleanCustomers[Customer_Segment],MATCH(B436,T_CleanCustomers[Customer_ID],0)),"Unmatched")</f>
        <v>SME</v>
      </c>
    </row>
    <row r="437" spans="1:16" ht="15" customHeight="1" x14ac:dyDescent="0.2">
      <c r="A437" s="9" t="s">
        <v>1794</v>
      </c>
      <c r="B437" s="9" t="s">
        <v>1197</v>
      </c>
      <c r="C437" s="9" t="b">
        <f>TRUE()</f>
        <v>1</v>
      </c>
      <c r="D437" s="10">
        <v>45983</v>
      </c>
      <c r="E437" s="10">
        <v>45962</v>
      </c>
      <c r="F437" s="9" t="s">
        <v>1423</v>
      </c>
      <c r="G437" s="11">
        <v>2098.62</v>
      </c>
      <c r="H437" s="11">
        <v>68.08</v>
      </c>
      <c r="I437" s="9" t="b">
        <f>TRUE()</f>
        <v>1</v>
      </c>
      <c r="J437" s="9" t="s">
        <v>1361</v>
      </c>
      <c r="K437" s="11">
        <v>68.08</v>
      </c>
      <c r="L437" s="9" t="s">
        <v>22</v>
      </c>
      <c r="M437" s="9" t="str">
        <f>IFERROR(INDEX(T_CleanCustomers[Sales_Rep_ID],MATCH(B437,T_CleanCustomers[Customer_ID],0)),"Unmatched")</f>
        <v>REP006</v>
      </c>
      <c r="N437" s="9" t="str">
        <f>IFERROR(INDEX(T_CleanCustomers[Channel],MATCH(B437,T_CleanCustomers[Customer_ID],0)),"Unmatched")</f>
        <v>Partner</v>
      </c>
      <c r="O437" s="9" t="str">
        <f>IFERROR(INDEX(T_CleanCustomers[Product],MATCH(B437,T_CleanCustomers[Customer_ID],0)),"Unmatched")</f>
        <v>EV Charge Card</v>
      </c>
      <c r="P437" s="9" t="str">
        <f>IFERROR(INDEX(T_CleanCustomers[Customer_Segment],MATCH(B437,T_CleanCustomers[Customer_ID],0)),"Unmatched")</f>
        <v>SME</v>
      </c>
    </row>
    <row r="438" spans="1:16" ht="15" customHeight="1" x14ac:dyDescent="0.2">
      <c r="A438" s="9" t="s">
        <v>1795</v>
      </c>
      <c r="B438" s="9" t="s">
        <v>1197</v>
      </c>
      <c r="C438" s="9" t="b">
        <f>TRUE()</f>
        <v>1</v>
      </c>
      <c r="D438" s="10">
        <v>45974</v>
      </c>
      <c r="E438" s="10">
        <v>45962</v>
      </c>
      <c r="F438" s="9" t="s">
        <v>1423</v>
      </c>
      <c r="G438" s="11">
        <v>2638.84</v>
      </c>
      <c r="H438" s="11">
        <v>71.97</v>
      </c>
      <c r="I438" s="9" t="b">
        <f>TRUE()</f>
        <v>1</v>
      </c>
      <c r="J438" s="9" t="s">
        <v>1361</v>
      </c>
      <c r="K438" s="11">
        <v>71.97</v>
      </c>
      <c r="L438" s="9" t="s">
        <v>22</v>
      </c>
      <c r="M438" s="9" t="str">
        <f>IFERROR(INDEX(T_CleanCustomers[Sales_Rep_ID],MATCH(B438,T_CleanCustomers[Customer_ID],0)),"Unmatched")</f>
        <v>REP006</v>
      </c>
      <c r="N438" s="9" t="str">
        <f>IFERROR(INDEX(T_CleanCustomers[Channel],MATCH(B438,T_CleanCustomers[Customer_ID],0)),"Unmatched")</f>
        <v>Partner</v>
      </c>
      <c r="O438" s="9" t="str">
        <f>IFERROR(INDEX(T_CleanCustomers[Product],MATCH(B438,T_CleanCustomers[Customer_ID],0)),"Unmatched")</f>
        <v>EV Charge Card</v>
      </c>
      <c r="P438" s="9" t="str">
        <f>IFERROR(INDEX(T_CleanCustomers[Customer_Segment],MATCH(B438,T_CleanCustomers[Customer_ID],0)),"Unmatched")</f>
        <v>SME</v>
      </c>
    </row>
    <row r="439" spans="1:16" ht="15" customHeight="1" x14ac:dyDescent="0.2">
      <c r="A439" s="9" t="s">
        <v>1796</v>
      </c>
      <c r="B439" s="9" t="s">
        <v>1197</v>
      </c>
      <c r="C439" s="9" t="b">
        <f>TRUE()</f>
        <v>1</v>
      </c>
      <c r="D439" s="10">
        <v>46010</v>
      </c>
      <c r="E439" s="10">
        <v>45992</v>
      </c>
      <c r="F439" s="9" t="s">
        <v>1423</v>
      </c>
      <c r="G439" s="11">
        <v>4397.42</v>
      </c>
      <c r="H439" s="11">
        <v>122.93</v>
      </c>
      <c r="I439" s="9" t="b">
        <f>TRUE()</f>
        <v>1</v>
      </c>
      <c r="J439" s="9" t="s">
        <v>1361</v>
      </c>
      <c r="K439" s="11">
        <v>122.93</v>
      </c>
      <c r="L439" s="9" t="s">
        <v>22</v>
      </c>
      <c r="M439" s="9" t="str">
        <f>IFERROR(INDEX(T_CleanCustomers[Sales_Rep_ID],MATCH(B439,T_CleanCustomers[Customer_ID],0)),"Unmatched")</f>
        <v>REP006</v>
      </c>
      <c r="N439" s="9" t="str">
        <f>IFERROR(INDEX(T_CleanCustomers[Channel],MATCH(B439,T_CleanCustomers[Customer_ID],0)),"Unmatched")</f>
        <v>Partner</v>
      </c>
      <c r="O439" s="9" t="str">
        <f>IFERROR(INDEX(T_CleanCustomers[Product],MATCH(B439,T_CleanCustomers[Customer_ID],0)),"Unmatched")</f>
        <v>EV Charge Card</v>
      </c>
      <c r="P439" s="9" t="str">
        <f>IFERROR(INDEX(T_CleanCustomers[Customer_Segment],MATCH(B439,T_CleanCustomers[Customer_ID],0)),"Unmatched")</f>
        <v>SME</v>
      </c>
    </row>
    <row r="440" spans="1:16" ht="15" customHeight="1" x14ac:dyDescent="0.2">
      <c r="A440" s="9" t="s">
        <v>1797</v>
      </c>
      <c r="B440" s="9" t="s">
        <v>1197</v>
      </c>
      <c r="C440" s="9" t="b">
        <f>TRUE()</f>
        <v>1</v>
      </c>
      <c r="D440" s="10">
        <v>46005</v>
      </c>
      <c r="E440" s="10">
        <v>45992</v>
      </c>
      <c r="F440" s="9" t="s">
        <v>1423</v>
      </c>
      <c r="G440" s="11">
        <v>3849.39</v>
      </c>
      <c r="H440" s="11">
        <v>125.14</v>
      </c>
      <c r="I440" s="9" t="b">
        <f>TRUE()</f>
        <v>1</v>
      </c>
      <c r="J440" s="9" t="s">
        <v>1361</v>
      </c>
      <c r="K440" s="11">
        <v>125.14</v>
      </c>
      <c r="L440" s="9" t="s">
        <v>22</v>
      </c>
      <c r="M440" s="9" t="str">
        <f>IFERROR(INDEX(T_CleanCustomers[Sales_Rep_ID],MATCH(B440,T_CleanCustomers[Customer_ID],0)),"Unmatched")</f>
        <v>REP006</v>
      </c>
      <c r="N440" s="9" t="str">
        <f>IFERROR(INDEX(T_CleanCustomers[Channel],MATCH(B440,T_CleanCustomers[Customer_ID],0)),"Unmatched")</f>
        <v>Partner</v>
      </c>
      <c r="O440" s="9" t="str">
        <f>IFERROR(INDEX(T_CleanCustomers[Product],MATCH(B440,T_CleanCustomers[Customer_ID],0)),"Unmatched")</f>
        <v>EV Charge Card</v>
      </c>
      <c r="P440" s="9" t="str">
        <f>IFERROR(INDEX(T_CleanCustomers[Customer_Segment],MATCH(B440,T_CleanCustomers[Customer_ID],0)),"Unmatched")</f>
        <v>SME</v>
      </c>
    </row>
    <row r="441" spans="1:16" ht="15" customHeight="1" x14ac:dyDescent="0.2">
      <c r="A441" s="9" t="s">
        <v>1798</v>
      </c>
      <c r="B441" s="9" t="s">
        <v>1198</v>
      </c>
      <c r="C441" s="9" t="b">
        <f>TRUE()</f>
        <v>1</v>
      </c>
      <c r="D441" s="10">
        <v>45925</v>
      </c>
      <c r="E441" s="10">
        <v>45901</v>
      </c>
      <c r="F441" s="9" t="s">
        <v>1360</v>
      </c>
      <c r="G441" s="11">
        <v>2046.38</v>
      </c>
      <c r="H441" s="11">
        <v>46.06</v>
      </c>
      <c r="I441" s="9" t="b">
        <f>TRUE()</f>
        <v>1</v>
      </c>
      <c r="J441" s="9" t="s">
        <v>1361</v>
      </c>
      <c r="K441" s="11">
        <v>46.06</v>
      </c>
      <c r="L441" s="9" t="s">
        <v>22</v>
      </c>
      <c r="M441" s="9" t="str">
        <f>IFERROR(INDEX(T_CleanCustomers[Sales_Rep_ID],MATCH(B441,T_CleanCustomers[Customer_ID],0)),"Unmatched")</f>
        <v>REP004</v>
      </c>
      <c r="N441" s="9" t="str">
        <f>IFERROR(INDEX(T_CleanCustomers[Channel],MATCH(B441,T_CleanCustomers[Customer_ID],0)),"Unmatched")</f>
        <v>Direct Sales</v>
      </c>
      <c r="O441" s="9" t="str">
        <f>IFERROR(INDEX(T_CleanCustomers[Product],MATCH(B441,T_CleanCustomers[Customer_ID],0)),"Unmatched")</f>
        <v>Fuel Card</v>
      </c>
      <c r="P441" s="9" t="str">
        <f>IFERROR(INDEX(T_CleanCustomers[Customer_Segment],MATCH(B441,T_CleanCustomers[Customer_ID],0)),"Unmatched")</f>
        <v>SME</v>
      </c>
    </row>
    <row r="442" spans="1:16" ht="15" customHeight="1" x14ac:dyDescent="0.2">
      <c r="A442" s="9" t="s">
        <v>1799</v>
      </c>
      <c r="B442" s="9" t="s">
        <v>1198</v>
      </c>
      <c r="C442" s="9" t="b">
        <f>TRUE()</f>
        <v>1</v>
      </c>
      <c r="D442" s="10">
        <v>45920</v>
      </c>
      <c r="E442" s="10">
        <v>45901</v>
      </c>
      <c r="F442" s="9" t="s">
        <v>1360</v>
      </c>
      <c r="G442" s="11">
        <v>4567.97</v>
      </c>
      <c r="H442" s="11">
        <v>100.18</v>
      </c>
      <c r="I442" s="9" t="b">
        <f>TRUE()</f>
        <v>1</v>
      </c>
      <c r="J442" s="9" t="s">
        <v>1361</v>
      </c>
      <c r="K442" s="11">
        <v>100.18</v>
      </c>
      <c r="L442" s="9" t="s">
        <v>22</v>
      </c>
      <c r="M442" s="9" t="str">
        <f>IFERROR(INDEX(T_CleanCustomers[Sales_Rep_ID],MATCH(B442,T_CleanCustomers[Customer_ID],0)),"Unmatched")</f>
        <v>REP004</v>
      </c>
      <c r="N442" s="9" t="str">
        <f>IFERROR(INDEX(T_CleanCustomers[Channel],MATCH(B442,T_CleanCustomers[Customer_ID],0)),"Unmatched")</f>
        <v>Direct Sales</v>
      </c>
      <c r="O442" s="9" t="str">
        <f>IFERROR(INDEX(T_CleanCustomers[Product],MATCH(B442,T_CleanCustomers[Customer_ID],0)),"Unmatched")</f>
        <v>Fuel Card</v>
      </c>
      <c r="P442" s="9" t="str">
        <f>IFERROR(INDEX(T_CleanCustomers[Customer_Segment],MATCH(B442,T_CleanCustomers[Customer_ID],0)),"Unmatched")</f>
        <v>SME</v>
      </c>
    </row>
    <row r="443" spans="1:16" ht="15" customHeight="1" x14ac:dyDescent="0.2">
      <c r="A443" s="9" t="s">
        <v>1800</v>
      </c>
      <c r="B443" s="9" t="s">
        <v>1198</v>
      </c>
      <c r="C443" s="9" t="b">
        <f>TRUE()</f>
        <v>1</v>
      </c>
      <c r="D443" s="10">
        <v>45923</v>
      </c>
      <c r="E443" s="10">
        <v>45901</v>
      </c>
      <c r="F443" s="9" t="s">
        <v>1360</v>
      </c>
      <c r="G443" s="11">
        <v>3780.77</v>
      </c>
      <c r="H443" s="11">
        <v>0</v>
      </c>
      <c r="I443" s="9" t="b">
        <f>TRUE()</f>
        <v>1</v>
      </c>
      <c r="J443" s="9" t="s">
        <v>1408</v>
      </c>
      <c r="K443" s="11">
        <v>0</v>
      </c>
      <c r="L443" s="9" t="s">
        <v>22</v>
      </c>
      <c r="M443" s="9" t="str">
        <f>IFERROR(INDEX(T_CleanCustomers[Sales_Rep_ID],MATCH(B443,T_CleanCustomers[Customer_ID],0)),"Unmatched")</f>
        <v>REP004</v>
      </c>
      <c r="N443" s="9" t="str">
        <f>IFERROR(INDEX(T_CleanCustomers[Channel],MATCH(B443,T_CleanCustomers[Customer_ID],0)),"Unmatched")</f>
        <v>Direct Sales</v>
      </c>
      <c r="O443" s="9" t="str">
        <f>IFERROR(INDEX(T_CleanCustomers[Product],MATCH(B443,T_CleanCustomers[Customer_ID],0)),"Unmatched")</f>
        <v>Fuel Card</v>
      </c>
      <c r="P443" s="9" t="str">
        <f>IFERROR(INDEX(T_CleanCustomers[Customer_Segment],MATCH(B443,T_CleanCustomers[Customer_ID],0)),"Unmatched")</f>
        <v>SME</v>
      </c>
    </row>
    <row r="444" spans="1:16" ht="15" customHeight="1" x14ac:dyDescent="0.2">
      <c r="A444" s="9" t="s">
        <v>1801</v>
      </c>
      <c r="B444" s="9" t="s">
        <v>1198</v>
      </c>
      <c r="C444" s="9" t="b">
        <f>TRUE()</f>
        <v>1</v>
      </c>
      <c r="D444" s="10">
        <v>45952</v>
      </c>
      <c r="E444" s="10">
        <v>45931</v>
      </c>
      <c r="F444" s="9" t="s">
        <v>1360</v>
      </c>
      <c r="G444" s="11">
        <v>4050.86</v>
      </c>
      <c r="H444" s="11">
        <v>103.22</v>
      </c>
      <c r="I444" s="9" t="b">
        <f>TRUE()</f>
        <v>1</v>
      </c>
      <c r="J444" s="9" t="s">
        <v>1361</v>
      </c>
      <c r="K444" s="11">
        <v>103.22</v>
      </c>
      <c r="L444" s="9" t="s">
        <v>22</v>
      </c>
      <c r="M444" s="9" t="str">
        <f>IFERROR(INDEX(T_CleanCustomers[Sales_Rep_ID],MATCH(B444,T_CleanCustomers[Customer_ID],0)),"Unmatched")</f>
        <v>REP004</v>
      </c>
      <c r="N444" s="9" t="str">
        <f>IFERROR(INDEX(T_CleanCustomers[Channel],MATCH(B444,T_CleanCustomers[Customer_ID],0)),"Unmatched")</f>
        <v>Direct Sales</v>
      </c>
      <c r="O444" s="9" t="str">
        <f>IFERROR(INDEX(T_CleanCustomers[Product],MATCH(B444,T_CleanCustomers[Customer_ID],0)),"Unmatched")</f>
        <v>Fuel Card</v>
      </c>
      <c r="P444" s="9" t="str">
        <f>IFERROR(INDEX(T_CleanCustomers[Customer_Segment],MATCH(B444,T_CleanCustomers[Customer_ID],0)),"Unmatched")</f>
        <v>SME</v>
      </c>
    </row>
    <row r="445" spans="1:16" ht="15" customHeight="1" x14ac:dyDescent="0.2">
      <c r="A445" s="9" t="s">
        <v>1802</v>
      </c>
      <c r="B445" s="9" t="s">
        <v>1198</v>
      </c>
      <c r="C445" s="9" t="b">
        <f>TRUE()</f>
        <v>1</v>
      </c>
      <c r="D445" s="10">
        <v>45934</v>
      </c>
      <c r="E445" s="10">
        <v>45931</v>
      </c>
      <c r="F445" s="9" t="s">
        <v>1360</v>
      </c>
      <c r="G445" s="11">
        <v>2033.79</v>
      </c>
      <c r="H445" s="11">
        <v>50.32</v>
      </c>
      <c r="I445" s="9" t="b">
        <f>TRUE()</f>
        <v>1</v>
      </c>
      <c r="J445" s="9" t="s">
        <v>1361</v>
      </c>
      <c r="K445" s="11">
        <v>50.32</v>
      </c>
      <c r="L445" s="9" t="s">
        <v>22</v>
      </c>
      <c r="M445" s="9" t="str">
        <f>IFERROR(INDEX(T_CleanCustomers[Sales_Rep_ID],MATCH(B445,T_CleanCustomers[Customer_ID],0)),"Unmatched")</f>
        <v>REP004</v>
      </c>
      <c r="N445" s="9" t="str">
        <f>IFERROR(INDEX(T_CleanCustomers[Channel],MATCH(B445,T_CleanCustomers[Customer_ID],0)),"Unmatched")</f>
        <v>Direct Sales</v>
      </c>
      <c r="O445" s="9" t="str">
        <f>IFERROR(INDEX(T_CleanCustomers[Product],MATCH(B445,T_CleanCustomers[Customer_ID],0)),"Unmatched")</f>
        <v>Fuel Card</v>
      </c>
      <c r="P445" s="9" t="str">
        <f>IFERROR(INDEX(T_CleanCustomers[Customer_Segment],MATCH(B445,T_CleanCustomers[Customer_ID],0)),"Unmatched")</f>
        <v>SME</v>
      </c>
    </row>
    <row r="446" spans="1:16" ht="15" customHeight="1" x14ac:dyDescent="0.2">
      <c r="A446" s="9" t="s">
        <v>1803</v>
      </c>
      <c r="B446" s="9" t="s">
        <v>1198</v>
      </c>
      <c r="C446" s="9" t="b">
        <f>TRUE()</f>
        <v>1</v>
      </c>
      <c r="D446" s="10">
        <v>45977</v>
      </c>
      <c r="E446" s="10">
        <v>45962</v>
      </c>
      <c r="F446" s="9" t="s">
        <v>1360</v>
      </c>
      <c r="G446" s="11">
        <v>2798.24</v>
      </c>
      <c r="H446" s="11">
        <v>78.25</v>
      </c>
      <c r="I446" s="9" t="b">
        <f>TRUE()</f>
        <v>1</v>
      </c>
      <c r="J446" s="9" t="s">
        <v>1361</v>
      </c>
      <c r="K446" s="11">
        <v>78.25</v>
      </c>
      <c r="L446" s="9" t="s">
        <v>22</v>
      </c>
      <c r="M446" s="9" t="str">
        <f>IFERROR(INDEX(T_CleanCustomers[Sales_Rep_ID],MATCH(B446,T_CleanCustomers[Customer_ID],0)),"Unmatched")</f>
        <v>REP004</v>
      </c>
      <c r="N446" s="9" t="str">
        <f>IFERROR(INDEX(T_CleanCustomers[Channel],MATCH(B446,T_CleanCustomers[Customer_ID],0)),"Unmatched")</f>
        <v>Direct Sales</v>
      </c>
      <c r="O446" s="9" t="str">
        <f>IFERROR(INDEX(T_CleanCustomers[Product],MATCH(B446,T_CleanCustomers[Customer_ID],0)),"Unmatched")</f>
        <v>Fuel Card</v>
      </c>
      <c r="P446" s="9" t="str">
        <f>IFERROR(INDEX(T_CleanCustomers[Customer_Segment],MATCH(B446,T_CleanCustomers[Customer_ID],0)),"Unmatched")</f>
        <v>SME</v>
      </c>
    </row>
    <row r="447" spans="1:16" ht="15" customHeight="1" x14ac:dyDescent="0.2">
      <c r="A447" s="9" t="s">
        <v>1804</v>
      </c>
      <c r="B447" s="9" t="s">
        <v>1198</v>
      </c>
      <c r="C447" s="9" t="b">
        <f>TRUE()</f>
        <v>1</v>
      </c>
      <c r="D447" s="10">
        <v>46000</v>
      </c>
      <c r="E447" s="10">
        <v>45992</v>
      </c>
      <c r="F447" s="9" t="s">
        <v>1360</v>
      </c>
      <c r="G447" s="11">
        <v>4901.87</v>
      </c>
      <c r="H447" s="11">
        <v>123.51</v>
      </c>
      <c r="I447" s="9" t="b">
        <f>TRUE()</f>
        <v>1</v>
      </c>
      <c r="J447" s="9" t="s">
        <v>1361</v>
      </c>
      <c r="K447" s="11">
        <v>123.51</v>
      </c>
      <c r="L447" s="9" t="s">
        <v>22</v>
      </c>
      <c r="M447" s="9" t="str">
        <f>IFERROR(INDEX(T_CleanCustomers[Sales_Rep_ID],MATCH(B447,T_CleanCustomers[Customer_ID],0)),"Unmatched")</f>
        <v>REP004</v>
      </c>
      <c r="N447" s="9" t="str">
        <f>IFERROR(INDEX(T_CleanCustomers[Channel],MATCH(B447,T_CleanCustomers[Customer_ID],0)),"Unmatched")</f>
        <v>Direct Sales</v>
      </c>
      <c r="O447" s="9" t="str">
        <f>IFERROR(INDEX(T_CleanCustomers[Product],MATCH(B447,T_CleanCustomers[Customer_ID],0)),"Unmatched")</f>
        <v>Fuel Card</v>
      </c>
      <c r="P447" s="9" t="str">
        <f>IFERROR(INDEX(T_CleanCustomers[Customer_Segment],MATCH(B447,T_CleanCustomers[Customer_ID],0)),"Unmatched")</f>
        <v>SME</v>
      </c>
    </row>
    <row r="448" spans="1:16" ht="15" customHeight="1" x14ac:dyDescent="0.2">
      <c r="A448" s="9" t="s">
        <v>1805</v>
      </c>
      <c r="B448" s="9" t="s">
        <v>1198</v>
      </c>
      <c r="C448" s="9" t="b">
        <f>TRUE()</f>
        <v>1</v>
      </c>
      <c r="D448" s="10">
        <v>46015</v>
      </c>
      <c r="E448" s="10">
        <v>45992</v>
      </c>
      <c r="F448" s="9" t="s">
        <v>1360</v>
      </c>
      <c r="G448" s="11">
        <v>4057.72</v>
      </c>
      <c r="H448" s="11">
        <v>100.46</v>
      </c>
      <c r="I448" s="9" t="b">
        <f>TRUE()</f>
        <v>1</v>
      </c>
      <c r="J448" s="9" t="s">
        <v>1361</v>
      </c>
      <c r="K448" s="11">
        <v>100.46</v>
      </c>
      <c r="L448" s="9" t="s">
        <v>22</v>
      </c>
      <c r="M448" s="9" t="str">
        <f>IFERROR(INDEX(T_CleanCustomers[Sales_Rep_ID],MATCH(B448,T_CleanCustomers[Customer_ID],0)),"Unmatched")</f>
        <v>REP004</v>
      </c>
      <c r="N448" s="9" t="str">
        <f>IFERROR(INDEX(T_CleanCustomers[Channel],MATCH(B448,T_CleanCustomers[Customer_ID],0)),"Unmatched")</f>
        <v>Direct Sales</v>
      </c>
      <c r="O448" s="9" t="str">
        <f>IFERROR(INDEX(T_CleanCustomers[Product],MATCH(B448,T_CleanCustomers[Customer_ID],0)),"Unmatched")</f>
        <v>Fuel Card</v>
      </c>
      <c r="P448" s="9" t="str">
        <f>IFERROR(INDEX(T_CleanCustomers[Customer_Segment],MATCH(B448,T_CleanCustomers[Customer_ID],0)),"Unmatched")</f>
        <v>SME</v>
      </c>
    </row>
    <row r="449" spans="1:16" ht="15" customHeight="1" x14ac:dyDescent="0.2">
      <c r="A449" s="9" t="s">
        <v>1806</v>
      </c>
      <c r="B449" s="9" t="s">
        <v>1201</v>
      </c>
      <c r="C449" s="9" t="b">
        <f>TRUE()</f>
        <v>1</v>
      </c>
      <c r="D449" s="10">
        <v>45795</v>
      </c>
      <c r="E449" s="10">
        <v>45778</v>
      </c>
      <c r="F449" s="9" t="s">
        <v>1423</v>
      </c>
      <c r="G449" s="11">
        <v>4627.5200000000004</v>
      </c>
      <c r="H449" s="11">
        <v>128.35</v>
      </c>
      <c r="I449" s="9" t="b">
        <f>TRUE()</f>
        <v>1</v>
      </c>
      <c r="J449" s="9" t="s">
        <v>1361</v>
      </c>
      <c r="K449" s="11">
        <v>128.35</v>
      </c>
      <c r="L449" s="9" t="s">
        <v>20</v>
      </c>
      <c r="M449" s="9" t="str">
        <f>IFERROR(INDEX(T_CleanCustomers[Sales_Rep_ID],MATCH(B449,T_CleanCustomers[Customer_ID],0)),"Unmatched")</f>
        <v>REP002</v>
      </c>
      <c r="N449" s="9" t="str">
        <f>IFERROR(INDEX(T_CleanCustomers[Channel],MATCH(B449,T_CleanCustomers[Customer_ID],0)),"Unmatched")</f>
        <v>Direct Sales</v>
      </c>
      <c r="O449" s="9" t="str">
        <f>IFERROR(INDEX(T_CleanCustomers[Product],MATCH(B449,T_CleanCustomers[Customer_ID],0)),"Unmatched")</f>
        <v>EV Charge Card</v>
      </c>
      <c r="P449" s="9" t="str">
        <f>IFERROR(INDEX(T_CleanCustomers[Customer_Segment],MATCH(B449,T_CleanCustomers[Customer_ID],0)),"Unmatched")</f>
        <v>Mid-Market</v>
      </c>
    </row>
    <row r="450" spans="1:16" ht="15" customHeight="1" x14ac:dyDescent="0.2">
      <c r="A450" s="9" t="s">
        <v>1807</v>
      </c>
      <c r="B450" s="9" t="s">
        <v>1201</v>
      </c>
      <c r="C450" s="9" t="b">
        <f>TRUE()</f>
        <v>1</v>
      </c>
      <c r="D450" s="10">
        <v>45809</v>
      </c>
      <c r="E450" s="10">
        <v>45809</v>
      </c>
      <c r="F450" s="9" t="s">
        <v>1423</v>
      </c>
      <c r="G450" s="11">
        <v>16271.19</v>
      </c>
      <c r="H450" s="11">
        <v>466.26</v>
      </c>
      <c r="I450" s="9" t="b">
        <f>TRUE()</f>
        <v>1</v>
      </c>
      <c r="J450" s="9" t="s">
        <v>1361</v>
      </c>
      <c r="K450" s="11">
        <v>466.26</v>
      </c>
      <c r="L450" s="9" t="s">
        <v>20</v>
      </c>
      <c r="M450" s="9" t="str">
        <f>IFERROR(INDEX(T_CleanCustomers[Sales_Rep_ID],MATCH(B450,T_CleanCustomers[Customer_ID],0)),"Unmatched")</f>
        <v>REP002</v>
      </c>
      <c r="N450" s="9" t="str">
        <f>IFERROR(INDEX(T_CleanCustomers[Channel],MATCH(B450,T_CleanCustomers[Customer_ID],0)),"Unmatched")</f>
        <v>Direct Sales</v>
      </c>
      <c r="O450" s="9" t="str">
        <f>IFERROR(INDEX(T_CleanCustomers[Product],MATCH(B450,T_CleanCustomers[Customer_ID],0)),"Unmatched")</f>
        <v>EV Charge Card</v>
      </c>
      <c r="P450" s="9" t="str">
        <f>IFERROR(INDEX(T_CleanCustomers[Customer_Segment],MATCH(B450,T_CleanCustomers[Customer_ID],0)),"Unmatched")</f>
        <v>Mid-Market</v>
      </c>
    </row>
    <row r="451" spans="1:16" ht="15" customHeight="1" x14ac:dyDescent="0.2">
      <c r="A451" s="9" t="s">
        <v>1808</v>
      </c>
      <c r="B451" s="9" t="s">
        <v>1201</v>
      </c>
      <c r="C451" s="9" t="b">
        <f>TRUE()</f>
        <v>1</v>
      </c>
      <c r="D451" s="10">
        <v>45869</v>
      </c>
      <c r="E451" s="10">
        <v>45839</v>
      </c>
      <c r="F451" s="9" t="s">
        <v>1423</v>
      </c>
      <c r="G451" s="11">
        <v>13214.45</v>
      </c>
      <c r="H451" s="11">
        <v>350.07</v>
      </c>
      <c r="I451" s="9" t="b">
        <f>TRUE()</f>
        <v>1</v>
      </c>
      <c r="J451" s="9" t="s">
        <v>1361</v>
      </c>
      <c r="K451" s="11">
        <v>350.07</v>
      </c>
      <c r="L451" s="9" t="s">
        <v>20</v>
      </c>
      <c r="M451" s="9" t="str">
        <f>IFERROR(INDEX(T_CleanCustomers[Sales_Rep_ID],MATCH(B451,T_CleanCustomers[Customer_ID],0)),"Unmatched")</f>
        <v>REP002</v>
      </c>
      <c r="N451" s="9" t="str">
        <f>IFERROR(INDEX(T_CleanCustomers[Channel],MATCH(B451,T_CleanCustomers[Customer_ID],0)),"Unmatched")</f>
        <v>Direct Sales</v>
      </c>
      <c r="O451" s="9" t="str">
        <f>IFERROR(INDEX(T_CleanCustomers[Product],MATCH(B451,T_CleanCustomers[Customer_ID],0)),"Unmatched")</f>
        <v>EV Charge Card</v>
      </c>
      <c r="P451" s="9" t="str">
        <f>IFERROR(INDEX(T_CleanCustomers[Customer_Segment],MATCH(B451,T_CleanCustomers[Customer_ID],0)),"Unmatched")</f>
        <v>Mid-Market</v>
      </c>
    </row>
    <row r="452" spans="1:16" ht="15" customHeight="1" x14ac:dyDescent="0.2">
      <c r="A452" s="9" t="s">
        <v>1809</v>
      </c>
      <c r="B452" s="9" t="s">
        <v>1201</v>
      </c>
      <c r="C452" s="9" t="b">
        <f>TRUE()</f>
        <v>1</v>
      </c>
      <c r="D452" s="10">
        <v>45848</v>
      </c>
      <c r="E452" s="10">
        <v>45839</v>
      </c>
      <c r="F452" s="9" t="s">
        <v>1423</v>
      </c>
      <c r="G452" s="11">
        <v>7973.52</v>
      </c>
      <c r="H452" s="11">
        <v>257.08</v>
      </c>
      <c r="I452" s="9" t="b">
        <f>TRUE()</f>
        <v>1</v>
      </c>
      <c r="J452" s="9" t="s">
        <v>1361</v>
      </c>
      <c r="K452" s="11">
        <v>257.08</v>
      </c>
      <c r="L452" s="9" t="s">
        <v>20</v>
      </c>
      <c r="M452" s="9" t="str">
        <f>IFERROR(INDEX(T_CleanCustomers[Sales_Rep_ID],MATCH(B452,T_CleanCustomers[Customer_ID],0)),"Unmatched")</f>
        <v>REP002</v>
      </c>
      <c r="N452" s="9" t="str">
        <f>IFERROR(INDEX(T_CleanCustomers[Channel],MATCH(B452,T_CleanCustomers[Customer_ID],0)),"Unmatched")</f>
        <v>Direct Sales</v>
      </c>
      <c r="O452" s="9" t="str">
        <f>IFERROR(INDEX(T_CleanCustomers[Product],MATCH(B452,T_CleanCustomers[Customer_ID],0)),"Unmatched")</f>
        <v>EV Charge Card</v>
      </c>
      <c r="P452" s="9" t="str">
        <f>IFERROR(INDEX(T_CleanCustomers[Customer_Segment],MATCH(B452,T_CleanCustomers[Customer_ID],0)),"Unmatched")</f>
        <v>Mid-Market</v>
      </c>
    </row>
    <row r="453" spans="1:16" ht="15" customHeight="1" x14ac:dyDescent="0.2">
      <c r="A453" s="9" t="s">
        <v>1810</v>
      </c>
      <c r="B453" s="9" t="s">
        <v>1201</v>
      </c>
      <c r="C453" s="9" t="b">
        <f>TRUE()</f>
        <v>1</v>
      </c>
      <c r="D453" s="10">
        <v>45899</v>
      </c>
      <c r="E453" s="10">
        <v>45870</v>
      </c>
      <c r="F453" s="9" t="s">
        <v>1423</v>
      </c>
      <c r="G453" s="11">
        <v>16621.45</v>
      </c>
      <c r="H453" s="11">
        <v>578.88</v>
      </c>
      <c r="I453" s="9" t="b">
        <f>TRUE()</f>
        <v>1</v>
      </c>
      <c r="J453" s="9" t="s">
        <v>1361</v>
      </c>
      <c r="K453" s="11">
        <v>578.88</v>
      </c>
      <c r="L453" s="9" t="s">
        <v>20</v>
      </c>
      <c r="M453" s="9" t="str">
        <f>IFERROR(INDEX(T_CleanCustomers[Sales_Rep_ID],MATCH(B453,T_CleanCustomers[Customer_ID],0)),"Unmatched")</f>
        <v>REP002</v>
      </c>
      <c r="N453" s="9" t="str">
        <f>IFERROR(INDEX(T_CleanCustomers[Channel],MATCH(B453,T_CleanCustomers[Customer_ID],0)),"Unmatched")</f>
        <v>Direct Sales</v>
      </c>
      <c r="O453" s="9" t="str">
        <f>IFERROR(INDEX(T_CleanCustomers[Product],MATCH(B453,T_CleanCustomers[Customer_ID],0)),"Unmatched")</f>
        <v>EV Charge Card</v>
      </c>
      <c r="P453" s="9" t="str">
        <f>IFERROR(INDEX(T_CleanCustomers[Customer_Segment],MATCH(B453,T_CleanCustomers[Customer_ID],0)),"Unmatched")</f>
        <v>Mid-Market</v>
      </c>
    </row>
    <row r="454" spans="1:16" ht="15" customHeight="1" x14ac:dyDescent="0.2">
      <c r="A454" s="9" t="s">
        <v>1811</v>
      </c>
      <c r="B454" s="9" t="s">
        <v>1201</v>
      </c>
      <c r="C454" s="9" t="b">
        <f>TRUE()</f>
        <v>1</v>
      </c>
      <c r="D454" s="10">
        <v>45888</v>
      </c>
      <c r="E454" s="10">
        <v>45870</v>
      </c>
      <c r="F454" s="9" t="s">
        <v>1423</v>
      </c>
      <c r="G454" s="11">
        <v>12536.3</v>
      </c>
      <c r="H454" s="11">
        <v>360.81</v>
      </c>
      <c r="I454" s="9" t="b">
        <f>TRUE()</f>
        <v>1</v>
      </c>
      <c r="J454" s="9" t="s">
        <v>1361</v>
      </c>
      <c r="K454" s="11">
        <v>360.81</v>
      </c>
      <c r="L454" s="9" t="s">
        <v>20</v>
      </c>
      <c r="M454" s="9" t="str">
        <f>IFERROR(INDEX(T_CleanCustomers[Sales_Rep_ID],MATCH(B454,T_CleanCustomers[Customer_ID],0)),"Unmatched")</f>
        <v>REP002</v>
      </c>
      <c r="N454" s="9" t="str">
        <f>IFERROR(INDEX(T_CleanCustomers[Channel],MATCH(B454,T_CleanCustomers[Customer_ID],0)),"Unmatched")</f>
        <v>Direct Sales</v>
      </c>
      <c r="O454" s="9" t="str">
        <f>IFERROR(INDEX(T_CleanCustomers[Product],MATCH(B454,T_CleanCustomers[Customer_ID],0)),"Unmatched")</f>
        <v>EV Charge Card</v>
      </c>
      <c r="P454" s="9" t="str">
        <f>IFERROR(INDEX(T_CleanCustomers[Customer_Segment],MATCH(B454,T_CleanCustomers[Customer_ID],0)),"Unmatched")</f>
        <v>Mid-Market</v>
      </c>
    </row>
    <row r="455" spans="1:16" ht="15" customHeight="1" x14ac:dyDescent="0.2">
      <c r="A455" s="9" t="s">
        <v>1812</v>
      </c>
      <c r="B455" s="9" t="s">
        <v>1201</v>
      </c>
      <c r="C455" s="9" t="b">
        <f>TRUE()</f>
        <v>1</v>
      </c>
      <c r="D455" s="10">
        <v>45916</v>
      </c>
      <c r="E455" s="10">
        <v>45901</v>
      </c>
      <c r="F455" s="9" t="s">
        <v>1423</v>
      </c>
      <c r="G455" s="11">
        <v>9326.65</v>
      </c>
      <c r="H455" s="11">
        <v>247.31</v>
      </c>
      <c r="I455" s="9" t="b">
        <f>TRUE()</f>
        <v>1</v>
      </c>
      <c r="J455" s="9" t="s">
        <v>1361</v>
      </c>
      <c r="K455" s="11">
        <v>247.31</v>
      </c>
      <c r="L455" s="9" t="s">
        <v>20</v>
      </c>
      <c r="M455" s="9" t="str">
        <f>IFERROR(INDEX(T_CleanCustomers[Sales_Rep_ID],MATCH(B455,T_CleanCustomers[Customer_ID],0)),"Unmatched")</f>
        <v>REP002</v>
      </c>
      <c r="N455" s="9" t="str">
        <f>IFERROR(INDEX(T_CleanCustomers[Channel],MATCH(B455,T_CleanCustomers[Customer_ID],0)),"Unmatched")</f>
        <v>Direct Sales</v>
      </c>
      <c r="O455" s="9" t="str">
        <f>IFERROR(INDEX(T_CleanCustomers[Product],MATCH(B455,T_CleanCustomers[Customer_ID],0)),"Unmatched")</f>
        <v>EV Charge Card</v>
      </c>
      <c r="P455" s="9" t="str">
        <f>IFERROR(INDEX(T_CleanCustomers[Customer_Segment],MATCH(B455,T_CleanCustomers[Customer_ID],0)),"Unmatched")</f>
        <v>Mid-Market</v>
      </c>
    </row>
    <row r="456" spans="1:16" ht="15" customHeight="1" x14ac:dyDescent="0.2">
      <c r="A456" s="9" t="s">
        <v>1813</v>
      </c>
      <c r="B456" s="9" t="s">
        <v>1201</v>
      </c>
      <c r="C456" s="9" t="b">
        <f>TRUE()</f>
        <v>1</v>
      </c>
      <c r="D456" s="10">
        <v>45910</v>
      </c>
      <c r="E456" s="10">
        <v>45901</v>
      </c>
      <c r="F456" s="9" t="s">
        <v>1423</v>
      </c>
      <c r="G456" s="11">
        <v>11575.25</v>
      </c>
      <c r="H456" s="11">
        <v>331.71</v>
      </c>
      <c r="I456" s="9" t="b">
        <f>TRUE()</f>
        <v>1</v>
      </c>
      <c r="J456" s="9" t="s">
        <v>1361</v>
      </c>
      <c r="K456" s="11">
        <v>331.71</v>
      </c>
      <c r="L456" s="9" t="s">
        <v>20</v>
      </c>
      <c r="M456" s="9" t="str">
        <f>IFERROR(INDEX(T_CleanCustomers[Sales_Rep_ID],MATCH(B456,T_CleanCustomers[Customer_ID],0)),"Unmatched")</f>
        <v>REP002</v>
      </c>
      <c r="N456" s="9" t="str">
        <f>IFERROR(INDEX(T_CleanCustomers[Channel],MATCH(B456,T_CleanCustomers[Customer_ID],0)),"Unmatched")</f>
        <v>Direct Sales</v>
      </c>
      <c r="O456" s="9" t="str">
        <f>IFERROR(INDEX(T_CleanCustomers[Product],MATCH(B456,T_CleanCustomers[Customer_ID],0)),"Unmatched")</f>
        <v>EV Charge Card</v>
      </c>
      <c r="P456" s="9" t="str">
        <f>IFERROR(INDEX(T_CleanCustomers[Customer_Segment],MATCH(B456,T_CleanCustomers[Customer_ID],0)),"Unmatched")</f>
        <v>Mid-Market</v>
      </c>
    </row>
    <row r="457" spans="1:16" ht="15" customHeight="1" x14ac:dyDescent="0.2">
      <c r="A457" s="9" t="s">
        <v>1814</v>
      </c>
      <c r="B457" s="9" t="s">
        <v>1201</v>
      </c>
      <c r="C457" s="9" t="b">
        <f>TRUE()</f>
        <v>1</v>
      </c>
      <c r="D457" s="10">
        <v>45954</v>
      </c>
      <c r="E457" s="10">
        <v>45931</v>
      </c>
      <c r="F457" s="9" t="s">
        <v>1423</v>
      </c>
      <c r="G457" s="11">
        <v>4902.4399999999996</v>
      </c>
      <c r="H457" s="11">
        <v>171.17</v>
      </c>
      <c r="I457" s="9" t="b">
        <f>TRUE()</f>
        <v>1</v>
      </c>
      <c r="J457" s="9" t="s">
        <v>1361</v>
      </c>
      <c r="K457" s="11">
        <v>171.17</v>
      </c>
      <c r="L457" s="9" t="s">
        <v>20</v>
      </c>
      <c r="M457" s="9" t="str">
        <f>IFERROR(INDEX(T_CleanCustomers[Sales_Rep_ID],MATCH(B457,T_CleanCustomers[Customer_ID],0)),"Unmatched")</f>
        <v>REP002</v>
      </c>
      <c r="N457" s="9" t="str">
        <f>IFERROR(INDEX(T_CleanCustomers[Channel],MATCH(B457,T_CleanCustomers[Customer_ID],0)),"Unmatched")</f>
        <v>Direct Sales</v>
      </c>
      <c r="O457" s="9" t="str">
        <f>IFERROR(INDEX(T_CleanCustomers[Product],MATCH(B457,T_CleanCustomers[Customer_ID],0)),"Unmatched")</f>
        <v>EV Charge Card</v>
      </c>
      <c r="P457" s="9" t="str">
        <f>IFERROR(INDEX(T_CleanCustomers[Customer_Segment],MATCH(B457,T_CleanCustomers[Customer_ID],0)),"Unmatched")</f>
        <v>Mid-Market</v>
      </c>
    </row>
    <row r="458" spans="1:16" ht="15" customHeight="1" x14ac:dyDescent="0.2">
      <c r="A458" s="9" t="s">
        <v>1815</v>
      </c>
      <c r="B458" s="9" t="s">
        <v>1201</v>
      </c>
      <c r="C458" s="9" t="b">
        <f>TRUE()</f>
        <v>1</v>
      </c>
      <c r="D458" s="10">
        <v>45985</v>
      </c>
      <c r="E458" s="10">
        <v>45962</v>
      </c>
      <c r="F458" s="9" t="s">
        <v>1423</v>
      </c>
      <c r="G458" s="11">
        <v>5690.88</v>
      </c>
      <c r="H458" s="11">
        <v>179.93</v>
      </c>
      <c r="I458" s="9" t="b">
        <f>TRUE()</f>
        <v>1</v>
      </c>
      <c r="J458" s="9" t="s">
        <v>1361</v>
      </c>
      <c r="K458" s="11">
        <v>179.93</v>
      </c>
      <c r="L458" s="9" t="s">
        <v>20</v>
      </c>
      <c r="M458" s="9" t="str">
        <f>IFERROR(INDEX(T_CleanCustomers[Sales_Rep_ID],MATCH(B458,T_CleanCustomers[Customer_ID],0)),"Unmatched")</f>
        <v>REP002</v>
      </c>
      <c r="N458" s="9" t="str">
        <f>IFERROR(INDEX(T_CleanCustomers[Channel],MATCH(B458,T_CleanCustomers[Customer_ID],0)),"Unmatched")</f>
        <v>Direct Sales</v>
      </c>
      <c r="O458" s="9" t="str">
        <f>IFERROR(INDEX(T_CleanCustomers[Product],MATCH(B458,T_CleanCustomers[Customer_ID],0)),"Unmatched")</f>
        <v>EV Charge Card</v>
      </c>
      <c r="P458" s="9" t="str">
        <f>IFERROR(INDEX(T_CleanCustomers[Customer_Segment],MATCH(B458,T_CleanCustomers[Customer_ID],0)),"Unmatched")</f>
        <v>Mid-Market</v>
      </c>
    </row>
    <row r="459" spans="1:16" ht="15" customHeight="1" x14ac:dyDescent="0.2">
      <c r="A459" s="9" t="s">
        <v>1816</v>
      </c>
      <c r="B459" s="9" t="s">
        <v>1201</v>
      </c>
      <c r="C459" s="9" t="b">
        <f>TRUE()</f>
        <v>1</v>
      </c>
      <c r="D459" s="10">
        <v>45977</v>
      </c>
      <c r="E459" s="10">
        <v>45962</v>
      </c>
      <c r="F459" s="9" t="s">
        <v>1423</v>
      </c>
      <c r="G459" s="11">
        <v>14696.54</v>
      </c>
      <c r="H459" s="11">
        <v>421.58</v>
      </c>
      <c r="I459" s="9" t="b">
        <f>TRUE()</f>
        <v>1</v>
      </c>
      <c r="J459" s="9" t="s">
        <v>1361</v>
      </c>
      <c r="K459" s="11">
        <v>421.58</v>
      </c>
      <c r="L459" s="9" t="s">
        <v>20</v>
      </c>
      <c r="M459" s="9" t="str">
        <f>IFERROR(INDEX(T_CleanCustomers[Sales_Rep_ID],MATCH(B459,T_CleanCustomers[Customer_ID],0)),"Unmatched")</f>
        <v>REP002</v>
      </c>
      <c r="N459" s="9" t="str">
        <f>IFERROR(INDEX(T_CleanCustomers[Channel],MATCH(B459,T_CleanCustomers[Customer_ID],0)),"Unmatched")</f>
        <v>Direct Sales</v>
      </c>
      <c r="O459" s="9" t="str">
        <f>IFERROR(INDEX(T_CleanCustomers[Product],MATCH(B459,T_CleanCustomers[Customer_ID],0)),"Unmatched")</f>
        <v>EV Charge Card</v>
      </c>
      <c r="P459" s="9" t="str">
        <f>IFERROR(INDEX(T_CleanCustomers[Customer_Segment],MATCH(B459,T_CleanCustomers[Customer_ID],0)),"Unmatched")</f>
        <v>Mid-Market</v>
      </c>
    </row>
    <row r="460" spans="1:16" ht="15" customHeight="1" x14ac:dyDescent="0.2">
      <c r="A460" s="9" t="s">
        <v>1817</v>
      </c>
      <c r="B460" s="9" t="s">
        <v>1201</v>
      </c>
      <c r="C460" s="9" t="b">
        <f>TRUE()</f>
        <v>1</v>
      </c>
      <c r="D460" s="10">
        <v>46002</v>
      </c>
      <c r="E460" s="10">
        <v>45992</v>
      </c>
      <c r="F460" s="9" t="s">
        <v>1423</v>
      </c>
      <c r="G460" s="11">
        <v>17766.59</v>
      </c>
      <c r="H460" s="11">
        <v>574.66</v>
      </c>
      <c r="I460" s="9" t="b">
        <f>TRUE()</f>
        <v>1</v>
      </c>
      <c r="J460" s="9" t="s">
        <v>1361</v>
      </c>
      <c r="K460" s="11">
        <v>574.66</v>
      </c>
      <c r="L460" s="9" t="s">
        <v>20</v>
      </c>
      <c r="M460" s="9" t="str">
        <f>IFERROR(INDEX(T_CleanCustomers[Sales_Rep_ID],MATCH(B460,T_CleanCustomers[Customer_ID],0)),"Unmatched")</f>
        <v>REP002</v>
      </c>
      <c r="N460" s="9" t="str">
        <f>IFERROR(INDEX(T_CleanCustomers[Channel],MATCH(B460,T_CleanCustomers[Customer_ID],0)),"Unmatched")</f>
        <v>Direct Sales</v>
      </c>
      <c r="O460" s="9" t="str">
        <f>IFERROR(INDEX(T_CleanCustomers[Product],MATCH(B460,T_CleanCustomers[Customer_ID],0)),"Unmatched")</f>
        <v>EV Charge Card</v>
      </c>
      <c r="P460" s="9" t="str">
        <f>IFERROR(INDEX(T_CleanCustomers[Customer_Segment],MATCH(B460,T_CleanCustomers[Customer_ID],0)),"Unmatched")</f>
        <v>Mid-Market</v>
      </c>
    </row>
    <row r="461" spans="1:16" ht="15" customHeight="1" x14ac:dyDescent="0.2">
      <c r="A461" s="9" t="s">
        <v>1818</v>
      </c>
      <c r="B461" s="9" t="s">
        <v>1201</v>
      </c>
      <c r="C461" s="9" t="b">
        <f>TRUE()</f>
        <v>1</v>
      </c>
      <c r="D461" s="10">
        <v>46010</v>
      </c>
      <c r="E461" s="10">
        <v>45992</v>
      </c>
      <c r="F461" s="9" t="s">
        <v>1423</v>
      </c>
      <c r="G461" s="11">
        <v>11724.54</v>
      </c>
      <c r="H461" s="11">
        <v>317.3</v>
      </c>
      <c r="I461" s="9" t="b">
        <f>TRUE()</f>
        <v>1</v>
      </c>
      <c r="J461" s="9" t="s">
        <v>1361</v>
      </c>
      <c r="K461" s="11">
        <v>317.3</v>
      </c>
      <c r="L461" s="9" t="s">
        <v>20</v>
      </c>
      <c r="M461" s="9" t="str">
        <f>IFERROR(INDEX(T_CleanCustomers[Sales_Rep_ID],MATCH(B461,T_CleanCustomers[Customer_ID],0)),"Unmatched")</f>
        <v>REP002</v>
      </c>
      <c r="N461" s="9" t="str">
        <f>IFERROR(INDEX(T_CleanCustomers[Channel],MATCH(B461,T_CleanCustomers[Customer_ID],0)),"Unmatched")</f>
        <v>Direct Sales</v>
      </c>
      <c r="O461" s="9" t="str">
        <f>IFERROR(INDEX(T_CleanCustomers[Product],MATCH(B461,T_CleanCustomers[Customer_ID],0)),"Unmatched")</f>
        <v>EV Charge Card</v>
      </c>
      <c r="P461" s="9" t="str">
        <f>IFERROR(INDEX(T_CleanCustomers[Customer_Segment],MATCH(B461,T_CleanCustomers[Customer_ID],0)),"Unmatched")</f>
        <v>Mid-Market</v>
      </c>
    </row>
    <row r="462" spans="1:16" ht="15" customHeight="1" x14ac:dyDescent="0.2">
      <c r="A462" s="9" t="s">
        <v>1819</v>
      </c>
      <c r="B462" s="9" t="s">
        <v>1201</v>
      </c>
      <c r="C462" s="9" t="b">
        <f>TRUE()</f>
        <v>1</v>
      </c>
      <c r="D462" s="10">
        <v>46007</v>
      </c>
      <c r="E462" s="10">
        <v>45992</v>
      </c>
      <c r="F462" s="9" t="s">
        <v>1423</v>
      </c>
      <c r="G462" s="11">
        <v>13848.54</v>
      </c>
      <c r="H462" s="11">
        <v>0</v>
      </c>
      <c r="I462" s="9" t="b">
        <f>TRUE()</f>
        <v>1</v>
      </c>
      <c r="J462" s="9" t="s">
        <v>1408</v>
      </c>
      <c r="K462" s="11">
        <v>0</v>
      </c>
      <c r="L462" s="9" t="s">
        <v>20</v>
      </c>
      <c r="M462" s="9" t="str">
        <f>IFERROR(INDEX(T_CleanCustomers[Sales_Rep_ID],MATCH(B462,T_CleanCustomers[Customer_ID],0)),"Unmatched")</f>
        <v>REP002</v>
      </c>
      <c r="N462" s="9" t="str">
        <f>IFERROR(INDEX(T_CleanCustomers[Channel],MATCH(B462,T_CleanCustomers[Customer_ID],0)),"Unmatched")</f>
        <v>Direct Sales</v>
      </c>
      <c r="O462" s="9" t="str">
        <f>IFERROR(INDEX(T_CleanCustomers[Product],MATCH(B462,T_CleanCustomers[Customer_ID],0)),"Unmatched")</f>
        <v>EV Charge Card</v>
      </c>
      <c r="P462" s="9" t="str">
        <f>IFERROR(INDEX(T_CleanCustomers[Customer_Segment],MATCH(B462,T_CleanCustomers[Customer_ID],0)),"Unmatched")</f>
        <v>Mid-Market</v>
      </c>
    </row>
    <row r="463" spans="1:16" ht="15" customHeight="1" x14ac:dyDescent="0.2">
      <c r="A463" s="9" t="s">
        <v>1820</v>
      </c>
      <c r="B463" s="9" t="s">
        <v>1203</v>
      </c>
      <c r="C463" s="9" t="b">
        <f>TRUE()</f>
        <v>1</v>
      </c>
      <c r="D463" s="10">
        <v>45954</v>
      </c>
      <c r="E463" s="10">
        <v>45931</v>
      </c>
      <c r="F463" s="9" t="s">
        <v>1423</v>
      </c>
      <c r="G463" s="11">
        <v>53421.8</v>
      </c>
      <c r="H463" s="11">
        <v>1528</v>
      </c>
      <c r="I463" s="9" t="b">
        <f>TRUE()</f>
        <v>1</v>
      </c>
      <c r="J463" s="9" t="s">
        <v>1361</v>
      </c>
      <c r="K463" s="11">
        <v>1528</v>
      </c>
      <c r="L463" s="9" t="s">
        <v>18</v>
      </c>
      <c r="M463" s="9" t="str">
        <f>IFERROR(INDEX(T_CleanCustomers[Sales_Rep_ID],MATCH(B463,T_CleanCustomers[Customer_ID],0)),"Unmatched")</f>
        <v>REP012</v>
      </c>
      <c r="N463" s="9" t="str">
        <f>IFERROR(INDEX(T_CleanCustomers[Channel],MATCH(B463,T_CleanCustomers[Customer_ID],0)),"Unmatched")</f>
        <v>Referral</v>
      </c>
      <c r="O463" s="9" t="str">
        <f>IFERROR(INDEX(T_CleanCustomers[Product],MATCH(B463,T_CleanCustomers[Customer_ID],0)),"Unmatched")</f>
        <v>EV Charge Card</v>
      </c>
      <c r="P463" s="9" t="str">
        <f>IFERROR(INDEX(T_CleanCustomers[Customer_Segment],MATCH(B463,T_CleanCustomers[Customer_ID],0)),"Unmatched")</f>
        <v>Enterprise</v>
      </c>
    </row>
    <row r="464" spans="1:16" ht="15" customHeight="1" x14ac:dyDescent="0.2">
      <c r="A464" s="9" t="s">
        <v>1821</v>
      </c>
      <c r="B464" s="9" t="s">
        <v>1203</v>
      </c>
      <c r="C464" s="9" t="b">
        <f>TRUE()</f>
        <v>1</v>
      </c>
      <c r="D464" s="10">
        <v>45944</v>
      </c>
      <c r="E464" s="10">
        <v>45931</v>
      </c>
      <c r="F464" s="9" t="s">
        <v>1423</v>
      </c>
      <c r="G464" s="11">
        <v>35813.379999999997</v>
      </c>
      <c r="H464" s="11">
        <v>1212.0899999999999</v>
      </c>
      <c r="I464" s="9" t="b">
        <f>TRUE()</f>
        <v>1</v>
      </c>
      <c r="J464" s="9" t="s">
        <v>1361</v>
      </c>
      <c r="K464" s="11">
        <v>1212.0899999999999</v>
      </c>
      <c r="L464" s="9" t="s">
        <v>18</v>
      </c>
      <c r="M464" s="9" t="str">
        <f>IFERROR(INDEX(T_CleanCustomers[Sales_Rep_ID],MATCH(B464,T_CleanCustomers[Customer_ID],0)),"Unmatched")</f>
        <v>REP012</v>
      </c>
      <c r="N464" s="9" t="str">
        <f>IFERROR(INDEX(T_CleanCustomers[Channel],MATCH(B464,T_CleanCustomers[Customer_ID],0)),"Unmatched")</f>
        <v>Referral</v>
      </c>
      <c r="O464" s="9" t="str">
        <f>IFERROR(INDEX(T_CleanCustomers[Product],MATCH(B464,T_CleanCustomers[Customer_ID],0)),"Unmatched")</f>
        <v>EV Charge Card</v>
      </c>
      <c r="P464" s="9" t="str">
        <f>IFERROR(INDEX(T_CleanCustomers[Customer_Segment],MATCH(B464,T_CleanCustomers[Customer_ID],0)),"Unmatched")</f>
        <v>Enterprise</v>
      </c>
    </row>
    <row r="465" spans="1:16" ht="15" customHeight="1" x14ac:dyDescent="0.2">
      <c r="A465" s="9" t="s">
        <v>106</v>
      </c>
      <c r="B465" s="9" t="s">
        <v>1203</v>
      </c>
      <c r="C465" s="9" t="b">
        <f>TRUE()</f>
        <v>1</v>
      </c>
      <c r="D465" s="10">
        <v>45941</v>
      </c>
      <c r="E465" s="10">
        <v>45931</v>
      </c>
      <c r="F465" s="9" t="s">
        <v>1423</v>
      </c>
      <c r="G465" s="11">
        <v>15307.18</v>
      </c>
      <c r="H465" s="11">
        <v>505.9</v>
      </c>
      <c r="I465" s="9" t="b">
        <f>TRUE()</f>
        <v>1</v>
      </c>
      <c r="J465" s="9" t="s">
        <v>1361</v>
      </c>
      <c r="K465" s="11">
        <v>505.9</v>
      </c>
      <c r="L465" s="9" t="s">
        <v>18</v>
      </c>
      <c r="M465" s="9" t="str">
        <f>IFERROR(INDEX(T_CleanCustomers[Sales_Rep_ID],MATCH(B465,T_CleanCustomers[Customer_ID],0)),"Unmatched")</f>
        <v>REP012</v>
      </c>
      <c r="N465" s="9" t="str">
        <f>IFERROR(INDEX(T_CleanCustomers[Channel],MATCH(B465,T_CleanCustomers[Customer_ID],0)),"Unmatched")</f>
        <v>Referral</v>
      </c>
      <c r="O465" s="9" t="str">
        <f>IFERROR(INDEX(T_CleanCustomers[Product],MATCH(B465,T_CleanCustomers[Customer_ID],0)),"Unmatched")</f>
        <v>EV Charge Card</v>
      </c>
      <c r="P465" s="9" t="str">
        <f>IFERROR(INDEX(T_CleanCustomers[Customer_Segment],MATCH(B465,T_CleanCustomers[Customer_ID],0)),"Unmatched")</f>
        <v>Enterprise</v>
      </c>
    </row>
    <row r="466" spans="1:16" ht="15" customHeight="1" x14ac:dyDescent="0.2">
      <c r="A466" s="9" t="s">
        <v>1822</v>
      </c>
      <c r="B466" s="9" t="s">
        <v>1203</v>
      </c>
      <c r="C466" s="9" t="b">
        <f>TRUE()</f>
        <v>1</v>
      </c>
      <c r="D466" s="10">
        <v>45986</v>
      </c>
      <c r="E466" s="10">
        <v>45962</v>
      </c>
      <c r="F466" s="9" t="s">
        <v>1423</v>
      </c>
      <c r="G466" s="11">
        <v>48483.08</v>
      </c>
      <c r="H466" s="11">
        <v>1329.59</v>
      </c>
      <c r="I466" s="9" t="b">
        <f>TRUE()</f>
        <v>1</v>
      </c>
      <c r="J466" s="9" t="s">
        <v>1361</v>
      </c>
      <c r="K466" s="11">
        <v>1329.59</v>
      </c>
      <c r="L466" s="9" t="s">
        <v>18</v>
      </c>
      <c r="M466" s="9" t="str">
        <f>IFERROR(INDEX(T_CleanCustomers[Sales_Rep_ID],MATCH(B466,T_CleanCustomers[Customer_ID],0)),"Unmatched")</f>
        <v>REP012</v>
      </c>
      <c r="N466" s="9" t="str">
        <f>IFERROR(INDEX(T_CleanCustomers[Channel],MATCH(B466,T_CleanCustomers[Customer_ID],0)),"Unmatched")</f>
        <v>Referral</v>
      </c>
      <c r="O466" s="9" t="str">
        <f>IFERROR(INDEX(T_CleanCustomers[Product],MATCH(B466,T_CleanCustomers[Customer_ID],0)),"Unmatched")</f>
        <v>EV Charge Card</v>
      </c>
      <c r="P466" s="9" t="str">
        <f>IFERROR(INDEX(T_CleanCustomers[Customer_Segment],MATCH(B466,T_CleanCustomers[Customer_ID],0)),"Unmatched")</f>
        <v>Enterprise</v>
      </c>
    </row>
    <row r="467" spans="1:16" ht="15" customHeight="1" x14ac:dyDescent="0.2">
      <c r="A467" s="9" t="s">
        <v>1823</v>
      </c>
      <c r="B467" s="9" t="s">
        <v>1203</v>
      </c>
      <c r="C467" s="9" t="b">
        <f>TRUE()</f>
        <v>1</v>
      </c>
      <c r="D467" s="10">
        <v>46005</v>
      </c>
      <c r="E467" s="10">
        <v>45992</v>
      </c>
      <c r="F467" s="9" t="s">
        <v>1423</v>
      </c>
      <c r="G467" s="11">
        <v>40135.24</v>
      </c>
      <c r="H467" s="11">
        <v>1414.19</v>
      </c>
      <c r="I467" s="9" t="b">
        <f>TRUE()</f>
        <v>1</v>
      </c>
      <c r="J467" s="9" t="s">
        <v>1361</v>
      </c>
      <c r="K467" s="11">
        <v>1414.19</v>
      </c>
      <c r="L467" s="9" t="s">
        <v>18</v>
      </c>
      <c r="M467" s="9" t="str">
        <f>IFERROR(INDEX(T_CleanCustomers[Sales_Rep_ID],MATCH(B467,T_CleanCustomers[Customer_ID],0)),"Unmatched")</f>
        <v>REP012</v>
      </c>
      <c r="N467" s="9" t="str">
        <f>IFERROR(INDEX(T_CleanCustomers[Channel],MATCH(B467,T_CleanCustomers[Customer_ID],0)),"Unmatched")</f>
        <v>Referral</v>
      </c>
      <c r="O467" s="9" t="str">
        <f>IFERROR(INDEX(T_CleanCustomers[Product],MATCH(B467,T_CleanCustomers[Customer_ID],0)),"Unmatched")</f>
        <v>EV Charge Card</v>
      </c>
      <c r="P467" s="9" t="str">
        <f>IFERROR(INDEX(T_CleanCustomers[Customer_Segment],MATCH(B467,T_CleanCustomers[Customer_ID],0)),"Unmatched")</f>
        <v>Enterprise</v>
      </c>
    </row>
    <row r="468" spans="1:16" ht="15" customHeight="1" x14ac:dyDescent="0.2">
      <c r="A468" s="9" t="s">
        <v>1824</v>
      </c>
      <c r="B468" s="9" t="s">
        <v>1203</v>
      </c>
      <c r="C468" s="9" t="b">
        <f>TRUE()</f>
        <v>1</v>
      </c>
      <c r="D468" s="10">
        <v>45996</v>
      </c>
      <c r="E468" s="10">
        <v>45992</v>
      </c>
      <c r="F468" s="9" t="s">
        <v>1423</v>
      </c>
      <c r="G468" s="11">
        <v>30281.03</v>
      </c>
      <c r="H468" s="11">
        <v>859.41</v>
      </c>
      <c r="I468" s="9" t="b">
        <f>TRUE()</f>
        <v>1</v>
      </c>
      <c r="J468" s="9" t="s">
        <v>1361</v>
      </c>
      <c r="K468" s="11">
        <v>859.41</v>
      </c>
      <c r="L468" s="9" t="s">
        <v>18</v>
      </c>
      <c r="M468" s="9" t="str">
        <f>IFERROR(INDEX(T_CleanCustomers[Sales_Rep_ID],MATCH(B468,T_CleanCustomers[Customer_ID],0)),"Unmatched")</f>
        <v>REP012</v>
      </c>
      <c r="N468" s="9" t="str">
        <f>IFERROR(INDEX(T_CleanCustomers[Channel],MATCH(B468,T_CleanCustomers[Customer_ID],0)),"Unmatched")</f>
        <v>Referral</v>
      </c>
      <c r="O468" s="9" t="str">
        <f>IFERROR(INDEX(T_CleanCustomers[Product],MATCH(B468,T_CleanCustomers[Customer_ID],0)),"Unmatched")</f>
        <v>EV Charge Card</v>
      </c>
      <c r="P468" s="9" t="str">
        <f>IFERROR(INDEX(T_CleanCustomers[Customer_Segment],MATCH(B468,T_CleanCustomers[Customer_ID],0)),"Unmatched")</f>
        <v>Enterprise</v>
      </c>
    </row>
    <row r="469" spans="1:16" ht="15" customHeight="1" x14ac:dyDescent="0.2">
      <c r="A469" s="9" t="s">
        <v>1825</v>
      </c>
      <c r="B469" s="9" t="s">
        <v>1204</v>
      </c>
      <c r="C469" s="9" t="b">
        <f>TRUE()</f>
        <v>1</v>
      </c>
      <c r="D469" s="10">
        <v>45766</v>
      </c>
      <c r="E469" s="10">
        <v>45748</v>
      </c>
      <c r="F469" s="9" t="s">
        <v>1423</v>
      </c>
      <c r="G469" s="11">
        <v>1237.97</v>
      </c>
      <c r="H469" s="11">
        <v>35.42</v>
      </c>
      <c r="I469" s="9" t="b">
        <f>TRUE()</f>
        <v>1</v>
      </c>
      <c r="J469" s="9" t="s">
        <v>1361</v>
      </c>
      <c r="K469" s="11">
        <v>35.42</v>
      </c>
      <c r="L469" s="9" t="s">
        <v>20</v>
      </c>
      <c r="M469" s="9" t="str">
        <f>IFERROR(INDEX(T_CleanCustomers[Sales_Rep_ID],MATCH(B469,T_CleanCustomers[Customer_ID],0)),"Unmatched")</f>
        <v>REP003</v>
      </c>
      <c r="N469" s="9" t="str">
        <f>IFERROR(INDEX(T_CleanCustomers[Channel],MATCH(B469,T_CleanCustomers[Customer_ID],0)),"Unmatched")</f>
        <v>Direct Sales</v>
      </c>
      <c r="O469" s="9" t="str">
        <f>IFERROR(INDEX(T_CleanCustomers[Product],MATCH(B469,T_CleanCustomers[Customer_ID],0)),"Unmatched")</f>
        <v>EV Charge Card</v>
      </c>
      <c r="P469" s="9" t="str">
        <f>IFERROR(INDEX(T_CleanCustomers[Customer_Segment],MATCH(B469,T_CleanCustomers[Customer_ID],0)),"Unmatched")</f>
        <v>SME</v>
      </c>
    </row>
    <row r="470" spans="1:16" ht="15" customHeight="1" x14ac:dyDescent="0.2">
      <c r="A470" s="9" t="s">
        <v>1826</v>
      </c>
      <c r="B470" s="9" t="s">
        <v>1204</v>
      </c>
      <c r="C470" s="9" t="b">
        <f>TRUE()</f>
        <v>1</v>
      </c>
      <c r="D470" s="10">
        <v>45763</v>
      </c>
      <c r="E470" s="10">
        <v>45748</v>
      </c>
      <c r="F470" s="9" t="s">
        <v>1423</v>
      </c>
      <c r="G470" s="11">
        <v>5154.68</v>
      </c>
      <c r="H470" s="11">
        <v>179.31</v>
      </c>
      <c r="I470" s="9" t="b">
        <f>TRUE()</f>
        <v>1</v>
      </c>
      <c r="J470" s="9" t="s">
        <v>1361</v>
      </c>
      <c r="K470" s="11">
        <v>179.31</v>
      </c>
      <c r="L470" s="9" t="s">
        <v>20</v>
      </c>
      <c r="M470" s="9" t="str">
        <f>IFERROR(INDEX(T_CleanCustomers[Sales_Rep_ID],MATCH(B470,T_CleanCustomers[Customer_ID],0)),"Unmatched")</f>
        <v>REP003</v>
      </c>
      <c r="N470" s="9" t="str">
        <f>IFERROR(INDEX(T_CleanCustomers[Channel],MATCH(B470,T_CleanCustomers[Customer_ID],0)),"Unmatched")</f>
        <v>Direct Sales</v>
      </c>
      <c r="O470" s="9" t="str">
        <f>IFERROR(INDEX(T_CleanCustomers[Product],MATCH(B470,T_CleanCustomers[Customer_ID],0)),"Unmatched")</f>
        <v>EV Charge Card</v>
      </c>
      <c r="P470" s="9" t="str">
        <f>IFERROR(INDEX(T_CleanCustomers[Customer_Segment],MATCH(B470,T_CleanCustomers[Customer_ID],0)),"Unmatched")</f>
        <v>SME</v>
      </c>
    </row>
    <row r="471" spans="1:16" ht="15" customHeight="1" x14ac:dyDescent="0.2">
      <c r="A471" s="9" t="s">
        <v>1827</v>
      </c>
      <c r="B471" s="9" t="s">
        <v>1204</v>
      </c>
      <c r="C471" s="9" t="b">
        <f>TRUE()</f>
        <v>1</v>
      </c>
      <c r="D471" s="10">
        <v>45767</v>
      </c>
      <c r="E471" s="10">
        <v>45748</v>
      </c>
      <c r="F471" s="9" t="s">
        <v>1423</v>
      </c>
      <c r="G471" s="11">
        <v>2533.89</v>
      </c>
      <c r="H471" s="11">
        <v>72.62</v>
      </c>
      <c r="I471" s="9" t="b">
        <f>TRUE()</f>
        <v>1</v>
      </c>
      <c r="J471" s="9" t="s">
        <v>1361</v>
      </c>
      <c r="K471" s="11">
        <v>72.62</v>
      </c>
      <c r="L471" s="9" t="s">
        <v>20</v>
      </c>
      <c r="M471" s="9" t="str">
        <f>IFERROR(INDEX(T_CleanCustomers[Sales_Rep_ID],MATCH(B471,T_CleanCustomers[Customer_ID],0)),"Unmatched")</f>
        <v>REP003</v>
      </c>
      <c r="N471" s="9" t="str">
        <f>IFERROR(INDEX(T_CleanCustomers[Channel],MATCH(B471,T_CleanCustomers[Customer_ID],0)),"Unmatched")</f>
        <v>Direct Sales</v>
      </c>
      <c r="O471" s="9" t="str">
        <f>IFERROR(INDEX(T_CleanCustomers[Product],MATCH(B471,T_CleanCustomers[Customer_ID],0)),"Unmatched")</f>
        <v>EV Charge Card</v>
      </c>
      <c r="P471" s="9" t="str">
        <f>IFERROR(INDEX(T_CleanCustomers[Customer_Segment],MATCH(B471,T_CleanCustomers[Customer_ID],0)),"Unmatched")</f>
        <v>SME</v>
      </c>
    </row>
    <row r="472" spans="1:16" ht="15" customHeight="1" x14ac:dyDescent="0.2">
      <c r="A472" s="9" t="s">
        <v>1828</v>
      </c>
      <c r="B472" s="9" t="s">
        <v>1204</v>
      </c>
      <c r="C472" s="9" t="b">
        <f>TRUE()</f>
        <v>1</v>
      </c>
      <c r="D472" s="10">
        <v>45782</v>
      </c>
      <c r="E472" s="10">
        <v>45778</v>
      </c>
      <c r="F472" s="9" t="s">
        <v>1423</v>
      </c>
      <c r="G472" s="11">
        <v>4838.84</v>
      </c>
      <c r="H472" s="11">
        <v>141.13999999999999</v>
      </c>
      <c r="I472" s="9" t="b">
        <f>TRUE()</f>
        <v>1</v>
      </c>
      <c r="J472" s="9" t="s">
        <v>1361</v>
      </c>
      <c r="K472" s="11">
        <v>141.13999999999999</v>
      </c>
      <c r="L472" s="9" t="s">
        <v>20</v>
      </c>
      <c r="M472" s="9" t="str">
        <f>IFERROR(INDEX(T_CleanCustomers[Sales_Rep_ID],MATCH(B472,T_CleanCustomers[Customer_ID],0)),"Unmatched")</f>
        <v>REP003</v>
      </c>
      <c r="N472" s="9" t="str">
        <f>IFERROR(INDEX(T_CleanCustomers[Channel],MATCH(B472,T_CleanCustomers[Customer_ID],0)),"Unmatched")</f>
        <v>Direct Sales</v>
      </c>
      <c r="O472" s="9" t="str">
        <f>IFERROR(INDEX(T_CleanCustomers[Product],MATCH(B472,T_CleanCustomers[Customer_ID],0)),"Unmatched")</f>
        <v>EV Charge Card</v>
      </c>
      <c r="P472" s="9" t="str">
        <f>IFERROR(INDEX(T_CleanCustomers[Customer_Segment],MATCH(B472,T_CleanCustomers[Customer_ID],0)),"Unmatched")</f>
        <v>SME</v>
      </c>
    </row>
    <row r="473" spans="1:16" ht="15" customHeight="1" x14ac:dyDescent="0.2">
      <c r="A473" s="9" t="s">
        <v>1829</v>
      </c>
      <c r="B473" s="9" t="s">
        <v>1204</v>
      </c>
      <c r="C473" s="9" t="b">
        <f>TRUE()</f>
        <v>1</v>
      </c>
      <c r="D473" s="10">
        <v>45793</v>
      </c>
      <c r="E473" s="10">
        <v>45778</v>
      </c>
      <c r="F473" s="9" t="s">
        <v>1423</v>
      </c>
      <c r="G473" s="11">
        <v>5005.08</v>
      </c>
      <c r="H473" s="11">
        <v>166.1</v>
      </c>
      <c r="I473" s="9" t="b">
        <f>TRUE()</f>
        <v>1</v>
      </c>
      <c r="J473" s="9" t="s">
        <v>1361</v>
      </c>
      <c r="K473" s="11">
        <v>166.1</v>
      </c>
      <c r="L473" s="9" t="s">
        <v>20</v>
      </c>
      <c r="M473" s="9" t="str">
        <f>IFERROR(INDEX(T_CleanCustomers[Sales_Rep_ID],MATCH(B473,T_CleanCustomers[Customer_ID],0)),"Unmatched")</f>
        <v>REP003</v>
      </c>
      <c r="N473" s="9" t="str">
        <f>IFERROR(INDEX(T_CleanCustomers[Channel],MATCH(B473,T_CleanCustomers[Customer_ID],0)),"Unmatched")</f>
        <v>Direct Sales</v>
      </c>
      <c r="O473" s="9" t="str">
        <f>IFERROR(INDEX(T_CleanCustomers[Product],MATCH(B473,T_CleanCustomers[Customer_ID],0)),"Unmatched")</f>
        <v>EV Charge Card</v>
      </c>
      <c r="P473" s="9" t="str">
        <f>IFERROR(INDEX(T_CleanCustomers[Customer_Segment],MATCH(B473,T_CleanCustomers[Customer_ID],0)),"Unmatched")</f>
        <v>SME</v>
      </c>
    </row>
    <row r="474" spans="1:16" ht="15" customHeight="1" x14ac:dyDescent="0.2">
      <c r="A474" s="9" t="s">
        <v>1830</v>
      </c>
      <c r="B474" s="9" t="s">
        <v>1204</v>
      </c>
      <c r="C474" s="9" t="b">
        <f>TRUE()</f>
        <v>1</v>
      </c>
      <c r="D474" s="10">
        <v>45834</v>
      </c>
      <c r="E474" s="10">
        <v>45809</v>
      </c>
      <c r="F474" s="9" t="s">
        <v>1423</v>
      </c>
      <c r="G474" s="11">
        <v>2825.51</v>
      </c>
      <c r="H474" s="11">
        <v>80.64</v>
      </c>
      <c r="I474" s="9" t="b">
        <f>TRUE()</f>
        <v>1</v>
      </c>
      <c r="J474" s="9" t="s">
        <v>1361</v>
      </c>
      <c r="K474" s="11">
        <v>80.64</v>
      </c>
      <c r="L474" s="9" t="s">
        <v>20</v>
      </c>
      <c r="M474" s="9" t="str">
        <f>IFERROR(INDEX(T_CleanCustomers[Sales_Rep_ID],MATCH(B474,T_CleanCustomers[Customer_ID],0)),"Unmatched")</f>
        <v>REP003</v>
      </c>
      <c r="N474" s="9" t="str">
        <f>IFERROR(INDEX(T_CleanCustomers[Channel],MATCH(B474,T_CleanCustomers[Customer_ID],0)),"Unmatched")</f>
        <v>Direct Sales</v>
      </c>
      <c r="O474" s="9" t="str">
        <f>IFERROR(INDEX(T_CleanCustomers[Product],MATCH(B474,T_CleanCustomers[Customer_ID],0)),"Unmatched")</f>
        <v>EV Charge Card</v>
      </c>
      <c r="P474" s="9" t="str">
        <f>IFERROR(INDEX(T_CleanCustomers[Customer_Segment],MATCH(B474,T_CleanCustomers[Customer_ID],0)),"Unmatched")</f>
        <v>SME</v>
      </c>
    </row>
    <row r="475" spans="1:16" ht="15" customHeight="1" x14ac:dyDescent="0.2">
      <c r="A475" s="9" t="s">
        <v>1831</v>
      </c>
      <c r="B475" s="9" t="s">
        <v>1204</v>
      </c>
      <c r="C475" s="9" t="b">
        <f>TRUE()</f>
        <v>1</v>
      </c>
      <c r="D475" s="10">
        <v>45809</v>
      </c>
      <c r="E475" s="10">
        <v>45809</v>
      </c>
      <c r="F475" s="9" t="s">
        <v>1423</v>
      </c>
      <c r="G475" s="11">
        <v>2416.36</v>
      </c>
      <c r="H475" s="11">
        <v>63.96</v>
      </c>
      <c r="I475" s="9" t="b">
        <f>TRUE()</f>
        <v>1</v>
      </c>
      <c r="J475" s="9" t="s">
        <v>1361</v>
      </c>
      <c r="K475" s="11">
        <v>63.96</v>
      </c>
      <c r="L475" s="9" t="s">
        <v>20</v>
      </c>
      <c r="M475" s="9" t="str">
        <f>IFERROR(INDEX(T_CleanCustomers[Sales_Rep_ID],MATCH(B475,T_CleanCustomers[Customer_ID],0)),"Unmatched")</f>
        <v>REP003</v>
      </c>
      <c r="N475" s="9" t="str">
        <f>IFERROR(INDEX(T_CleanCustomers[Channel],MATCH(B475,T_CleanCustomers[Customer_ID],0)),"Unmatched")</f>
        <v>Direct Sales</v>
      </c>
      <c r="O475" s="9" t="str">
        <f>IFERROR(INDEX(T_CleanCustomers[Product],MATCH(B475,T_CleanCustomers[Customer_ID],0)),"Unmatched")</f>
        <v>EV Charge Card</v>
      </c>
      <c r="P475" s="9" t="str">
        <f>IFERROR(INDEX(T_CleanCustomers[Customer_Segment],MATCH(B475,T_CleanCustomers[Customer_ID],0)),"Unmatched")</f>
        <v>SME</v>
      </c>
    </row>
    <row r="476" spans="1:16" ht="15" customHeight="1" x14ac:dyDescent="0.2">
      <c r="A476" s="9" t="s">
        <v>1832</v>
      </c>
      <c r="B476" s="9" t="s">
        <v>1204</v>
      </c>
      <c r="C476" s="9" t="b">
        <f>TRUE()</f>
        <v>1</v>
      </c>
      <c r="D476" s="10">
        <v>45827</v>
      </c>
      <c r="E476" s="10">
        <v>45809</v>
      </c>
      <c r="F476" s="9" t="s">
        <v>1423</v>
      </c>
      <c r="G476" s="11">
        <v>3076.61</v>
      </c>
      <c r="H476" s="11">
        <v>106.72</v>
      </c>
      <c r="I476" s="9" t="b">
        <f>TRUE()</f>
        <v>1</v>
      </c>
      <c r="J476" s="9" t="s">
        <v>1361</v>
      </c>
      <c r="K476" s="11">
        <v>106.72</v>
      </c>
      <c r="L476" s="9" t="s">
        <v>20</v>
      </c>
      <c r="M476" s="9" t="str">
        <f>IFERROR(INDEX(T_CleanCustomers[Sales_Rep_ID],MATCH(B476,T_CleanCustomers[Customer_ID],0)),"Unmatched")</f>
        <v>REP003</v>
      </c>
      <c r="N476" s="9" t="str">
        <f>IFERROR(INDEX(T_CleanCustomers[Channel],MATCH(B476,T_CleanCustomers[Customer_ID],0)),"Unmatched")</f>
        <v>Direct Sales</v>
      </c>
      <c r="O476" s="9" t="str">
        <f>IFERROR(INDEX(T_CleanCustomers[Product],MATCH(B476,T_CleanCustomers[Customer_ID],0)),"Unmatched")</f>
        <v>EV Charge Card</v>
      </c>
      <c r="P476" s="9" t="str">
        <f>IFERROR(INDEX(T_CleanCustomers[Customer_Segment],MATCH(B476,T_CleanCustomers[Customer_ID],0)),"Unmatched")</f>
        <v>SME</v>
      </c>
    </row>
    <row r="477" spans="1:16" ht="15" customHeight="1" x14ac:dyDescent="0.2">
      <c r="A477" s="9" t="s">
        <v>1833</v>
      </c>
      <c r="B477" s="9" t="s">
        <v>1204</v>
      </c>
      <c r="C477" s="9" t="b">
        <f>TRUE()</f>
        <v>1</v>
      </c>
      <c r="D477" s="10">
        <v>45850</v>
      </c>
      <c r="E477" s="10">
        <v>45839</v>
      </c>
      <c r="F477" s="9" t="s">
        <v>1423</v>
      </c>
      <c r="G477" s="11">
        <v>4885.78</v>
      </c>
      <c r="H477" s="11">
        <v>134.5</v>
      </c>
      <c r="I477" s="9" t="b">
        <f>TRUE()</f>
        <v>1</v>
      </c>
      <c r="J477" s="9" t="s">
        <v>1361</v>
      </c>
      <c r="K477" s="11">
        <v>134.5</v>
      </c>
      <c r="L477" s="9" t="s">
        <v>20</v>
      </c>
      <c r="M477" s="9" t="str">
        <f>IFERROR(INDEX(T_CleanCustomers[Sales_Rep_ID],MATCH(B477,T_CleanCustomers[Customer_ID],0)),"Unmatched")</f>
        <v>REP003</v>
      </c>
      <c r="N477" s="9" t="str">
        <f>IFERROR(INDEX(T_CleanCustomers[Channel],MATCH(B477,T_CleanCustomers[Customer_ID],0)),"Unmatched")</f>
        <v>Direct Sales</v>
      </c>
      <c r="O477" s="9" t="str">
        <f>IFERROR(INDEX(T_CleanCustomers[Product],MATCH(B477,T_CleanCustomers[Customer_ID],0)),"Unmatched")</f>
        <v>EV Charge Card</v>
      </c>
      <c r="P477" s="9" t="str">
        <f>IFERROR(INDEX(T_CleanCustomers[Customer_Segment],MATCH(B477,T_CleanCustomers[Customer_ID],0)),"Unmatched")</f>
        <v>SME</v>
      </c>
    </row>
    <row r="478" spans="1:16" ht="15" customHeight="1" x14ac:dyDescent="0.2">
      <c r="A478" s="9" t="s">
        <v>1834</v>
      </c>
      <c r="B478" s="9" t="s">
        <v>1204</v>
      </c>
      <c r="C478" s="9" t="b">
        <f>TRUE()</f>
        <v>1</v>
      </c>
      <c r="D478" s="10">
        <v>45894</v>
      </c>
      <c r="E478" s="10">
        <v>45870</v>
      </c>
      <c r="F478" s="9" t="s">
        <v>1423</v>
      </c>
      <c r="G478" s="11">
        <v>1744.96</v>
      </c>
      <c r="H478" s="11">
        <v>55.44</v>
      </c>
      <c r="I478" s="9" t="b">
        <f>TRUE()</f>
        <v>1</v>
      </c>
      <c r="J478" s="9" t="s">
        <v>1361</v>
      </c>
      <c r="K478" s="11">
        <v>55.44</v>
      </c>
      <c r="L478" s="9" t="s">
        <v>20</v>
      </c>
      <c r="M478" s="9" t="str">
        <f>IFERROR(INDEX(T_CleanCustomers[Sales_Rep_ID],MATCH(B478,T_CleanCustomers[Customer_ID],0)),"Unmatched")</f>
        <v>REP003</v>
      </c>
      <c r="N478" s="9" t="str">
        <f>IFERROR(INDEX(T_CleanCustomers[Channel],MATCH(B478,T_CleanCustomers[Customer_ID],0)),"Unmatched")</f>
        <v>Direct Sales</v>
      </c>
      <c r="O478" s="9" t="str">
        <f>IFERROR(INDEX(T_CleanCustomers[Product],MATCH(B478,T_CleanCustomers[Customer_ID],0)),"Unmatched")</f>
        <v>EV Charge Card</v>
      </c>
      <c r="P478" s="9" t="str">
        <f>IFERROR(INDEX(T_CleanCustomers[Customer_Segment],MATCH(B478,T_CleanCustomers[Customer_ID],0)),"Unmatched")</f>
        <v>SME</v>
      </c>
    </row>
    <row r="479" spans="1:16" ht="15" customHeight="1" x14ac:dyDescent="0.2">
      <c r="A479" s="9" t="s">
        <v>117</v>
      </c>
      <c r="B479" s="9" t="s">
        <v>1437</v>
      </c>
      <c r="C479" s="9" t="b">
        <f>FALSE()</f>
        <v>0</v>
      </c>
      <c r="D479" s="10">
        <v>45889</v>
      </c>
      <c r="E479" s="10">
        <v>45870</v>
      </c>
      <c r="F479" s="9" t="s">
        <v>1423</v>
      </c>
      <c r="G479" s="11">
        <v>1338.5</v>
      </c>
      <c r="H479" s="11">
        <v>44.92</v>
      </c>
      <c r="I479" s="9" t="b">
        <f>TRUE()</f>
        <v>1</v>
      </c>
      <c r="J479" s="9" t="s">
        <v>1361</v>
      </c>
      <c r="K479" s="11">
        <v>0</v>
      </c>
      <c r="L479" s="9" t="s">
        <v>20</v>
      </c>
      <c r="M479" s="9" t="str">
        <f>IFERROR(INDEX(T_CleanCustomers[Sales_Rep_ID],MATCH(B479,T_CleanCustomers[Customer_ID],0)),"Unmatched")</f>
        <v>Unmatched</v>
      </c>
      <c r="N479" s="9" t="str">
        <f>IFERROR(INDEX(T_CleanCustomers[Channel],MATCH(B479,T_CleanCustomers[Customer_ID],0)),"Unmatched")</f>
        <v>Unmatched</v>
      </c>
      <c r="O479" s="9" t="str">
        <f>IFERROR(INDEX(T_CleanCustomers[Product],MATCH(B479,T_CleanCustomers[Customer_ID],0)),"Unmatched")</f>
        <v>Unmatched</v>
      </c>
      <c r="P479" s="9" t="str">
        <f>IFERROR(INDEX(T_CleanCustomers[Customer_Segment],MATCH(B479,T_CleanCustomers[Customer_ID],0)),"Unmatched")</f>
        <v>Unmatched</v>
      </c>
    </row>
    <row r="480" spans="1:16" ht="15" customHeight="1" x14ac:dyDescent="0.2">
      <c r="A480" s="9" t="s">
        <v>1835</v>
      </c>
      <c r="B480" s="9" t="s">
        <v>1204</v>
      </c>
      <c r="C480" s="9" t="b">
        <f>TRUE()</f>
        <v>1</v>
      </c>
      <c r="D480" s="10">
        <v>45904</v>
      </c>
      <c r="E480" s="10">
        <v>45901</v>
      </c>
      <c r="F480" s="9" t="s">
        <v>1423</v>
      </c>
      <c r="G480" s="11">
        <v>3492.8</v>
      </c>
      <c r="H480" s="11">
        <v>123.78</v>
      </c>
      <c r="I480" s="9" t="b">
        <f>TRUE()</f>
        <v>1</v>
      </c>
      <c r="J480" s="9" t="s">
        <v>1361</v>
      </c>
      <c r="K480" s="11">
        <v>123.78</v>
      </c>
      <c r="L480" s="9" t="s">
        <v>20</v>
      </c>
      <c r="M480" s="9" t="str">
        <f>IFERROR(INDEX(T_CleanCustomers[Sales_Rep_ID],MATCH(B480,T_CleanCustomers[Customer_ID],0)),"Unmatched")</f>
        <v>REP003</v>
      </c>
      <c r="N480" s="9" t="str">
        <f>IFERROR(INDEX(T_CleanCustomers[Channel],MATCH(B480,T_CleanCustomers[Customer_ID],0)),"Unmatched")</f>
        <v>Direct Sales</v>
      </c>
      <c r="O480" s="9" t="str">
        <f>IFERROR(INDEX(T_CleanCustomers[Product],MATCH(B480,T_CleanCustomers[Customer_ID],0)),"Unmatched")</f>
        <v>EV Charge Card</v>
      </c>
      <c r="P480" s="9" t="str">
        <f>IFERROR(INDEX(T_CleanCustomers[Customer_Segment],MATCH(B480,T_CleanCustomers[Customer_ID],0)),"Unmatched")</f>
        <v>SME</v>
      </c>
    </row>
    <row r="481" spans="1:16" ht="15" customHeight="1" x14ac:dyDescent="0.2">
      <c r="A481" s="9" t="s">
        <v>1836</v>
      </c>
      <c r="B481" s="9" t="s">
        <v>1204</v>
      </c>
      <c r="C481" s="9" t="b">
        <f>TRUE()</f>
        <v>1</v>
      </c>
      <c r="D481" s="10">
        <v>45907</v>
      </c>
      <c r="E481" s="10">
        <v>45901</v>
      </c>
      <c r="F481" s="9" t="s">
        <v>1423</v>
      </c>
      <c r="G481" s="11">
        <v>3067.08</v>
      </c>
      <c r="H481" s="11">
        <v>0</v>
      </c>
      <c r="I481" s="9" t="b">
        <f>TRUE()</f>
        <v>1</v>
      </c>
      <c r="J481" s="9" t="s">
        <v>1408</v>
      </c>
      <c r="K481" s="11">
        <v>0</v>
      </c>
      <c r="L481" s="9" t="s">
        <v>20</v>
      </c>
      <c r="M481" s="9" t="str">
        <f>IFERROR(INDEX(T_CleanCustomers[Sales_Rep_ID],MATCH(B481,T_CleanCustomers[Customer_ID],0)),"Unmatched")</f>
        <v>REP003</v>
      </c>
      <c r="N481" s="9" t="str">
        <f>IFERROR(INDEX(T_CleanCustomers[Channel],MATCH(B481,T_CleanCustomers[Customer_ID],0)),"Unmatched")</f>
        <v>Direct Sales</v>
      </c>
      <c r="O481" s="9" t="str">
        <f>IFERROR(INDEX(T_CleanCustomers[Product],MATCH(B481,T_CleanCustomers[Customer_ID],0)),"Unmatched")</f>
        <v>EV Charge Card</v>
      </c>
      <c r="P481" s="9" t="str">
        <f>IFERROR(INDEX(T_CleanCustomers[Customer_Segment],MATCH(B481,T_CleanCustomers[Customer_ID],0)),"Unmatched")</f>
        <v>SME</v>
      </c>
    </row>
    <row r="482" spans="1:16" ht="15" customHeight="1" x14ac:dyDescent="0.2">
      <c r="A482" s="9" t="s">
        <v>1837</v>
      </c>
      <c r="B482" s="9" t="s">
        <v>1204</v>
      </c>
      <c r="C482" s="9" t="b">
        <f>TRUE()</f>
        <v>1</v>
      </c>
      <c r="D482" s="10">
        <v>45909</v>
      </c>
      <c r="E482" s="10">
        <v>45901</v>
      </c>
      <c r="F482" s="9" t="s">
        <v>1423</v>
      </c>
      <c r="G482" s="11">
        <v>5202.84</v>
      </c>
      <c r="H482" s="11">
        <v>145.09</v>
      </c>
      <c r="I482" s="9" t="b">
        <f>TRUE()</f>
        <v>1</v>
      </c>
      <c r="J482" s="9" t="s">
        <v>1361</v>
      </c>
      <c r="K482" s="11">
        <v>145.09</v>
      </c>
      <c r="L482" s="9" t="s">
        <v>20</v>
      </c>
      <c r="M482" s="9" t="str">
        <f>IFERROR(INDEX(T_CleanCustomers[Sales_Rep_ID],MATCH(B482,T_CleanCustomers[Customer_ID],0)),"Unmatched")</f>
        <v>REP003</v>
      </c>
      <c r="N482" s="9" t="str">
        <f>IFERROR(INDEX(T_CleanCustomers[Channel],MATCH(B482,T_CleanCustomers[Customer_ID],0)),"Unmatched")</f>
        <v>Direct Sales</v>
      </c>
      <c r="O482" s="9" t="str">
        <f>IFERROR(INDEX(T_CleanCustomers[Product],MATCH(B482,T_CleanCustomers[Customer_ID],0)),"Unmatched")</f>
        <v>EV Charge Card</v>
      </c>
      <c r="P482" s="9" t="str">
        <f>IFERROR(INDEX(T_CleanCustomers[Customer_Segment],MATCH(B482,T_CleanCustomers[Customer_ID],0)),"Unmatched")</f>
        <v>SME</v>
      </c>
    </row>
    <row r="483" spans="1:16" ht="15" customHeight="1" x14ac:dyDescent="0.2">
      <c r="A483" s="9" t="s">
        <v>1838</v>
      </c>
      <c r="B483" s="9" t="s">
        <v>1204</v>
      </c>
      <c r="C483" s="9" t="b">
        <f>TRUE()</f>
        <v>1</v>
      </c>
      <c r="D483" s="10">
        <v>45932</v>
      </c>
      <c r="E483" s="10">
        <v>45931</v>
      </c>
      <c r="F483" s="9" t="s">
        <v>1423</v>
      </c>
      <c r="G483" s="11">
        <v>1999.62</v>
      </c>
      <c r="H483" s="11">
        <v>67.27</v>
      </c>
      <c r="I483" s="9" t="b">
        <f>TRUE()</f>
        <v>1</v>
      </c>
      <c r="J483" s="9" t="s">
        <v>1361</v>
      </c>
      <c r="K483" s="11">
        <v>67.27</v>
      </c>
      <c r="L483" s="9" t="s">
        <v>20</v>
      </c>
      <c r="M483" s="9" t="str">
        <f>IFERROR(INDEX(T_CleanCustomers[Sales_Rep_ID],MATCH(B483,T_CleanCustomers[Customer_ID],0)),"Unmatched")</f>
        <v>REP003</v>
      </c>
      <c r="N483" s="9" t="str">
        <f>IFERROR(INDEX(T_CleanCustomers[Channel],MATCH(B483,T_CleanCustomers[Customer_ID],0)),"Unmatched")</f>
        <v>Direct Sales</v>
      </c>
      <c r="O483" s="9" t="str">
        <f>IFERROR(INDEX(T_CleanCustomers[Product],MATCH(B483,T_CleanCustomers[Customer_ID],0)),"Unmatched")</f>
        <v>EV Charge Card</v>
      </c>
      <c r="P483" s="9" t="str">
        <f>IFERROR(INDEX(T_CleanCustomers[Customer_Segment],MATCH(B483,T_CleanCustomers[Customer_ID],0)),"Unmatched")</f>
        <v>SME</v>
      </c>
    </row>
    <row r="484" spans="1:16" ht="15" customHeight="1" x14ac:dyDescent="0.2">
      <c r="A484" s="9" t="s">
        <v>1839</v>
      </c>
      <c r="B484" s="9" t="s">
        <v>1204</v>
      </c>
      <c r="C484" s="9" t="b">
        <f>TRUE()</f>
        <v>1</v>
      </c>
      <c r="D484" s="10">
        <v>45954</v>
      </c>
      <c r="E484" s="10">
        <v>45931</v>
      </c>
      <c r="F484" s="9" t="s">
        <v>1423</v>
      </c>
      <c r="G484" s="11">
        <v>2713.91</v>
      </c>
      <c r="H484" s="11">
        <v>93.48</v>
      </c>
      <c r="I484" s="9" t="b">
        <f>TRUE()</f>
        <v>1</v>
      </c>
      <c r="J484" s="9" t="s">
        <v>1361</v>
      </c>
      <c r="K484" s="11">
        <v>93.48</v>
      </c>
      <c r="L484" s="9" t="s">
        <v>20</v>
      </c>
      <c r="M484" s="9" t="str">
        <f>IFERROR(INDEX(T_CleanCustomers[Sales_Rep_ID],MATCH(B484,T_CleanCustomers[Customer_ID],0)),"Unmatched")</f>
        <v>REP003</v>
      </c>
      <c r="N484" s="9" t="str">
        <f>IFERROR(INDEX(T_CleanCustomers[Channel],MATCH(B484,T_CleanCustomers[Customer_ID],0)),"Unmatched")</f>
        <v>Direct Sales</v>
      </c>
      <c r="O484" s="9" t="str">
        <f>IFERROR(INDEX(T_CleanCustomers[Product],MATCH(B484,T_CleanCustomers[Customer_ID],0)),"Unmatched")</f>
        <v>EV Charge Card</v>
      </c>
      <c r="P484" s="9" t="str">
        <f>IFERROR(INDEX(T_CleanCustomers[Customer_Segment],MATCH(B484,T_CleanCustomers[Customer_ID],0)),"Unmatched")</f>
        <v>SME</v>
      </c>
    </row>
    <row r="485" spans="1:16" ht="15" customHeight="1" x14ac:dyDescent="0.2">
      <c r="A485" s="9" t="s">
        <v>1840</v>
      </c>
      <c r="B485" s="9" t="s">
        <v>1204</v>
      </c>
      <c r="C485" s="9" t="b">
        <f>TRUE()</f>
        <v>1</v>
      </c>
      <c r="D485" s="10">
        <v>45970</v>
      </c>
      <c r="E485" s="10">
        <v>45962</v>
      </c>
      <c r="F485" s="9" t="s">
        <v>1423</v>
      </c>
      <c r="G485" s="11">
        <v>2066.02</v>
      </c>
      <c r="H485" s="11">
        <v>72.87</v>
      </c>
      <c r="I485" s="9" t="b">
        <f>TRUE()</f>
        <v>1</v>
      </c>
      <c r="J485" s="9" t="s">
        <v>1361</v>
      </c>
      <c r="K485" s="11">
        <v>72.87</v>
      </c>
      <c r="L485" s="9" t="s">
        <v>20</v>
      </c>
      <c r="M485" s="9" t="str">
        <f>IFERROR(INDEX(T_CleanCustomers[Sales_Rep_ID],MATCH(B485,T_CleanCustomers[Customer_ID],0)),"Unmatched")</f>
        <v>REP003</v>
      </c>
      <c r="N485" s="9" t="str">
        <f>IFERROR(INDEX(T_CleanCustomers[Channel],MATCH(B485,T_CleanCustomers[Customer_ID],0)),"Unmatched")</f>
        <v>Direct Sales</v>
      </c>
      <c r="O485" s="9" t="str">
        <f>IFERROR(INDEX(T_CleanCustomers[Product],MATCH(B485,T_CleanCustomers[Customer_ID],0)),"Unmatched")</f>
        <v>EV Charge Card</v>
      </c>
      <c r="P485" s="9" t="str">
        <f>IFERROR(INDEX(T_CleanCustomers[Customer_Segment],MATCH(B485,T_CleanCustomers[Customer_ID],0)),"Unmatched")</f>
        <v>SME</v>
      </c>
    </row>
    <row r="486" spans="1:16" ht="15" customHeight="1" x14ac:dyDescent="0.2">
      <c r="A486" s="9" t="s">
        <v>1841</v>
      </c>
      <c r="B486" s="9" t="s">
        <v>1204</v>
      </c>
      <c r="C486" s="9" t="b">
        <f>TRUE()</f>
        <v>1</v>
      </c>
      <c r="D486" s="10">
        <v>45986</v>
      </c>
      <c r="E486" s="10">
        <v>45962</v>
      </c>
      <c r="F486" s="9" t="s">
        <v>1423</v>
      </c>
      <c r="G486" s="11">
        <v>5190.6099999999997</v>
      </c>
      <c r="H486" s="11">
        <v>155.1</v>
      </c>
      <c r="I486" s="9" t="b">
        <f>TRUE()</f>
        <v>1</v>
      </c>
      <c r="J486" s="9" t="s">
        <v>1361</v>
      </c>
      <c r="K486" s="11">
        <v>155.1</v>
      </c>
      <c r="L486" s="9" t="s">
        <v>20</v>
      </c>
      <c r="M486" s="9" t="str">
        <f>IFERROR(INDEX(T_CleanCustomers[Sales_Rep_ID],MATCH(B486,T_CleanCustomers[Customer_ID],0)),"Unmatched")</f>
        <v>REP003</v>
      </c>
      <c r="N486" s="9" t="str">
        <f>IFERROR(INDEX(T_CleanCustomers[Channel],MATCH(B486,T_CleanCustomers[Customer_ID],0)),"Unmatched")</f>
        <v>Direct Sales</v>
      </c>
      <c r="O486" s="9" t="str">
        <f>IFERROR(INDEX(T_CleanCustomers[Product],MATCH(B486,T_CleanCustomers[Customer_ID],0)),"Unmatched")</f>
        <v>EV Charge Card</v>
      </c>
      <c r="P486" s="9" t="str">
        <f>IFERROR(INDEX(T_CleanCustomers[Customer_Segment],MATCH(B486,T_CleanCustomers[Customer_ID],0)),"Unmatched")</f>
        <v>SME</v>
      </c>
    </row>
    <row r="487" spans="1:16" ht="15" customHeight="1" x14ac:dyDescent="0.2">
      <c r="A487" s="9" t="s">
        <v>1842</v>
      </c>
      <c r="B487" s="9" t="s">
        <v>1204</v>
      </c>
      <c r="C487" s="9" t="b">
        <f>TRUE()</f>
        <v>1</v>
      </c>
      <c r="D487" s="10">
        <v>46019</v>
      </c>
      <c r="E487" s="10">
        <v>45992</v>
      </c>
      <c r="F487" s="9" t="s">
        <v>1423</v>
      </c>
      <c r="G487" s="11">
        <v>3146.63</v>
      </c>
      <c r="H487" s="11">
        <v>84.1</v>
      </c>
      <c r="I487" s="9" t="b">
        <f>TRUE()</f>
        <v>1</v>
      </c>
      <c r="J487" s="9" t="s">
        <v>1361</v>
      </c>
      <c r="K487" s="11">
        <v>84.1</v>
      </c>
      <c r="L487" s="9" t="s">
        <v>20</v>
      </c>
      <c r="M487" s="9" t="str">
        <f>IFERROR(INDEX(T_CleanCustomers[Sales_Rep_ID],MATCH(B487,T_CleanCustomers[Customer_ID],0)),"Unmatched")</f>
        <v>REP003</v>
      </c>
      <c r="N487" s="9" t="str">
        <f>IFERROR(INDEX(T_CleanCustomers[Channel],MATCH(B487,T_CleanCustomers[Customer_ID],0)),"Unmatched")</f>
        <v>Direct Sales</v>
      </c>
      <c r="O487" s="9" t="str">
        <f>IFERROR(INDEX(T_CleanCustomers[Product],MATCH(B487,T_CleanCustomers[Customer_ID],0)),"Unmatched")</f>
        <v>EV Charge Card</v>
      </c>
      <c r="P487" s="9" t="str">
        <f>IFERROR(INDEX(T_CleanCustomers[Customer_Segment],MATCH(B487,T_CleanCustomers[Customer_ID],0)),"Unmatched")</f>
        <v>SME</v>
      </c>
    </row>
    <row r="488" spans="1:16" ht="15" customHeight="1" x14ac:dyDescent="0.2">
      <c r="A488" s="9" t="s">
        <v>1843</v>
      </c>
      <c r="B488" s="9" t="s">
        <v>1204</v>
      </c>
      <c r="C488" s="9" t="b">
        <f>TRUE()</f>
        <v>1</v>
      </c>
      <c r="D488" s="10">
        <v>46004</v>
      </c>
      <c r="E488" s="10">
        <v>45992</v>
      </c>
      <c r="F488" s="9" t="s">
        <v>1423</v>
      </c>
      <c r="G488" s="11">
        <v>4240.3100000000004</v>
      </c>
      <c r="H488" s="11">
        <v>134.71</v>
      </c>
      <c r="I488" s="9" t="b">
        <f>TRUE()</f>
        <v>1</v>
      </c>
      <c r="J488" s="9" t="s">
        <v>1361</v>
      </c>
      <c r="K488" s="11">
        <v>134.71</v>
      </c>
      <c r="L488" s="9" t="s">
        <v>20</v>
      </c>
      <c r="M488" s="9" t="str">
        <f>IFERROR(INDEX(T_CleanCustomers[Sales_Rep_ID],MATCH(B488,T_CleanCustomers[Customer_ID],0)),"Unmatched")</f>
        <v>REP003</v>
      </c>
      <c r="N488" s="9" t="str">
        <f>IFERROR(INDEX(T_CleanCustomers[Channel],MATCH(B488,T_CleanCustomers[Customer_ID],0)),"Unmatched")</f>
        <v>Direct Sales</v>
      </c>
      <c r="O488" s="9" t="str">
        <f>IFERROR(INDEX(T_CleanCustomers[Product],MATCH(B488,T_CleanCustomers[Customer_ID],0)),"Unmatched")</f>
        <v>EV Charge Card</v>
      </c>
      <c r="P488" s="9" t="str">
        <f>IFERROR(INDEX(T_CleanCustomers[Customer_Segment],MATCH(B488,T_CleanCustomers[Customer_ID],0)),"Unmatched")</f>
        <v>SME</v>
      </c>
    </row>
    <row r="489" spans="1:16" ht="15" customHeight="1" x14ac:dyDescent="0.2">
      <c r="A489" s="9" t="s">
        <v>1844</v>
      </c>
      <c r="B489" s="9" t="s">
        <v>94</v>
      </c>
      <c r="C489" s="9" t="b">
        <f>TRUE()</f>
        <v>1</v>
      </c>
      <c r="D489" s="10">
        <v>45990</v>
      </c>
      <c r="E489" s="10">
        <v>45962</v>
      </c>
      <c r="F489" s="9" t="s">
        <v>1423</v>
      </c>
      <c r="G489" s="11">
        <v>11010.89</v>
      </c>
      <c r="H489" s="11">
        <v>346.52</v>
      </c>
      <c r="I489" s="9" t="b">
        <f>TRUE()</f>
        <v>1</v>
      </c>
      <c r="J489" s="9" t="s">
        <v>1361</v>
      </c>
      <c r="K489" s="11">
        <v>346.52</v>
      </c>
      <c r="L489" s="9" t="s">
        <v>21</v>
      </c>
      <c r="M489" s="9" t="str">
        <f>IFERROR(INDEX(T_CleanCustomers[Sales_Rep_ID],MATCH(B489,T_CleanCustomers[Customer_ID],0)),"Unmatched")</f>
        <v>REP007</v>
      </c>
      <c r="N489" s="9" t="str">
        <f>IFERROR(INDEX(T_CleanCustomers[Channel],MATCH(B489,T_CleanCustomers[Customer_ID],0)),"Unmatched")</f>
        <v>Direct Sales</v>
      </c>
      <c r="O489" s="9" t="str">
        <f>IFERROR(INDEX(T_CleanCustomers[Product],MATCH(B489,T_CleanCustomers[Customer_ID],0)),"Unmatched")</f>
        <v>EV Charge Card</v>
      </c>
      <c r="P489" s="9" t="str">
        <f>IFERROR(INDEX(T_CleanCustomers[Customer_Segment],MATCH(B489,T_CleanCustomers[Customer_ID],0)),"Unmatched")</f>
        <v>Mid-Market</v>
      </c>
    </row>
    <row r="490" spans="1:16" ht="15" customHeight="1" x14ac:dyDescent="0.2">
      <c r="A490" s="9" t="s">
        <v>1845</v>
      </c>
      <c r="B490" s="9" t="s">
        <v>94</v>
      </c>
      <c r="C490" s="9" t="b">
        <f>TRUE()</f>
        <v>1</v>
      </c>
      <c r="D490" s="10">
        <v>45990</v>
      </c>
      <c r="E490" s="10">
        <v>45962</v>
      </c>
      <c r="F490" s="9" t="s">
        <v>1423</v>
      </c>
      <c r="G490" s="11">
        <v>4637.42</v>
      </c>
      <c r="H490" s="11">
        <v>161.34</v>
      </c>
      <c r="I490" s="9" t="b">
        <f>TRUE()</f>
        <v>1</v>
      </c>
      <c r="J490" s="9" t="s">
        <v>1361</v>
      </c>
      <c r="K490" s="11">
        <v>161.34</v>
      </c>
      <c r="L490" s="9" t="s">
        <v>21</v>
      </c>
      <c r="M490" s="9" t="str">
        <f>IFERROR(INDEX(T_CleanCustomers[Sales_Rep_ID],MATCH(B490,T_CleanCustomers[Customer_ID],0)),"Unmatched")</f>
        <v>REP007</v>
      </c>
      <c r="N490" s="9" t="str">
        <f>IFERROR(INDEX(T_CleanCustomers[Channel],MATCH(B490,T_CleanCustomers[Customer_ID],0)),"Unmatched")</f>
        <v>Direct Sales</v>
      </c>
      <c r="O490" s="9" t="str">
        <f>IFERROR(INDEX(T_CleanCustomers[Product],MATCH(B490,T_CleanCustomers[Customer_ID],0)),"Unmatched")</f>
        <v>EV Charge Card</v>
      </c>
      <c r="P490" s="9" t="str">
        <f>IFERROR(INDEX(T_CleanCustomers[Customer_Segment],MATCH(B490,T_CleanCustomers[Customer_ID],0)),"Unmatched")</f>
        <v>Mid-Market</v>
      </c>
    </row>
    <row r="491" spans="1:16" ht="15" customHeight="1" x14ac:dyDescent="0.2">
      <c r="A491" s="9" t="s">
        <v>1846</v>
      </c>
      <c r="B491" s="9" t="s">
        <v>94</v>
      </c>
      <c r="C491" s="9" t="b">
        <f>TRUE()</f>
        <v>1</v>
      </c>
      <c r="D491" s="10">
        <v>46003</v>
      </c>
      <c r="E491" s="10">
        <v>45992</v>
      </c>
      <c r="F491" s="9" t="s">
        <v>1423</v>
      </c>
      <c r="G491" s="11">
        <v>8186.35</v>
      </c>
      <c r="H491" s="11">
        <v>219.11</v>
      </c>
      <c r="I491" s="9" t="b">
        <f>TRUE()</f>
        <v>1</v>
      </c>
      <c r="J491" s="9" t="s">
        <v>1361</v>
      </c>
      <c r="K491" s="11">
        <v>219.11</v>
      </c>
      <c r="L491" s="9" t="s">
        <v>21</v>
      </c>
      <c r="M491" s="9" t="str">
        <f>IFERROR(INDEX(T_CleanCustomers[Sales_Rep_ID],MATCH(B491,T_CleanCustomers[Customer_ID],0)),"Unmatched")</f>
        <v>REP007</v>
      </c>
      <c r="N491" s="9" t="str">
        <f>IFERROR(INDEX(T_CleanCustomers[Channel],MATCH(B491,T_CleanCustomers[Customer_ID],0)),"Unmatched")</f>
        <v>Direct Sales</v>
      </c>
      <c r="O491" s="9" t="str">
        <f>IFERROR(INDEX(T_CleanCustomers[Product],MATCH(B491,T_CleanCustomers[Customer_ID],0)),"Unmatched")</f>
        <v>EV Charge Card</v>
      </c>
      <c r="P491" s="9" t="str">
        <f>IFERROR(INDEX(T_CleanCustomers[Customer_Segment],MATCH(B491,T_CleanCustomers[Customer_ID],0)),"Unmatched")</f>
        <v>Mid-Market</v>
      </c>
    </row>
    <row r="492" spans="1:16" ht="15" customHeight="1" x14ac:dyDescent="0.2">
      <c r="A492" s="9" t="s">
        <v>1847</v>
      </c>
      <c r="B492" s="9" t="s">
        <v>94</v>
      </c>
      <c r="C492" s="9" t="b">
        <f>TRUE()</f>
        <v>1</v>
      </c>
      <c r="D492" s="10">
        <v>46017</v>
      </c>
      <c r="E492" s="10">
        <v>45992</v>
      </c>
      <c r="F492" s="9" t="s">
        <v>1423</v>
      </c>
      <c r="G492" s="11">
        <v>13199.5</v>
      </c>
      <c r="H492" s="11">
        <v>439.86</v>
      </c>
      <c r="I492" s="9" t="b">
        <f>TRUE()</f>
        <v>1</v>
      </c>
      <c r="J492" s="9" t="s">
        <v>1361</v>
      </c>
      <c r="K492" s="11">
        <v>439.86</v>
      </c>
      <c r="L492" s="9" t="s">
        <v>21</v>
      </c>
      <c r="M492" s="9" t="str">
        <f>IFERROR(INDEX(T_CleanCustomers[Sales_Rep_ID],MATCH(B492,T_CleanCustomers[Customer_ID],0)),"Unmatched")</f>
        <v>REP007</v>
      </c>
      <c r="N492" s="9" t="str">
        <f>IFERROR(INDEX(T_CleanCustomers[Channel],MATCH(B492,T_CleanCustomers[Customer_ID],0)),"Unmatched")</f>
        <v>Direct Sales</v>
      </c>
      <c r="O492" s="9" t="str">
        <f>IFERROR(INDEX(T_CleanCustomers[Product],MATCH(B492,T_CleanCustomers[Customer_ID],0)),"Unmatched")</f>
        <v>EV Charge Card</v>
      </c>
      <c r="P492" s="9" t="str">
        <f>IFERROR(INDEX(T_CleanCustomers[Customer_Segment],MATCH(B492,T_CleanCustomers[Customer_ID],0)),"Unmatched")</f>
        <v>Mid-Market</v>
      </c>
    </row>
    <row r="493" spans="1:16" ht="15" customHeight="1" x14ac:dyDescent="0.2">
      <c r="A493" s="9" t="s">
        <v>1848</v>
      </c>
      <c r="B493" s="9" t="s">
        <v>94</v>
      </c>
      <c r="C493" s="9" t="b">
        <f>TRUE()</f>
        <v>1</v>
      </c>
      <c r="D493" s="10">
        <v>46022</v>
      </c>
      <c r="E493" s="10">
        <v>45992</v>
      </c>
      <c r="F493" s="9" t="s">
        <v>1423</v>
      </c>
      <c r="G493" s="11">
        <v>13291.54</v>
      </c>
      <c r="H493" s="11">
        <v>429.22</v>
      </c>
      <c r="I493" s="9" t="b">
        <f>TRUE()</f>
        <v>1</v>
      </c>
      <c r="J493" s="9" t="s">
        <v>1361</v>
      </c>
      <c r="K493" s="11">
        <v>429.22</v>
      </c>
      <c r="L493" s="9" t="s">
        <v>21</v>
      </c>
      <c r="M493" s="9" t="str">
        <f>IFERROR(INDEX(T_CleanCustomers[Sales_Rep_ID],MATCH(B493,T_CleanCustomers[Customer_ID],0)),"Unmatched")</f>
        <v>REP007</v>
      </c>
      <c r="N493" s="9" t="str">
        <f>IFERROR(INDEX(T_CleanCustomers[Channel],MATCH(B493,T_CleanCustomers[Customer_ID],0)),"Unmatched")</f>
        <v>Direct Sales</v>
      </c>
      <c r="O493" s="9" t="str">
        <f>IFERROR(INDEX(T_CleanCustomers[Product],MATCH(B493,T_CleanCustomers[Customer_ID],0)),"Unmatched")</f>
        <v>EV Charge Card</v>
      </c>
      <c r="P493" s="9" t="str">
        <f>IFERROR(INDEX(T_CleanCustomers[Customer_Segment],MATCH(B493,T_CleanCustomers[Customer_ID],0)),"Unmatched")</f>
        <v>Mid-Market</v>
      </c>
    </row>
    <row r="494" spans="1:16" ht="15" customHeight="1" x14ac:dyDescent="0.2">
      <c r="A494" s="9" t="s">
        <v>1849</v>
      </c>
      <c r="B494" s="9" t="s">
        <v>1205</v>
      </c>
      <c r="C494" s="9" t="b">
        <f>TRUE()</f>
        <v>1</v>
      </c>
      <c r="D494" s="10">
        <v>45922</v>
      </c>
      <c r="E494" s="10">
        <v>45901</v>
      </c>
      <c r="F494" s="9" t="s">
        <v>1373</v>
      </c>
      <c r="G494" s="11">
        <v>50811.839999999997</v>
      </c>
      <c r="H494" s="11">
        <v>819.83</v>
      </c>
      <c r="I494" s="9" t="b">
        <f>TRUE()</f>
        <v>1</v>
      </c>
      <c r="J494" s="9" t="s">
        <v>1361</v>
      </c>
      <c r="K494" s="11">
        <v>819.83</v>
      </c>
      <c r="L494" s="9" t="s">
        <v>20</v>
      </c>
      <c r="M494" s="9" t="str">
        <f>IFERROR(INDEX(T_CleanCustomers[Sales_Rep_ID],MATCH(B494,T_CleanCustomers[Customer_ID],0)),"Unmatched")</f>
        <v>REP001</v>
      </c>
      <c r="N494" s="9" t="str">
        <f>IFERROR(INDEX(T_CleanCustomers[Channel],MATCH(B494,T_CleanCustomers[Customer_ID],0)),"Unmatched")</f>
        <v>Digital</v>
      </c>
      <c r="O494" s="9" t="str">
        <f>IFERROR(INDEX(T_CleanCustomers[Product],MATCH(B494,T_CleanCustomers[Customer_ID],0)),"Unmatched")</f>
        <v>Toll Solution</v>
      </c>
      <c r="P494" s="9" t="str">
        <f>IFERROR(INDEX(T_CleanCustomers[Customer_Segment],MATCH(B494,T_CleanCustomers[Customer_ID],0)),"Unmatched")</f>
        <v>Enterprise</v>
      </c>
    </row>
    <row r="495" spans="1:16" ht="15" customHeight="1" x14ac:dyDescent="0.2">
      <c r="A495" s="9" t="s">
        <v>1850</v>
      </c>
      <c r="B495" s="9" t="s">
        <v>1205</v>
      </c>
      <c r="C495" s="9" t="b">
        <f>TRUE()</f>
        <v>1</v>
      </c>
      <c r="D495" s="10">
        <v>45921</v>
      </c>
      <c r="E495" s="10">
        <v>45901</v>
      </c>
      <c r="F495" s="9" t="s">
        <v>1373</v>
      </c>
      <c r="G495" s="11">
        <v>51230.75</v>
      </c>
      <c r="H495" s="11">
        <v>1054.3</v>
      </c>
      <c r="I495" s="9" t="b">
        <f>TRUE()</f>
        <v>1</v>
      </c>
      <c r="J495" s="9" t="s">
        <v>1361</v>
      </c>
      <c r="K495" s="11">
        <v>1054.3</v>
      </c>
      <c r="L495" s="9" t="s">
        <v>20</v>
      </c>
      <c r="M495" s="9" t="str">
        <f>IFERROR(INDEX(T_CleanCustomers[Sales_Rep_ID],MATCH(B495,T_CleanCustomers[Customer_ID],0)),"Unmatched")</f>
        <v>REP001</v>
      </c>
      <c r="N495" s="9" t="str">
        <f>IFERROR(INDEX(T_CleanCustomers[Channel],MATCH(B495,T_CleanCustomers[Customer_ID],0)),"Unmatched")</f>
        <v>Digital</v>
      </c>
      <c r="O495" s="9" t="str">
        <f>IFERROR(INDEX(T_CleanCustomers[Product],MATCH(B495,T_CleanCustomers[Customer_ID],0)),"Unmatched")</f>
        <v>Toll Solution</v>
      </c>
      <c r="P495" s="9" t="str">
        <f>IFERROR(INDEX(T_CleanCustomers[Customer_Segment],MATCH(B495,T_CleanCustomers[Customer_ID],0)),"Unmatched")</f>
        <v>Enterprise</v>
      </c>
    </row>
    <row r="496" spans="1:16" ht="15" customHeight="1" x14ac:dyDescent="0.2">
      <c r="A496" s="9" t="s">
        <v>1851</v>
      </c>
      <c r="B496" s="9" t="s">
        <v>1205</v>
      </c>
      <c r="C496" s="9" t="b">
        <f>TRUE()</f>
        <v>1</v>
      </c>
      <c r="D496" s="10">
        <v>45920</v>
      </c>
      <c r="E496" s="10">
        <v>45901</v>
      </c>
      <c r="F496" s="9" t="s">
        <v>1373</v>
      </c>
      <c r="G496" s="11">
        <v>17204.93</v>
      </c>
      <c r="H496" s="11">
        <v>304.27999999999997</v>
      </c>
      <c r="I496" s="9" t="b">
        <f>TRUE()</f>
        <v>1</v>
      </c>
      <c r="J496" s="9" t="s">
        <v>1361</v>
      </c>
      <c r="K496" s="11">
        <v>304.27999999999997</v>
      </c>
      <c r="L496" s="9" t="s">
        <v>20</v>
      </c>
      <c r="M496" s="9" t="str">
        <f>IFERROR(INDEX(T_CleanCustomers[Sales_Rep_ID],MATCH(B496,T_CleanCustomers[Customer_ID],0)),"Unmatched")</f>
        <v>REP001</v>
      </c>
      <c r="N496" s="9" t="str">
        <f>IFERROR(INDEX(T_CleanCustomers[Channel],MATCH(B496,T_CleanCustomers[Customer_ID],0)),"Unmatched")</f>
        <v>Digital</v>
      </c>
      <c r="O496" s="9" t="str">
        <f>IFERROR(INDEX(T_CleanCustomers[Product],MATCH(B496,T_CleanCustomers[Customer_ID],0)),"Unmatched")</f>
        <v>Toll Solution</v>
      </c>
      <c r="P496" s="9" t="str">
        <f>IFERROR(INDEX(T_CleanCustomers[Customer_Segment],MATCH(B496,T_CleanCustomers[Customer_ID],0)),"Unmatched")</f>
        <v>Enterprise</v>
      </c>
    </row>
    <row r="497" spans="1:16" ht="15" customHeight="1" x14ac:dyDescent="0.2">
      <c r="A497" s="9" t="s">
        <v>1852</v>
      </c>
      <c r="B497" s="9" t="s">
        <v>1205</v>
      </c>
      <c r="C497" s="9" t="b">
        <f>TRUE()</f>
        <v>1</v>
      </c>
      <c r="D497" s="10">
        <v>45950</v>
      </c>
      <c r="E497" s="10">
        <v>45931</v>
      </c>
      <c r="F497" s="9" t="s">
        <v>1373</v>
      </c>
      <c r="G497" s="11">
        <v>30496.7</v>
      </c>
      <c r="H497" s="11">
        <v>598.75</v>
      </c>
      <c r="I497" s="9" t="b">
        <f>TRUE()</f>
        <v>1</v>
      </c>
      <c r="J497" s="9" t="s">
        <v>1361</v>
      </c>
      <c r="K497" s="11">
        <v>598.75</v>
      </c>
      <c r="L497" s="9" t="s">
        <v>20</v>
      </c>
      <c r="M497" s="9" t="str">
        <f>IFERROR(INDEX(T_CleanCustomers[Sales_Rep_ID],MATCH(B497,T_CleanCustomers[Customer_ID],0)),"Unmatched")</f>
        <v>REP001</v>
      </c>
      <c r="N497" s="9" t="str">
        <f>IFERROR(INDEX(T_CleanCustomers[Channel],MATCH(B497,T_CleanCustomers[Customer_ID],0)),"Unmatched")</f>
        <v>Digital</v>
      </c>
      <c r="O497" s="9" t="str">
        <f>IFERROR(INDEX(T_CleanCustomers[Product],MATCH(B497,T_CleanCustomers[Customer_ID],0)),"Unmatched")</f>
        <v>Toll Solution</v>
      </c>
      <c r="P497" s="9" t="str">
        <f>IFERROR(INDEX(T_CleanCustomers[Customer_Segment],MATCH(B497,T_CleanCustomers[Customer_ID],0)),"Unmatched")</f>
        <v>Enterprise</v>
      </c>
    </row>
    <row r="498" spans="1:16" ht="15" customHeight="1" x14ac:dyDescent="0.2">
      <c r="A498" s="9" t="s">
        <v>1853</v>
      </c>
      <c r="B498" s="9" t="s">
        <v>1205</v>
      </c>
      <c r="C498" s="9" t="b">
        <f>TRUE()</f>
        <v>1</v>
      </c>
      <c r="D498" s="10">
        <v>45949</v>
      </c>
      <c r="E498" s="10">
        <v>45931</v>
      </c>
      <c r="F498" s="9" t="s">
        <v>1373</v>
      </c>
      <c r="G498" s="11">
        <v>60094.64</v>
      </c>
      <c r="H498" s="11">
        <v>1054.57</v>
      </c>
      <c r="I498" s="9" t="b">
        <f>TRUE()</f>
        <v>1</v>
      </c>
      <c r="J498" s="9" t="s">
        <v>1361</v>
      </c>
      <c r="K498" s="11">
        <v>1054.57</v>
      </c>
      <c r="L498" s="9" t="s">
        <v>20</v>
      </c>
      <c r="M498" s="9" t="str">
        <f>IFERROR(INDEX(T_CleanCustomers[Sales_Rep_ID],MATCH(B498,T_CleanCustomers[Customer_ID],0)),"Unmatched")</f>
        <v>REP001</v>
      </c>
      <c r="N498" s="9" t="str">
        <f>IFERROR(INDEX(T_CleanCustomers[Channel],MATCH(B498,T_CleanCustomers[Customer_ID],0)),"Unmatched")</f>
        <v>Digital</v>
      </c>
      <c r="O498" s="9" t="str">
        <f>IFERROR(INDEX(T_CleanCustomers[Product],MATCH(B498,T_CleanCustomers[Customer_ID],0)),"Unmatched")</f>
        <v>Toll Solution</v>
      </c>
      <c r="P498" s="9" t="str">
        <f>IFERROR(INDEX(T_CleanCustomers[Customer_Segment],MATCH(B498,T_CleanCustomers[Customer_ID],0)),"Unmatched")</f>
        <v>Enterprise</v>
      </c>
    </row>
    <row r="499" spans="1:16" ht="15" customHeight="1" x14ac:dyDescent="0.2">
      <c r="A499" s="9" t="s">
        <v>1854</v>
      </c>
      <c r="B499" s="9" t="s">
        <v>1205</v>
      </c>
      <c r="C499" s="9" t="b">
        <f>TRUE()</f>
        <v>1</v>
      </c>
      <c r="D499" s="10">
        <v>45953</v>
      </c>
      <c r="E499" s="10">
        <v>45931</v>
      </c>
      <c r="F499" s="9" t="s">
        <v>1373</v>
      </c>
      <c r="G499" s="11">
        <v>34451.21</v>
      </c>
      <c r="H499" s="11">
        <v>0</v>
      </c>
      <c r="I499" s="9" t="b">
        <f>TRUE()</f>
        <v>1</v>
      </c>
      <c r="J499" s="9" t="s">
        <v>1408</v>
      </c>
      <c r="K499" s="11">
        <v>0</v>
      </c>
      <c r="L499" s="9" t="s">
        <v>20</v>
      </c>
      <c r="M499" s="9" t="str">
        <f>IFERROR(INDEX(T_CleanCustomers[Sales_Rep_ID],MATCH(B499,T_CleanCustomers[Customer_ID],0)),"Unmatched")</f>
        <v>REP001</v>
      </c>
      <c r="N499" s="9" t="str">
        <f>IFERROR(INDEX(T_CleanCustomers[Channel],MATCH(B499,T_CleanCustomers[Customer_ID],0)),"Unmatched")</f>
        <v>Digital</v>
      </c>
      <c r="O499" s="9" t="str">
        <f>IFERROR(INDEX(T_CleanCustomers[Product],MATCH(B499,T_CleanCustomers[Customer_ID],0)),"Unmatched")</f>
        <v>Toll Solution</v>
      </c>
      <c r="P499" s="9" t="str">
        <f>IFERROR(INDEX(T_CleanCustomers[Customer_Segment],MATCH(B499,T_CleanCustomers[Customer_ID],0)),"Unmatched")</f>
        <v>Enterprise</v>
      </c>
    </row>
    <row r="500" spans="1:16" ht="15" customHeight="1" x14ac:dyDescent="0.2">
      <c r="A500" s="9" t="s">
        <v>1855</v>
      </c>
      <c r="B500" s="9" t="s">
        <v>1205</v>
      </c>
      <c r="C500" s="9" t="b">
        <f>TRUE()</f>
        <v>1</v>
      </c>
      <c r="D500" s="10">
        <v>45973</v>
      </c>
      <c r="E500" s="10">
        <v>45962</v>
      </c>
      <c r="F500" s="9" t="s">
        <v>1373</v>
      </c>
      <c r="G500" s="11">
        <v>38026.28</v>
      </c>
      <c r="H500" s="11">
        <v>740.06</v>
      </c>
      <c r="I500" s="9" t="b">
        <f>TRUE()</f>
        <v>1</v>
      </c>
      <c r="J500" s="9" t="s">
        <v>1361</v>
      </c>
      <c r="K500" s="11">
        <v>740.06</v>
      </c>
      <c r="L500" s="9" t="s">
        <v>20</v>
      </c>
      <c r="M500" s="9" t="str">
        <f>IFERROR(INDEX(T_CleanCustomers[Sales_Rep_ID],MATCH(B500,T_CleanCustomers[Customer_ID],0)),"Unmatched")</f>
        <v>REP001</v>
      </c>
      <c r="N500" s="9" t="str">
        <f>IFERROR(INDEX(T_CleanCustomers[Channel],MATCH(B500,T_CleanCustomers[Customer_ID],0)),"Unmatched")</f>
        <v>Digital</v>
      </c>
      <c r="O500" s="9" t="str">
        <f>IFERROR(INDEX(T_CleanCustomers[Product],MATCH(B500,T_CleanCustomers[Customer_ID],0)),"Unmatched")</f>
        <v>Toll Solution</v>
      </c>
      <c r="P500" s="9" t="str">
        <f>IFERROR(INDEX(T_CleanCustomers[Customer_Segment],MATCH(B500,T_CleanCustomers[Customer_ID],0)),"Unmatched")</f>
        <v>Enterprise</v>
      </c>
    </row>
    <row r="501" spans="1:16" ht="15" customHeight="1" x14ac:dyDescent="0.2">
      <c r="A501" s="9" t="s">
        <v>1856</v>
      </c>
      <c r="B501" s="9" t="s">
        <v>1205</v>
      </c>
      <c r="C501" s="9" t="b">
        <f>TRUE()</f>
        <v>1</v>
      </c>
      <c r="D501" s="10">
        <v>45977</v>
      </c>
      <c r="E501" s="10">
        <v>45962</v>
      </c>
      <c r="F501" s="9" t="s">
        <v>1373</v>
      </c>
      <c r="G501" s="11">
        <v>55032.35</v>
      </c>
      <c r="H501" s="11">
        <v>944.3</v>
      </c>
      <c r="I501" s="9" t="b">
        <f>TRUE()</f>
        <v>1</v>
      </c>
      <c r="J501" s="9" t="s">
        <v>1361</v>
      </c>
      <c r="K501" s="11">
        <v>944.3</v>
      </c>
      <c r="L501" s="9" t="s">
        <v>20</v>
      </c>
      <c r="M501" s="9" t="str">
        <f>IFERROR(INDEX(T_CleanCustomers[Sales_Rep_ID],MATCH(B501,T_CleanCustomers[Customer_ID],0)),"Unmatched")</f>
        <v>REP001</v>
      </c>
      <c r="N501" s="9" t="str">
        <f>IFERROR(INDEX(T_CleanCustomers[Channel],MATCH(B501,T_CleanCustomers[Customer_ID],0)),"Unmatched")</f>
        <v>Digital</v>
      </c>
      <c r="O501" s="9" t="str">
        <f>IFERROR(INDEX(T_CleanCustomers[Product],MATCH(B501,T_CleanCustomers[Customer_ID],0)),"Unmatched")</f>
        <v>Toll Solution</v>
      </c>
      <c r="P501" s="9" t="str">
        <f>IFERROR(INDEX(T_CleanCustomers[Customer_Segment],MATCH(B501,T_CleanCustomers[Customer_ID],0)),"Unmatched")</f>
        <v>Enterprise</v>
      </c>
    </row>
    <row r="502" spans="1:16" ht="15" customHeight="1" x14ac:dyDescent="0.2">
      <c r="A502" s="9" t="s">
        <v>1857</v>
      </c>
      <c r="B502" s="9" t="s">
        <v>1205</v>
      </c>
      <c r="C502" s="9" t="b">
        <f>TRUE()</f>
        <v>1</v>
      </c>
      <c r="D502" s="10">
        <v>46020</v>
      </c>
      <c r="E502" s="10">
        <v>45992</v>
      </c>
      <c r="F502" s="9" t="s">
        <v>1373</v>
      </c>
      <c r="G502" s="11">
        <v>15581.21</v>
      </c>
      <c r="H502" s="11">
        <v>308.11</v>
      </c>
      <c r="I502" s="9" t="b">
        <f>TRUE()</f>
        <v>1</v>
      </c>
      <c r="J502" s="9" t="s">
        <v>1361</v>
      </c>
      <c r="K502" s="11">
        <v>308.11</v>
      </c>
      <c r="L502" s="9" t="s">
        <v>20</v>
      </c>
      <c r="M502" s="9" t="str">
        <f>IFERROR(INDEX(T_CleanCustomers[Sales_Rep_ID],MATCH(B502,T_CleanCustomers[Customer_ID],0)),"Unmatched")</f>
        <v>REP001</v>
      </c>
      <c r="N502" s="9" t="str">
        <f>IFERROR(INDEX(T_CleanCustomers[Channel],MATCH(B502,T_CleanCustomers[Customer_ID],0)),"Unmatched")</f>
        <v>Digital</v>
      </c>
      <c r="O502" s="9" t="str">
        <f>IFERROR(INDEX(T_CleanCustomers[Product],MATCH(B502,T_CleanCustomers[Customer_ID],0)),"Unmatched")</f>
        <v>Toll Solution</v>
      </c>
      <c r="P502" s="9" t="str">
        <f>IFERROR(INDEX(T_CleanCustomers[Customer_Segment],MATCH(B502,T_CleanCustomers[Customer_ID],0)),"Unmatched")</f>
        <v>Enterprise</v>
      </c>
    </row>
    <row r="503" spans="1:16" ht="15" customHeight="1" x14ac:dyDescent="0.2">
      <c r="A503" s="9" t="s">
        <v>1858</v>
      </c>
      <c r="B503" s="9" t="s">
        <v>1205</v>
      </c>
      <c r="C503" s="9" t="b">
        <f>TRUE()</f>
        <v>1</v>
      </c>
      <c r="D503" s="10">
        <v>45919</v>
      </c>
      <c r="E503" s="10">
        <v>45901</v>
      </c>
      <c r="F503" s="9" t="s">
        <v>1373</v>
      </c>
      <c r="G503" s="11">
        <v>20638.63</v>
      </c>
      <c r="H503" s="11">
        <v>375.81</v>
      </c>
      <c r="I503" s="9" t="b">
        <f>TRUE()</f>
        <v>1</v>
      </c>
      <c r="J503" s="9" t="s">
        <v>1361</v>
      </c>
      <c r="K503" s="11">
        <v>375.81</v>
      </c>
      <c r="L503" s="9" t="s">
        <v>20</v>
      </c>
      <c r="M503" s="9" t="str">
        <f>IFERROR(INDEX(T_CleanCustomers[Sales_Rep_ID],MATCH(B503,T_CleanCustomers[Customer_ID],0)),"Unmatched")</f>
        <v>REP001</v>
      </c>
      <c r="N503" s="9" t="str">
        <f>IFERROR(INDEX(T_CleanCustomers[Channel],MATCH(B503,T_CleanCustomers[Customer_ID],0)),"Unmatched")</f>
        <v>Digital</v>
      </c>
      <c r="O503" s="9" t="str">
        <f>IFERROR(INDEX(T_CleanCustomers[Product],MATCH(B503,T_CleanCustomers[Customer_ID],0)),"Unmatched")</f>
        <v>Toll Solution</v>
      </c>
      <c r="P503" s="9" t="str">
        <f>IFERROR(INDEX(T_CleanCustomers[Customer_Segment],MATCH(B503,T_CleanCustomers[Customer_ID],0)),"Unmatched")</f>
        <v>Enterprise</v>
      </c>
    </row>
    <row r="504" spans="1:16" ht="15" customHeight="1" x14ac:dyDescent="0.2">
      <c r="A504" s="9" t="s">
        <v>1859</v>
      </c>
      <c r="B504" s="9" t="s">
        <v>1205</v>
      </c>
      <c r="C504" s="9" t="b">
        <f>TRUE()</f>
        <v>1</v>
      </c>
      <c r="D504" s="10">
        <v>46014</v>
      </c>
      <c r="E504" s="10">
        <v>45992</v>
      </c>
      <c r="F504" s="9" t="s">
        <v>1373</v>
      </c>
      <c r="G504" s="11">
        <v>57371.63</v>
      </c>
      <c r="H504" s="11">
        <v>906.23</v>
      </c>
      <c r="I504" s="9" t="b">
        <f>TRUE()</f>
        <v>1</v>
      </c>
      <c r="J504" s="9" t="s">
        <v>1361</v>
      </c>
      <c r="K504" s="11">
        <v>906.23</v>
      </c>
      <c r="L504" s="9" t="s">
        <v>20</v>
      </c>
      <c r="M504" s="9" t="str">
        <f>IFERROR(INDEX(T_CleanCustomers[Sales_Rep_ID],MATCH(B504,T_CleanCustomers[Customer_ID],0)),"Unmatched")</f>
        <v>REP001</v>
      </c>
      <c r="N504" s="9" t="str">
        <f>IFERROR(INDEX(T_CleanCustomers[Channel],MATCH(B504,T_CleanCustomers[Customer_ID],0)),"Unmatched")</f>
        <v>Digital</v>
      </c>
      <c r="O504" s="9" t="str">
        <f>IFERROR(INDEX(T_CleanCustomers[Product],MATCH(B504,T_CleanCustomers[Customer_ID],0)),"Unmatched")</f>
        <v>Toll Solution</v>
      </c>
      <c r="P504" s="9" t="str">
        <f>IFERROR(INDEX(T_CleanCustomers[Customer_Segment],MATCH(B504,T_CleanCustomers[Customer_ID],0)),"Unmatched")</f>
        <v>Enterprise</v>
      </c>
    </row>
    <row r="505" spans="1:16" ht="15" customHeight="1" x14ac:dyDescent="0.2">
      <c r="A505" s="9" t="s">
        <v>1860</v>
      </c>
      <c r="B505" s="9" t="s">
        <v>1206</v>
      </c>
      <c r="C505" s="9" t="b">
        <f>TRUE()</f>
        <v>1</v>
      </c>
      <c r="D505" s="10">
        <v>45712</v>
      </c>
      <c r="E505" s="10">
        <v>45689</v>
      </c>
      <c r="F505" s="9" t="s">
        <v>1360</v>
      </c>
      <c r="G505" s="11">
        <v>1813.01</v>
      </c>
      <c r="H505" s="11">
        <v>43.26</v>
      </c>
      <c r="I505" s="9" t="b">
        <f>TRUE()</f>
        <v>1</v>
      </c>
      <c r="J505" s="9" t="s">
        <v>1361</v>
      </c>
      <c r="K505" s="11">
        <v>43.26</v>
      </c>
      <c r="L505" s="9" t="s">
        <v>19</v>
      </c>
      <c r="M505" s="9" t="str">
        <f>IFERROR(INDEX(T_CleanCustomers[Sales_Rep_ID],MATCH(B505,T_CleanCustomers[Customer_ID],0)),"Unmatched")</f>
        <v>REP013</v>
      </c>
      <c r="N505" s="9" t="str">
        <f>IFERROR(INDEX(T_CleanCustomers[Channel],MATCH(B505,T_CleanCustomers[Customer_ID],0)),"Unmatched")</f>
        <v>Referral</v>
      </c>
      <c r="O505" s="9" t="str">
        <f>IFERROR(INDEX(T_CleanCustomers[Product],MATCH(B505,T_CleanCustomers[Customer_ID],0)),"Unmatched")</f>
        <v>Fuel Card</v>
      </c>
      <c r="P505" s="9" t="str">
        <f>IFERROR(INDEX(T_CleanCustomers[Customer_Segment],MATCH(B505,T_CleanCustomers[Customer_ID],0)),"Unmatched")</f>
        <v>SME</v>
      </c>
    </row>
    <row r="506" spans="1:16" ht="15" customHeight="1" x14ac:dyDescent="0.2">
      <c r="A506" s="9" t="s">
        <v>1861</v>
      </c>
      <c r="B506" s="9" t="s">
        <v>1206</v>
      </c>
      <c r="C506" s="9" t="b">
        <f>TRUE()</f>
        <v>1</v>
      </c>
      <c r="D506" s="10">
        <v>45717</v>
      </c>
      <c r="E506" s="10">
        <v>45717</v>
      </c>
      <c r="F506" s="9" t="s">
        <v>1360</v>
      </c>
      <c r="G506" s="11">
        <v>1286.73</v>
      </c>
      <c r="H506" s="11">
        <v>36.159999999999997</v>
      </c>
      <c r="I506" s="9" t="b">
        <f>TRUE()</f>
        <v>1</v>
      </c>
      <c r="J506" s="9" t="s">
        <v>1361</v>
      </c>
      <c r="K506" s="11">
        <v>36.159999999999997</v>
      </c>
      <c r="L506" s="9" t="s">
        <v>19</v>
      </c>
      <c r="M506" s="9" t="str">
        <f>IFERROR(INDEX(T_CleanCustomers[Sales_Rep_ID],MATCH(B506,T_CleanCustomers[Customer_ID],0)),"Unmatched")</f>
        <v>REP013</v>
      </c>
      <c r="N506" s="9" t="str">
        <f>IFERROR(INDEX(T_CleanCustomers[Channel],MATCH(B506,T_CleanCustomers[Customer_ID],0)),"Unmatched")</f>
        <v>Referral</v>
      </c>
      <c r="O506" s="9" t="str">
        <f>IFERROR(INDEX(T_CleanCustomers[Product],MATCH(B506,T_CleanCustomers[Customer_ID],0)),"Unmatched")</f>
        <v>Fuel Card</v>
      </c>
      <c r="P506" s="9" t="str">
        <f>IFERROR(INDEX(T_CleanCustomers[Customer_Segment],MATCH(B506,T_CleanCustomers[Customer_ID],0)),"Unmatched")</f>
        <v>SME</v>
      </c>
    </row>
    <row r="507" spans="1:16" ht="15" customHeight="1" x14ac:dyDescent="0.2">
      <c r="A507" s="9" t="s">
        <v>1862</v>
      </c>
      <c r="B507" s="9" t="s">
        <v>1206</v>
      </c>
      <c r="C507" s="9" t="b">
        <f>TRUE()</f>
        <v>1</v>
      </c>
      <c r="D507" s="10">
        <v>45738</v>
      </c>
      <c r="E507" s="10">
        <v>45717</v>
      </c>
      <c r="F507" s="9" t="s">
        <v>1360</v>
      </c>
      <c r="G507" s="11">
        <v>1494.65</v>
      </c>
      <c r="H507" s="11">
        <v>42.8</v>
      </c>
      <c r="I507" s="9" t="b">
        <f>TRUE()</f>
        <v>1</v>
      </c>
      <c r="J507" s="9" t="s">
        <v>1361</v>
      </c>
      <c r="K507" s="11">
        <v>42.8</v>
      </c>
      <c r="L507" s="9" t="s">
        <v>19</v>
      </c>
      <c r="M507" s="9" t="str">
        <f>IFERROR(INDEX(T_CleanCustomers[Sales_Rep_ID],MATCH(B507,T_CleanCustomers[Customer_ID],0)),"Unmatched")</f>
        <v>REP013</v>
      </c>
      <c r="N507" s="9" t="str">
        <f>IFERROR(INDEX(T_CleanCustomers[Channel],MATCH(B507,T_CleanCustomers[Customer_ID],0)),"Unmatched")</f>
        <v>Referral</v>
      </c>
      <c r="O507" s="9" t="str">
        <f>IFERROR(INDEX(T_CleanCustomers[Product],MATCH(B507,T_CleanCustomers[Customer_ID],0)),"Unmatched")</f>
        <v>Fuel Card</v>
      </c>
      <c r="P507" s="9" t="str">
        <f>IFERROR(INDEX(T_CleanCustomers[Customer_Segment],MATCH(B507,T_CleanCustomers[Customer_ID],0)),"Unmatched")</f>
        <v>SME</v>
      </c>
    </row>
    <row r="508" spans="1:16" ht="15" customHeight="1" x14ac:dyDescent="0.2">
      <c r="A508" s="9" t="s">
        <v>1863</v>
      </c>
      <c r="B508" s="9" t="s">
        <v>1206</v>
      </c>
      <c r="C508" s="9" t="b">
        <f>TRUE()</f>
        <v>1</v>
      </c>
      <c r="D508" s="10">
        <v>45738</v>
      </c>
      <c r="E508" s="10">
        <v>45717</v>
      </c>
      <c r="F508" s="9" t="s">
        <v>1360</v>
      </c>
      <c r="G508" s="11">
        <v>4232.7700000000004</v>
      </c>
      <c r="H508" s="11">
        <v>102.27</v>
      </c>
      <c r="I508" s="9" t="b">
        <f>TRUE()</f>
        <v>1</v>
      </c>
      <c r="J508" s="9" t="s">
        <v>1361</v>
      </c>
      <c r="K508" s="11">
        <v>102.27</v>
      </c>
      <c r="L508" s="9" t="s">
        <v>19</v>
      </c>
      <c r="M508" s="9" t="str">
        <f>IFERROR(INDEX(T_CleanCustomers[Sales_Rep_ID],MATCH(B508,T_CleanCustomers[Customer_ID],0)),"Unmatched")</f>
        <v>REP013</v>
      </c>
      <c r="N508" s="9" t="str">
        <f>IFERROR(INDEX(T_CleanCustomers[Channel],MATCH(B508,T_CleanCustomers[Customer_ID],0)),"Unmatched")</f>
        <v>Referral</v>
      </c>
      <c r="O508" s="9" t="str">
        <f>IFERROR(INDEX(T_CleanCustomers[Product],MATCH(B508,T_CleanCustomers[Customer_ID],0)),"Unmatched")</f>
        <v>Fuel Card</v>
      </c>
      <c r="P508" s="9" t="str">
        <f>IFERROR(INDEX(T_CleanCustomers[Customer_Segment],MATCH(B508,T_CleanCustomers[Customer_ID],0)),"Unmatched")</f>
        <v>SME</v>
      </c>
    </row>
    <row r="509" spans="1:16" ht="15" customHeight="1" x14ac:dyDescent="0.2">
      <c r="A509" s="9" t="s">
        <v>1864</v>
      </c>
      <c r="B509" s="9" t="s">
        <v>1206</v>
      </c>
      <c r="C509" s="9" t="b">
        <f>TRUE()</f>
        <v>1</v>
      </c>
      <c r="D509" s="10">
        <v>45753</v>
      </c>
      <c r="E509" s="10">
        <v>45748</v>
      </c>
      <c r="F509" s="9" t="s">
        <v>1360</v>
      </c>
      <c r="G509" s="11">
        <v>1734.55</v>
      </c>
      <c r="H509" s="11">
        <v>37.630000000000003</v>
      </c>
      <c r="I509" s="9" t="b">
        <f>TRUE()</f>
        <v>1</v>
      </c>
      <c r="J509" s="9" t="s">
        <v>1361</v>
      </c>
      <c r="K509" s="11">
        <v>37.630000000000003</v>
      </c>
      <c r="L509" s="9" t="s">
        <v>19</v>
      </c>
      <c r="M509" s="9" t="str">
        <f>IFERROR(INDEX(T_CleanCustomers[Sales_Rep_ID],MATCH(B509,T_CleanCustomers[Customer_ID],0)),"Unmatched")</f>
        <v>REP013</v>
      </c>
      <c r="N509" s="9" t="str">
        <f>IFERROR(INDEX(T_CleanCustomers[Channel],MATCH(B509,T_CleanCustomers[Customer_ID],0)),"Unmatched")</f>
        <v>Referral</v>
      </c>
      <c r="O509" s="9" t="str">
        <f>IFERROR(INDEX(T_CleanCustomers[Product],MATCH(B509,T_CleanCustomers[Customer_ID],0)),"Unmatched")</f>
        <v>Fuel Card</v>
      </c>
      <c r="P509" s="9" t="str">
        <f>IFERROR(INDEX(T_CleanCustomers[Customer_Segment],MATCH(B509,T_CleanCustomers[Customer_ID],0)),"Unmatched")</f>
        <v>SME</v>
      </c>
    </row>
    <row r="510" spans="1:16" ht="15" customHeight="1" x14ac:dyDescent="0.2">
      <c r="A510" s="9" t="s">
        <v>1865</v>
      </c>
      <c r="B510" s="9" t="s">
        <v>1206</v>
      </c>
      <c r="C510" s="9" t="b">
        <f>TRUE()</f>
        <v>1</v>
      </c>
      <c r="D510" s="10">
        <v>45769</v>
      </c>
      <c r="E510" s="10">
        <v>45748</v>
      </c>
      <c r="F510" s="9" t="s">
        <v>1360</v>
      </c>
      <c r="G510" s="11">
        <v>1701.39</v>
      </c>
      <c r="H510" s="11">
        <v>41.02</v>
      </c>
      <c r="I510" s="9" t="b">
        <f>TRUE()</f>
        <v>1</v>
      </c>
      <c r="J510" s="9" t="s">
        <v>1361</v>
      </c>
      <c r="K510" s="11">
        <v>41.02</v>
      </c>
      <c r="L510" s="9" t="s">
        <v>19</v>
      </c>
      <c r="M510" s="9" t="str">
        <f>IFERROR(INDEX(T_CleanCustomers[Sales_Rep_ID],MATCH(B510,T_CleanCustomers[Customer_ID],0)),"Unmatched")</f>
        <v>REP013</v>
      </c>
      <c r="N510" s="9" t="str">
        <f>IFERROR(INDEX(T_CleanCustomers[Channel],MATCH(B510,T_CleanCustomers[Customer_ID],0)),"Unmatched")</f>
        <v>Referral</v>
      </c>
      <c r="O510" s="9" t="str">
        <f>IFERROR(INDEX(T_CleanCustomers[Product],MATCH(B510,T_CleanCustomers[Customer_ID],0)),"Unmatched")</f>
        <v>Fuel Card</v>
      </c>
      <c r="P510" s="9" t="str">
        <f>IFERROR(INDEX(T_CleanCustomers[Customer_Segment],MATCH(B510,T_CleanCustomers[Customer_ID],0)),"Unmatched")</f>
        <v>SME</v>
      </c>
    </row>
    <row r="511" spans="1:16" ht="15" customHeight="1" x14ac:dyDescent="0.2">
      <c r="A511" s="9" t="s">
        <v>1866</v>
      </c>
      <c r="B511" s="9" t="s">
        <v>1206</v>
      </c>
      <c r="C511" s="9" t="b">
        <f>TRUE()</f>
        <v>1</v>
      </c>
      <c r="D511" s="10">
        <v>45759</v>
      </c>
      <c r="E511" s="10">
        <v>45748</v>
      </c>
      <c r="F511" s="9" t="s">
        <v>1360</v>
      </c>
      <c r="G511" s="11">
        <v>4325.62</v>
      </c>
      <c r="H511" s="11">
        <v>103.54</v>
      </c>
      <c r="I511" s="9" t="b">
        <f>TRUE()</f>
        <v>1</v>
      </c>
      <c r="J511" s="9" t="s">
        <v>1361</v>
      </c>
      <c r="K511" s="11">
        <v>103.54</v>
      </c>
      <c r="L511" s="9" t="s">
        <v>19</v>
      </c>
      <c r="M511" s="9" t="str">
        <f>IFERROR(INDEX(T_CleanCustomers[Sales_Rep_ID],MATCH(B511,T_CleanCustomers[Customer_ID],0)),"Unmatched")</f>
        <v>REP013</v>
      </c>
      <c r="N511" s="9" t="str">
        <f>IFERROR(INDEX(T_CleanCustomers[Channel],MATCH(B511,T_CleanCustomers[Customer_ID],0)),"Unmatched")</f>
        <v>Referral</v>
      </c>
      <c r="O511" s="9" t="str">
        <f>IFERROR(INDEX(T_CleanCustomers[Product],MATCH(B511,T_CleanCustomers[Customer_ID],0)),"Unmatched")</f>
        <v>Fuel Card</v>
      </c>
      <c r="P511" s="9" t="str">
        <f>IFERROR(INDEX(T_CleanCustomers[Customer_Segment],MATCH(B511,T_CleanCustomers[Customer_ID],0)),"Unmatched")</f>
        <v>SME</v>
      </c>
    </row>
    <row r="512" spans="1:16" ht="15" customHeight="1" x14ac:dyDescent="0.2">
      <c r="A512" s="9" t="s">
        <v>1867</v>
      </c>
      <c r="B512" s="9" t="s">
        <v>1206</v>
      </c>
      <c r="C512" s="9" t="b">
        <f>TRUE()</f>
        <v>1</v>
      </c>
      <c r="D512" s="10">
        <v>45780</v>
      </c>
      <c r="E512" s="10">
        <v>45778</v>
      </c>
      <c r="F512" s="9" t="s">
        <v>1360</v>
      </c>
      <c r="G512" s="11">
        <v>5144.8500000000004</v>
      </c>
      <c r="H512" s="11">
        <v>146.94</v>
      </c>
      <c r="I512" s="9" t="b">
        <f>TRUE()</f>
        <v>1</v>
      </c>
      <c r="J512" s="9" t="s">
        <v>1361</v>
      </c>
      <c r="K512" s="11">
        <v>146.94</v>
      </c>
      <c r="L512" s="9" t="s">
        <v>19</v>
      </c>
      <c r="M512" s="9" t="str">
        <f>IFERROR(INDEX(T_CleanCustomers[Sales_Rep_ID],MATCH(B512,T_CleanCustomers[Customer_ID],0)),"Unmatched")</f>
        <v>REP013</v>
      </c>
      <c r="N512" s="9" t="str">
        <f>IFERROR(INDEX(T_CleanCustomers[Channel],MATCH(B512,T_CleanCustomers[Customer_ID],0)),"Unmatched")</f>
        <v>Referral</v>
      </c>
      <c r="O512" s="9" t="str">
        <f>IFERROR(INDEX(T_CleanCustomers[Product],MATCH(B512,T_CleanCustomers[Customer_ID],0)),"Unmatched")</f>
        <v>Fuel Card</v>
      </c>
      <c r="P512" s="9" t="str">
        <f>IFERROR(INDEX(T_CleanCustomers[Customer_Segment],MATCH(B512,T_CleanCustomers[Customer_ID],0)),"Unmatched")</f>
        <v>SME</v>
      </c>
    </row>
    <row r="513" spans="1:16" ht="15" customHeight="1" x14ac:dyDescent="0.2">
      <c r="A513" s="9" t="s">
        <v>1868</v>
      </c>
      <c r="B513" s="9" t="s">
        <v>1206</v>
      </c>
      <c r="C513" s="9" t="b">
        <f>TRUE()</f>
        <v>1</v>
      </c>
      <c r="D513" s="10">
        <v>45838</v>
      </c>
      <c r="E513" s="10">
        <v>45809</v>
      </c>
      <c r="F513" s="9" t="s">
        <v>1360</v>
      </c>
      <c r="G513" s="11">
        <v>2512.96</v>
      </c>
      <c r="H513" s="11">
        <v>53.77</v>
      </c>
      <c r="I513" s="9" t="b">
        <f>TRUE()</f>
        <v>1</v>
      </c>
      <c r="J513" s="9" t="s">
        <v>1361</v>
      </c>
      <c r="K513" s="11">
        <v>53.77</v>
      </c>
      <c r="L513" s="9" t="s">
        <v>19</v>
      </c>
      <c r="M513" s="9" t="str">
        <f>IFERROR(INDEX(T_CleanCustomers[Sales_Rep_ID],MATCH(B513,T_CleanCustomers[Customer_ID],0)),"Unmatched")</f>
        <v>REP013</v>
      </c>
      <c r="N513" s="9" t="str">
        <f>IFERROR(INDEX(T_CleanCustomers[Channel],MATCH(B513,T_CleanCustomers[Customer_ID],0)),"Unmatched")</f>
        <v>Referral</v>
      </c>
      <c r="O513" s="9" t="str">
        <f>IFERROR(INDEX(T_CleanCustomers[Product],MATCH(B513,T_CleanCustomers[Customer_ID],0)),"Unmatched")</f>
        <v>Fuel Card</v>
      </c>
      <c r="P513" s="9" t="str">
        <f>IFERROR(INDEX(T_CleanCustomers[Customer_Segment],MATCH(B513,T_CleanCustomers[Customer_ID],0)),"Unmatched")</f>
        <v>SME</v>
      </c>
    </row>
    <row r="514" spans="1:16" ht="15" customHeight="1" x14ac:dyDescent="0.2">
      <c r="A514" s="9" t="s">
        <v>1869</v>
      </c>
      <c r="B514" s="9" t="s">
        <v>1206</v>
      </c>
      <c r="C514" s="9" t="b">
        <f>TRUE()</f>
        <v>1</v>
      </c>
      <c r="D514" s="10">
        <v>45846</v>
      </c>
      <c r="E514" s="10">
        <v>45839</v>
      </c>
      <c r="F514" s="9" t="s">
        <v>1360</v>
      </c>
      <c r="G514" s="11">
        <v>4768.4799999999996</v>
      </c>
      <c r="H514" s="11">
        <v>132.81</v>
      </c>
      <c r="I514" s="9" t="b">
        <f>TRUE()</f>
        <v>1</v>
      </c>
      <c r="J514" s="9" t="s">
        <v>1361</v>
      </c>
      <c r="K514" s="11">
        <v>132.81</v>
      </c>
      <c r="L514" s="9" t="s">
        <v>19</v>
      </c>
      <c r="M514" s="9" t="str">
        <f>IFERROR(INDEX(T_CleanCustomers[Sales_Rep_ID],MATCH(B514,T_CleanCustomers[Customer_ID],0)),"Unmatched")</f>
        <v>REP013</v>
      </c>
      <c r="N514" s="9" t="str">
        <f>IFERROR(INDEX(T_CleanCustomers[Channel],MATCH(B514,T_CleanCustomers[Customer_ID],0)),"Unmatched")</f>
        <v>Referral</v>
      </c>
      <c r="O514" s="9" t="str">
        <f>IFERROR(INDEX(T_CleanCustomers[Product],MATCH(B514,T_CleanCustomers[Customer_ID],0)),"Unmatched")</f>
        <v>Fuel Card</v>
      </c>
      <c r="P514" s="9" t="str">
        <f>IFERROR(INDEX(T_CleanCustomers[Customer_Segment],MATCH(B514,T_CleanCustomers[Customer_ID],0)),"Unmatched")</f>
        <v>SME</v>
      </c>
    </row>
    <row r="515" spans="1:16" ht="15" customHeight="1" x14ac:dyDescent="0.2">
      <c r="A515" s="9" t="s">
        <v>1870</v>
      </c>
      <c r="B515" s="9" t="s">
        <v>1206</v>
      </c>
      <c r="C515" s="9" t="b">
        <f>TRUE()</f>
        <v>1</v>
      </c>
      <c r="D515" s="10">
        <v>45858</v>
      </c>
      <c r="E515" s="10">
        <v>45839</v>
      </c>
      <c r="F515" s="9" t="s">
        <v>1360</v>
      </c>
      <c r="G515" s="11">
        <v>2455.89</v>
      </c>
      <c r="H515" s="11">
        <v>66.849999999999994</v>
      </c>
      <c r="I515" s="9" t="b">
        <f>TRUE()</f>
        <v>1</v>
      </c>
      <c r="J515" s="9" t="s">
        <v>1361</v>
      </c>
      <c r="K515" s="11">
        <v>66.849999999999994</v>
      </c>
      <c r="L515" s="9" t="s">
        <v>19</v>
      </c>
      <c r="M515" s="9" t="str">
        <f>IFERROR(INDEX(T_CleanCustomers[Sales_Rep_ID],MATCH(B515,T_CleanCustomers[Customer_ID],0)),"Unmatched")</f>
        <v>REP013</v>
      </c>
      <c r="N515" s="9" t="str">
        <f>IFERROR(INDEX(T_CleanCustomers[Channel],MATCH(B515,T_CleanCustomers[Customer_ID],0)),"Unmatched")</f>
        <v>Referral</v>
      </c>
      <c r="O515" s="9" t="str">
        <f>IFERROR(INDEX(T_CleanCustomers[Product],MATCH(B515,T_CleanCustomers[Customer_ID],0)),"Unmatched")</f>
        <v>Fuel Card</v>
      </c>
      <c r="P515" s="9" t="str">
        <f>IFERROR(INDEX(T_CleanCustomers[Customer_Segment],MATCH(B515,T_CleanCustomers[Customer_ID],0)),"Unmatched")</f>
        <v>SME</v>
      </c>
    </row>
    <row r="516" spans="1:16" ht="15" customHeight="1" x14ac:dyDescent="0.2">
      <c r="A516" s="9" t="s">
        <v>1871</v>
      </c>
      <c r="B516" s="9" t="s">
        <v>1206</v>
      </c>
      <c r="C516" s="9" t="b">
        <f>TRUE()</f>
        <v>1</v>
      </c>
      <c r="D516" s="10">
        <v>45890</v>
      </c>
      <c r="E516" s="10">
        <v>45870</v>
      </c>
      <c r="F516" s="9" t="s">
        <v>1360</v>
      </c>
      <c r="G516" s="11">
        <v>2231.7600000000002</v>
      </c>
      <c r="H516" s="11">
        <v>0</v>
      </c>
      <c r="I516" s="9" t="b">
        <f>TRUE()</f>
        <v>1</v>
      </c>
      <c r="J516" s="9" t="s">
        <v>1408</v>
      </c>
      <c r="K516" s="11">
        <v>0</v>
      </c>
      <c r="L516" s="9" t="s">
        <v>19</v>
      </c>
      <c r="M516" s="9" t="str">
        <f>IFERROR(INDEX(T_CleanCustomers[Sales_Rep_ID],MATCH(B516,T_CleanCustomers[Customer_ID],0)),"Unmatched")</f>
        <v>REP013</v>
      </c>
      <c r="N516" s="9" t="str">
        <f>IFERROR(INDEX(T_CleanCustomers[Channel],MATCH(B516,T_CleanCustomers[Customer_ID],0)),"Unmatched")</f>
        <v>Referral</v>
      </c>
      <c r="O516" s="9" t="str">
        <f>IFERROR(INDEX(T_CleanCustomers[Product],MATCH(B516,T_CleanCustomers[Customer_ID],0)),"Unmatched")</f>
        <v>Fuel Card</v>
      </c>
      <c r="P516" s="9" t="str">
        <f>IFERROR(INDEX(T_CleanCustomers[Customer_Segment],MATCH(B516,T_CleanCustomers[Customer_ID],0)),"Unmatched")</f>
        <v>SME</v>
      </c>
    </row>
    <row r="517" spans="1:16" ht="15" customHeight="1" x14ac:dyDescent="0.2">
      <c r="A517" s="9" t="s">
        <v>1872</v>
      </c>
      <c r="B517" s="9" t="s">
        <v>1206</v>
      </c>
      <c r="C517" s="9" t="b">
        <f>TRUE()</f>
        <v>1</v>
      </c>
      <c r="D517" s="10">
        <v>45908</v>
      </c>
      <c r="E517" s="10">
        <v>45901</v>
      </c>
      <c r="F517" s="9" t="s">
        <v>1360</v>
      </c>
      <c r="G517" s="11">
        <v>1363.03</v>
      </c>
      <c r="H517" s="11">
        <v>30.83</v>
      </c>
      <c r="I517" s="9" t="b">
        <f>TRUE()</f>
        <v>1</v>
      </c>
      <c r="J517" s="9" t="s">
        <v>1361</v>
      </c>
      <c r="K517" s="11">
        <v>30.83</v>
      </c>
      <c r="L517" s="9" t="s">
        <v>19</v>
      </c>
      <c r="M517" s="9" t="str">
        <f>IFERROR(INDEX(T_CleanCustomers[Sales_Rep_ID],MATCH(B517,T_CleanCustomers[Customer_ID],0)),"Unmatched")</f>
        <v>REP013</v>
      </c>
      <c r="N517" s="9" t="str">
        <f>IFERROR(INDEX(T_CleanCustomers[Channel],MATCH(B517,T_CleanCustomers[Customer_ID],0)),"Unmatched")</f>
        <v>Referral</v>
      </c>
      <c r="O517" s="9" t="str">
        <f>IFERROR(INDEX(T_CleanCustomers[Product],MATCH(B517,T_CleanCustomers[Customer_ID],0)),"Unmatched")</f>
        <v>Fuel Card</v>
      </c>
      <c r="P517" s="9" t="str">
        <f>IFERROR(INDEX(T_CleanCustomers[Customer_Segment],MATCH(B517,T_CleanCustomers[Customer_ID],0)),"Unmatched")</f>
        <v>SME</v>
      </c>
    </row>
    <row r="518" spans="1:16" ht="15" customHeight="1" x14ac:dyDescent="0.2">
      <c r="A518" s="9" t="s">
        <v>1873</v>
      </c>
      <c r="B518" s="9" t="s">
        <v>1206</v>
      </c>
      <c r="C518" s="9" t="b">
        <f>TRUE()</f>
        <v>1</v>
      </c>
      <c r="D518" s="10">
        <v>45941</v>
      </c>
      <c r="E518" s="10">
        <v>45931</v>
      </c>
      <c r="F518" s="9" t="s">
        <v>1360</v>
      </c>
      <c r="G518" s="11">
        <v>2216.69</v>
      </c>
      <c r="H518" s="11">
        <v>49.21</v>
      </c>
      <c r="I518" s="9" t="b">
        <f>TRUE()</f>
        <v>1</v>
      </c>
      <c r="J518" s="9" t="s">
        <v>1361</v>
      </c>
      <c r="K518" s="11">
        <v>49.21</v>
      </c>
      <c r="L518" s="9" t="s">
        <v>19</v>
      </c>
      <c r="M518" s="9" t="str">
        <f>IFERROR(INDEX(T_CleanCustomers[Sales_Rep_ID],MATCH(B518,T_CleanCustomers[Customer_ID],0)),"Unmatched")</f>
        <v>REP013</v>
      </c>
      <c r="N518" s="9" t="str">
        <f>IFERROR(INDEX(T_CleanCustomers[Channel],MATCH(B518,T_CleanCustomers[Customer_ID],0)),"Unmatched")</f>
        <v>Referral</v>
      </c>
      <c r="O518" s="9" t="str">
        <f>IFERROR(INDEX(T_CleanCustomers[Product],MATCH(B518,T_CleanCustomers[Customer_ID],0)),"Unmatched")</f>
        <v>Fuel Card</v>
      </c>
      <c r="P518" s="9" t="str">
        <f>IFERROR(INDEX(T_CleanCustomers[Customer_Segment],MATCH(B518,T_CleanCustomers[Customer_ID],0)),"Unmatched")</f>
        <v>SME</v>
      </c>
    </row>
    <row r="519" spans="1:16" ht="15" customHeight="1" x14ac:dyDescent="0.2">
      <c r="A519" s="9" t="s">
        <v>1874</v>
      </c>
      <c r="B519" s="9" t="s">
        <v>1206</v>
      </c>
      <c r="C519" s="9" t="b">
        <f>TRUE()</f>
        <v>1</v>
      </c>
      <c r="D519" s="10">
        <v>45986</v>
      </c>
      <c r="E519" s="10">
        <v>45962</v>
      </c>
      <c r="F519" s="9" t="s">
        <v>1360</v>
      </c>
      <c r="G519" s="11">
        <v>4287.74</v>
      </c>
      <c r="H519" s="11">
        <v>93.41</v>
      </c>
      <c r="I519" s="9" t="b">
        <f>TRUE()</f>
        <v>1</v>
      </c>
      <c r="J519" s="9" t="s">
        <v>1361</v>
      </c>
      <c r="K519" s="11">
        <v>93.41</v>
      </c>
      <c r="L519" s="9" t="s">
        <v>19</v>
      </c>
      <c r="M519" s="9" t="str">
        <f>IFERROR(INDEX(T_CleanCustomers[Sales_Rep_ID],MATCH(B519,T_CleanCustomers[Customer_ID],0)),"Unmatched")</f>
        <v>REP013</v>
      </c>
      <c r="N519" s="9" t="str">
        <f>IFERROR(INDEX(T_CleanCustomers[Channel],MATCH(B519,T_CleanCustomers[Customer_ID],0)),"Unmatched")</f>
        <v>Referral</v>
      </c>
      <c r="O519" s="9" t="str">
        <f>IFERROR(INDEX(T_CleanCustomers[Product],MATCH(B519,T_CleanCustomers[Customer_ID],0)),"Unmatched")</f>
        <v>Fuel Card</v>
      </c>
      <c r="P519" s="9" t="str">
        <f>IFERROR(INDEX(T_CleanCustomers[Customer_Segment],MATCH(B519,T_CleanCustomers[Customer_ID],0)),"Unmatched")</f>
        <v>SME</v>
      </c>
    </row>
    <row r="520" spans="1:16" ht="15" customHeight="1" x14ac:dyDescent="0.2">
      <c r="A520" s="9" t="s">
        <v>1875</v>
      </c>
      <c r="B520" s="9" t="s">
        <v>1206</v>
      </c>
      <c r="C520" s="9" t="b">
        <f>TRUE()</f>
        <v>1</v>
      </c>
      <c r="D520" s="10">
        <v>45975</v>
      </c>
      <c r="E520" s="10">
        <v>45962</v>
      </c>
      <c r="F520" s="9" t="s">
        <v>1360</v>
      </c>
      <c r="G520" s="11">
        <v>3601.79</v>
      </c>
      <c r="H520" s="11">
        <v>0</v>
      </c>
      <c r="I520" s="9" t="b">
        <f>TRUE()</f>
        <v>1</v>
      </c>
      <c r="J520" s="9" t="s">
        <v>1408</v>
      </c>
      <c r="K520" s="11">
        <v>0</v>
      </c>
      <c r="L520" s="9" t="s">
        <v>19</v>
      </c>
      <c r="M520" s="9" t="str">
        <f>IFERROR(INDEX(T_CleanCustomers[Sales_Rep_ID],MATCH(B520,T_CleanCustomers[Customer_ID],0)),"Unmatched")</f>
        <v>REP013</v>
      </c>
      <c r="N520" s="9" t="str">
        <f>IFERROR(INDEX(T_CleanCustomers[Channel],MATCH(B520,T_CleanCustomers[Customer_ID],0)),"Unmatched")</f>
        <v>Referral</v>
      </c>
      <c r="O520" s="9" t="str">
        <f>IFERROR(INDEX(T_CleanCustomers[Product],MATCH(B520,T_CleanCustomers[Customer_ID],0)),"Unmatched")</f>
        <v>Fuel Card</v>
      </c>
      <c r="P520" s="9" t="str">
        <f>IFERROR(INDEX(T_CleanCustomers[Customer_Segment],MATCH(B520,T_CleanCustomers[Customer_ID],0)),"Unmatched")</f>
        <v>SME</v>
      </c>
    </row>
    <row r="521" spans="1:16" ht="15" customHeight="1" x14ac:dyDescent="0.2">
      <c r="A521" s="9" t="s">
        <v>1876</v>
      </c>
      <c r="B521" s="9" t="s">
        <v>1206</v>
      </c>
      <c r="C521" s="9" t="b">
        <f>TRUE()</f>
        <v>1</v>
      </c>
      <c r="D521" s="10">
        <v>45988</v>
      </c>
      <c r="E521" s="10">
        <v>45962</v>
      </c>
      <c r="F521" s="9" t="s">
        <v>1360</v>
      </c>
      <c r="G521" s="11">
        <v>1352.73</v>
      </c>
      <c r="H521" s="11">
        <v>35.479999999999997</v>
      </c>
      <c r="I521" s="9" t="b">
        <f>TRUE()</f>
        <v>1</v>
      </c>
      <c r="J521" s="9" t="s">
        <v>1361</v>
      </c>
      <c r="K521" s="11">
        <v>35.479999999999997</v>
      </c>
      <c r="L521" s="9" t="s">
        <v>19</v>
      </c>
      <c r="M521" s="9" t="str">
        <f>IFERROR(INDEX(T_CleanCustomers[Sales_Rep_ID],MATCH(B521,T_CleanCustomers[Customer_ID],0)),"Unmatched")</f>
        <v>REP013</v>
      </c>
      <c r="N521" s="9" t="str">
        <f>IFERROR(INDEX(T_CleanCustomers[Channel],MATCH(B521,T_CleanCustomers[Customer_ID],0)),"Unmatched")</f>
        <v>Referral</v>
      </c>
      <c r="O521" s="9" t="str">
        <f>IFERROR(INDEX(T_CleanCustomers[Product],MATCH(B521,T_CleanCustomers[Customer_ID],0)),"Unmatched")</f>
        <v>Fuel Card</v>
      </c>
      <c r="P521" s="9" t="str">
        <f>IFERROR(INDEX(T_CleanCustomers[Customer_Segment],MATCH(B521,T_CleanCustomers[Customer_ID],0)),"Unmatched")</f>
        <v>SME</v>
      </c>
    </row>
    <row r="522" spans="1:16" ht="15" customHeight="1" x14ac:dyDescent="0.2">
      <c r="A522" s="9" t="s">
        <v>1877</v>
      </c>
      <c r="B522" s="9" t="s">
        <v>1206</v>
      </c>
      <c r="C522" s="9" t="b">
        <f>TRUE()</f>
        <v>1</v>
      </c>
      <c r="D522" s="10">
        <v>46015</v>
      </c>
      <c r="E522" s="10">
        <v>45992</v>
      </c>
      <c r="F522" s="9" t="s">
        <v>1360</v>
      </c>
      <c r="G522" s="11">
        <v>3042.44</v>
      </c>
      <c r="H522" s="11">
        <v>83.75</v>
      </c>
      <c r="I522" s="9" t="b">
        <f>TRUE()</f>
        <v>1</v>
      </c>
      <c r="J522" s="9" t="s">
        <v>1361</v>
      </c>
      <c r="K522" s="11">
        <v>83.75</v>
      </c>
      <c r="L522" s="9" t="s">
        <v>19</v>
      </c>
      <c r="M522" s="9" t="str">
        <f>IFERROR(INDEX(T_CleanCustomers[Sales_Rep_ID],MATCH(B522,T_CleanCustomers[Customer_ID],0)),"Unmatched")</f>
        <v>REP013</v>
      </c>
      <c r="N522" s="9" t="str">
        <f>IFERROR(INDEX(T_CleanCustomers[Channel],MATCH(B522,T_CleanCustomers[Customer_ID],0)),"Unmatched")</f>
        <v>Referral</v>
      </c>
      <c r="O522" s="9" t="str">
        <f>IFERROR(INDEX(T_CleanCustomers[Product],MATCH(B522,T_CleanCustomers[Customer_ID],0)),"Unmatched")</f>
        <v>Fuel Card</v>
      </c>
      <c r="P522" s="9" t="str">
        <f>IFERROR(INDEX(T_CleanCustomers[Customer_Segment],MATCH(B522,T_CleanCustomers[Customer_ID],0)),"Unmatched")</f>
        <v>SME</v>
      </c>
    </row>
    <row r="523" spans="1:16" ht="15" customHeight="1" x14ac:dyDescent="0.2">
      <c r="A523" s="9" t="s">
        <v>1878</v>
      </c>
      <c r="B523" s="9" t="s">
        <v>1208</v>
      </c>
      <c r="C523" s="9" t="b">
        <f>TRUE()</f>
        <v>1</v>
      </c>
      <c r="D523" s="10">
        <v>45869</v>
      </c>
      <c r="E523" s="10">
        <v>45839</v>
      </c>
      <c r="F523" s="9" t="s">
        <v>1373</v>
      </c>
      <c r="G523" s="11">
        <v>2589.4899999999998</v>
      </c>
      <c r="H523" s="11">
        <v>42.1</v>
      </c>
      <c r="I523" s="9" t="b">
        <f>TRUE()</f>
        <v>1</v>
      </c>
      <c r="J523" s="9" t="s">
        <v>1361</v>
      </c>
      <c r="K523" s="11">
        <v>42.1</v>
      </c>
      <c r="L523" s="9" t="s">
        <v>20</v>
      </c>
      <c r="M523" s="9" t="str">
        <f>IFERROR(INDEX(T_CleanCustomers[Sales_Rep_ID],MATCH(B523,T_CleanCustomers[Customer_ID],0)),"Unmatched")</f>
        <v>REP003</v>
      </c>
      <c r="N523" s="9" t="str">
        <f>IFERROR(INDEX(T_CleanCustomers[Channel],MATCH(B523,T_CleanCustomers[Customer_ID],0)),"Unmatched")</f>
        <v>Partner</v>
      </c>
      <c r="O523" s="9" t="str">
        <f>IFERROR(INDEX(T_CleanCustomers[Product],MATCH(B523,T_CleanCustomers[Customer_ID],0)),"Unmatched")</f>
        <v>Toll Solution</v>
      </c>
      <c r="P523" s="9" t="str">
        <f>IFERROR(INDEX(T_CleanCustomers[Customer_Segment],MATCH(B523,T_CleanCustomers[Customer_ID],0)),"Unmatched")</f>
        <v>SME</v>
      </c>
    </row>
    <row r="524" spans="1:16" ht="15" customHeight="1" x14ac:dyDescent="0.2">
      <c r="A524" s="9" t="s">
        <v>1879</v>
      </c>
      <c r="B524" s="9" t="s">
        <v>1208</v>
      </c>
      <c r="C524" s="9" t="b">
        <f>TRUE()</f>
        <v>1</v>
      </c>
      <c r="D524" s="10">
        <v>45869</v>
      </c>
      <c r="E524" s="10">
        <v>45839</v>
      </c>
      <c r="F524" s="9" t="s">
        <v>1373</v>
      </c>
      <c r="G524" s="11">
        <v>3110.59</v>
      </c>
      <c r="H524" s="11">
        <v>0</v>
      </c>
      <c r="I524" s="9" t="b">
        <f>TRUE()</f>
        <v>1</v>
      </c>
      <c r="J524" s="9" t="s">
        <v>1408</v>
      </c>
      <c r="K524" s="11">
        <v>0</v>
      </c>
      <c r="L524" s="9" t="s">
        <v>20</v>
      </c>
      <c r="M524" s="9" t="str">
        <f>IFERROR(INDEX(T_CleanCustomers[Sales_Rep_ID],MATCH(B524,T_CleanCustomers[Customer_ID],0)),"Unmatched")</f>
        <v>REP003</v>
      </c>
      <c r="N524" s="9" t="str">
        <f>IFERROR(INDEX(T_CleanCustomers[Channel],MATCH(B524,T_CleanCustomers[Customer_ID],0)),"Unmatched")</f>
        <v>Partner</v>
      </c>
      <c r="O524" s="9" t="str">
        <f>IFERROR(INDEX(T_CleanCustomers[Product],MATCH(B524,T_CleanCustomers[Customer_ID],0)),"Unmatched")</f>
        <v>Toll Solution</v>
      </c>
      <c r="P524" s="9" t="str">
        <f>IFERROR(INDEX(T_CleanCustomers[Customer_Segment],MATCH(B524,T_CleanCustomers[Customer_ID],0)),"Unmatched")</f>
        <v>SME</v>
      </c>
    </row>
    <row r="525" spans="1:16" ht="15" customHeight="1" x14ac:dyDescent="0.2">
      <c r="A525" s="9" t="s">
        <v>1880</v>
      </c>
      <c r="B525" s="9" t="s">
        <v>1208</v>
      </c>
      <c r="C525" s="9" t="b">
        <f>TRUE()</f>
        <v>1</v>
      </c>
      <c r="D525" s="10">
        <v>45885</v>
      </c>
      <c r="E525" s="10">
        <v>45870</v>
      </c>
      <c r="F525" s="9" t="s">
        <v>1373</v>
      </c>
      <c r="G525" s="11">
        <v>2725.74</v>
      </c>
      <c r="H525" s="11">
        <v>47.07</v>
      </c>
      <c r="I525" s="9" t="b">
        <f>TRUE()</f>
        <v>1</v>
      </c>
      <c r="J525" s="9" t="s">
        <v>1361</v>
      </c>
      <c r="K525" s="11">
        <v>47.07</v>
      </c>
      <c r="L525" s="9" t="s">
        <v>20</v>
      </c>
      <c r="M525" s="9" t="str">
        <f>IFERROR(INDEX(T_CleanCustomers[Sales_Rep_ID],MATCH(B525,T_CleanCustomers[Customer_ID],0)),"Unmatched")</f>
        <v>REP003</v>
      </c>
      <c r="N525" s="9" t="str">
        <f>IFERROR(INDEX(T_CleanCustomers[Channel],MATCH(B525,T_CleanCustomers[Customer_ID],0)),"Unmatched")</f>
        <v>Partner</v>
      </c>
      <c r="O525" s="9" t="str">
        <f>IFERROR(INDEX(T_CleanCustomers[Product],MATCH(B525,T_CleanCustomers[Customer_ID],0)),"Unmatched")</f>
        <v>Toll Solution</v>
      </c>
      <c r="P525" s="9" t="str">
        <f>IFERROR(INDEX(T_CleanCustomers[Customer_Segment],MATCH(B525,T_CleanCustomers[Customer_ID],0)),"Unmatched")</f>
        <v>SME</v>
      </c>
    </row>
    <row r="526" spans="1:16" ht="15" customHeight="1" x14ac:dyDescent="0.2">
      <c r="A526" s="9" t="s">
        <v>1881</v>
      </c>
      <c r="B526" s="9" t="s">
        <v>1208</v>
      </c>
      <c r="C526" s="9" t="b">
        <f>TRUE()</f>
        <v>1</v>
      </c>
      <c r="D526" s="10">
        <v>45886</v>
      </c>
      <c r="E526" s="10">
        <v>45870</v>
      </c>
      <c r="F526" s="9" t="s">
        <v>1373</v>
      </c>
      <c r="G526" s="11">
        <v>3207.95</v>
      </c>
      <c r="H526" s="11">
        <v>64.52</v>
      </c>
      <c r="I526" s="9" t="b">
        <f>TRUE()</f>
        <v>1</v>
      </c>
      <c r="J526" s="9" t="s">
        <v>1361</v>
      </c>
      <c r="K526" s="11">
        <v>64.52</v>
      </c>
      <c r="L526" s="9" t="s">
        <v>20</v>
      </c>
      <c r="M526" s="9" t="str">
        <f>IFERROR(INDEX(T_CleanCustomers[Sales_Rep_ID],MATCH(B526,T_CleanCustomers[Customer_ID],0)),"Unmatched")</f>
        <v>REP003</v>
      </c>
      <c r="N526" s="9" t="str">
        <f>IFERROR(INDEX(T_CleanCustomers[Channel],MATCH(B526,T_CleanCustomers[Customer_ID],0)),"Unmatched")</f>
        <v>Partner</v>
      </c>
      <c r="O526" s="9" t="str">
        <f>IFERROR(INDEX(T_CleanCustomers[Product],MATCH(B526,T_CleanCustomers[Customer_ID],0)),"Unmatched")</f>
        <v>Toll Solution</v>
      </c>
      <c r="P526" s="9" t="str">
        <f>IFERROR(INDEX(T_CleanCustomers[Customer_Segment],MATCH(B526,T_CleanCustomers[Customer_ID],0)),"Unmatched")</f>
        <v>SME</v>
      </c>
    </row>
    <row r="527" spans="1:16" ht="15" customHeight="1" x14ac:dyDescent="0.2">
      <c r="A527" s="9" t="s">
        <v>107</v>
      </c>
      <c r="B527" s="9" t="s">
        <v>1208</v>
      </c>
      <c r="C527" s="9" t="b">
        <f>TRUE()</f>
        <v>1</v>
      </c>
      <c r="D527" s="10">
        <v>45910</v>
      </c>
      <c r="E527" s="10">
        <v>45901</v>
      </c>
      <c r="F527" s="9" t="s">
        <v>1373</v>
      </c>
      <c r="G527" s="11">
        <v>1755.57</v>
      </c>
      <c r="H527" s="11">
        <v>33.26</v>
      </c>
      <c r="I527" s="9" t="b">
        <f>TRUE()</f>
        <v>1</v>
      </c>
      <c r="J527" s="9" t="s">
        <v>1361</v>
      </c>
      <c r="K527" s="11">
        <v>33.26</v>
      </c>
      <c r="L527" s="9" t="s">
        <v>20</v>
      </c>
      <c r="M527" s="9" t="str">
        <f>IFERROR(INDEX(T_CleanCustomers[Sales_Rep_ID],MATCH(B527,T_CleanCustomers[Customer_ID],0)),"Unmatched")</f>
        <v>REP003</v>
      </c>
      <c r="N527" s="9" t="str">
        <f>IFERROR(INDEX(T_CleanCustomers[Channel],MATCH(B527,T_CleanCustomers[Customer_ID],0)),"Unmatched")</f>
        <v>Partner</v>
      </c>
      <c r="O527" s="9" t="str">
        <f>IFERROR(INDEX(T_CleanCustomers[Product],MATCH(B527,T_CleanCustomers[Customer_ID],0)),"Unmatched")</f>
        <v>Toll Solution</v>
      </c>
      <c r="P527" s="9" t="str">
        <f>IFERROR(INDEX(T_CleanCustomers[Customer_Segment],MATCH(B527,T_CleanCustomers[Customer_ID],0)),"Unmatched")</f>
        <v>SME</v>
      </c>
    </row>
    <row r="528" spans="1:16" ht="15" customHeight="1" x14ac:dyDescent="0.2">
      <c r="A528" s="9" t="s">
        <v>1882</v>
      </c>
      <c r="B528" s="9" t="s">
        <v>1208</v>
      </c>
      <c r="C528" s="9" t="b">
        <f>TRUE()</f>
        <v>1</v>
      </c>
      <c r="D528" s="10">
        <v>45926</v>
      </c>
      <c r="E528" s="10">
        <v>45901</v>
      </c>
      <c r="F528" s="9" t="s">
        <v>1373</v>
      </c>
      <c r="G528" s="11">
        <v>3653.62</v>
      </c>
      <c r="H528" s="11">
        <v>64.709999999999994</v>
      </c>
      <c r="I528" s="9" t="b">
        <f>TRUE()</f>
        <v>1</v>
      </c>
      <c r="J528" s="9" t="s">
        <v>1361</v>
      </c>
      <c r="K528" s="11">
        <v>64.709999999999994</v>
      </c>
      <c r="L528" s="9" t="s">
        <v>20</v>
      </c>
      <c r="M528" s="9" t="str">
        <f>IFERROR(INDEX(T_CleanCustomers[Sales_Rep_ID],MATCH(B528,T_CleanCustomers[Customer_ID],0)),"Unmatched")</f>
        <v>REP003</v>
      </c>
      <c r="N528" s="9" t="str">
        <f>IFERROR(INDEX(T_CleanCustomers[Channel],MATCH(B528,T_CleanCustomers[Customer_ID],0)),"Unmatched")</f>
        <v>Partner</v>
      </c>
      <c r="O528" s="9" t="str">
        <f>IFERROR(INDEX(T_CleanCustomers[Product],MATCH(B528,T_CleanCustomers[Customer_ID],0)),"Unmatched")</f>
        <v>Toll Solution</v>
      </c>
      <c r="P528" s="9" t="str">
        <f>IFERROR(INDEX(T_CleanCustomers[Customer_Segment],MATCH(B528,T_CleanCustomers[Customer_ID],0)),"Unmatched")</f>
        <v>SME</v>
      </c>
    </row>
    <row r="529" spans="1:16" ht="15" customHeight="1" x14ac:dyDescent="0.2">
      <c r="A529" s="9" t="s">
        <v>1883</v>
      </c>
      <c r="B529" s="9" t="s">
        <v>1208</v>
      </c>
      <c r="C529" s="9" t="b">
        <f>TRUE()</f>
        <v>1</v>
      </c>
      <c r="D529" s="10">
        <v>45928</v>
      </c>
      <c r="E529" s="10">
        <v>45901</v>
      </c>
      <c r="F529" s="9" t="s">
        <v>1373</v>
      </c>
      <c r="G529" s="11">
        <v>2919.19</v>
      </c>
      <c r="H529" s="11">
        <v>54.07</v>
      </c>
      <c r="I529" s="9" t="b">
        <f>TRUE()</f>
        <v>1</v>
      </c>
      <c r="J529" s="9" t="s">
        <v>1361</v>
      </c>
      <c r="K529" s="11">
        <v>54.07</v>
      </c>
      <c r="L529" s="9" t="s">
        <v>20</v>
      </c>
      <c r="M529" s="9" t="str">
        <f>IFERROR(INDEX(T_CleanCustomers[Sales_Rep_ID],MATCH(B529,T_CleanCustomers[Customer_ID],0)),"Unmatched")</f>
        <v>REP003</v>
      </c>
      <c r="N529" s="9" t="str">
        <f>IFERROR(INDEX(T_CleanCustomers[Channel],MATCH(B529,T_CleanCustomers[Customer_ID],0)),"Unmatched")</f>
        <v>Partner</v>
      </c>
      <c r="O529" s="9" t="str">
        <f>IFERROR(INDEX(T_CleanCustomers[Product],MATCH(B529,T_CleanCustomers[Customer_ID],0)),"Unmatched")</f>
        <v>Toll Solution</v>
      </c>
      <c r="P529" s="9" t="str">
        <f>IFERROR(INDEX(T_CleanCustomers[Customer_Segment],MATCH(B529,T_CleanCustomers[Customer_ID],0)),"Unmatched")</f>
        <v>SME</v>
      </c>
    </row>
    <row r="530" spans="1:16" ht="15" customHeight="1" x14ac:dyDescent="0.2">
      <c r="A530" s="9" t="s">
        <v>1884</v>
      </c>
      <c r="B530" s="9" t="s">
        <v>1208</v>
      </c>
      <c r="C530" s="9" t="b">
        <f>TRUE()</f>
        <v>1</v>
      </c>
      <c r="D530" s="10">
        <v>45956</v>
      </c>
      <c r="E530" s="10">
        <v>45931</v>
      </c>
      <c r="F530" s="9" t="s">
        <v>1373</v>
      </c>
      <c r="G530" s="11">
        <v>1857.23</v>
      </c>
      <c r="H530" s="11">
        <v>35.479999999999997</v>
      </c>
      <c r="I530" s="9" t="b">
        <f>TRUE()</f>
        <v>1</v>
      </c>
      <c r="J530" s="9" t="s">
        <v>1361</v>
      </c>
      <c r="K530" s="11">
        <v>35.479999999999997</v>
      </c>
      <c r="L530" s="9" t="s">
        <v>20</v>
      </c>
      <c r="M530" s="9" t="str">
        <f>IFERROR(INDEX(T_CleanCustomers[Sales_Rep_ID],MATCH(B530,T_CleanCustomers[Customer_ID],0)),"Unmatched")</f>
        <v>REP003</v>
      </c>
      <c r="N530" s="9" t="str">
        <f>IFERROR(INDEX(T_CleanCustomers[Channel],MATCH(B530,T_CleanCustomers[Customer_ID],0)),"Unmatched")</f>
        <v>Partner</v>
      </c>
      <c r="O530" s="9" t="str">
        <f>IFERROR(INDEX(T_CleanCustomers[Product],MATCH(B530,T_CleanCustomers[Customer_ID],0)),"Unmatched")</f>
        <v>Toll Solution</v>
      </c>
      <c r="P530" s="9" t="str">
        <f>IFERROR(INDEX(T_CleanCustomers[Customer_Segment],MATCH(B530,T_CleanCustomers[Customer_ID],0)),"Unmatched")</f>
        <v>SME</v>
      </c>
    </row>
    <row r="531" spans="1:16" ht="15" customHeight="1" x14ac:dyDescent="0.2">
      <c r="A531" s="9" t="s">
        <v>1885</v>
      </c>
      <c r="B531" s="9" t="s">
        <v>1208</v>
      </c>
      <c r="C531" s="9" t="b">
        <f>TRUE()</f>
        <v>1</v>
      </c>
      <c r="D531" s="10">
        <v>45950</v>
      </c>
      <c r="E531" s="10">
        <v>45931</v>
      </c>
      <c r="F531" s="9" t="s">
        <v>1373</v>
      </c>
      <c r="G531" s="11">
        <v>4565.8900000000003</v>
      </c>
      <c r="H531" s="11">
        <v>78.47</v>
      </c>
      <c r="I531" s="9" t="b">
        <f>TRUE()</f>
        <v>1</v>
      </c>
      <c r="J531" s="9" t="s">
        <v>1361</v>
      </c>
      <c r="K531" s="11">
        <v>78.47</v>
      </c>
      <c r="L531" s="9" t="s">
        <v>20</v>
      </c>
      <c r="M531" s="9" t="str">
        <f>IFERROR(INDEX(T_CleanCustomers[Sales_Rep_ID],MATCH(B531,T_CleanCustomers[Customer_ID],0)),"Unmatched")</f>
        <v>REP003</v>
      </c>
      <c r="N531" s="9" t="str">
        <f>IFERROR(INDEX(T_CleanCustomers[Channel],MATCH(B531,T_CleanCustomers[Customer_ID],0)),"Unmatched")</f>
        <v>Partner</v>
      </c>
      <c r="O531" s="9" t="str">
        <f>IFERROR(INDEX(T_CleanCustomers[Product],MATCH(B531,T_CleanCustomers[Customer_ID],0)),"Unmatched")</f>
        <v>Toll Solution</v>
      </c>
      <c r="P531" s="9" t="str">
        <f>IFERROR(INDEX(T_CleanCustomers[Customer_Segment],MATCH(B531,T_CleanCustomers[Customer_ID],0)),"Unmatched")</f>
        <v>SME</v>
      </c>
    </row>
    <row r="532" spans="1:16" ht="15" customHeight="1" x14ac:dyDescent="0.2">
      <c r="A532" s="9" t="s">
        <v>1886</v>
      </c>
      <c r="B532" s="9" t="s">
        <v>1208</v>
      </c>
      <c r="C532" s="9" t="b">
        <f>TRUE()</f>
        <v>1</v>
      </c>
      <c r="D532" s="10">
        <v>45967</v>
      </c>
      <c r="E532" s="10">
        <v>45962</v>
      </c>
      <c r="F532" s="9" t="s">
        <v>1373</v>
      </c>
      <c r="G532" s="11">
        <v>3834.72</v>
      </c>
      <c r="H532" s="11">
        <v>69.84</v>
      </c>
      <c r="I532" s="9" t="b">
        <f>TRUE()</f>
        <v>1</v>
      </c>
      <c r="J532" s="9" t="s">
        <v>1361</v>
      </c>
      <c r="K532" s="11">
        <v>69.84</v>
      </c>
      <c r="L532" s="9" t="s">
        <v>20</v>
      </c>
      <c r="M532" s="9" t="str">
        <f>IFERROR(INDEX(T_CleanCustomers[Sales_Rep_ID],MATCH(B532,T_CleanCustomers[Customer_ID],0)),"Unmatched")</f>
        <v>REP003</v>
      </c>
      <c r="N532" s="9" t="str">
        <f>IFERROR(INDEX(T_CleanCustomers[Channel],MATCH(B532,T_CleanCustomers[Customer_ID],0)),"Unmatched")</f>
        <v>Partner</v>
      </c>
      <c r="O532" s="9" t="str">
        <f>IFERROR(INDEX(T_CleanCustomers[Product],MATCH(B532,T_CleanCustomers[Customer_ID],0)),"Unmatched")</f>
        <v>Toll Solution</v>
      </c>
      <c r="P532" s="9" t="str">
        <f>IFERROR(INDEX(T_CleanCustomers[Customer_Segment],MATCH(B532,T_CleanCustomers[Customer_ID],0)),"Unmatched")</f>
        <v>SME</v>
      </c>
    </row>
    <row r="533" spans="1:16" ht="15" customHeight="1" x14ac:dyDescent="0.2">
      <c r="A533" s="9" t="s">
        <v>1887</v>
      </c>
      <c r="B533" s="9" t="s">
        <v>1208</v>
      </c>
      <c r="C533" s="9" t="b">
        <f>TRUE()</f>
        <v>1</v>
      </c>
      <c r="D533" s="10">
        <v>46008</v>
      </c>
      <c r="E533" s="10">
        <v>45992</v>
      </c>
      <c r="F533" s="9" t="s">
        <v>1373</v>
      </c>
      <c r="G533" s="11">
        <v>1558.04</v>
      </c>
      <c r="H533" s="11">
        <v>27.21</v>
      </c>
      <c r="I533" s="9" t="b">
        <f>TRUE()</f>
        <v>1</v>
      </c>
      <c r="J533" s="9" t="s">
        <v>1361</v>
      </c>
      <c r="K533" s="11">
        <v>27.21</v>
      </c>
      <c r="L533" s="9" t="s">
        <v>20</v>
      </c>
      <c r="M533" s="9" t="str">
        <f>IFERROR(INDEX(T_CleanCustomers[Sales_Rep_ID],MATCH(B533,T_CleanCustomers[Customer_ID],0)),"Unmatched")</f>
        <v>REP003</v>
      </c>
      <c r="N533" s="9" t="str">
        <f>IFERROR(INDEX(T_CleanCustomers[Channel],MATCH(B533,T_CleanCustomers[Customer_ID],0)),"Unmatched")</f>
        <v>Partner</v>
      </c>
      <c r="O533" s="9" t="str">
        <f>IFERROR(INDEX(T_CleanCustomers[Product],MATCH(B533,T_CleanCustomers[Customer_ID],0)),"Unmatched")</f>
        <v>Toll Solution</v>
      </c>
      <c r="P533" s="9" t="str">
        <f>IFERROR(INDEX(T_CleanCustomers[Customer_Segment],MATCH(B533,T_CleanCustomers[Customer_ID],0)),"Unmatched")</f>
        <v>SME</v>
      </c>
    </row>
    <row r="534" spans="1:16" ht="15" customHeight="1" x14ac:dyDescent="0.2">
      <c r="A534" s="9" t="s">
        <v>1888</v>
      </c>
      <c r="B534" s="9" t="s">
        <v>1208</v>
      </c>
      <c r="C534" s="9" t="b">
        <f>TRUE()</f>
        <v>1</v>
      </c>
      <c r="D534" s="10">
        <v>46021</v>
      </c>
      <c r="E534" s="10">
        <v>45992</v>
      </c>
      <c r="F534" s="9" t="s">
        <v>1373</v>
      </c>
      <c r="G534" s="11">
        <v>2904.83</v>
      </c>
      <c r="H534" s="11">
        <v>59.19</v>
      </c>
      <c r="I534" s="9" t="b">
        <f>TRUE()</f>
        <v>1</v>
      </c>
      <c r="J534" s="9" t="s">
        <v>1361</v>
      </c>
      <c r="K534" s="11">
        <v>59.19</v>
      </c>
      <c r="L534" s="9" t="s">
        <v>20</v>
      </c>
      <c r="M534" s="9" t="str">
        <f>IFERROR(INDEX(T_CleanCustomers[Sales_Rep_ID],MATCH(B534,T_CleanCustomers[Customer_ID],0)),"Unmatched")</f>
        <v>REP003</v>
      </c>
      <c r="N534" s="9" t="str">
        <f>IFERROR(INDEX(T_CleanCustomers[Channel],MATCH(B534,T_CleanCustomers[Customer_ID],0)),"Unmatched")</f>
        <v>Partner</v>
      </c>
      <c r="O534" s="9" t="str">
        <f>IFERROR(INDEX(T_CleanCustomers[Product],MATCH(B534,T_CleanCustomers[Customer_ID],0)),"Unmatched")</f>
        <v>Toll Solution</v>
      </c>
      <c r="P534" s="9" t="str">
        <f>IFERROR(INDEX(T_CleanCustomers[Customer_Segment],MATCH(B534,T_CleanCustomers[Customer_ID],0)),"Unmatched")</f>
        <v>SME</v>
      </c>
    </row>
    <row r="535" spans="1:16" ht="15" customHeight="1" x14ac:dyDescent="0.2">
      <c r="A535" s="9" t="s">
        <v>1889</v>
      </c>
      <c r="B535" s="9" t="s">
        <v>1209</v>
      </c>
      <c r="C535" s="9" t="b">
        <f>TRUE()</f>
        <v>1</v>
      </c>
      <c r="D535" s="10">
        <v>45898</v>
      </c>
      <c r="E535" s="10">
        <v>45870</v>
      </c>
      <c r="F535" s="9" t="s">
        <v>1360</v>
      </c>
      <c r="G535" s="11">
        <v>4275.6400000000003</v>
      </c>
      <c r="H535" s="11">
        <v>91.09</v>
      </c>
      <c r="I535" s="9" t="b">
        <f>TRUE()</f>
        <v>1</v>
      </c>
      <c r="J535" s="9" t="s">
        <v>1361</v>
      </c>
      <c r="K535" s="11">
        <v>91.09</v>
      </c>
      <c r="L535" s="9" t="s">
        <v>19</v>
      </c>
      <c r="M535" s="9" t="str">
        <f>IFERROR(INDEX(T_CleanCustomers[Sales_Rep_ID],MATCH(B535,T_CleanCustomers[Customer_ID],0)),"Unmatched")</f>
        <v>REP013</v>
      </c>
      <c r="N535" s="9" t="str">
        <f>IFERROR(INDEX(T_CleanCustomers[Channel],MATCH(B535,T_CleanCustomers[Customer_ID],0)),"Unmatched")</f>
        <v>Direct Sales</v>
      </c>
      <c r="O535" s="9" t="str">
        <f>IFERROR(INDEX(T_CleanCustomers[Product],MATCH(B535,T_CleanCustomers[Customer_ID],0)),"Unmatched")</f>
        <v>Fuel Card</v>
      </c>
      <c r="P535" s="9" t="str">
        <f>IFERROR(INDEX(T_CleanCustomers[Customer_Segment],MATCH(B535,T_CleanCustomers[Customer_ID],0)),"Unmatched")</f>
        <v>SME</v>
      </c>
    </row>
    <row r="536" spans="1:16" ht="15" customHeight="1" x14ac:dyDescent="0.2">
      <c r="A536" s="9" t="s">
        <v>1890</v>
      </c>
      <c r="B536" s="9" t="s">
        <v>1209</v>
      </c>
      <c r="C536" s="9" t="b">
        <f>TRUE()</f>
        <v>1</v>
      </c>
      <c r="D536" s="10">
        <v>45919</v>
      </c>
      <c r="E536" s="10">
        <v>45901</v>
      </c>
      <c r="F536" s="9" t="s">
        <v>1360</v>
      </c>
      <c r="G536" s="11">
        <v>1540.63</v>
      </c>
      <c r="H536" s="11">
        <v>40.9</v>
      </c>
      <c r="I536" s="9" t="b">
        <f>TRUE()</f>
        <v>1</v>
      </c>
      <c r="J536" s="9" t="s">
        <v>1361</v>
      </c>
      <c r="K536" s="11">
        <v>40.9</v>
      </c>
      <c r="L536" s="9" t="s">
        <v>19</v>
      </c>
      <c r="M536" s="9" t="str">
        <f>IFERROR(INDEX(T_CleanCustomers[Sales_Rep_ID],MATCH(B536,T_CleanCustomers[Customer_ID],0)),"Unmatched")</f>
        <v>REP013</v>
      </c>
      <c r="N536" s="9" t="str">
        <f>IFERROR(INDEX(T_CleanCustomers[Channel],MATCH(B536,T_CleanCustomers[Customer_ID],0)),"Unmatched")</f>
        <v>Direct Sales</v>
      </c>
      <c r="O536" s="9" t="str">
        <f>IFERROR(INDEX(T_CleanCustomers[Product],MATCH(B536,T_CleanCustomers[Customer_ID],0)),"Unmatched")</f>
        <v>Fuel Card</v>
      </c>
      <c r="P536" s="9" t="str">
        <f>IFERROR(INDEX(T_CleanCustomers[Customer_Segment],MATCH(B536,T_CleanCustomers[Customer_ID],0)),"Unmatched")</f>
        <v>SME</v>
      </c>
    </row>
    <row r="537" spans="1:16" ht="15" customHeight="1" x14ac:dyDescent="0.2">
      <c r="A537" s="9" t="s">
        <v>1891</v>
      </c>
      <c r="B537" s="9" t="s">
        <v>1209</v>
      </c>
      <c r="C537" s="9" t="b">
        <f>TRUE()</f>
        <v>1</v>
      </c>
      <c r="D537" s="10">
        <v>45936</v>
      </c>
      <c r="E537" s="10">
        <v>45931</v>
      </c>
      <c r="F537" s="9" t="s">
        <v>1360</v>
      </c>
      <c r="G537" s="11">
        <v>4393.16</v>
      </c>
      <c r="H537" s="11">
        <v>126.06</v>
      </c>
      <c r="I537" s="9" t="b">
        <f>TRUE()</f>
        <v>1</v>
      </c>
      <c r="J537" s="9" t="s">
        <v>1361</v>
      </c>
      <c r="K537" s="11">
        <v>126.06</v>
      </c>
      <c r="L537" s="9" t="s">
        <v>19</v>
      </c>
      <c r="M537" s="9" t="str">
        <f>IFERROR(INDEX(T_CleanCustomers[Sales_Rep_ID],MATCH(B537,T_CleanCustomers[Customer_ID],0)),"Unmatched")</f>
        <v>REP013</v>
      </c>
      <c r="N537" s="9" t="str">
        <f>IFERROR(INDEX(T_CleanCustomers[Channel],MATCH(B537,T_CleanCustomers[Customer_ID],0)),"Unmatched")</f>
        <v>Direct Sales</v>
      </c>
      <c r="O537" s="9" t="str">
        <f>IFERROR(INDEX(T_CleanCustomers[Product],MATCH(B537,T_CleanCustomers[Customer_ID],0)),"Unmatched")</f>
        <v>Fuel Card</v>
      </c>
      <c r="P537" s="9" t="str">
        <f>IFERROR(INDEX(T_CleanCustomers[Customer_Segment],MATCH(B537,T_CleanCustomers[Customer_ID],0)),"Unmatched")</f>
        <v>SME</v>
      </c>
    </row>
    <row r="538" spans="1:16" ht="15" customHeight="1" x14ac:dyDescent="0.2">
      <c r="A538" s="9" t="s">
        <v>1892</v>
      </c>
      <c r="B538" s="9" t="s">
        <v>1209</v>
      </c>
      <c r="C538" s="9" t="b">
        <f>TRUE()</f>
        <v>1</v>
      </c>
      <c r="D538" s="10">
        <v>45954</v>
      </c>
      <c r="E538" s="10">
        <v>45931</v>
      </c>
      <c r="F538" s="9" t="s">
        <v>1360</v>
      </c>
      <c r="G538" s="11">
        <v>4929.09</v>
      </c>
      <c r="H538" s="11">
        <v>127.69</v>
      </c>
      <c r="I538" s="9" t="b">
        <f>TRUE()</f>
        <v>1</v>
      </c>
      <c r="J538" s="9" t="s">
        <v>1361</v>
      </c>
      <c r="K538" s="11">
        <v>127.69</v>
      </c>
      <c r="L538" s="9" t="s">
        <v>19</v>
      </c>
      <c r="M538" s="9" t="str">
        <f>IFERROR(INDEX(T_CleanCustomers[Sales_Rep_ID],MATCH(B538,T_CleanCustomers[Customer_ID],0)),"Unmatched")</f>
        <v>REP013</v>
      </c>
      <c r="N538" s="9" t="str">
        <f>IFERROR(INDEX(T_CleanCustomers[Channel],MATCH(B538,T_CleanCustomers[Customer_ID],0)),"Unmatched")</f>
        <v>Direct Sales</v>
      </c>
      <c r="O538" s="9" t="str">
        <f>IFERROR(INDEX(T_CleanCustomers[Product],MATCH(B538,T_CleanCustomers[Customer_ID],0)),"Unmatched")</f>
        <v>Fuel Card</v>
      </c>
      <c r="P538" s="9" t="str">
        <f>IFERROR(INDEX(T_CleanCustomers[Customer_Segment],MATCH(B538,T_CleanCustomers[Customer_ID],0)),"Unmatched")</f>
        <v>SME</v>
      </c>
    </row>
    <row r="539" spans="1:16" ht="15" customHeight="1" x14ac:dyDescent="0.2">
      <c r="A539" s="9" t="s">
        <v>1893</v>
      </c>
      <c r="B539" s="9" t="s">
        <v>1209</v>
      </c>
      <c r="C539" s="9" t="b">
        <f>TRUE()</f>
        <v>1</v>
      </c>
      <c r="D539" s="10">
        <v>45932</v>
      </c>
      <c r="E539" s="10">
        <v>45931</v>
      </c>
      <c r="F539" s="9" t="s">
        <v>1360</v>
      </c>
      <c r="G539" s="11">
        <v>2136.69</v>
      </c>
      <c r="H539" s="11">
        <v>0</v>
      </c>
      <c r="I539" s="9" t="b">
        <f>TRUE()</f>
        <v>1</v>
      </c>
      <c r="J539" s="9" t="s">
        <v>1408</v>
      </c>
      <c r="K539" s="11">
        <v>0</v>
      </c>
      <c r="L539" s="9" t="s">
        <v>19</v>
      </c>
      <c r="M539" s="9" t="str">
        <f>IFERROR(INDEX(T_CleanCustomers[Sales_Rep_ID],MATCH(B539,T_CleanCustomers[Customer_ID],0)),"Unmatched")</f>
        <v>REP013</v>
      </c>
      <c r="N539" s="9" t="str">
        <f>IFERROR(INDEX(T_CleanCustomers[Channel],MATCH(B539,T_CleanCustomers[Customer_ID],0)),"Unmatched")</f>
        <v>Direct Sales</v>
      </c>
      <c r="O539" s="9" t="str">
        <f>IFERROR(INDEX(T_CleanCustomers[Product],MATCH(B539,T_CleanCustomers[Customer_ID],0)),"Unmatched")</f>
        <v>Fuel Card</v>
      </c>
      <c r="P539" s="9" t="str">
        <f>IFERROR(INDEX(T_CleanCustomers[Customer_Segment],MATCH(B539,T_CleanCustomers[Customer_ID],0)),"Unmatched")</f>
        <v>SME</v>
      </c>
    </row>
    <row r="540" spans="1:16" ht="15" customHeight="1" x14ac:dyDescent="0.2">
      <c r="A540" s="9" t="s">
        <v>1894</v>
      </c>
      <c r="B540" s="9" t="s">
        <v>1210</v>
      </c>
      <c r="C540" s="9" t="b">
        <f>TRUE()</f>
        <v>1</v>
      </c>
      <c r="D540" s="10">
        <v>46018</v>
      </c>
      <c r="E540" s="10">
        <v>45992</v>
      </c>
      <c r="F540" s="9" t="s">
        <v>1479</v>
      </c>
      <c r="G540" s="11">
        <v>2803.51</v>
      </c>
      <c r="H540" s="11">
        <v>72.72</v>
      </c>
      <c r="I540" s="9" t="b">
        <f>TRUE()</f>
        <v>1</v>
      </c>
      <c r="J540" s="9" t="s">
        <v>1361</v>
      </c>
      <c r="K540" s="11">
        <v>72.72</v>
      </c>
      <c r="L540" s="9" t="s">
        <v>22</v>
      </c>
      <c r="M540" s="9" t="str">
        <f>IFERROR(INDEX(T_CleanCustomers[Sales_Rep_ID],MATCH(B540,T_CleanCustomers[Customer_ID],0)),"Unmatched")</f>
        <v>REP005</v>
      </c>
      <c r="N540" s="9" t="str">
        <f>IFERROR(INDEX(T_CleanCustomers[Channel],MATCH(B540,T_CleanCustomers[Customer_ID],0)),"Unmatched")</f>
        <v>Partner</v>
      </c>
      <c r="O540" s="9" t="str">
        <f>IFERROR(INDEX(T_CleanCustomers[Product],MATCH(B540,T_CleanCustomers[Customer_ID],0)),"Unmatched")</f>
        <v>Fleet Expense Card</v>
      </c>
      <c r="P540" s="9" t="str">
        <f>IFERROR(INDEX(T_CleanCustomers[Customer_Segment],MATCH(B540,T_CleanCustomers[Customer_ID],0)),"Unmatched")</f>
        <v>SME</v>
      </c>
    </row>
    <row r="541" spans="1:16" ht="15" customHeight="1" x14ac:dyDescent="0.2">
      <c r="A541" s="9" t="s">
        <v>1895</v>
      </c>
      <c r="B541" s="9" t="s">
        <v>1211</v>
      </c>
      <c r="C541" s="9" t="b">
        <f>TRUE()</f>
        <v>1</v>
      </c>
      <c r="D541" s="10">
        <v>45862</v>
      </c>
      <c r="E541" s="10">
        <v>45839</v>
      </c>
      <c r="F541" s="9" t="s">
        <v>1360</v>
      </c>
      <c r="G541" s="11">
        <v>37987.57</v>
      </c>
      <c r="H541" s="11">
        <v>909.84</v>
      </c>
      <c r="I541" s="9" t="b">
        <f>TRUE()</f>
        <v>1</v>
      </c>
      <c r="J541" s="9" t="s">
        <v>1361</v>
      </c>
      <c r="K541" s="11">
        <v>909.84</v>
      </c>
      <c r="L541" s="9" t="s">
        <v>19</v>
      </c>
      <c r="M541" s="9" t="str">
        <f>IFERROR(INDEX(T_CleanCustomers[Sales_Rep_ID],MATCH(B541,T_CleanCustomers[Customer_ID],0)),"Unmatched")</f>
        <v>REP015</v>
      </c>
      <c r="N541" s="9" t="str">
        <f>IFERROR(INDEX(T_CleanCustomers[Channel],MATCH(B541,T_CleanCustomers[Customer_ID],0)),"Unmatched")</f>
        <v>Direct Sales</v>
      </c>
      <c r="O541" s="9" t="str">
        <f>IFERROR(INDEX(T_CleanCustomers[Product],MATCH(B541,T_CleanCustomers[Customer_ID],0)),"Unmatched")</f>
        <v>Fuel Card</v>
      </c>
      <c r="P541" s="9" t="str">
        <f>IFERROR(INDEX(T_CleanCustomers[Customer_Segment],MATCH(B541,T_CleanCustomers[Customer_ID],0)),"Unmatched")</f>
        <v>Enterprise</v>
      </c>
    </row>
    <row r="542" spans="1:16" ht="15" customHeight="1" x14ac:dyDescent="0.2">
      <c r="A542" s="9" t="s">
        <v>1896</v>
      </c>
      <c r="B542" s="9" t="s">
        <v>1211</v>
      </c>
      <c r="C542" s="9" t="b">
        <f>TRUE()</f>
        <v>1</v>
      </c>
      <c r="D542" s="10">
        <v>45866</v>
      </c>
      <c r="E542" s="10">
        <v>45839</v>
      </c>
      <c r="F542" s="9" t="s">
        <v>1360</v>
      </c>
      <c r="G542" s="11">
        <v>47562.28</v>
      </c>
      <c r="H542" s="11">
        <v>1121.07</v>
      </c>
      <c r="I542" s="9" t="b">
        <f>TRUE()</f>
        <v>1</v>
      </c>
      <c r="J542" s="9" t="s">
        <v>1361</v>
      </c>
      <c r="K542" s="11">
        <v>1121.07</v>
      </c>
      <c r="L542" s="9" t="s">
        <v>19</v>
      </c>
      <c r="M542" s="9" t="str">
        <f>IFERROR(INDEX(T_CleanCustomers[Sales_Rep_ID],MATCH(B542,T_CleanCustomers[Customer_ID],0)),"Unmatched")</f>
        <v>REP015</v>
      </c>
      <c r="N542" s="9" t="str">
        <f>IFERROR(INDEX(T_CleanCustomers[Channel],MATCH(B542,T_CleanCustomers[Customer_ID],0)),"Unmatched")</f>
        <v>Direct Sales</v>
      </c>
      <c r="O542" s="9" t="str">
        <f>IFERROR(INDEX(T_CleanCustomers[Product],MATCH(B542,T_CleanCustomers[Customer_ID],0)),"Unmatched")</f>
        <v>Fuel Card</v>
      </c>
      <c r="P542" s="9" t="str">
        <f>IFERROR(INDEX(T_CleanCustomers[Customer_Segment],MATCH(B542,T_CleanCustomers[Customer_ID],0)),"Unmatched")</f>
        <v>Enterprise</v>
      </c>
    </row>
    <row r="543" spans="1:16" ht="15" customHeight="1" x14ac:dyDescent="0.2">
      <c r="A543" s="9" t="s">
        <v>1897</v>
      </c>
      <c r="B543" s="9" t="s">
        <v>1211</v>
      </c>
      <c r="C543" s="9" t="b">
        <f>TRUE()</f>
        <v>1</v>
      </c>
      <c r="D543" s="10">
        <v>45863</v>
      </c>
      <c r="E543" s="10">
        <v>45839</v>
      </c>
      <c r="F543" s="9" t="s">
        <v>1360</v>
      </c>
      <c r="G543" s="11">
        <v>18263.060000000001</v>
      </c>
      <c r="H543" s="11">
        <v>389.61</v>
      </c>
      <c r="I543" s="9" t="b">
        <f>TRUE()</f>
        <v>1</v>
      </c>
      <c r="J543" s="9" t="s">
        <v>1361</v>
      </c>
      <c r="K543" s="11">
        <v>389.61</v>
      </c>
      <c r="L543" s="9" t="s">
        <v>19</v>
      </c>
      <c r="M543" s="9" t="str">
        <f>IFERROR(INDEX(T_CleanCustomers[Sales_Rep_ID],MATCH(B543,T_CleanCustomers[Customer_ID],0)),"Unmatched")</f>
        <v>REP015</v>
      </c>
      <c r="N543" s="9" t="str">
        <f>IFERROR(INDEX(T_CleanCustomers[Channel],MATCH(B543,T_CleanCustomers[Customer_ID],0)),"Unmatched")</f>
        <v>Direct Sales</v>
      </c>
      <c r="O543" s="9" t="str">
        <f>IFERROR(INDEX(T_CleanCustomers[Product],MATCH(B543,T_CleanCustomers[Customer_ID],0)),"Unmatched")</f>
        <v>Fuel Card</v>
      </c>
      <c r="P543" s="9" t="str">
        <f>IFERROR(INDEX(T_CleanCustomers[Customer_Segment],MATCH(B543,T_CleanCustomers[Customer_ID],0)),"Unmatched")</f>
        <v>Enterprise</v>
      </c>
    </row>
    <row r="544" spans="1:16" ht="15" customHeight="1" x14ac:dyDescent="0.2">
      <c r="A544" s="9" t="s">
        <v>1898</v>
      </c>
      <c r="B544" s="9" t="s">
        <v>1211</v>
      </c>
      <c r="C544" s="9" t="b">
        <f>TRUE()</f>
        <v>1</v>
      </c>
      <c r="D544" s="10">
        <v>45895</v>
      </c>
      <c r="E544" s="10">
        <v>45870</v>
      </c>
      <c r="F544" s="9" t="s">
        <v>1360</v>
      </c>
      <c r="G544" s="11">
        <v>53244.76</v>
      </c>
      <c r="H544" s="11">
        <v>1421.91</v>
      </c>
      <c r="I544" s="9" t="b">
        <f>TRUE()</f>
        <v>1</v>
      </c>
      <c r="J544" s="9" t="s">
        <v>1361</v>
      </c>
      <c r="K544" s="11">
        <v>1421.91</v>
      </c>
      <c r="L544" s="9" t="s">
        <v>19</v>
      </c>
      <c r="M544" s="9" t="str">
        <f>IFERROR(INDEX(T_CleanCustomers[Sales_Rep_ID],MATCH(B544,T_CleanCustomers[Customer_ID],0)),"Unmatched")</f>
        <v>REP015</v>
      </c>
      <c r="N544" s="9" t="str">
        <f>IFERROR(INDEX(T_CleanCustomers[Channel],MATCH(B544,T_CleanCustomers[Customer_ID],0)),"Unmatched")</f>
        <v>Direct Sales</v>
      </c>
      <c r="O544" s="9" t="str">
        <f>IFERROR(INDEX(T_CleanCustomers[Product],MATCH(B544,T_CleanCustomers[Customer_ID],0)),"Unmatched")</f>
        <v>Fuel Card</v>
      </c>
      <c r="P544" s="9" t="str">
        <f>IFERROR(INDEX(T_CleanCustomers[Customer_Segment],MATCH(B544,T_CleanCustomers[Customer_ID],0)),"Unmatched")</f>
        <v>Enterprise</v>
      </c>
    </row>
    <row r="545" spans="1:16" ht="15" customHeight="1" x14ac:dyDescent="0.2">
      <c r="A545" s="9" t="s">
        <v>1899</v>
      </c>
      <c r="B545" s="9" t="s">
        <v>1211</v>
      </c>
      <c r="C545" s="9" t="b">
        <f>TRUE()</f>
        <v>1</v>
      </c>
      <c r="D545" s="10">
        <v>45884</v>
      </c>
      <c r="E545" s="10">
        <v>45870</v>
      </c>
      <c r="F545" s="9" t="s">
        <v>1360</v>
      </c>
      <c r="G545" s="11">
        <v>25300.32</v>
      </c>
      <c r="H545" s="11">
        <v>552.91999999999996</v>
      </c>
      <c r="I545" s="9" t="b">
        <f>TRUE()</f>
        <v>1</v>
      </c>
      <c r="J545" s="9" t="s">
        <v>1361</v>
      </c>
      <c r="K545" s="11">
        <v>552.91999999999996</v>
      </c>
      <c r="L545" s="9" t="s">
        <v>19</v>
      </c>
      <c r="M545" s="9" t="str">
        <f>IFERROR(INDEX(T_CleanCustomers[Sales_Rep_ID],MATCH(B545,T_CleanCustomers[Customer_ID],0)),"Unmatched")</f>
        <v>REP015</v>
      </c>
      <c r="N545" s="9" t="str">
        <f>IFERROR(INDEX(T_CleanCustomers[Channel],MATCH(B545,T_CleanCustomers[Customer_ID],0)),"Unmatched")</f>
        <v>Direct Sales</v>
      </c>
      <c r="O545" s="9" t="str">
        <f>IFERROR(INDEX(T_CleanCustomers[Product],MATCH(B545,T_CleanCustomers[Customer_ID],0)),"Unmatched")</f>
        <v>Fuel Card</v>
      </c>
      <c r="P545" s="9" t="str">
        <f>IFERROR(INDEX(T_CleanCustomers[Customer_Segment],MATCH(B545,T_CleanCustomers[Customer_ID],0)),"Unmatched")</f>
        <v>Enterprise</v>
      </c>
    </row>
    <row r="546" spans="1:16" ht="15" customHeight="1" x14ac:dyDescent="0.2">
      <c r="A546" s="9" t="s">
        <v>1900</v>
      </c>
      <c r="B546" s="9" t="s">
        <v>1211</v>
      </c>
      <c r="C546" s="9" t="b">
        <f>TRUE()</f>
        <v>1</v>
      </c>
      <c r="D546" s="10">
        <v>45870</v>
      </c>
      <c r="E546" s="10">
        <v>45870</v>
      </c>
      <c r="F546" s="9" t="s">
        <v>1360</v>
      </c>
      <c r="G546" s="11">
        <v>35816.25</v>
      </c>
      <c r="H546" s="11">
        <v>780.21</v>
      </c>
      <c r="I546" s="9" t="b">
        <f>TRUE()</f>
        <v>1</v>
      </c>
      <c r="J546" s="9" t="s">
        <v>1361</v>
      </c>
      <c r="K546" s="11">
        <v>780.21</v>
      </c>
      <c r="L546" s="9" t="s">
        <v>19</v>
      </c>
      <c r="M546" s="9" t="str">
        <f>IFERROR(INDEX(T_CleanCustomers[Sales_Rep_ID],MATCH(B546,T_CleanCustomers[Customer_ID],0)),"Unmatched")</f>
        <v>REP015</v>
      </c>
      <c r="N546" s="9" t="str">
        <f>IFERROR(INDEX(T_CleanCustomers[Channel],MATCH(B546,T_CleanCustomers[Customer_ID],0)),"Unmatched")</f>
        <v>Direct Sales</v>
      </c>
      <c r="O546" s="9" t="str">
        <f>IFERROR(INDEX(T_CleanCustomers[Product],MATCH(B546,T_CleanCustomers[Customer_ID],0)),"Unmatched")</f>
        <v>Fuel Card</v>
      </c>
      <c r="P546" s="9" t="str">
        <f>IFERROR(INDEX(T_CleanCustomers[Customer_Segment],MATCH(B546,T_CleanCustomers[Customer_ID],0)),"Unmatched")</f>
        <v>Enterprise</v>
      </c>
    </row>
    <row r="547" spans="1:16" ht="15" customHeight="1" x14ac:dyDescent="0.2">
      <c r="A547" s="9" t="s">
        <v>1901</v>
      </c>
      <c r="B547" s="9" t="s">
        <v>1211</v>
      </c>
      <c r="C547" s="9" t="b">
        <f>TRUE()</f>
        <v>1</v>
      </c>
      <c r="D547" s="10">
        <v>45929</v>
      </c>
      <c r="E547" s="10">
        <v>45901</v>
      </c>
      <c r="F547" s="9" t="s">
        <v>1360</v>
      </c>
      <c r="G547" s="11">
        <v>34410.58</v>
      </c>
      <c r="H547" s="11">
        <v>838.96</v>
      </c>
      <c r="I547" s="9" t="b">
        <f>TRUE()</f>
        <v>1</v>
      </c>
      <c r="J547" s="9" t="s">
        <v>1361</v>
      </c>
      <c r="K547" s="11">
        <v>838.96</v>
      </c>
      <c r="L547" s="9" t="s">
        <v>19</v>
      </c>
      <c r="M547" s="9" t="str">
        <f>IFERROR(INDEX(T_CleanCustomers[Sales_Rep_ID],MATCH(B547,T_CleanCustomers[Customer_ID],0)),"Unmatched")</f>
        <v>REP015</v>
      </c>
      <c r="N547" s="9" t="str">
        <f>IFERROR(INDEX(T_CleanCustomers[Channel],MATCH(B547,T_CleanCustomers[Customer_ID],0)),"Unmatched")</f>
        <v>Direct Sales</v>
      </c>
      <c r="O547" s="9" t="str">
        <f>IFERROR(INDEX(T_CleanCustomers[Product],MATCH(B547,T_CleanCustomers[Customer_ID],0)),"Unmatched")</f>
        <v>Fuel Card</v>
      </c>
      <c r="P547" s="9" t="str">
        <f>IFERROR(INDEX(T_CleanCustomers[Customer_Segment],MATCH(B547,T_CleanCustomers[Customer_ID],0)),"Unmatched")</f>
        <v>Enterprise</v>
      </c>
    </row>
    <row r="548" spans="1:16" ht="15" customHeight="1" x14ac:dyDescent="0.2">
      <c r="A548" s="9" t="s">
        <v>1902</v>
      </c>
      <c r="B548" s="9" t="s">
        <v>1211</v>
      </c>
      <c r="C548" s="9" t="b">
        <f>TRUE()</f>
        <v>1</v>
      </c>
      <c r="D548" s="10">
        <v>45924</v>
      </c>
      <c r="E548" s="10">
        <v>45901</v>
      </c>
      <c r="F548" s="9" t="s">
        <v>1360</v>
      </c>
      <c r="G548" s="11">
        <v>46528.22</v>
      </c>
      <c r="H548" s="11">
        <v>1110.22</v>
      </c>
      <c r="I548" s="9" t="b">
        <f>TRUE()</f>
        <v>1</v>
      </c>
      <c r="J548" s="9" t="s">
        <v>1361</v>
      </c>
      <c r="K548" s="11">
        <v>1110.22</v>
      </c>
      <c r="L548" s="9" t="s">
        <v>19</v>
      </c>
      <c r="M548" s="9" t="str">
        <f>IFERROR(INDEX(T_CleanCustomers[Sales_Rep_ID],MATCH(B548,T_CleanCustomers[Customer_ID],0)),"Unmatched")</f>
        <v>REP015</v>
      </c>
      <c r="N548" s="9" t="str">
        <f>IFERROR(INDEX(T_CleanCustomers[Channel],MATCH(B548,T_CleanCustomers[Customer_ID],0)),"Unmatched")</f>
        <v>Direct Sales</v>
      </c>
      <c r="O548" s="9" t="str">
        <f>IFERROR(INDEX(T_CleanCustomers[Product],MATCH(B548,T_CleanCustomers[Customer_ID],0)),"Unmatched")</f>
        <v>Fuel Card</v>
      </c>
      <c r="P548" s="9" t="str">
        <f>IFERROR(INDEX(T_CleanCustomers[Customer_Segment],MATCH(B548,T_CleanCustomers[Customer_ID],0)),"Unmatched")</f>
        <v>Enterprise</v>
      </c>
    </row>
    <row r="549" spans="1:16" ht="15" customHeight="1" x14ac:dyDescent="0.2">
      <c r="A549" s="9" t="s">
        <v>1903</v>
      </c>
      <c r="B549" s="9" t="s">
        <v>1211</v>
      </c>
      <c r="C549" s="9" t="b">
        <f>TRUE()</f>
        <v>1</v>
      </c>
      <c r="D549" s="10">
        <v>45930</v>
      </c>
      <c r="E549" s="10">
        <v>45901</v>
      </c>
      <c r="F549" s="9" t="s">
        <v>1360</v>
      </c>
      <c r="G549" s="11">
        <v>25809.59</v>
      </c>
      <c r="H549" s="11">
        <v>707.3</v>
      </c>
      <c r="I549" s="9" t="b">
        <f>TRUE()</f>
        <v>1</v>
      </c>
      <c r="J549" s="9" t="s">
        <v>1361</v>
      </c>
      <c r="K549" s="11">
        <v>707.3</v>
      </c>
      <c r="L549" s="9" t="s">
        <v>19</v>
      </c>
      <c r="M549" s="9" t="str">
        <f>IFERROR(INDEX(T_CleanCustomers[Sales_Rep_ID],MATCH(B549,T_CleanCustomers[Customer_ID],0)),"Unmatched")</f>
        <v>REP015</v>
      </c>
      <c r="N549" s="9" t="str">
        <f>IFERROR(INDEX(T_CleanCustomers[Channel],MATCH(B549,T_CleanCustomers[Customer_ID],0)),"Unmatched")</f>
        <v>Direct Sales</v>
      </c>
      <c r="O549" s="9" t="str">
        <f>IFERROR(INDEX(T_CleanCustomers[Product],MATCH(B549,T_CleanCustomers[Customer_ID],0)),"Unmatched")</f>
        <v>Fuel Card</v>
      </c>
      <c r="P549" s="9" t="str">
        <f>IFERROR(INDEX(T_CleanCustomers[Customer_Segment],MATCH(B549,T_CleanCustomers[Customer_ID],0)),"Unmatched")</f>
        <v>Enterprise</v>
      </c>
    </row>
    <row r="550" spans="1:16" ht="15" customHeight="1" x14ac:dyDescent="0.2">
      <c r="A550" s="9" t="s">
        <v>1904</v>
      </c>
      <c r="B550" s="9" t="s">
        <v>1211</v>
      </c>
      <c r="C550" s="9" t="b">
        <f>TRUE()</f>
        <v>1</v>
      </c>
      <c r="D550" s="10">
        <v>45951</v>
      </c>
      <c r="E550" s="10">
        <v>45931</v>
      </c>
      <c r="F550" s="9" t="s">
        <v>1360</v>
      </c>
      <c r="G550" s="11">
        <v>38567.96</v>
      </c>
      <c r="H550" s="11">
        <v>883.2</v>
      </c>
      <c r="I550" s="9" t="b">
        <f>TRUE()</f>
        <v>1</v>
      </c>
      <c r="J550" s="9" t="s">
        <v>1361</v>
      </c>
      <c r="K550" s="11">
        <v>883.2</v>
      </c>
      <c r="L550" s="9" t="s">
        <v>19</v>
      </c>
      <c r="M550" s="9" t="str">
        <f>IFERROR(INDEX(T_CleanCustomers[Sales_Rep_ID],MATCH(B550,T_CleanCustomers[Customer_ID],0)),"Unmatched")</f>
        <v>REP015</v>
      </c>
      <c r="N550" s="9" t="str">
        <f>IFERROR(INDEX(T_CleanCustomers[Channel],MATCH(B550,T_CleanCustomers[Customer_ID],0)),"Unmatched")</f>
        <v>Direct Sales</v>
      </c>
      <c r="O550" s="9" t="str">
        <f>IFERROR(INDEX(T_CleanCustomers[Product],MATCH(B550,T_CleanCustomers[Customer_ID],0)),"Unmatched")</f>
        <v>Fuel Card</v>
      </c>
      <c r="P550" s="9" t="str">
        <f>IFERROR(INDEX(T_CleanCustomers[Customer_Segment],MATCH(B550,T_CleanCustomers[Customer_ID],0)),"Unmatched")</f>
        <v>Enterprise</v>
      </c>
    </row>
    <row r="551" spans="1:16" ht="15" customHeight="1" x14ac:dyDescent="0.2">
      <c r="A551" s="9" t="s">
        <v>1905</v>
      </c>
      <c r="B551" s="9" t="s">
        <v>1211</v>
      </c>
      <c r="C551" s="9" t="b">
        <f>TRUE()</f>
        <v>1</v>
      </c>
      <c r="D551" s="10">
        <v>45962</v>
      </c>
      <c r="E551" s="10">
        <v>45962</v>
      </c>
      <c r="F551" s="9" t="s">
        <v>1360</v>
      </c>
      <c r="G551" s="11">
        <v>44922.92</v>
      </c>
      <c r="H551" s="11">
        <v>1257.76</v>
      </c>
      <c r="I551" s="9" t="b">
        <f>TRUE()</f>
        <v>1</v>
      </c>
      <c r="J551" s="9" t="s">
        <v>1361</v>
      </c>
      <c r="K551" s="11">
        <v>1257.76</v>
      </c>
      <c r="L551" s="9" t="s">
        <v>19</v>
      </c>
      <c r="M551" s="9" t="str">
        <f>IFERROR(INDEX(T_CleanCustomers[Sales_Rep_ID],MATCH(B551,T_CleanCustomers[Customer_ID],0)),"Unmatched")</f>
        <v>REP015</v>
      </c>
      <c r="N551" s="9" t="str">
        <f>IFERROR(INDEX(T_CleanCustomers[Channel],MATCH(B551,T_CleanCustomers[Customer_ID],0)),"Unmatched")</f>
        <v>Direct Sales</v>
      </c>
      <c r="O551" s="9" t="str">
        <f>IFERROR(INDEX(T_CleanCustomers[Product],MATCH(B551,T_CleanCustomers[Customer_ID],0)),"Unmatched")</f>
        <v>Fuel Card</v>
      </c>
      <c r="P551" s="9" t="str">
        <f>IFERROR(INDEX(T_CleanCustomers[Customer_Segment],MATCH(B551,T_CleanCustomers[Customer_ID],0)),"Unmatched")</f>
        <v>Enterprise</v>
      </c>
    </row>
    <row r="552" spans="1:16" ht="15" customHeight="1" x14ac:dyDescent="0.2">
      <c r="A552" s="9" t="s">
        <v>1906</v>
      </c>
      <c r="B552" s="9" t="s">
        <v>1211</v>
      </c>
      <c r="C552" s="9" t="b">
        <f>TRUE()</f>
        <v>1</v>
      </c>
      <c r="D552" s="10">
        <v>45968</v>
      </c>
      <c r="E552" s="10">
        <v>45962</v>
      </c>
      <c r="F552" s="9" t="s">
        <v>1360</v>
      </c>
      <c r="G552" s="11">
        <v>31470.93</v>
      </c>
      <c r="H552" s="11">
        <v>793.06</v>
      </c>
      <c r="I552" s="9" t="b">
        <f>TRUE()</f>
        <v>1</v>
      </c>
      <c r="J552" s="9" t="s">
        <v>1361</v>
      </c>
      <c r="K552" s="11">
        <v>793.06</v>
      </c>
      <c r="L552" s="9" t="s">
        <v>19</v>
      </c>
      <c r="M552" s="9" t="str">
        <f>IFERROR(INDEX(T_CleanCustomers[Sales_Rep_ID],MATCH(B552,T_CleanCustomers[Customer_ID],0)),"Unmatched")</f>
        <v>REP015</v>
      </c>
      <c r="N552" s="9" t="str">
        <f>IFERROR(INDEX(T_CleanCustomers[Channel],MATCH(B552,T_CleanCustomers[Customer_ID],0)),"Unmatched")</f>
        <v>Direct Sales</v>
      </c>
      <c r="O552" s="9" t="str">
        <f>IFERROR(INDEX(T_CleanCustomers[Product],MATCH(B552,T_CleanCustomers[Customer_ID],0)),"Unmatched")</f>
        <v>Fuel Card</v>
      </c>
      <c r="P552" s="9" t="str">
        <f>IFERROR(INDEX(T_CleanCustomers[Customer_Segment],MATCH(B552,T_CleanCustomers[Customer_ID],0)),"Unmatched")</f>
        <v>Enterprise</v>
      </c>
    </row>
    <row r="553" spans="1:16" ht="15" customHeight="1" x14ac:dyDescent="0.2">
      <c r="A553" s="9" t="s">
        <v>1907</v>
      </c>
      <c r="B553" s="9" t="s">
        <v>1211</v>
      </c>
      <c r="C553" s="9" t="b">
        <f>TRUE()</f>
        <v>1</v>
      </c>
      <c r="D553" s="10">
        <v>46007</v>
      </c>
      <c r="E553" s="10">
        <v>45992</v>
      </c>
      <c r="F553" s="9" t="s">
        <v>1360</v>
      </c>
      <c r="G553" s="11">
        <v>40571.21</v>
      </c>
      <c r="H553" s="11">
        <v>1062.1600000000001</v>
      </c>
      <c r="I553" s="9" t="b">
        <f>TRUE()</f>
        <v>1</v>
      </c>
      <c r="J553" s="9" t="s">
        <v>1361</v>
      </c>
      <c r="K553" s="11">
        <v>1062.1600000000001</v>
      </c>
      <c r="L553" s="9" t="s">
        <v>19</v>
      </c>
      <c r="M553" s="9" t="str">
        <f>IFERROR(INDEX(T_CleanCustomers[Sales_Rep_ID],MATCH(B553,T_CleanCustomers[Customer_ID],0)),"Unmatched")</f>
        <v>REP015</v>
      </c>
      <c r="N553" s="9" t="str">
        <f>IFERROR(INDEX(T_CleanCustomers[Channel],MATCH(B553,T_CleanCustomers[Customer_ID],0)),"Unmatched")</f>
        <v>Direct Sales</v>
      </c>
      <c r="O553" s="9" t="str">
        <f>IFERROR(INDEX(T_CleanCustomers[Product],MATCH(B553,T_CleanCustomers[Customer_ID],0)),"Unmatched")</f>
        <v>Fuel Card</v>
      </c>
      <c r="P553" s="9" t="str">
        <f>IFERROR(INDEX(T_CleanCustomers[Customer_Segment],MATCH(B553,T_CleanCustomers[Customer_ID],0)),"Unmatched")</f>
        <v>Enterprise</v>
      </c>
    </row>
    <row r="554" spans="1:16" ht="15" customHeight="1" x14ac:dyDescent="0.2">
      <c r="A554" s="9" t="s">
        <v>1908</v>
      </c>
      <c r="B554" s="9" t="s">
        <v>1211</v>
      </c>
      <c r="C554" s="9" t="b">
        <f>TRUE()</f>
        <v>1</v>
      </c>
      <c r="D554" s="10">
        <v>45993</v>
      </c>
      <c r="E554" s="10">
        <v>45992</v>
      </c>
      <c r="F554" s="9" t="s">
        <v>1360</v>
      </c>
      <c r="G554" s="11">
        <v>15695.47</v>
      </c>
      <c r="H554" s="11">
        <v>437.87</v>
      </c>
      <c r="I554" s="9" t="b">
        <f>TRUE()</f>
        <v>1</v>
      </c>
      <c r="J554" s="9" t="s">
        <v>1361</v>
      </c>
      <c r="K554" s="11">
        <v>437.87</v>
      </c>
      <c r="L554" s="9" t="s">
        <v>19</v>
      </c>
      <c r="M554" s="9" t="str">
        <f>IFERROR(INDEX(T_CleanCustomers[Sales_Rep_ID],MATCH(B554,T_CleanCustomers[Customer_ID],0)),"Unmatched")</f>
        <v>REP015</v>
      </c>
      <c r="N554" s="9" t="str">
        <f>IFERROR(INDEX(T_CleanCustomers[Channel],MATCH(B554,T_CleanCustomers[Customer_ID],0)),"Unmatched")</f>
        <v>Direct Sales</v>
      </c>
      <c r="O554" s="9" t="str">
        <f>IFERROR(INDEX(T_CleanCustomers[Product],MATCH(B554,T_CleanCustomers[Customer_ID],0)),"Unmatched")</f>
        <v>Fuel Card</v>
      </c>
      <c r="P554" s="9" t="str">
        <f>IFERROR(INDEX(T_CleanCustomers[Customer_Segment],MATCH(B554,T_CleanCustomers[Customer_ID],0)),"Unmatched")</f>
        <v>Enterprise</v>
      </c>
    </row>
    <row r="555" spans="1:16" ht="15" customHeight="1" x14ac:dyDescent="0.2">
      <c r="A555" s="9" t="s">
        <v>1909</v>
      </c>
      <c r="B555" s="9" t="s">
        <v>1212</v>
      </c>
      <c r="C555" s="9" t="b">
        <f>TRUE()</f>
        <v>1</v>
      </c>
      <c r="D555" s="10">
        <v>45859</v>
      </c>
      <c r="E555" s="10">
        <v>45839</v>
      </c>
      <c r="F555" s="9" t="s">
        <v>1360</v>
      </c>
      <c r="G555" s="11">
        <v>17969.78</v>
      </c>
      <c r="H555" s="11">
        <v>554.37</v>
      </c>
      <c r="I555" s="9" t="b">
        <f>TRUE()</f>
        <v>1</v>
      </c>
      <c r="J555" s="9" t="s">
        <v>1361</v>
      </c>
      <c r="K555" s="11">
        <v>554.37</v>
      </c>
      <c r="L555" s="9" t="s">
        <v>19</v>
      </c>
      <c r="M555" s="9" t="str">
        <f>IFERROR(INDEX(T_CleanCustomers[Sales_Rep_ID],MATCH(B555,T_CleanCustomers[Customer_ID],0)),"Unmatched")</f>
        <v>REP015</v>
      </c>
      <c r="N555" s="9" t="str">
        <f>IFERROR(INDEX(T_CleanCustomers[Channel],MATCH(B555,T_CleanCustomers[Customer_ID],0)),"Unmatched")</f>
        <v>Referral</v>
      </c>
      <c r="O555" s="9" t="str">
        <f>IFERROR(INDEX(T_CleanCustomers[Product],MATCH(B555,T_CleanCustomers[Customer_ID],0)),"Unmatched")</f>
        <v>Fleet Expense Card</v>
      </c>
      <c r="P555" s="9" t="str">
        <f>IFERROR(INDEX(T_CleanCustomers[Customer_Segment],MATCH(B555,T_CleanCustomers[Customer_ID],0)),"Unmatched")</f>
        <v>Mid-Market</v>
      </c>
    </row>
    <row r="556" spans="1:16" ht="15" customHeight="1" x14ac:dyDescent="0.2">
      <c r="A556" s="9" t="s">
        <v>1910</v>
      </c>
      <c r="B556" s="9" t="s">
        <v>1212</v>
      </c>
      <c r="C556" s="9" t="b">
        <f>TRUE()</f>
        <v>1</v>
      </c>
      <c r="D556" s="10">
        <v>45887</v>
      </c>
      <c r="E556" s="10">
        <v>45870</v>
      </c>
      <c r="F556" s="9" t="s">
        <v>1479</v>
      </c>
      <c r="G556" s="11">
        <v>9431.17</v>
      </c>
      <c r="H556" s="11">
        <v>256.36</v>
      </c>
      <c r="I556" s="9" t="b">
        <f>TRUE()</f>
        <v>1</v>
      </c>
      <c r="J556" s="9" t="s">
        <v>1361</v>
      </c>
      <c r="K556" s="11">
        <v>256.36</v>
      </c>
      <c r="L556" s="9" t="s">
        <v>19</v>
      </c>
      <c r="M556" s="9" t="str">
        <f>IFERROR(INDEX(T_CleanCustomers[Sales_Rep_ID],MATCH(B556,T_CleanCustomers[Customer_ID],0)),"Unmatched")</f>
        <v>REP015</v>
      </c>
      <c r="N556" s="9" t="str">
        <f>IFERROR(INDEX(T_CleanCustomers[Channel],MATCH(B556,T_CleanCustomers[Customer_ID],0)),"Unmatched")</f>
        <v>Referral</v>
      </c>
      <c r="O556" s="9" t="str">
        <f>IFERROR(INDEX(T_CleanCustomers[Product],MATCH(B556,T_CleanCustomers[Customer_ID],0)),"Unmatched")</f>
        <v>Fleet Expense Card</v>
      </c>
      <c r="P556" s="9" t="str">
        <f>IFERROR(INDEX(T_CleanCustomers[Customer_Segment],MATCH(B556,T_CleanCustomers[Customer_ID],0)),"Unmatched")</f>
        <v>Mid-Market</v>
      </c>
    </row>
    <row r="557" spans="1:16" ht="15" customHeight="1" x14ac:dyDescent="0.2">
      <c r="A557" s="9" t="s">
        <v>1911</v>
      </c>
      <c r="B557" s="9" t="s">
        <v>1212</v>
      </c>
      <c r="C557" s="9" t="b">
        <f>TRUE()</f>
        <v>1</v>
      </c>
      <c r="D557" s="10">
        <v>45878</v>
      </c>
      <c r="E557" s="10">
        <v>45870</v>
      </c>
      <c r="F557" s="9" t="s">
        <v>1360</v>
      </c>
      <c r="G557" s="11">
        <v>7761.74</v>
      </c>
      <c r="H557" s="11">
        <v>216.55</v>
      </c>
      <c r="I557" s="9" t="b">
        <f>TRUE()</f>
        <v>1</v>
      </c>
      <c r="J557" s="9" t="s">
        <v>1361</v>
      </c>
      <c r="K557" s="11">
        <v>216.55</v>
      </c>
      <c r="L557" s="9" t="s">
        <v>19</v>
      </c>
      <c r="M557" s="9" t="str">
        <f>IFERROR(INDEX(T_CleanCustomers[Sales_Rep_ID],MATCH(B557,T_CleanCustomers[Customer_ID],0)),"Unmatched")</f>
        <v>REP015</v>
      </c>
      <c r="N557" s="9" t="str">
        <f>IFERROR(INDEX(T_CleanCustomers[Channel],MATCH(B557,T_CleanCustomers[Customer_ID],0)),"Unmatched")</f>
        <v>Referral</v>
      </c>
      <c r="O557" s="9" t="str">
        <f>IFERROR(INDEX(T_CleanCustomers[Product],MATCH(B557,T_CleanCustomers[Customer_ID],0)),"Unmatched")</f>
        <v>Fleet Expense Card</v>
      </c>
      <c r="P557" s="9" t="str">
        <f>IFERROR(INDEX(T_CleanCustomers[Customer_Segment],MATCH(B557,T_CleanCustomers[Customer_ID],0)),"Unmatched")</f>
        <v>Mid-Market</v>
      </c>
    </row>
    <row r="558" spans="1:16" ht="15" customHeight="1" x14ac:dyDescent="0.2">
      <c r="A558" s="9" t="s">
        <v>1912</v>
      </c>
      <c r="B558" s="9" t="s">
        <v>1212</v>
      </c>
      <c r="C558" s="9" t="b">
        <f>TRUE()</f>
        <v>1</v>
      </c>
      <c r="D558" s="10">
        <v>45872</v>
      </c>
      <c r="E558" s="10">
        <v>45870</v>
      </c>
      <c r="F558" s="9" t="s">
        <v>1481</v>
      </c>
      <c r="G558" s="11">
        <v>14157.53</v>
      </c>
      <c r="H558" s="11">
        <v>374.8</v>
      </c>
      <c r="I558" s="9" t="b">
        <f>TRUE()</f>
        <v>1</v>
      </c>
      <c r="J558" s="9" t="s">
        <v>1361</v>
      </c>
      <c r="K558" s="11">
        <v>374.8</v>
      </c>
      <c r="L558" s="9" t="s">
        <v>19</v>
      </c>
      <c r="M558" s="9" t="str">
        <f>IFERROR(INDEX(T_CleanCustomers[Sales_Rep_ID],MATCH(B558,T_CleanCustomers[Customer_ID],0)),"Unmatched")</f>
        <v>REP015</v>
      </c>
      <c r="N558" s="9" t="str">
        <f>IFERROR(INDEX(T_CleanCustomers[Channel],MATCH(B558,T_CleanCustomers[Customer_ID],0)),"Unmatched")</f>
        <v>Referral</v>
      </c>
      <c r="O558" s="9" t="str">
        <f>IFERROR(INDEX(T_CleanCustomers[Product],MATCH(B558,T_CleanCustomers[Customer_ID],0)),"Unmatched")</f>
        <v>Fleet Expense Card</v>
      </c>
      <c r="P558" s="9" t="str">
        <f>IFERROR(INDEX(T_CleanCustomers[Customer_Segment],MATCH(B558,T_CleanCustomers[Customer_ID],0)),"Unmatched")</f>
        <v>Mid-Market</v>
      </c>
    </row>
    <row r="559" spans="1:16" ht="15" customHeight="1" x14ac:dyDescent="0.2">
      <c r="A559" s="9" t="s">
        <v>1913</v>
      </c>
      <c r="B559" s="9" t="s">
        <v>1212</v>
      </c>
      <c r="C559" s="9" t="b">
        <f>TRUE()</f>
        <v>1</v>
      </c>
      <c r="D559" s="10">
        <v>45903</v>
      </c>
      <c r="E559" s="10">
        <v>45901</v>
      </c>
      <c r="F559" s="9" t="s">
        <v>1479</v>
      </c>
      <c r="G559" s="11">
        <v>9221.6</v>
      </c>
      <c r="H559" s="11">
        <v>280.35000000000002</v>
      </c>
      <c r="I559" s="9" t="b">
        <f>TRUE()</f>
        <v>1</v>
      </c>
      <c r="J559" s="9" t="s">
        <v>1361</v>
      </c>
      <c r="K559" s="11">
        <v>280.35000000000002</v>
      </c>
      <c r="L559" s="9" t="s">
        <v>19</v>
      </c>
      <c r="M559" s="9" t="str">
        <f>IFERROR(INDEX(T_CleanCustomers[Sales_Rep_ID],MATCH(B559,T_CleanCustomers[Customer_ID],0)),"Unmatched")</f>
        <v>REP015</v>
      </c>
      <c r="N559" s="9" t="str">
        <f>IFERROR(INDEX(T_CleanCustomers[Channel],MATCH(B559,T_CleanCustomers[Customer_ID],0)),"Unmatched")</f>
        <v>Referral</v>
      </c>
      <c r="O559" s="9" t="str">
        <f>IFERROR(INDEX(T_CleanCustomers[Product],MATCH(B559,T_CleanCustomers[Customer_ID],0)),"Unmatched")</f>
        <v>Fleet Expense Card</v>
      </c>
      <c r="P559" s="9" t="str">
        <f>IFERROR(INDEX(T_CleanCustomers[Customer_Segment],MATCH(B559,T_CleanCustomers[Customer_ID],0)),"Unmatched")</f>
        <v>Mid-Market</v>
      </c>
    </row>
    <row r="560" spans="1:16" ht="15" customHeight="1" x14ac:dyDescent="0.2">
      <c r="A560" s="9" t="s">
        <v>1914</v>
      </c>
      <c r="B560" s="9" t="s">
        <v>1212</v>
      </c>
      <c r="C560" s="9" t="b">
        <f>TRUE()</f>
        <v>1</v>
      </c>
      <c r="D560" s="10">
        <v>45942</v>
      </c>
      <c r="E560" s="10">
        <v>45931</v>
      </c>
      <c r="F560" s="9" t="s">
        <v>1479</v>
      </c>
      <c r="G560" s="11">
        <v>12233.72</v>
      </c>
      <c r="H560" s="11">
        <v>302.10000000000002</v>
      </c>
      <c r="I560" s="9" t="b">
        <f>TRUE()</f>
        <v>1</v>
      </c>
      <c r="J560" s="9" t="s">
        <v>1361</v>
      </c>
      <c r="K560" s="11">
        <v>302.10000000000002</v>
      </c>
      <c r="L560" s="9" t="s">
        <v>19</v>
      </c>
      <c r="M560" s="9" t="str">
        <f>IFERROR(INDEX(T_CleanCustomers[Sales_Rep_ID],MATCH(B560,T_CleanCustomers[Customer_ID],0)),"Unmatched")</f>
        <v>REP015</v>
      </c>
      <c r="N560" s="9" t="str">
        <f>IFERROR(INDEX(T_CleanCustomers[Channel],MATCH(B560,T_CleanCustomers[Customer_ID],0)),"Unmatched")</f>
        <v>Referral</v>
      </c>
      <c r="O560" s="9" t="str">
        <f>IFERROR(INDEX(T_CleanCustomers[Product],MATCH(B560,T_CleanCustomers[Customer_ID],0)),"Unmatched")</f>
        <v>Fleet Expense Card</v>
      </c>
      <c r="P560" s="9" t="str">
        <f>IFERROR(INDEX(T_CleanCustomers[Customer_Segment],MATCH(B560,T_CleanCustomers[Customer_ID],0)),"Unmatched")</f>
        <v>Mid-Market</v>
      </c>
    </row>
    <row r="561" spans="1:16" ht="15" customHeight="1" x14ac:dyDescent="0.2">
      <c r="A561" s="9" t="s">
        <v>1915</v>
      </c>
      <c r="B561" s="9" t="s">
        <v>1212</v>
      </c>
      <c r="C561" s="9" t="b">
        <f>TRUE()</f>
        <v>1</v>
      </c>
      <c r="D561" s="10">
        <v>45967</v>
      </c>
      <c r="E561" s="10">
        <v>45962</v>
      </c>
      <c r="F561" s="9" t="s">
        <v>1479</v>
      </c>
      <c r="G561" s="11">
        <v>8652.51</v>
      </c>
      <c r="H561" s="11">
        <v>227.79</v>
      </c>
      <c r="I561" s="9" t="b">
        <f>TRUE()</f>
        <v>1</v>
      </c>
      <c r="J561" s="9" t="s">
        <v>1361</v>
      </c>
      <c r="K561" s="11">
        <v>227.79</v>
      </c>
      <c r="L561" s="9" t="s">
        <v>19</v>
      </c>
      <c r="M561" s="9" t="str">
        <f>IFERROR(INDEX(T_CleanCustomers[Sales_Rep_ID],MATCH(B561,T_CleanCustomers[Customer_ID],0)),"Unmatched")</f>
        <v>REP015</v>
      </c>
      <c r="N561" s="9" t="str">
        <f>IFERROR(INDEX(T_CleanCustomers[Channel],MATCH(B561,T_CleanCustomers[Customer_ID],0)),"Unmatched")</f>
        <v>Referral</v>
      </c>
      <c r="O561" s="9" t="str">
        <f>IFERROR(INDEX(T_CleanCustomers[Product],MATCH(B561,T_CleanCustomers[Customer_ID],0)),"Unmatched")</f>
        <v>Fleet Expense Card</v>
      </c>
      <c r="P561" s="9" t="str">
        <f>IFERROR(INDEX(T_CleanCustomers[Customer_Segment],MATCH(B561,T_CleanCustomers[Customer_ID],0)),"Unmatched")</f>
        <v>Mid-Market</v>
      </c>
    </row>
    <row r="562" spans="1:16" ht="15" customHeight="1" x14ac:dyDescent="0.2">
      <c r="A562" s="9" t="s">
        <v>1916</v>
      </c>
      <c r="B562" s="9" t="s">
        <v>1212</v>
      </c>
      <c r="C562" s="9" t="b">
        <f>TRUE()</f>
        <v>1</v>
      </c>
      <c r="D562" s="10">
        <v>46004</v>
      </c>
      <c r="E562" s="10">
        <v>45992</v>
      </c>
      <c r="F562" s="9" t="s">
        <v>1481</v>
      </c>
      <c r="G562" s="11">
        <v>14234.34</v>
      </c>
      <c r="H562" s="11">
        <v>426.76</v>
      </c>
      <c r="I562" s="9" t="b">
        <f>TRUE()</f>
        <v>1</v>
      </c>
      <c r="J562" s="9" t="s">
        <v>1361</v>
      </c>
      <c r="K562" s="11">
        <v>426.76</v>
      </c>
      <c r="L562" s="9" t="s">
        <v>19</v>
      </c>
      <c r="M562" s="9" t="str">
        <f>IFERROR(INDEX(T_CleanCustomers[Sales_Rep_ID],MATCH(B562,T_CleanCustomers[Customer_ID],0)),"Unmatched")</f>
        <v>REP015</v>
      </c>
      <c r="N562" s="9" t="str">
        <f>IFERROR(INDEX(T_CleanCustomers[Channel],MATCH(B562,T_CleanCustomers[Customer_ID],0)),"Unmatched")</f>
        <v>Referral</v>
      </c>
      <c r="O562" s="9" t="str">
        <f>IFERROR(INDEX(T_CleanCustomers[Product],MATCH(B562,T_CleanCustomers[Customer_ID],0)),"Unmatched")</f>
        <v>Fleet Expense Card</v>
      </c>
      <c r="P562" s="9" t="str">
        <f>IFERROR(INDEX(T_CleanCustomers[Customer_Segment],MATCH(B562,T_CleanCustomers[Customer_ID],0)),"Unmatched")</f>
        <v>Mid-Market</v>
      </c>
    </row>
    <row r="563" spans="1:16" ht="15" customHeight="1" x14ac:dyDescent="0.2">
      <c r="A563" s="9" t="s">
        <v>1917</v>
      </c>
      <c r="B563" s="9" t="s">
        <v>1212</v>
      </c>
      <c r="C563" s="9" t="b">
        <f>TRUE()</f>
        <v>1</v>
      </c>
      <c r="D563" s="10">
        <v>46011</v>
      </c>
      <c r="E563" s="10">
        <v>45992</v>
      </c>
      <c r="F563" s="9" t="s">
        <v>1360</v>
      </c>
      <c r="G563" s="11">
        <v>7467.22</v>
      </c>
      <c r="H563" s="11">
        <v>184.9</v>
      </c>
      <c r="I563" s="9" t="b">
        <f>TRUE()</f>
        <v>1</v>
      </c>
      <c r="J563" s="9" t="s">
        <v>1361</v>
      </c>
      <c r="K563" s="11">
        <v>184.9</v>
      </c>
      <c r="L563" s="9" t="s">
        <v>19</v>
      </c>
      <c r="M563" s="9" t="str">
        <f>IFERROR(INDEX(T_CleanCustomers[Sales_Rep_ID],MATCH(B563,T_CleanCustomers[Customer_ID],0)),"Unmatched")</f>
        <v>REP015</v>
      </c>
      <c r="N563" s="9" t="str">
        <f>IFERROR(INDEX(T_CleanCustomers[Channel],MATCH(B563,T_CleanCustomers[Customer_ID],0)),"Unmatched")</f>
        <v>Referral</v>
      </c>
      <c r="O563" s="9" t="str">
        <f>IFERROR(INDEX(T_CleanCustomers[Product],MATCH(B563,T_CleanCustomers[Customer_ID],0)),"Unmatched")</f>
        <v>Fleet Expense Card</v>
      </c>
      <c r="P563" s="9" t="str">
        <f>IFERROR(INDEX(T_CleanCustomers[Customer_Segment],MATCH(B563,T_CleanCustomers[Customer_ID],0)),"Unmatched")</f>
        <v>Mid-Market</v>
      </c>
    </row>
    <row r="564" spans="1:16" ht="15" customHeight="1" x14ac:dyDescent="0.2">
      <c r="A564" s="9" t="s">
        <v>1918</v>
      </c>
      <c r="B564" s="9" t="s">
        <v>1212</v>
      </c>
      <c r="C564" s="9" t="b">
        <f>TRUE()</f>
        <v>1</v>
      </c>
      <c r="D564" s="10">
        <v>45997</v>
      </c>
      <c r="E564" s="10">
        <v>45992</v>
      </c>
      <c r="F564" s="9" t="s">
        <v>1479</v>
      </c>
      <c r="G564" s="11">
        <v>14091.4</v>
      </c>
      <c r="H564" s="11">
        <v>405.08</v>
      </c>
      <c r="I564" s="9" t="b">
        <f>TRUE()</f>
        <v>1</v>
      </c>
      <c r="J564" s="9" t="s">
        <v>1361</v>
      </c>
      <c r="K564" s="11">
        <v>405.08</v>
      </c>
      <c r="L564" s="9" t="s">
        <v>19</v>
      </c>
      <c r="M564" s="9" t="str">
        <f>IFERROR(INDEX(T_CleanCustomers[Sales_Rep_ID],MATCH(B564,T_CleanCustomers[Customer_ID],0)),"Unmatched")</f>
        <v>REP015</v>
      </c>
      <c r="N564" s="9" t="str">
        <f>IFERROR(INDEX(T_CleanCustomers[Channel],MATCH(B564,T_CleanCustomers[Customer_ID],0)),"Unmatched")</f>
        <v>Referral</v>
      </c>
      <c r="O564" s="9" t="str">
        <f>IFERROR(INDEX(T_CleanCustomers[Product],MATCH(B564,T_CleanCustomers[Customer_ID],0)),"Unmatched")</f>
        <v>Fleet Expense Card</v>
      </c>
      <c r="P564" s="9" t="str">
        <f>IFERROR(INDEX(T_CleanCustomers[Customer_Segment],MATCH(B564,T_CleanCustomers[Customer_ID],0)),"Unmatched")</f>
        <v>Mid-Market</v>
      </c>
    </row>
    <row r="565" spans="1:16" ht="15" customHeight="1" x14ac:dyDescent="0.2">
      <c r="A565" s="9" t="s">
        <v>1919</v>
      </c>
      <c r="B565" s="9" t="s">
        <v>1213</v>
      </c>
      <c r="C565" s="9" t="b">
        <f>TRUE()</f>
        <v>1</v>
      </c>
      <c r="D565" s="10">
        <v>45855</v>
      </c>
      <c r="E565" s="10">
        <v>45839</v>
      </c>
      <c r="F565" s="9" t="s">
        <v>1360</v>
      </c>
      <c r="G565" s="11">
        <v>5013.28</v>
      </c>
      <c r="H565" s="11">
        <v>130.97</v>
      </c>
      <c r="I565" s="9" t="b">
        <f>TRUE()</f>
        <v>1</v>
      </c>
      <c r="J565" s="9" t="s">
        <v>1361</v>
      </c>
      <c r="K565" s="11">
        <v>130.97</v>
      </c>
      <c r="L565" s="9" t="s">
        <v>18</v>
      </c>
      <c r="M565" s="9" t="str">
        <f>IFERROR(INDEX(T_CleanCustomers[Sales_Rep_ID],MATCH(B565,T_CleanCustomers[Customer_ID],0)),"Unmatched")</f>
        <v>REP012</v>
      </c>
      <c r="N565" s="9" t="str">
        <f>IFERROR(INDEX(T_CleanCustomers[Channel],MATCH(B565,T_CleanCustomers[Customer_ID],0)),"Unmatched")</f>
        <v>Referral</v>
      </c>
      <c r="O565" s="9" t="str">
        <f>IFERROR(INDEX(T_CleanCustomers[Product],MATCH(B565,T_CleanCustomers[Customer_ID],0)),"Unmatched")</f>
        <v>Fuel Card</v>
      </c>
      <c r="P565" s="9" t="str">
        <f>IFERROR(INDEX(T_CleanCustomers[Customer_Segment],MATCH(B565,T_CleanCustomers[Customer_ID],0)),"Unmatched")</f>
        <v>SME</v>
      </c>
    </row>
    <row r="566" spans="1:16" ht="15" customHeight="1" x14ac:dyDescent="0.2">
      <c r="A566" s="9" t="s">
        <v>1920</v>
      </c>
      <c r="B566" s="9" t="s">
        <v>1213</v>
      </c>
      <c r="C566" s="9" t="b">
        <f>TRUE()</f>
        <v>1</v>
      </c>
      <c r="D566" s="10">
        <v>45882</v>
      </c>
      <c r="E566" s="10">
        <v>45870</v>
      </c>
      <c r="F566" s="9" t="s">
        <v>1360</v>
      </c>
      <c r="G566" s="11">
        <v>2134.46</v>
      </c>
      <c r="H566" s="11">
        <v>56.9</v>
      </c>
      <c r="I566" s="9" t="b">
        <f>TRUE()</f>
        <v>1</v>
      </c>
      <c r="J566" s="9" t="s">
        <v>1361</v>
      </c>
      <c r="K566" s="11">
        <v>56.9</v>
      </c>
      <c r="L566" s="9" t="s">
        <v>18</v>
      </c>
      <c r="M566" s="9" t="str">
        <f>IFERROR(INDEX(T_CleanCustomers[Sales_Rep_ID],MATCH(B566,T_CleanCustomers[Customer_ID],0)),"Unmatched")</f>
        <v>REP012</v>
      </c>
      <c r="N566" s="9" t="str">
        <f>IFERROR(INDEX(T_CleanCustomers[Channel],MATCH(B566,T_CleanCustomers[Customer_ID],0)),"Unmatched")</f>
        <v>Referral</v>
      </c>
      <c r="O566" s="9" t="str">
        <f>IFERROR(INDEX(T_CleanCustomers[Product],MATCH(B566,T_CleanCustomers[Customer_ID],0)),"Unmatched")</f>
        <v>Fuel Card</v>
      </c>
      <c r="P566" s="9" t="str">
        <f>IFERROR(INDEX(T_CleanCustomers[Customer_Segment],MATCH(B566,T_CleanCustomers[Customer_ID],0)),"Unmatched")</f>
        <v>SME</v>
      </c>
    </row>
    <row r="567" spans="1:16" ht="15" customHeight="1" x14ac:dyDescent="0.2">
      <c r="A567" s="9" t="s">
        <v>1921</v>
      </c>
      <c r="B567" s="9" t="s">
        <v>1213</v>
      </c>
      <c r="C567" s="9" t="b">
        <f>TRUE()</f>
        <v>1</v>
      </c>
      <c r="D567" s="10">
        <v>45893</v>
      </c>
      <c r="E567" s="10">
        <v>45870</v>
      </c>
      <c r="F567" s="9" t="s">
        <v>1360</v>
      </c>
      <c r="G567" s="11">
        <v>2271.38</v>
      </c>
      <c r="H567" s="11">
        <v>64.37</v>
      </c>
      <c r="I567" s="9" t="b">
        <f>TRUE()</f>
        <v>1</v>
      </c>
      <c r="J567" s="9" t="s">
        <v>1361</v>
      </c>
      <c r="K567" s="11">
        <v>64.37</v>
      </c>
      <c r="L567" s="9" t="s">
        <v>18</v>
      </c>
      <c r="M567" s="9" t="str">
        <f>IFERROR(INDEX(T_CleanCustomers[Sales_Rep_ID],MATCH(B567,T_CleanCustomers[Customer_ID],0)),"Unmatched")</f>
        <v>REP012</v>
      </c>
      <c r="N567" s="9" t="str">
        <f>IFERROR(INDEX(T_CleanCustomers[Channel],MATCH(B567,T_CleanCustomers[Customer_ID],0)),"Unmatched")</f>
        <v>Referral</v>
      </c>
      <c r="O567" s="9" t="str">
        <f>IFERROR(INDEX(T_CleanCustomers[Product],MATCH(B567,T_CleanCustomers[Customer_ID],0)),"Unmatched")</f>
        <v>Fuel Card</v>
      </c>
      <c r="P567" s="9" t="str">
        <f>IFERROR(INDEX(T_CleanCustomers[Customer_Segment],MATCH(B567,T_CleanCustomers[Customer_ID],0)),"Unmatched")</f>
        <v>SME</v>
      </c>
    </row>
    <row r="568" spans="1:16" ht="15" customHeight="1" x14ac:dyDescent="0.2">
      <c r="A568" s="9" t="s">
        <v>1922</v>
      </c>
      <c r="B568" s="9" t="s">
        <v>1213</v>
      </c>
      <c r="C568" s="9" t="b">
        <f>TRUE()</f>
        <v>1</v>
      </c>
      <c r="D568" s="10">
        <v>45898</v>
      </c>
      <c r="E568" s="10">
        <v>45870</v>
      </c>
      <c r="F568" s="9" t="s">
        <v>1360</v>
      </c>
      <c r="G568" s="11">
        <v>5052.47</v>
      </c>
      <c r="H568" s="11">
        <v>138.84</v>
      </c>
      <c r="I568" s="9" t="b">
        <f>TRUE()</f>
        <v>1</v>
      </c>
      <c r="J568" s="9" t="s">
        <v>1361</v>
      </c>
      <c r="K568" s="11">
        <v>138.84</v>
      </c>
      <c r="L568" s="9" t="s">
        <v>18</v>
      </c>
      <c r="M568" s="9" t="str">
        <f>IFERROR(INDEX(T_CleanCustomers[Sales_Rep_ID],MATCH(B568,T_CleanCustomers[Customer_ID],0)),"Unmatched")</f>
        <v>REP012</v>
      </c>
      <c r="N568" s="9" t="str">
        <f>IFERROR(INDEX(T_CleanCustomers[Channel],MATCH(B568,T_CleanCustomers[Customer_ID],0)),"Unmatched")</f>
        <v>Referral</v>
      </c>
      <c r="O568" s="9" t="str">
        <f>IFERROR(INDEX(T_CleanCustomers[Product],MATCH(B568,T_CleanCustomers[Customer_ID],0)),"Unmatched")</f>
        <v>Fuel Card</v>
      </c>
      <c r="P568" s="9" t="str">
        <f>IFERROR(INDEX(T_CleanCustomers[Customer_Segment],MATCH(B568,T_CleanCustomers[Customer_ID],0)),"Unmatched")</f>
        <v>SME</v>
      </c>
    </row>
    <row r="569" spans="1:16" ht="15" customHeight="1" x14ac:dyDescent="0.2">
      <c r="A569" s="9" t="s">
        <v>1923</v>
      </c>
      <c r="B569" s="9" t="s">
        <v>1213</v>
      </c>
      <c r="C569" s="9" t="b">
        <f>TRUE()</f>
        <v>1</v>
      </c>
      <c r="D569" s="10">
        <v>45909</v>
      </c>
      <c r="E569" s="10">
        <v>45901</v>
      </c>
      <c r="F569" s="9" t="s">
        <v>1360</v>
      </c>
      <c r="G569" s="11">
        <v>2438.62</v>
      </c>
      <c r="H569" s="11">
        <v>60.11</v>
      </c>
      <c r="I569" s="9" t="b">
        <f>TRUE()</f>
        <v>1</v>
      </c>
      <c r="J569" s="9" t="s">
        <v>1361</v>
      </c>
      <c r="K569" s="11">
        <v>60.11</v>
      </c>
      <c r="L569" s="9" t="s">
        <v>18</v>
      </c>
      <c r="M569" s="9" t="str">
        <f>IFERROR(INDEX(T_CleanCustomers[Sales_Rep_ID],MATCH(B569,T_CleanCustomers[Customer_ID],0)),"Unmatched")</f>
        <v>REP012</v>
      </c>
      <c r="N569" s="9" t="str">
        <f>IFERROR(INDEX(T_CleanCustomers[Channel],MATCH(B569,T_CleanCustomers[Customer_ID],0)),"Unmatched")</f>
        <v>Referral</v>
      </c>
      <c r="O569" s="9" t="str">
        <f>IFERROR(INDEX(T_CleanCustomers[Product],MATCH(B569,T_CleanCustomers[Customer_ID],0)),"Unmatched")</f>
        <v>Fuel Card</v>
      </c>
      <c r="P569" s="9" t="str">
        <f>IFERROR(INDEX(T_CleanCustomers[Customer_Segment],MATCH(B569,T_CleanCustomers[Customer_ID],0)),"Unmatched")</f>
        <v>SME</v>
      </c>
    </row>
    <row r="570" spans="1:16" ht="15" customHeight="1" x14ac:dyDescent="0.2">
      <c r="A570" s="9" t="s">
        <v>1924</v>
      </c>
      <c r="B570" s="9" t="s">
        <v>1213</v>
      </c>
      <c r="C570" s="9" t="b">
        <f>TRUE()</f>
        <v>1</v>
      </c>
      <c r="D570" s="10">
        <v>45945</v>
      </c>
      <c r="E570" s="10">
        <v>45931</v>
      </c>
      <c r="F570" s="9" t="s">
        <v>1360</v>
      </c>
      <c r="G570" s="11">
        <v>3998.79</v>
      </c>
      <c r="H570" s="11">
        <v>97.68</v>
      </c>
      <c r="I570" s="9" t="b">
        <f>TRUE()</f>
        <v>1</v>
      </c>
      <c r="J570" s="9" t="s">
        <v>1361</v>
      </c>
      <c r="K570" s="11">
        <v>97.68</v>
      </c>
      <c r="L570" s="9" t="s">
        <v>18</v>
      </c>
      <c r="M570" s="9" t="str">
        <f>IFERROR(INDEX(T_CleanCustomers[Sales_Rep_ID],MATCH(B570,T_CleanCustomers[Customer_ID],0)),"Unmatched")</f>
        <v>REP012</v>
      </c>
      <c r="N570" s="9" t="str">
        <f>IFERROR(INDEX(T_CleanCustomers[Channel],MATCH(B570,T_CleanCustomers[Customer_ID],0)),"Unmatched")</f>
        <v>Referral</v>
      </c>
      <c r="O570" s="9" t="str">
        <f>IFERROR(INDEX(T_CleanCustomers[Product],MATCH(B570,T_CleanCustomers[Customer_ID],0)),"Unmatched")</f>
        <v>Fuel Card</v>
      </c>
      <c r="P570" s="9" t="str">
        <f>IFERROR(INDEX(T_CleanCustomers[Customer_Segment],MATCH(B570,T_CleanCustomers[Customer_ID],0)),"Unmatched")</f>
        <v>SME</v>
      </c>
    </row>
    <row r="571" spans="1:16" ht="15" customHeight="1" x14ac:dyDescent="0.2">
      <c r="A571" s="9" t="s">
        <v>1925</v>
      </c>
      <c r="B571" s="9" t="s">
        <v>1213</v>
      </c>
      <c r="C571" s="9" t="b">
        <f>TRUE()</f>
        <v>1</v>
      </c>
      <c r="D571" s="10">
        <v>45946</v>
      </c>
      <c r="E571" s="10">
        <v>45931</v>
      </c>
      <c r="F571" s="9" t="s">
        <v>1360</v>
      </c>
      <c r="G571" s="11">
        <v>2461.6999999999998</v>
      </c>
      <c r="H571" s="11">
        <v>57.52</v>
      </c>
      <c r="I571" s="9" t="b">
        <f>TRUE()</f>
        <v>1</v>
      </c>
      <c r="J571" s="9" t="s">
        <v>1361</v>
      </c>
      <c r="K571" s="11">
        <v>57.52</v>
      </c>
      <c r="L571" s="9" t="s">
        <v>18</v>
      </c>
      <c r="M571" s="9" t="str">
        <f>IFERROR(INDEX(T_CleanCustomers[Sales_Rep_ID],MATCH(B571,T_CleanCustomers[Customer_ID],0)),"Unmatched")</f>
        <v>REP012</v>
      </c>
      <c r="N571" s="9" t="str">
        <f>IFERROR(INDEX(T_CleanCustomers[Channel],MATCH(B571,T_CleanCustomers[Customer_ID],0)),"Unmatched")</f>
        <v>Referral</v>
      </c>
      <c r="O571" s="9" t="str">
        <f>IFERROR(INDEX(T_CleanCustomers[Product],MATCH(B571,T_CleanCustomers[Customer_ID],0)),"Unmatched")</f>
        <v>Fuel Card</v>
      </c>
      <c r="P571" s="9" t="str">
        <f>IFERROR(INDEX(T_CleanCustomers[Customer_Segment],MATCH(B571,T_CleanCustomers[Customer_ID],0)),"Unmatched")</f>
        <v>SME</v>
      </c>
    </row>
    <row r="572" spans="1:16" ht="15" customHeight="1" x14ac:dyDescent="0.2">
      <c r="A572" s="9" t="s">
        <v>1926</v>
      </c>
      <c r="B572" s="9" t="s">
        <v>1213</v>
      </c>
      <c r="C572" s="9" t="b">
        <f>TRUE()</f>
        <v>1</v>
      </c>
      <c r="D572" s="10">
        <v>45982</v>
      </c>
      <c r="E572" s="10">
        <v>45962</v>
      </c>
      <c r="F572" s="9" t="s">
        <v>1360</v>
      </c>
      <c r="G572" s="11">
        <v>3822.13</v>
      </c>
      <c r="H572" s="11">
        <v>109.11</v>
      </c>
      <c r="I572" s="9" t="b">
        <f>TRUE()</f>
        <v>1</v>
      </c>
      <c r="J572" s="9" t="s">
        <v>1361</v>
      </c>
      <c r="K572" s="11">
        <v>109.11</v>
      </c>
      <c r="L572" s="9" t="s">
        <v>18</v>
      </c>
      <c r="M572" s="9" t="str">
        <f>IFERROR(INDEX(T_CleanCustomers[Sales_Rep_ID],MATCH(B572,T_CleanCustomers[Customer_ID],0)),"Unmatched")</f>
        <v>REP012</v>
      </c>
      <c r="N572" s="9" t="str">
        <f>IFERROR(INDEX(T_CleanCustomers[Channel],MATCH(B572,T_CleanCustomers[Customer_ID],0)),"Unmatched")</f>
        <v>Referral</v>
      </c>
      <c r="O572" s="9" t="str">
        <f>IFERROR(INDEX(T_CleanCustomers[Product],MATCH(B572,T_CleanCustomers[Customer_ID],0)),"Unmatched")</f>
        <v>Fuel Card</v>
      </c>
      <c r="P572" s="9" t="str">
        <f>IFERROR(INDEX(T_CleanCustomers[Customer_Segment],MATCH(B572,T_CleanCustomers[Customer_ID],0)),"Unmatched")</f>
        <v>SME</v>
      </c>
    </row>
    <row r="573" spans="1:16" ht="15" customHeight="1" x14ac:dyDescent="0.2">
      <c r="A573" s="9" t="s">
        <v>1927</v>
      </c>
      <c r="B573" s="9" t="s">
        <v>1213</v>
      </c>
      <c r="C573" s="9" t="b">
        <f>TRUE()</f>
        <v>1</v>
      </c>
      <c r="D573" s="10">
        <v>45970</v>
      </c>
      <c r="E573" s="10">
        <v>45962</v>
      </c>
      <c r="F573" s="9" t="s">
        <v>1360</v>
      </c>
      <c r="G573" s="11">
        <v>1884.24</v>
      </c>
      <c r="H573" s="11">
        <v>53.15</v>
      </c>
      <c r="I573" s="9" t="b">
        <f>TRUE()</f>
        <v>1</v>
      </c>
      <c r="J573" s="9" t="s">
        <v>1361</v>
      </c>
      <c r="K573" s="11">
        <v>53.15</v>
      </c>
      <c r="L573" s="9" t="s">
        <v>18</v>
      </c>
      <c r="M573" s="9" t="str">
        <f>IFERROR(INDEX(T_CleanCustomers[Sales_Rep_ID],MATCH(B573,T_CleanCustomers[Customer_ID],0)),"Unmatched")</f>
        <v>REP012</v>
      </c>
      <c r="N573" s="9" t="str">
        <f>IFERROR(INDEX(T_CleanCustomers[Channel],MATCH(B573,T_CleanCustomers[Customer_ID],0)),"Unmatched")</f>
        <v>Referral</v>
      </c>
      <c r="O573" s="9" t="str">
        <f>IFERROR(INDEX(T_CleanCustomers[Product],MATCH(B573,T_CleanCustomers[Customer_ID],0)),"Unmatched")</f>
        <v>Fuel Card</v>
      </c>
      <c r="P573" s="9" t="str">
        <f>IFERROR(INDEX(T_CleanCustomers[Customer_Segment],MATCH(B573,T_CleanCustomers[Customer_ID],0)),"Unmatched")</f>
        <v>SME</v>
      </c>
    </row>
    <row r="574" spans="1:16" ht="15" customHeight="1" x14ac:dyDescent="0.2">
      <c r="A574" s="9" t="s">
        <v>1928</v>
      </c>
      <c r="B574" s="9" t="s">
        <v>1213</v>
      </c>
      <c r="C574" s="9" t="b">
        <f>TRUE()</f>
        <v>1</v>
      </c>
      <c r="D574" s="10">
        <v>46021</v>
      </c>
      <c r="E574" s="10">
        <v>45992</v>
      </c>
      <c r="F574" s="9" t="s">
        <v>1360</v>
      </c>
      <c r="G574" s="11">
        <v>2457.58</v>
      </c>
      <c r="H574" s="11">
        <v>58.35</v>
      </c>
      <c r="I574" s="9" t="b">
        <f>TRUE()</f>
        <v>1</v>
      </c>
      <c r="J574" s="9" t="s">
        <v>1361</v>
      </c>
      <c r="K574" s="11">
        <v>58.35</v>
      </c>
      <c r="L574" s="9" t="s">
        <v>18</v>
      </c>
      <c r="M574" s="9" t="str">
        <f>IFERROR(INDEX(T_CleanCustomers[Sales_Rep_ID],MATCH(B574,T_CleanCustomers[Customer_ID],0)),"Unmatched")</f>
        <v>REP012</v>
      </c>
      <c r="N574" s="9" t="str">
        <f>IFERROR(INDEX(T_CleanCustomers[Channel],MATCH(B574,T_CleanCustomers[Customer_ID],0)),"Unmatched")</f>
        <v>Referral</v>
      </c>
      <c r="O574" s="9" t="str">
        <f>IFERROR(INDEX(T_CleanCustomers[Product],MATCH(B574,T_CleanCustomers[Customer_ID],0)),"Unmatched")</f>
        <v>Fuel Card</v>
      </c>
      <c r="P574" s="9" t="str">
        <f>IFERROR(INDEX(T_CleanCustomers[Customer_Segment],MATCH(B574,T_CleanCustomers[Customer_ID],0)),"Unmatched")</f>
        <v>SME</v>
      </c>
    </row>
    <row r="575" spans="1:16" ht="15" customHeight="1" x14ac:dyDescent="0.2">
      <c r="A575" s="9" t="s">
        <v>1929</v>
      </c>
      <c r="B575" s="9" t="s">
        <v>1214</v>
      </c>
      <c r="C575" s="9" t="b">
        <f>TRUE()</f>
        <v>1</v>
      </c>
      <c r="D575" s="10">
        <v>45892</v>
      </c>
      <c r="E575" s="10">
        <v>45870</v>
      </c>
      <c r="F575" s="9" t="s">
        <v>1373</v>
      </c>
      <c r="G575" s="11">
        <v>2800.22</v>
      </c>
      <c r="H575" s="11">
        <v>55.08</v>
      </c>
      <c r="I575" s="9" t="b">
        <f>TRUE()</f>
        <v>1</v>
      </c>
      <c r="J575" s="9" t="s">
        <v>1361</v>
      </c>
      <c r="K575" s="11">
        <v>55.08</v>
      </c>
      <c r="L575" s="9" t="s">
        <v>20</v>
      </c>
      <c r="M575" s="9" t="str">
        <f>IFERROR(INDEX(T_CleanCustomers[Sales_Rep_ID],MATCH(B575,T_CleanCustomers[Customer_ID],0)),"Unmatched")</f>
        <v>REP002</v>
      </c>
      <c r="N575" s="9" t="str">
        <f>IFERROR(INDEX(T_CleanCustomers[Channel],MATCH(B575,T_CleanCustomers[Customer_ID],0)),"Unmatched")</f>
        <v>Digital</v>
      </c>
      <c r="O575" s="9" t="str">
        <f>IFERROR(INDEX(T_CleanCustomers[Product],MATCH(B575,T_CleanCustomers[Customer_ID],0)),"Unmatched")</f>
        <v>Toll Solution</v>
      </c>
      <c r="P575" s="9" t="str">
        <f>IFERROR(INDEX(T_CleanCustomers[Customer_Segment],MATCH(B575,T_CleanCustomers[Customer_ID],0)),"Unmatched")</f>
        <v>SME</v>
      </c>
    </row>
    <row r="576" spans="1:16" ht="15" customHeight="1" x14ac:dyDescent="0.2">
      <c r="A576" s="9" t="s">
        <v>1930</v>
      </c>
      <c r="B576" s="9" t="s">
        <v>1214</v>
      </c>
      <c r="C576" s="9" t="b">
        <f>TRUE()</f>
        <v>1</v>
      </c>
      <c r="D576" s="10">
        <v>45909</v>
      </c>
      <c r="E576" s="10">
        <v>45901</v>
      </c>
      <c r="F576" s="9" t="s">
        <v>1373</v>
      </c>
      <c r="G576" s="11">
        <v>2472.37</v>
      </c>
      <c r="H576" s="11">
        <v>49.33</v>
      </c>
      <c r="I576" s="9" t="b">
        <f>TRUE()</f>
        <v>1</v>
      </c>
      <c r="J576" s="9" t="s">
        <v>1361</v>
      </c>
      <c r="K576" s="11">
        <v>49.33</v>
      </c>
      <c r="L576" s="9" t="s">
        <v>20</v>
      </c>
      <c r="M576" s="9" t="str">
        <f>IFERROR(INDEX(T_CleanCustomers[Sales_Rep_ID],MATCH(B576,T_CleanCustomers[Customer_ID],0)),"Unmatched")</f>
        <v>REP002</v>
      </c>
      <c r="N576" s="9" t="str">
        <f>IFERROR(INDEX(T_CleanCustomers[Channel],MATCH(B576,T_CleanCustomers[Customer_ID],0)),"Unmatched")</f>
        <v>Digital</v>
      </c>
      <c r="O576" s="9" t="str">
        <f>IFERROR(INDEX(T_CleanCustomers[Product],MATCH(B576,T_CleanCustomers[Customer_ID],0)),"Unmatched")</f>
        <v>Toll Solution</v>
      </c>
      <c r="P576" s="9" t="str">
        <f>IFERROR(INDEX(T_CleanCustomers[Customer_Segment],MATCH(B576,T_CleanCustomers[Customer_ID],0)),"Unmatched")</f>
        <v>SME</v>
      </c>
    </row>
    <row r="577" spans="1:16" ht="15" customHeight="1" x14ac:dyDescent="0.2">
      <c r="A577" s="9" t="s">
        <v>1931</v>
      </c>
      <c r="B577" s="9" t="s">
        <v>1214</v>
      </c>
      <c r="C577" s="9" t="b">
        <f>TRUE()</f>
        <v>1</v>
      </c>
      <c r="D577" s="10">
        <v>45904</v>
      </c>
      <c r="E577" s="10">
        <v>45901</v>
      </c>
      <c r="F577" s="9" t="s">
        <v>1373</v>
      </c>
      <c r="G577" s="11">
        <v>2636.9</v>
      </c>
      <c r="H577" s="11">
        <v>51.33</v>
      </c>
      <c r="I577" s="9" t="b">
        <f>TRUE()</f>
        <v>1</v>
      </c>
      <c r="J577" s="9" t="s">
        <v>1361</v>
      </c>
      <c r="K577" s="11">
        <v>51.33</v>
      </c>
      <c r="L577" s="9" t="s">
        <v>20</v>
      </c>
      <c r="M577" s="9" t="str">
        <f>IFERROR(INDEX(T_CleanCustomers[Sales_Rep_ID],MATCH(B577,T_CleanCustomers[Customer_ID],0)),"Unmatched")</f>
        <v>REP002</v>
      </c>
      <c r="N577" s="9" t="str">
        <f>IFERROR(INDEX(T_CleanCustomers[Channel],MATCH(B577,T_CleanCustomers[Customer_ID],0)),"Unmatched")</f>
        <v>Digital</v>
      </c>
      <c r="O577" s="9" t="str">
        <f>IFERROR(INDEX(T_CleanCustomers[Product],MATCH(B577,T_CleanCustomers[Customer_ID],0)),"Unmatched")</f>
        <v>Toll Solution</v>
      </c>
      <c r="P577" s="9" t="str">
        <f>IFERROR(INDEX(T_CleanCustomers[Customer_Segment],MATCH(B577,T_CleanCustomers[Customer_ID],0)),"Unmatched")</f>
        <v>SME</v>
      </c>
    </row>
    <row r="578" spans="1:16" ht="15" customHeight="1" x14ac:dyDescent="0.2">
      <c r="A578" s="9" t="s">
        <v>1932</v>
      </c>
      <c r="B578" s="9" t="s">
        <v>1214</v>
      </c>
      <c r="C578" s="9" t="b">
        <f>TRUE()</f>
        <v>1</v>
      </c>
      <c r="D578" s="10">
        <v>45939</v>
      </c>
      <c r="E578" s="10">
        <v>45931</v>
      </c>
      <c r="F578" s="9" t="s">
        <v>1373</v>
      </c>
      <c r="G578" s="11">
        <v>1977.64</v>
      </c>
      <c r="H578" s="11">
        <v>38.99</v>
      </c>
      <c r="I578" s="9" t="b">
        <f>TRUE()</f>
        <v>1</v>
      </c>
      <c r="J578" s="9" t="s">
        <v>1361</v>
      </c>
      <c r="K578" s="11">
        <v>38.99</v>
      </c>
      <c r="L578" s="9" t="s">
        <v>20</v>
      </c>
      <c r="M578" s="9" t="str">
        <f>IFERROR(INDEX(T_CleanCustomers[Sales_Rep_ID],MATCH(B578,T_CleanCustomers[Customer_ID],0)),"Unmatched")</f>
        <v>REP002</v>
      </c>
      <c r="N578" s="9" t="str">
        <f>IFERROR(INDEX(T_CleanCustomers[Channel],MATCH(B578,T_CleanCustomers[Customer_ID],0)),"Unmatched")</f>
        <v>Digital</v>
      </c>
      <c r="O578" s="9" t="str">
        <f>IFERROR(INDEX(T_CleanCustomers[Product],MATCH(B578,T_CleanCustomers[Customer_ID],0)),"Unmatched")</f>
        <v>Toll Solution</v>
      </c>
      <c r="P578" s="9" t="str">
        <f>IFERROR(INDEX(T_CleanCustomers[Customer_Segment],MATCH(B578,T_CleanCustomers[Customer_ID],0)),"Unmatched")</f>
        <v>SME</v>
      </c>
    </row>
    <row r="579" spans="1:16" ht="15" customHeight="1" x14ac:dyDescent="0.2">
      <c r="A579" s="9" t="s">
        <v>1933</v>
      </c>
      <c r="B579" s="9" t="s">
        <v>1214</v>
      </c>
      <c r="C579" s="9" t="b">
        <f>TRUE()</f>
        <v>1</v>
      </c>
      <c r="D579" s="10">
        <v>45957</v>
      </c>
      <c r="E579" s="10">
        <v>45931</v>
      </c>
      <c r="F579" s="9" t="s">
        <v>1373</v>
      </c>
      <c r="G579" s="11">
        <v>4443.55</v>
      </c>
      <c r="H579" s="11">
        <v>91.19</v>
      </c>
      <c r="I579" s="9" t="b">
        <f>TRUE()</f>
        <v>1</v>
      </c>
      <c r="J579" s="9" t="s">
        <v>1361</v>
      </c>
      <c r="K579" s="11">
        <v>91.19</v>
      </c>
      <c r="L579" s="9" t="s">
        <v>20</v>
      </c>
      <c r="M579" s="9" t="str">
        <f>IFERROR(INDEX(T_CleanCustomers[Sales_Rep_ID],MATCH(B579,T_CleanCustomers[Customer_ID],0)),"Unmatched")</f>
        <v>REP002</v>
      </c>
      <c r="N579" s="9" t="str">
        <f>IFERROR(INDEX(T_CleanCustomers[Channel],MATCH(B579,T_CleanCustomers[Customer_ID],0)),"Unmatched")</f>
        <v>Digital</v>
      </c>
      <c r="O579" s="9" t="str">
        <f>IFERROR(INDEX(T_CleanCustomers[Product],MATCH(B579,T_CleanCustomers[Customer_ID],0)),"Unmatched")</f>
        <v>Toll Solution</v>
      </c>
      <c r="P579" s="9" t="str">
        <f>IFERROR(INDEX(T_CleanCustomers[Customer_Segment],MATCH(B579,T_CleanCustomers[Customer_ID],0)),"Unmatched")</f>
        <v>SME</v>
      </c>
    </row>
    <row r="580" spans="1:16" ht="15" customHeight="1" x14ac:dyDescent="0.2">
      <c r="A580" s="9" t="s">
        <v>1934</v>
      </c>
      <c r="B580" s="9" t="s">
        <v>1214</v>
      </c>
      <c r="C580" s="9" t="b">
        <f>TRUE()</f>
        <v>1</v>
      </c>
      <c r="D580" s="10">
        <v>45961</v>
      </c>
      <c r="E580" s="10">
        <v>45931</v>
      </c>
      <c r="F580" s="9" t="s">
        <v>1373</v>
      </c>
      <c r="G580" s="11">
        <v>2394.92</v>
      </c>
      <c r="H580" s="11">
        <v>41.35</v>
      </c>
      <c r="I580" s="9" t="b">
        <f>TRUE()</f>
        <v>1</v>
      </c>
      <c r="J580" s="9" t="s">
        <v>1361</v>
      </c>
      <c r="K580" s="11">
        <v>41.35</v>
      </c>
      <c r="L580" s="9" t="s">
        <v>20</v>
      </c>
      <c r="M580" s="9" t="str">
        <f>IFERROR(INDEX(T_CleanCustomers[Sales_Rep_ID],MATCH(B580,T_CleanCustomers[Customer_ID],0)),"Unmatched")</f>
        <v>REP002</v>
      </c>
      <c r="N580" s="9" t="str">
        <f>IFERROR(INDEX(T_CleanCustomers[Channel],MATCH(B580,T_CleanCustomers[Customer_ID],0)),"Unmatched")</f>
        <v>Digital</v>
      </c>
      <c r="O580" s="9" t="str">
        <f>IFERROR(INDEX(T_CleanCustomers[Product],MATCH(B580,T_CleanCustomers[Customer_ID],0)),"Unmatched")</f>
        <v>Toll Solution</v>
      </c>
      <c r="P580" s="9" t="str">
        <f>IFERROR(INDEX(T_CleanCustomers[Customer_Segment],MATCH(B580,T_CleanCustomers[Customer_ID],0)),"Unmatched")</f>
        <v>SME</v>
      </c>
    </row>
    <row r="581" spans="1:16" ht="15" customHeight="1" x14ac:dyDescent="0.2">
      <c r="A581" s="9" t="s">
        <v>125</v>
      </c>
      <c r="B581" s="9" t="s">
        <v>1214</v>
      </c>
      <c r="C581" s="9" t="b">
        <f>TRUE()</f>
        <v>1</v>
      </c>
      <c r="D581" s="10">
        <v>45991</v>
      </c>
      <c r="E581" s="10">
        <v>45962</v>
      </c>
      <c r="F581" s="9" t="s">
        <v>1373</v>
      </c>
      <c r="G581" s="11">
        <v>5098.3</v>
      </c>
      <c r="H581" s="11">
        <v>-90.82</v>
      </c>
      <c r="I581" s="9" t="b">
        <f>FALSE()</f>
        <v>0</v>
      </c>
      <c r="J581" s="9" t="s">
        <v>1361</v>
      </c>
      <c r="K581" s="11">
        <v>0</v>
      </c>
      <c r="L581" s="9" t="s">
        <v>20</v>
      </c>
      <c r="M581" s="9" t="str">
        <f>IFERROR(INDEX(T_CleanCustomers[Sales_Rep_ID],MATCH(B581,T_CleanCustomers[Customer_ID],0)),"Unmatched")</f>
        <v>REP002</v>
      </c>
      <c r="N581" s="9" t="str">
        <f>IFERROR(INDEX(T_CleanCustomers[Channel],MATCH(B581,T_CleanCustomers[Customer_ID],0)),"Unmatched")</f>
        <v>Digital</v>
      </c>
      <c r="O581" s="9" t="str">
        <f>IFERROR(INDEX(T_CleanCustomers[Product],MATCH(B581,T_CleanCustomers[Customer_ID],0)),"Unmatched")</f>
        <v>Toll Solution</v>
      </c>
      <c r="P581" s="9" t="str">
        <f>IFERROR(INDEX(T_CleanCustomers[Customer_Segment],MATCH(B581,T_CleanCustomers[Customer_ID],0)),"Unmatched")</f>
        <v>SME</v>
      </c>
    </row>
    <row r="582" spans="1:16" ht="15" customHeight="1" x14ac:dyDescent="0.2">
      <c r="A582" s="9" t="s">
        <v>1935</v>
      </c>
      <c r="B582" s="9" t="s">
        <v>1214</v>
      </c>
      <c r="C582" s="9" t="b">
        <f>TRUE()</f>
        <v>1</v>
      </c>
      <c r="D582" s="10">
        <v>45970</v>
      </c>
      <c r="E582" s="10">
        <v>45962</v>
      </c>
      <c r="F582" s="9" t="s">
        <v>1373</v>
      </c>
      <c r="G582" s="11">
        <v>2565.3200000000002</v>
      </c>
      <c r="H582" s="11">
        <v>51.36</v>
      </c>
      <c r="I582" s="9" t="b">
        <f>TRUE()</f>
        <v>1</v>
      </c>
      <c r="J582" s="9" t="s">
        <v>1361</v>
      </c>
      <c r="K582" s="11">
        <v>51.36</v>
      </c>
      <c r="L582" s="9" t="s">
        <v>20</v>
      </c>
      <c r="M582" s="9" t="str">
        <f>IFERROR(INDEX(T_CleanCustomers[Sales_Rep_ID],MATCH(B582,T_CleanCustomers[Customer_ID],0)),"Unmatched")</f>
        <v>REP002</v>
      </c>
      <c r="N582" s="9" t="str">
        <f>IFERROR(INDEX(T_CleanCustomers[Channel],MATCH(B582,T_CleanCustomers[Customer_ID],0)),"Unmatched")</f>
        <v>Digital</v>
      </c>
      <c r="O582" s="9" t="str">
        <f>IFERROR(INDEX(T_CleanCustomers[Product],MATCH(B582,T_CleanCustomers[Customer_ID],0)),"Unmatched")</f>
        <v>Toll Solution</v>
      </c>
      <c r="P582" s="9" t="str">
        <f>IFERROR(INDEX(T_CleanCustomers[Customer_Segment],MATCH(B582,T_CleanCustomers[Customer_ID],0)),"Unmatched")</f>
        <v>SME</v>
      </c>
    </row>
    <row r="583" spans="1:16" ht="15" customHeight="1" x14ac:dyDescent="0.2">
      <c r="A583" s="9" t="s">
        <v>1936</v>
      </c>
      <c r="B583" s="9" t="s">
        <v>1214</v>
      </c>
      <c r="C583" s="9" t="b">
        <f>TRUE()</f>
        <v>1</v>
      </c>
      <c r="D583" s="10">
        <v>46001</v>
      </c>
      <c r="E583" s="10">
        <v>45992</v>
      </c>
      <c r="F583" s="9" t="s">
        <v>1373</v>
      </c>
      <c r="G583" s="11">
        <v>4418.6499999999996</v>
      </c>
      <c r="H583" s="11">
        <v>0</v>
      </c>
      <c r="I583" s="9" t="b">
        <f>TRUE()</f>
        <v>1</v>
      </c>
      <c r="J583" s="9" t="s">
        <v>1408</v>
      </c>
      <c r="K583" s="11">
        <v>0</v>
      </c>
      <c r="L583" s="9" t="s">
        <v>20</v>
      </c>
      <c r="M583" s="9" t="str">
        <f>IFERROR(INDEX(T_CleanCustomers[Sales_Rep_ID],MATCH(B583,T_CleanCustomers[Customer_ID],0)),"Unmatched")</f>
        <v>REP002</v>
      </c>
      <c r="N583" s="9" t="str">
        <f>IFERROR(INDEX(T_CleanCustomers[Channel],MATCH(B583,T_CleanCustomers[Customer_ID],0)),"Unmatched")</f>
        <v>Digital</v>
      </c>
      <c r="O583" s="9" t="str">
        <f>IFERROR(INDEX(T_CleanCustomers[Product],MATCH(B583,T_CleanCustomers[Customer_ID],0)),"Unmatched")</f>
        <v>Toll Solution</v>
      </c>
      <c r="P583" s="9" t="str">
        <f>IFERROR(INDEX(T_CleanCustomers[Customer_Segment],MATCH(B583,T_CleanCustomers[Customer_ID],0)),"Unmatched")</f>
        <v>SME</v>
      </c>
    </row>
    <row r="584" spans="1:16" ht="15" customHeight="1" x14ac:dyDescent="0.2">
      <c r="A584" s="9" t="s">
        <v>1937</v>
      </c>
      <c r="B584" s="9" t="s">
        <v>1214</v>
      </c>
      <c r="C584" s="9" t="b">
        <f>TRUE()</f>
        <v>1</v>
      </c>
      <c r="D584" s="10">
        <v>45996</v>
      </c>
      <c r="E584" s="10">
        <v>45992</v>
      </c>
      <c r="F584" s="9" t="s">
        <v>1373</v>
      </c>
      <c r="G584" s="11">
        <v>1849.6</v>
      </c>
      <c r="H584" s="11">
        <v>33.44</v>
      </c>
      <c r="I584" s="9" t="b">
        <f>TRUE()</f>
        <v>1</v>
      </c>
      <c r="J584" s="9" t="s">
        <v>1361</v>
      </c>
      <c r="K584" s="11">
        <v>33.44</v>
      </c>
      <c r="L584" s="9" t="s">
        <v>20</v>
      </c>
      <c r="M584" s="9" t="str">
        <f>IFERROR(INDEX(T_CleanCustomers[Sales_Rep_ID],MATCH(B584,T_CleanCustomers[Customer_ID],0)),"Unmatched")</f>
        <v>REP002</v>
      </c>
      <c r="N584" s="9" t="str">
        <f>IFERROR(INDEX(T_CleanCustomers[Channel],MATCH(B584,T_CleanCustomers[Customer_ID],0)),"Unmatched")</f>
        <v>Digital</v>
      </c>
      <c r="O584" s="9" t="str">
        <f>IFERROR(INDEX(T_CleanCustomers[Product],MATCH(B584,T_CleanCustomers[Customer_ID],0)),"Unmatched")</f>
        <v>Toll Solution</v>
      </c>
      <c r="P584" s="9" t="str">
        <f>IFERROR(INDEX(T_CleanCustomers[Customer_Segment],MATCH(B584,T_CleanCustomers[Customer_ID],0)),"Unmatched")</f>
        <v>SME</v>
      </c>
    </row>
    <row r="585" spans="1:16" ht="15" customHeight="1" x14ac:dyDescent="0.2">
      <c r="A585" s="9" t="s">
        <v>1938</v>
      </c>
      <c r="B585" s="9" t="s">
        <v>1216</v>
      </c>
      <c r="C585" s="9" t="b">
        <f>TRUE()</f>
        <v>1</v>
      </c>
      <c r="D585" s="10">
        <v>45808</v>
      </c>
      <c r="E585" s="10">
        <v>45778</v>
      </c>
      <c r="F585" s="9" t="s">
        <v>1373</v>
      </c>
      <c r="G585" s="11">
        <v>56225.65</v>
      </c>
      <c r="H585" s="11">
        <v>984.19</v>
      </c>
      <c r="I585" s="9" t="b">
        <f>TRUE()</f>
        <v>1</v>
      </c>
      <c r="J585" s="9" t="s">
        <v>1361</v>
      </c>
      <c r="K585" s="11">
        <v>984.19</v>
      </c>
      <c r="L585" s="9" t="s">
        <v>20</v>
      </c>
      <c r="M585" s="9" t="str">
        <f>IFERROR(INDEX(T_CleanCustomers[Sales_Rep_ID],MATCH(B585,T_CleanCustomers[Customer_ID],0)),"Unmatched")</f>
        <v>REP002</v>
      </c>
      <c r="N585" s="9" t="str">
        <f>IFERROR(INDEX(T_CleanCustomers[Channel],MATCH(B585,T_CleanCustomers[Customer_ID],0)),"Unmatched")</f>
        <v>Digital</v>
      </c>
      <c r="O585" s="9" t="str">
        <f>IFERROR(INDEX(T_CleanCustomers[Product],MATCH(B585,T_CleanCustomers[Customer_ID],0)),"Unmatched")</f>
        <v>Toll Solution</v>
      </c>
      <c r="P585" s="9" t="str">
        <f>IFERROR(INDEX(T_CleanCustomers[Customer_Segment],MATCH(B585,T_CleanCustomers[Customer_ID],0)),"Unmatched")</f>
        <v>Enterprise</v>
      </c>
    </row>
    <row r="586" spans="1:16" ht="15" customHeight="1" x14ac:dyDescent="0.2">
      <c r="A586" s="9" t="s">
        <v>1939</v>
      </c>
      <c r="B586" s="9" t="s">
        <v>1216</v>
      </c>
      <c r="C586" s="9" t="b">
        <f>TRUE()</f>
        <v>1</v>
      </c>
      <c r="D586" s="10">
        <v>45823</v>
      </c>
      <c r="E586" s="10">
        <v>45809</v>
      </c>
      <c r="F586" s="9" t="s">
        <v>1373</v>
      </c>
      <c r="G586" s="11">
        <v>56669.19</v>
      </c>
      <c r="H586" s="11">
        <v>974.65</v>
      </c>
      <c r="I586" s="9" t="b">
        <f>TRUE()</f>
        <v>1</v>
      </c>
      <c r="J586" s="9" t="s">
        <v>1361</v>
      </c>
      <c r="K586" s="11">
        <v>974.65</v>
      </c>
      <c r="L586" s="9" t="s">
        <v>20</v>
      </c>
      <c r="M586" s="9" t="str">
        <f>IFERROR(INDEX(T_CleanCustomers[Sales_Rep_ID],MATCH(B586,T_CleanCustomers[Customer_ID],0)),"Unmatched")</f>
        <v>REP002</v>
      </c>
      <c r="N586" s="9" t="str">
        <f>IFERROR(INDEX(T_CleanCustomers[Channel],MATCH(B586,T_CleanCustomers[Customer_ID],0)),"Unmatched")</f>
        <v>Digital</v>
      </c>
      <c r="O586" s="9" t="str">
        <f>IFERROR(INDEX(T_CleanCustomers[Product],MATCH(B586,T_CleanCustomers[Customer_ID],0)),"Unmatched")</f>
        <v>Toll Solution</v>
      </c>
      <c r="P586" s="9" t="str">
        <f>IFERROR(INDEX(T_CleanCustomers[Customer_Segment],MATCH(B586,T_CleanCustomers[Customer_ID],0)),"Unmatched")</f>
        <v>Enterprise</v>
      </c>
    </row>
    <row r="587" spans="1:16" ht="15" customHeight="1" x14ac:dyDescent="0.2">
      <c r="A587" s="9" t="s">
        <v>1940</v>
      </c>
      <c r="B587" s="9" t="s">
        <v>1216</v>
      </c>
      <c r="C587" s="9" t="b">
        <f>TRUE()</f>
        <v>1</v>
      </c>
      <c r="D587" s="10">
        <v>45828</v>
      </c>
      <c r="E587" s="10">
        <v>45809</v>
      </c>
      <c r="F587" s="9" t="s">
        <v>1373</v>
      </c>
      <c r="G587" s="11">
        <v>15339.09</v>
      </c>
      <c r="H587" s="11">
        <v>0</v>
      </c>
      <c r="I587" s="9" t="b">
        <f>TRUE()</f>
        <v>1</v>
      </c>
      <c r="J587" s="9" t="s">
        <v>1408</v>
      </c>
      <c r="K587" s="11">
        <v>0</v>
      </c>
      <c r="L587" s="9" t="s">
        <v>20</v>
      </c>
      <c r="M587" s="9" t="str">
        <f>IFERROR(INDEX(T_CleanCustomers[Sales_Rep_ID],MATCH(B587,T_CleanCustomers[Customer_ID],0)),"Unmatched")</f>
        <v>REP002</v>
      </c>
      <c r="N587" s="9" t="str">
        <f>IFERROR(INDEX(T_CleanCustomers[Channel],MATCH(B587,T_CleanCustomers[Customer_ID],0)),"Unmatched")</f>
        <v>Digital</v>
      </c>
      <c r="O587" s="9" t="str">
        <f>IFERROR(INDEX(T_CleanCustomers[Product],MATCH(B587,T_CleanCustomers[Customer_ID],0)),"Unmatched")</f>
        <v>Toll Solution</v>
      </c>
      <c r="P587" s="9" t="str">
        <f>IFERROR(INDEX(T_CleanCustomers[Customer_Segment],MATCH(B587,T_CleanCustomers[Customer_ID],0)),"Unmatched")</f>
        <v>Enterprise</v>
      </c>
    </row>
    <row r="588" spans="1:16" ht="15" customHeight="1" x14ac:dyDescent="0.2">
      <c r="A588" s="9" t="s">
        <v>1941</v>
      </c>
      <c r="B588" s="9" t="s">
        <v>1216</v>
      </c>
      <c r="C588" s="9" t="b">
        <f>TRUE()</f>
        <v>1</v>
      </c>
      <c r="D588" s="10">
        <v>45829</v>
      </c>
      <c r="E588" s="10">
        <v>45809</v>
      </c>
      <c r="F588" s="9" t="s">
        <v>1373</v>
      </c>
      <c r="G588" s="11">
        <v>27926.59</v>
      </c>
      <c r="H588" s="11">
        <v>492.18</v>
      </c>
      <c r="I588" s="9" t="b">
        <f>TRUE()</f>
        <v>1</v>
      </c>
      <c r="J588" s="9" t="s">
        <v>1361</v>
      </c>
      <c r="K588" s="11">
        <v>492.18</v>
      </c>
      <c r="L588" s="9" t="s">
        <v>20</v>
      </c>
      <c r="M588" s="9" t="str">
        <f>IFERROR(INDEX(T_CleanCustomers[Sales_Rep_ID],MATCH(B588,T_CleanCustomers[Customer_ID],0)),"Unmatched")</f>
        <v>REP002</v>
      </c>
      <c r="N588" s="9" t="str">
        <f>IFERROR(INDEX(T_CleanCustomers[Channel],MATCH(B588,T_CleanCustomers[Customer_ID],0)),"Unmatched")</f>
        <v>Digital</v>
      </c>
      <c r="O588" s="9" t="str">
        <f>IFERROR(INDEX(T_CleanCustomers[Product],MATCH(B588,T_CleanCustomers[Customer_ID],0)),"Unmatched")</f>
        <v>Toll Solution</v>
      </c>
      <c r="P588" s="9" t="str">
        <f>IFERROR(INDEX(T_CleanCustomers[Customer_Segment],MATCH(B588,T_CleanCustomers[Customer_ID],0)),"Unmatched")</f>
        <v>Enterprise</v>
      </c>
    </row>
    <row r="589" spans="1:16" ht="15" customHeight="1" x14ac:dyDescent="0.2">
      <c r="A589" s="9" t="s">
        <v>1942</v>
      </c>
      <c r="B589" s="9" t="s">
        <v>1216</v>
      </c>
      <c r="C589" s="9" t="b">
        <f>TRUE()</f>
        <v>1</v>
      </c>
      <c r="D589" s="10">
        <v>45852</v>
      </c>
      <c r="E589" s="10">
        <v>45839</v>
      </c>
      <c r="F589" s="9" t="s">
        <v>1373</v>
      </c>
      <c r="G589" s="11">
        <v>39912.35</v>
      </c>
      <c r="H589" s="11">
        <v>771.29</v>
      </c>
      <c r="I589" s="9" t="b">
        <f>TRUE()</f>
        <v>1</v>
      </c>
      <c r="J589" s="9" t="s">
        <v>1361</v>
      </c>
      <c r="K589" s="11">
        <v>771.29</v>
      </c>
      <c r="L589" s="9" t="s">
        <v>20</v>
      </c>
      <c r="M589" s="9" t="str">
        <f>IFERROR(INDEX(T_CleanCustomers[Sales_Rep_ID],MATCH(B589,T_CleanCustomers[Customer_ID],0)),"Unmatched")</f>
        <v>REP002</v>
      </c>
      <c r="N589" s="9" t="str">
        <f>IFERROR(INDEX(T_CleanCustomers[Channel],MATCH(B589,T_CleanCustomers[Customer_ID],0)),"Unmatched")</f>
        <v>Digital</v>
      </c>
      <c r="O589" s="9" t="str">
        <f>IFERROR(INDEX(T_CleanCustomers[Product],MATCH(B589,T_CleanCustomers[Customer_ID],0)),"Unmatched")</f>
        <v>Toll Solution</v>
      </c>
      <c r="P589" s="9" t="str">
        <f>IFERROR(INDEX(T_CleanCustomers[Customer_Segment],MATCH(B589,T_CleanCustomers[Customer_ID],0)),"Unmatched")</f>
        <v>Enterprise</v>
      </c>
    </row>
    <row r="590" spans="1:16" ht="15" customHeight="1" x14ac:dyDescent="0.2">
      <c r="A590" s="9" t="s">
        <v>1943</v>
      </c>
      <c r="B590" s="9" t="s">
        <v>1216</v>
      </c>
      <c r="C590" s="9" t="b">
        <f>TRUE()</f>
        <v>1</v>
      </c>
      <c r="D590" s="10">
        <v>45900</v>
      </c>
      <c r="E590" s="10">
        <v>45870</v>
      </c>
      <c r="F590" s="9" t="s">
        <v>1373</v>
      </c>
      <c r="G590" s="11">
        <v>60204.07</v>
      </c>
      <c r="H590" s="11">
        <v>955.22</v>
      </c>
      <c r="I590" s="9" t="b">
        <f>TRUE()</f>
        <v>1</v>
      </c>
      <c r="J590" s="9" t="s">
        <v>1361</v>
      </c>
      <c r="K590" s="11">
        <v>955.22</v>
      </c>
      <c r="L590" s="9" t="s">
        <v>20</v>
      </c>
      <c r="M590" s="9" t="str">
        <f>IFERROR(INDEX(T_CleanCustomers[Sales_Rep_ID],MATCH(B590,T_CleanCustomers[Customer_ID],0)),"Unmatched")</f>
        <v>REP002</v>
      </c>
      <c r="N590" s="9" t="str">
        <f>IFERROR(INDEX(T_CleanCustomers[Channel],MATCH(B590,T_CleanCustomers[Customer_ID],0)),"Unmatched")</f>
        <v>Digital</v>
      </c>
      <c r="O590" s="9" t="str">
        <f>IFERROR(INDEX(T_CleanCustomers[Product],MATCH(B590,T_CleanCustomers[Customer_ID],0)),"Unmatched")</f>
        <v>Toll Solution</v>
      </c>
      <c r="P590" s="9" t="str">
        <f>IFERROR(INDEX(T_CleanCustomers[Customer_Segment],MATCH(B590,T_CleanCustomers[Customer_ID],0)),"Unmatched")</f>
        <v>Enterprise</v>
      </c>
    </row>
    <row r="591" spans="1:16" ht="15" customHeight="1" x14ac:dyDescent="0.2">
      <c r="A591" s="9" t="s">
        <v>1944</v>
      </c>
      <c r="B591" s="9" t="s">
        <v>1216</v>
      </c>
      <c r="C591" s="9" t="b">
        <f>TRUE()</f>
        <v>1</v>
      </c>
      <c r="D591" s="10">
        <v>45919</v>
      </c>
      <c r="E591" s="10">
        <v>45901</v>
      </c>
      <c r="F591" s="9" t="s">
        <v>1373</v>
      </c>
      <c r="G591" s="11">
        <v>23249.53</v>
      </c>
      <c r="H591" s="11">
        <v>0</v>
      </c>
      <c r="I591" s="9" t="b">
        <f>TRUE()</f>
        <v>1</v>
      </c>
      <c r="J591" s="9" t="s">
        <v>1408</v>
      </c>
      <c r="K591" s="11">
        <v>0</v>
      </c>
      <c r="L591" s="9" t="s">
        <v>20</v>
      </c>
      <c r="M591" s="9" t="str">
        <f>IFERROR(INDEX(T_CleanCustomers[Sales_Rep_ID],MATCH(B591,T_CleanCustomers[Customer_ID],0)),"Unmatched")</f>
        <v>REP002</v>
      </c>
      <c r="N591" s="9" t="str">
        <f>IFERROR(INDEX(T_CleanCustomers[Channel],MATCH(B591,T_CleanCustomers[Customer_ID],0)),"Unmatched")</f>
        <v>Digital</v>
      </c>
      <c r="O591" s="9" t="str">
        <f>IFERROR(INDEX(T_CleanCustomers[Product],MATCH(B591,T_CleanCustomers[Customer_ID],0)),"Unmatched")</f>
        <v>Toll Solution</v>
      </c>
      <c r="P591" s="9" t="str">
        <f>IFERROR(INDEX(T_CleanCustomers[Customer_Segment],MATCH(B591,T_CleanCustomers[Customer_ID],0)),"Unmatched")</f>
        <v>Enterprise</v>
      </c>
    </row>
    <row r="592" spans="1:16" ht="15" customHeight="1" x14ac:dyDescent="0.2">
      <c r="A592" s="9" t="s">
        <v>1945</v>
      </c>
      <c r="B592" s="9" t="s">
        <v>1216</v>
      </c>
      <c r="C592" s="9" t="b">
        <f>TRUE()</f>
        <v>1</v>
      </c>
      <c r="D592" s="10">
        <v>45921</v>
      </c>
      <c r="E592" s="10">
        <v>45901</v>
      </c>
      <c r="F592" s="9" t="s">
        <v>1373</v>
      </c>
      <c r="G592" s="11">
        <v>34919.21</v>
      </c>
      <c r="H592" s="11">
        <v>689.77</v>
      </c>
      <c r="I592" s="9" t="b">
        <f>TRUE()</f>
        <v>1</v>
      </c>
      <c r="J592" s="9" t="s">
        <v>1361</v>
      </c>
      <c r="K592" s="11">
        <v>689.77</v>
      </c>
      <c r="L592" s="9" t="s">
        <v>20</v>
      </c>
      <c r="M592" s="9" t="str">
        <f>IFERROR(INDEX(T_CleanCustomers[Sales_Rep_ID],MATCH(B592,T_CleanCustomers[Customer_ID],0)),"Unmatched")</f>
        <v>REP002</v>
      </c>
      <c r="N592" s="9" t="str">
        <f>IFERROR(INDEX(T_CleanCustomers[Channel],MATCH(B592,T_CleanCustomers[Customer_ID],0)),"Unmatched")</f>
        <v>Digital</v>
      </c>
      <c r="O592" s="9" t="str">
        <f>IFERROR(INDEX(T_CleanCustomers[Product],MATCH(B592,T_CleanCustomers[Customer_ID],0)),"Unmatched")</f>
        <v>Toll Solution</v>
      </c>
      <c r="P592" s="9" t="str">
        <f>IFERROR(INDEX(T_CleanCustomers[Customer_Segment],MATCH(B592,T_CleanCustomers[Customer_ID],0)),"Unmatched")</f>
        <v>Enterprise</v>
      </c>
    </row>
    <row r="593" spans="1:16" ht="15" customHeight="1" x14ac:dyDescent="0.2">
      <c r="A593" s="9" t="s">
        <v>1946</v>
      </c>
      <c r="B593" s="9" t="s">
        <v>1216</v>
      </c>
      <c r="C593" s="9" t="b">
        <f>TRUE()</f>
        <v>1</v>
      </c>
      <c r="D593" s="10">
        <v>45936</v>
      </c>
      <c r="E593" s="10">
        <v>45931</v>
      </c>
      <c r="F593" s="9" t="s">
        <v>1373</v>
      </c>
      <c r="G593" s="11">
        <v>16735.97</v>
      </c>
      <c r="H593" s="11">
        <v>282.77</v>
      </c>
      <c r="I593" s="9" t="b">
        <f>TRUE()</f>
        <v>1</v>
      </c>
      <c r="J593" s="9" t="s">
        <v>1361</v>
      </c>
      <c r="K593" s="11">
        <v>282.77</v>
      </c>
      <c r="L593" s="9" t="s">
        <v>20</v>
      </c>
      <c r="M593" s="9" t="str">
        <f>IFERROR(INDEX(T_CleanCustomers[Sales_Rep_ID],MATCH(B593,T_CleanCustomers[Customer_ID],0)),"Unmatched")</f>
        <v>REP002</v>
      </c>
      <c r="N593" s="9" t="str">
        <f>IFERROR(INDEX(T_CleanCustomers[Channel],MATCH(B593,T_CleanCustomers[Customer_ID],0)),"Unmatched")</f>
        <v>Digital</v>
      </c>
      <c r="O593" s="9" t="str">
        <f>IFERROR(INDEX(T_CleanCustomers[Product],MATCH(B593,T_CleanCustomers[Customer_ID],0)),"Unmatched")</f>
        <v>Toll Solution</v>
      </c>
      <c r="P593" s="9" t="str">
        <f>IFERROR(INDEX(T_CleanCustomers[Customer_Segment],MATCH(B593,T_CleanCustomers[Customer_ID],0)),"Unmatched")</f>
        <v>Enterprise</v>
      </c>
    </row>
    <row r="594" spans="1:16" ht="15" customHeight="1" x14ac:dyDescent="0.2">
      <c r="A594" s="9" t="s">
        <v>1947</v>
      </c>
      <c r="B594" s="9" t="s">
        <v>1216</v>
      </c>
      <c r="C594" s="9" t="b">
        <f>TRUE()</f>
        <v>1</v>
      </c>
      <c r="D594" s="10">
        <v>45978</v>
      </c>
      <c r="E594" s="10">
        <v>45962</v>
      </c>
      <c r="F594" s="9" t="s">
        <v>1373</v>
      </c>
      <c r="G594" s="11">
        <v>31628.29</v>
      </c>
      <c r="H594" s="11">
        <v>595.49</v>
      </c>
      <c r="I594" s="9" t="b">
        <f>TRUE()</f>
        <v>1</v>
      </c>
      <c r="J594" s="9" t="s">
        <v>1361</v>
      </c>
      <c r="K594" s="11">
        <v>595.49</v>
      </c>
      <c r="L594" s="9" t="s">
        <v>20</v>
      </c>
      <c r="M594" s="9" t="str">
        <f>IFERROR(INDEX(T_CleanCustomers[Sales_Rep_ID],MATCH(B594,T_CleanCustomers[Customer_ID],0)),"Unmatched")</f>
        <v>REP002</v>
      </c>
      <c r="N594" s="9" t="str">
        <f>IFERROR(INDEX(T_CleanCustomers[Channel],MATCH(B594,T_CleanCustomers[Customer_ID],0)),"Unmatched")</f>
        <v>Digital</v>
      </c>
      <c r="O594" s="9" t="str">
        <f>IFERROR(INDEX(T_CleanCustomers[Product],MATCH(B594,T_CleanCustomers[Customer_ID],0)),"Unmatched")</f>
        <v>Toll Solution</v>
      </c>
      <c r="P594" s="9" t="str">
        <f>IFERROR(INDEX(T_CleanCustomers[Customer_Segment],MATCH(B594,T_CleanCustomers[Customer_ID],0)),"Unmatched")</f>
        <v>Enterprise</v>
      </c>
    </row>
    <row r="595" spans="1:16" ht="15" customHeight="1" x14ac:dyDescent="0.2">
      <c r="A595" s="9" t="s">
        <v>1948</v>
      </c>
      <c r="B595" s="9" t="s">
        <v>1216</v>
      </c>
      <c r="C595" s="9" t="b">
        <f>TRUE()</f>
        <v>1</v>
      </c>
      <c r="D595" s="10">
        <v>45966</v>
      </c>
      <c r="E595" s="10">
        <v>45962</v>
      </c>
      <c r="F595" s="9" t="s">
        <v>1373</v>
      </c>
      <c r="G595" s="11">
        <v>43674.29</v>
      </c>
      <c r="H595" s="11">
        <v>850.14</v>
      </c>
      <c r="I595" s="9" t="b">
        <f>TRUE()</f>
        <v>1</v>
      </c>
      <c r="J595" s="9" t="s">
        <v>1361</v>
      </c>
      <c r="K595" s="11">
        <v>850.14</v>
      </c>
      <c r="L595" s="9" t="s">
        <v>20</v>
      </c>
      <c r="M595" s="9" t="str">
        <f>IFERROR(INDEX(T_CleanCustomers[Sales_Rep_ID],MATCH(B595,T_CleanCustomers[Customer_ID],0)),"Unmatched")</f>
        <v>REP002</v>
      </c>
      <c r="N595" s="9" t="str">
        <f>IFERROR(INDEX(T_CleanCustomers[Channel],MATCH(B595,T_CleanCustomers[Customer_ID],0)),"Unmatched")</f>
        <v>Digital</v>
      </c>
      <c r="O595" s="9" t="str">
        <f>IFERROR(INDEX(T_CleanCustomers[Product],MATCH(B595,T_CleanCustomers[Customer_ID],0)),"Unmatched")</f>
        <v>Toll Solution</v>
      </c>
      <c r="P595" s="9" t="str">
        <f>IFERROR(INDEX(T_CleanCustomers[Customer_Segment],MATCH(B595,T_CleanCustomers[Customer_ID],0)),"Unmatched")</f>
        <v>Enterprise</v>
      </c>
    </row>
    <row r="596" spans="1:16" ht="15" customHeight="1" x14ac:dyDescent="0.2">
      <c r="A596" s="9" t="s">
        <v>1949</v>
      </c>
      <c r="B596" s="9" t="s">
        <v>1216</v>
      </c>
      <c r="C596" s="9" t="b">
        <f>TRUE()</f>
        <v>1</v>
      </c>
      <c r="D596" s="10">
        <v>46015</v>
      </c>
      <c r="E596" s="10">
        <v>45992</v>
      </c>
      <c r="F596" s="9" t="s">
        <v>1373</v>
      </c>
      <c r="G596" s="11">
        <v>58074.16</v>
      </c>
      <c r="H596" s="11">
        <v>1156.3</v>
      </c>
      <c r="I596" s="9" t="b">
        <f>TRUE()</f>
        <v>1</v>
      </c>
      <c r="J596" s="9" t="s">
        <v>1361</v>
      </c>
      <c r="K596" s="11">
        <v>1156.3</v>
      </c>
      <c r="L596" s="9" t="s">
        <v>20</v>
      </c>
      <c r="M596" s="9" t="str">
        <f>IFERROR(INDEX(T_CleanCustomers[Sales_Rep_ID],MATCH(B596,T_CleanCustomers[Customer_ID],0)),"Unmatched")</f>
        <v>REP002</v>
      </c>
      <c r="N596" s="9" t="str">
        <f>IFERROR(INDEX(T_CleanCustomers[Channel],MATCH(B596,T_CleanCustomers[Customer_ID],0)),"Unmatched")</f>
        <v>Digital</v>
      </c>
      <c r="O596" s="9" t="str">
        <f>IFERROR(INDEX(T_CleanCustomers[Product],MATCH(B596,T_CleanCustomers[Customer_ID],0)),"Unmatched")</f>
        <v>Toll Solution</v>
      </c>
      <c r="P596" s="9" t="str">
        <f>IFERROR(INDEX(T_CleanCustomers[Customer_Segment],MATCH(B596,T_CleanCustomers[Customer_ID],0)),"Unmatched")</f>
        <v>Enterprise</v>
      </c>
    </row>
    <row r="597" spans="1:16" ht="15" customHeight="1" x14ac:dyDescent="0.2">
      <c r="A597" s="9" t="s">
        <v>1950</v>
      </c>
      <c r="B597" s="9" t="s">
        <v>1216</v>
      </c>
      <c r="C597" s="9" t="b">
        <f>TRUE()</f>
        <v>1</v>
      </c>
      <c r="D597" s="10">
        <v>46015</v>
      </c>
      <c r="E597" s="10">
        <v>45992</v>
      </c>
      <c r="F597" s="9" t="s">
        <v>1373</v>
      </c>
      <c r="G597" s="11">
        <v>31697.05</v>
      </c>
      <c r="H597" s="11">
        <v>607.33000000000004</v>
      </c>
      <c r="I597" s="9" t="b">
        <f>TRUE()</f>
        <v>1</v>
      </c>
      <c r="J597" s="9" t="s">
        <v>1361</v>
      </c>
      <c r="K597" s="11">
        <v>607.33000000000004</v>
      </c>
      <c r="L597" s="9" t="s">
        <v>20</v>
      </c>
      <c r="M597" s="9" t="str">
        <f>IFERROR(INDEX(T_CleanCustomers[Sales_Rep_ID],MATCH(B597,T_CleanCustomers[Customer_ID],0)),"Unmatched")</f>
        <v>REP002</v>
      </c>
      <c r="N597" s="9" t="str">
        <f>IFERROR(INDEX(T_CleanCustomers[Channel],MATCH(B597,T_CleanCustomers[Customer_ID],0)),"Unmatched")</f>
        <v>Digital</v>
      </c>
      <c r="O597" s="9" t="str">
        <f>IFERROR(INDEX(T_CleanCustomers[Product],MATCH(B597,T_CleanCustomers[Customer_ID],0)),"Unmatched")</f>
        <v>Toll Solution</v>
      </c>
      <c r="P597" s="9" t="str">
        <f>IFERROR(INDEX(T_CleanCustomers[Customer_Segment],MATCH(B597,T_CleanCustomers[Customer_ID],0)),"Unmatched")</f>
        <v>Enterprise</v>
      </c>
    </row>
    <row r="598" spans="1:16" ht="15" customHeight="1" x14ac:dyDescent="0.2">
      <c r="A598" s="9" t="s">
        <v>1951</v>
      </c>
      <c r="B598" s="9" t="s">
        <v>1216</v>
      </c>
      <c r="C598" s="9" t="b">
        <f>TRUE()</f>
        <v>1</v>
      </c>
      <c r="D598" s="10">
        <v>46000</v>
      </c>
      <c r="E598" s="10">
        <v>45992</v>
      </c>
      <c r="F598" s="9" t="s">
        <v>1373</v>
      </c>
      <c r="G598" s="11">
        <v>41116.11</v>
      </c>
      <c r="H598" s="11">
        <v>782.3</v>
      </c>
      <c r="I598" s="9" t="b">
        <f>TRUE()</f>
        <v>1</v>
      </c>
      <c r="J598" s="9" t="s">
        <v>1361</v>
      </c>
      <c r="K598" s="11">
        <v>782.3</v>
      </c>
      <c r="L598" s="9" t="s">
        <v>20</v>
      </c>
      <c r="M598" s="9" t="str">
        <f>IFERROR(INDEX(T_CleanCustomers[Sales_Rep_ID],MATCH(B598,T_CleanCustomers[Customer_ID],0)),"Unmatched")</f>
        <v>REP002</v>
      </c>
      <c r="N598" s="9" t="str">
        <f>IFERROR(INDEX(T_CleanCustomers[Channel],MATCH(B598,T_CleanCustomers[Customer_ID],0)),"Unmatched")</f>
        <v>Digital</v>
      </c>
      <c r="O598" s="9" t="str">
        <f>IFERROR(INDEX(T_CleanCustomers[Product],MATCH(B598,T_CleanCustomers[Customer_ID],0)),"Unmatched")</f>
        <v>Toll Solution</v>
      </c>
      <c r="P598" s="9" t="str">
        <f>IFERROR(INDEX(T_CleanCustomers[Customer_Segment],MATCH(B598,T_CleanCustomers[Customer_ID],0)),"Unmatched")</f>
        <v>Enterprise</v>
      </c>
    </row>
    <row r="599" spans="1:16" ht="15" customHeight="1" x14ac:dyDescent="0.2">
      <c r="A599" s="9" t="s">
        <v>1952</v>
      </c>
      <c r="B599" s="9" t="s">
        <v>1219</v>
      </c>
      <c r="C599" s="9" t="b">
        <f>TRUE()</f>
        <v>1</v>
      </c>
      <c r="D599" s="10">
        <v>45859</v>
      </c>
      <c r="E599" s="10">
        <v>45839</v>
      </c>
      <c r="F599" s="9" t="s">
        <v>1481</v>
      </c>
      <c r="G599" s="11">
        <v>15975.37</v>
      </c>
      <c r="H599" s="11">
        <v>369.56</v>
      </c>
      <c r="I599" s="9" t="b">
        <f>TRUE()</f>
        <v>1</v>
      </c>
      <c r="J599" s="9" t="s">
        <v>1361</v>
      </c>
      <c r="K599" s="11">
        <v>369.56</v>
      </c>
      <c r="L599" s="9" t="s">
        <v>21</v>
      </c>
      <c r="M599" s="9" t="str">
        <f>IFERROR(INDEX(T_CleanCustomers[Sales_Rep_ID],MATCH(B599,T_CleanCustomers[Customer_ID],0)),"Unmatched")</f>
        <v>REP008</v>
      </c>
      <c r="N599" s="9" t="str">
        <f>IFERROR(INDEX(T_CleanCustomers[Channel],MATCH(B599,T_CleanCustomers[Customer_ID],0)),"Unmatched")</f>
        <v>Direct Sales</v>
      </c>
      <c r="O599" s="9" t="str">
        <f>IFERROR(INDEX(T_CleanCustomers[Product],MATCH(B599,T_CleanCustomers[Customer_ID],0)),"Unmatched")</f>
        <v>Fleet Expense Card</v>
      </c>
      <c r="P599" s="9" t="str">
        <f>IFERROR(INDEX(T_CleanCustomers[Customer_Segment],MATCH(B599,T_CleanCustomers[Customer_ID],0)),"Unmatched")</f>
        <v>Mid-Market</v>
      </c>
    </row>
    <row r="600" spans="1:16" ht="15" customHeight="1" x14ac:dyDescent="0.2">
      <c r="A600" s="9" t="s">
        <v>1953</v>
      </c>
      <c r="B600" s="9" t="s">
        <v>1219</v>
      </c>
      <c r="C600" s="9" t="b">
        <f>TRUE()</f>
        <v>1</v>
      </c>
      <c r="D600" s="10">
        <v>45868</v>
      </c>
      <c r="E600" s="10">
        <v>45839</v>
      </c>
      <c r="F600" s="9" t="s">
        <v>1481</v>
      </c>
      <c r="G600" s="11">
        <v>14357.06</v>
      </c>
      <c r="H600" s="11">
        <v>391.13</v>
      </c>
      <c r="I600" s="9" t="b">
        <f>TRUE()</f>
        <v>1</v>
      </c>
      <c r="J600" s="9" t="s">
        <v>1361</v>
      </c>
      <c r="K600" s="11">
        <v>391.13</v>
      </c>
      <c r="L600" s="9" t="s">
        <v>21</v>
      </c>
      <c r="M600" s="9" t="str">
        <f>IFERROR(INDEX(T_CleanCustomers[Sales_Rep_ID],MATCH(B600,T_CleanCustomers[Customer_ID],0)),"Unmatched")</f>
        <v>REP008</v>
      </c>
      <c r="N600" s="9" t="str">
        <f>IFERROR(INDEX(T_CleanCustomers[Channel],MATCH(B600,T_CleanCustomers[Customer_ID],0)),"Unmatched")</f>
        <v>Direct Sales</v>
      </c>
      <c r="O600" s="9" t="str">
        <f>IFERROR(INDEX(T_CleanCustomers[Product],MATCH(B600,T_CleanCustomers[Customer_ID],0)),"Unmatched")</f>
        <v>Fleet Expense Card</v>
      </c>
      <c r="P600" s="9" t="str">
        <f>IFERROR(INDEX(T_CleanCustomers[Customer_Segment],MATCH(B600,T_CleanCustomers[Customer_ID],0)),"Unmatched")</f>
        <v>Mid-Market</v>
      </c>
    </row>
    <row r="601" spans="1:16" ht="15" customHeight="1" x14ac:dyDescent="0.2">
      <c r="A601" s="9" t="s">
        <v>1954</v>
      </c>
      <c r="B601" s="9" t="s">
        <v>1219</v>
      </c>
      <c r="C601" s="9" t="b">
        <f>TRUE()</f>
        <v>1</v>
      </c>
      <c r="D601" s="10">
        <v>45896</v>
      </c>
      <c r="E601" s="10">
        <v>45870</v>
      </c>
      <c r="F601" s="9" t="s">
        <v>1479</v>
      </c>
      <c r="G601" s="11">
        <v>11478.48</v>
      </c>
      <c r="H601" s="11">
        <v>301.35000000000002</v>
      </c>
      <c r="I601" s="9" t="b">
        <f>TRUE()</f>
        <v>1</v>
      </c>
      <c r="J601" s="9" t="s">
        <v>1361</v>
      </c>
      <c r="K601" s="11">
        <v>301.35000000000002</v>
      </c>
      <c r="L601" s="9" t="s">
        <v>21</v>
      </c>
      <c r="M601" s="9" t="str">
        <f>IFERROR(INDEX(T_CleanCustomers[Sales_Rep_ID],MATCH(B601,T_CleanCustomers[Customer_ID],0)),"Unmatched")</f>
        <v>REP008</v>
      </c>
      <c r="N601" s="9" t="str">
        <f>IFERROR(INDEX(T_CleanCustomers[Channel],MATCH(B601,T_CleanCustomers[Customer_ID],0)),"Unmatched")</f>
        <v>Direct Sales</v>
      </c>
      <c r="O601" s="9" t="str">
        <f>IFERROR(INDEX(T_CleanCustomers[Product],MATCH(B601,T_CleanCustomers[Customer_ID],0)),"Unmatched")</f>
        <v>Fleet Expense Card</v>
      </c>
      <c r="P601" s="9" t="str">
        <f>IFERROR(INDEX(T_CleanCustomers[Customer_Segment],MATCH(B601,T_CleanCustomers[Customer_ID],0)),"Unmatched")</f>
        <v>Mid-Market</v>
      </c>
    </row>
    <row r="602" spans="1:16" ht="15" customHeight="1" x14ac:dyDescent="0.2">
      <c r="A602" s="9" t="s">
        <v>1955</v>
      </c>
      <c r="B602" s="9" t="s">
        <v>1219</v>
      </c>
      <c r="C602" s="9" t="b">
        <f>TRUE()</f>
        <v>1</v>
      </c>
      <c r="D602" s="10">
        <v>45895</v>
      </c>
      <c r="E602" s="10">
        <v>45870</v>
      </c>
      <c r="F602" s="9" t="s">
        <v>1481</v>
      </c>
      <c r="G602" s="11">
        <v>14420.11</v>
      </c>
      <c r="H602" s="11">
        <v>408.9</v>
      </c>
      <c r="I602" s="9" t="b">
        <f>TRUE()</f>
        <v>1</v>
      </c>
      <c r="J602" s="9" t="s">
        <v>1361</v>
      </c>
      <c r="K602" s="11">
        <v>408.9</v>
      </c>
      <c r="L602" s="9" t="s">
        <v>21</v>
      </c>
      <c r="M602" s="9" t="str">
        <f>IFERROR(INDEX(T_CleanCustomers[Sales_Rep_ID],MATCH(B602,T_CleanCustomers[Customer_ID],0)),"Unmatched")</f>
        <v>REP008</v>
      </c>
      <c r="N602" s="9" t="str">
        <f>IFERROR(INDEX(T_CleanCustomers[Channel],MATCH(B602,T_CleanCustomers[Customer_ID],0)),"Unmatched")</f>
        <v>Direct Sales</v>
      </c>
      <c r="O602" s="9" t="str">
        <f>IFERROR(INDEX(T_CleanCustomers[Product],MATCH(B602,T_CleanCustomers[Customer_ID],0)),"Unmatched")</f>
        <v>Fleet Expense Card</v>
      </c>
      <c r="P602" s="9" t="str">
        <f>IFERROR(INDEX(T_CleanCustomers[Customer_Segment],MATCH(B602,T_CleanCustomers[Customer_ID],0)),"Unmatched")</f>
        <v>Mid-Market</v>
      </c>
    </row>
    <row r="603" spans="1:16" ht="15" customHeight="1" x14ac:dyDescent="0.2">
      <c r="A603" s="9" t="s">
        <v>1956</v>
      </c>
      <c r="B603" s="9" t="s">
        <v>1219</v>
      </c>
      <c r="C603" s="9" t="b">
        <f>TRUE()</f>
        <v>1</v>
      </c>
      <c r="D603" s="10">
        <v>45925</v>
      </c>
      <c r="E603" s="10">
        <v>45901</v>
      </c>
      <c r="F603" s="9" t="s">
        <v>1360</v>
      </c>
      <c r="G603" s="11">
        <v>12585.21</v>
      </c>
      <c r="H603" s="11">
        <v>342.69</v>
      </c>
      <c r="I603" s="9" t="b">
        <f>TRUE()</f>
        <v>1</v>
      </c>
      <c r="J603" s="9" t="s">
        <v>1361</v>
      </c>
      <c r="K603" s="11">
        <v>342.69</v>
      </c>
      <c r="L603" s="9" t="s">
        <v>21</v>
      </c>
      <c r="M603" s="9" t="str">
        <f>IFERROR(INDEX(T_CleanCustomers[Sales_Rep_ID],MATCH(B603,T_CleanCustomers[Customer_ID],0)),"Unmatched")</f>
        <v>REP008</v>
      </c>
      <c r="N603" s="9" t="str">
        <f>IFERROR(INDEX(T_CleanCustomers[Channel],MATCH(B603,T_CleanCustomers[Customer_ID],0)),"Unmatched")</f>
        <v>Direct Sales</v>
      </c>
      <c r="O603" s="9" t="str">
        <f>IFERROR(INDEX(T_CleanCustomers[Product],MATCH(B603,T_CleanCustomers[Customer_ID],0)),"Unmatched")</f>
        <v>Fleet Expense Card</v>
      </c>
      <c r="P603" s="9" t="str">
        <f>IFERROR(INDEX(T_CleanCustomers[Customer_Segment],MATCH(B603,T_CleanCustomers[Customer_ID],0)),"Unmatched")</f>
        <v>Mid-Market</v>
      </c>
    </row>
    <row r="604" spans="1:16" ht="15" customHeight="1" x14ac:dyDescent="0.2">
      <c r="A604" s="9" t="s">
        <v>1957</v>
      </c>
      <c r="B604" s="9" t="s">
        <v>1219</v>
      </c>
      <c r="C604" s="9" t="b">
        <f>TRUE()</f>
        <v>1</v>
      </c>
      <c r="D604" s="10">
        <v>45901</v>
      </c>
      <c r="E604" s="10">
        <v>45901</v>
      </c>
      <c r="F604" s="9" t="s">
        <v>1479</v>
      </c>
      <c r="G604" s="11">
        <v>6548.72</v>
      </c>
      <c r="H604" s="11">
        <v>176.47</v>
      </c>
      <c r="I604" s="9" t="b">
        <f>TRUE()</f>
        <v>1</v>
      </c>
      <c r="J604" s="9" t="s">
        <v>1361</v>
      </c>
      <c r="K604" s="11">
        <v>176.47</v>
      </c>
      <c r="L604" s="9" t="s">
        <v>21</v>
      </c>
      <c r="M604" s="9" t="str">
        <f>IFERROR(INDEX(T_CleanCustomers[Sales_Rep_ID],MATCH(B604,T_CleanCustomers[Customer_ID],0)),"Unmatched")</f>
        <v>REP008</v>
      </c>
      <c r="N604" s="9" t="str">
        <f>IFERROR(INDEX(T_CleanCustomers[Channel],MATCH(B604,T_CleanCustomers[Customer_ID],0)),"Unmatched")</f>
        <v>Direct Sales</v>
      </c>
      <c r="O604" s="9" t="str">
        <f>IFERROR(INDEX(T_CleanCustomers[Product],MATCH(B604,T_CleanCustomers[Customer_ID],0)),"Unmatched")</f>
        <v>Fleet Expense Card</v>
      </c>
      <c r="P604" s="9" t="str">
        <f>IFERROR(INDEX(T_CleanCustomers[Customer_Segment],MATCH(B604,T_CleanCustomers[Customer_ID],0)),"Unmatched")</f>
        <v>Mid-Market</v>
      </c>
    </row>
    <row r="605" spans="1:16" ht="15" customHeight="1" x14ac:dyDescent="0.2">
      <c r="A605" s="9" t="s">
        <v>1958</v>
      </c>
      <c r="B605" s="9" t="s">
        <v>1219</v>
      </c>
      <c r="C605" s="9" t="b">
        <f>TRUE()</f>
        <v>1</v>
      </c>
      <c r="D605" s="10">
        <v>45925</v>
      </c>
      <c r="E605" s="10">
        <v>45901</v>
      </c>
      <c r="F605" s="9" t="s">
        <v>1479</v>
      </c>
      <c r="G605" s="11">
        <v>15267.89</v>
      </c>
      <c r="H605" s="11">
        <v>359.61</v>
      </c>
      <c r="I605" s="9" t="b">
        <f>TRUE()</f>
        <v>1</v>
      </c>
      <c r="J605" s="9" t="s">
        <v>1361</v>
      </c>
      <c r="K605" s="11">
        <v>359.61</v>
      </c>
      <c r="L605" s="9" t="s">
        <v>21</v>
      </c>
      <c r="M605" s="9" t="str">
        <f>IFERROR(INDEX(T_CleanCustomers[Sales_Rep_ID],MATCH(B605,T_CleanCustomers[Customer_ID],0)),"Unmatched")</f>
        <v>REP008</v>
      </c>
      <c r="N605" s="9" t="str">
        <f>IFERROR(INDEX(T_CleanCustomers[Channel],MATCH(B605,T_CleanCustomers[Customer_ID],0)),"Unmatched")</f>
        <v>Direct Sales</v>
      </c>
      <c r="O605" s="9" t="str">
        <f>IFERROR(INDEX(T_CleanCustomers[Product],MATCH(B605,T_CleanCustomers[Customer_ID],0)),"Unmatched")</f>
        <v>Fleet Expense Card</v>
      </c>
      <c r="P605" s="9" t="str">
        <f>IFERROR(INDEX(T_CleanCustomers[Customer_Segment],MATCH(B605,T_CleanCustomers[Customer_ID],0)),"Unmatched")</f>
        <v>Mid-Market</v>
      </c>
    </row>
    <row r="606" spans="1:16" ht="15" customHeight="1" x14ac:dyDescent="0.2">
      <c r="A606" s="9" t="s">
        <v>1959</v>
      </c>
      <c r="B606" s="9" t="s">
        <v>1219</v>
      </c>
      <c r="C606" s="9" t="b">
        <f>TRUE()</f>
        <v>1</v>
      </c>
      <c r="D606" s="10">
        <v>45951</v>
      </c>
      <c r="E606" s="10">
        <v>45931</v>
      </c>
      <c r="F606" s="9" t="s">
        <v>1360</v>
      </c>
      <c r="G606" s="11">
        <v>9568.2199999999993</v>
      </c>
      <c r="H606" s="11">
        <v>255</v>
      </c>
      <c r="I606" s="9" t="b">
        <f>TRUE()</f>
        <v>1</v>
      </c>
      <c r="J606" s="9" t="s">
        <v>1361</v>
      </c>
      <c r="K606" s="11">
        <v>255</v>
      </c>
      <c r="L606" s="9" t="s">
        <v>21</v>
      </c>
      <c r="M606" s="9" t="str">
        <f>IFERROR(INDEX(T_CleanCustomers[Sales_Rep_ID],MATCH(B606,T_CleanCustomers[Customer_ID],0)),"Unmatched")</f>
        <v>REP008</v>
      </c>
      <c r="N606" s="9" t="str">
        <f>IFERROR(INDEX(T_CleanCustomers[Channel],MATCH(B606,T_CleanCustomers[Customer_ID],0)),"Unmatched")</f>
        <v>Direct Sales</v>
      </c>
      <c r="O606" s="9" t="str">
        <f>IFERROR(INDEX(T_CleanCustomers[Product],MATCH(B606,T_CleanCustomers[Customer_ID],0)),"Unmatched")</f>
        <v>Fleet Expense Card</v>
      </c>
      <c r="P606" s="9" t="str">
        <f>IFERROR(INDEX(T_CleanCustomers[Customer_Segment],MATCH(B606,T_CleanCustomers[Customer_ID],0)),"Unmatched")</f>
        <v>Mid-Market</v>
      </c>
    </row>
    <row r="607" spans="1:16" ht="15" customHeight="1" x14ac:dyDescent="0.2">
      <c r="A607" s="9" t="s">
        <v>108</v>
      </c>
      <c r="B607" s="9" t="s">
        <v>1219</v>
      </c>
      <c r="C607" s="9" t="b">
        <f>TRUE()</f>
        <v>1</v>
      </c>
      <c r="D607" s="10">
        <v>45938</v>
      </c>
      <c r="E607" s="10">
        <v>45931</v>
      </c>
      <c r="F607" s="9" t="s">
        <v>1481</v>
      </c>
      <c r="G607" s="11">
        <v>6620.41</v>
      </c>
      <c r="H607" s="11">
        <v>182.16</v>
      </c>
      <c r="I607" s="9" t="b">
        <f>TRUE()</f>
        <v>1</v>
      </c>
      <c r="J607" s="9" t="s">
        <v>1361</v>
      </c>
      <c r="K607" s="11">
        <v>182.16</v>
      </c>
      <c r="L607" s="9" t="s">
        <v>21</v>
      </c>
      <c r="M607" s="9" t="str">
        <f>IFERROR(INDEX(T_CleanCustomers[Sales_Rep_ID],MATCH(B607,T_CleanCustomers[Customer_ID],0)),"Unmatched")</f>
        <v>REP008</v>
      </c>
      <c r="N607" s="9" t="str">
        <f>IFERROR(INDEX(T_CleanCustomers[Channel],MATCH(B607,T_CleanCustomers[Customer_ID],0)),"Unmatched")</f>
        <v>Direct Sales</v>
      </c>
      <c r="O607" s="9" t="str">
        <f>IFERROR(INDEX(T_CleanCustomers[Product],MATCH(B607,T_CleanCustomers[Customer_ID],0)),"Unmatched")</f>
        <v>Fleet Expense Card</v>
      </c>
      <c r="P607" s="9" t="str">
        <f>IFERROR(INDEX(T_CleanCustomers[Customer_Segment],MATCH(B607,T_CleanCustomers[Customer_ID],0)),"Unmatched")</f>
        <v>Mid-Market</v>
      </c>
    </row>
    <row r="608" spans="1:16" ht="15" customHeight="1" x14ac:dyDescent="0.2">
      <c r="A608" s="9" t="s">
        <v>1960</v>
      </c>
      <c r="B608" s="9" t="s">
        <v>1219</v>
      </c>
      <c r="C608" s="9" t="b">
        <f>TRUE()</f>
        <v>1</v>
      </c>
      <c r="D608" s="10">
        <v>45931</v>
      </c>
      <c r="E608" s="10">
        <v>45931</v>
      </c>
      <c r="F608" s="9" t="s">
        <v>1479</v>
      </c>
      <c r="G608" s="11">
        <v>9780.0300000000007</v>
      </c>
      <c r="H608" s="11">
        <v>302.52999999999997</v>
      </c>
      <c r="I608" s="9" t="b">
        <f>TRUE()</f>
        <v>1</v>
      </c>
      <c r="J608" s="9" t="s">
        <v>1361</v>
      </c>
      <c r="K608" s="11">
        <v>302.52999999999997</v>
      </c>
      <c r="L608" s="9" t="s">
        <v>21</v>
      </c>
      <c r="M608" s="9" t="str">
        <f>IFERROR(INDEX(T_CleanCustomers[Sales_Rep_ID],MATCH(B608,T_CleanCustomers[Customer_ID],0)),"Unmatched")</f>
        <v>REP008</v>
      </c>
      <c r="N608" s="9" t="str">
        <f>IFERROR(INDEX(T_CleanCustomers[Channel],MATCH(B608,T_CleanCustomers[Customer_ID],0)),"Unmatched")</f>
        <v>Direct Sales</v>
      </c>
      <c r="O608" s="9" t="str">
        <f>IFERROR(INDEX(T_CleanCustomers[Product],MATCH(B608,T_CleanCustomers[Customer_ID],0)),"Unmatched")</f>
        <v>Fleet Expense Card</v>
      </c>
      <c r="P608" s="9" t="str">
        <f>IFERROR(INDEX(T_CleanCustomers[Customer_Segment],MATCH(B608,T_CleanCustomers[Customer_ID],0)),"Unmatched")</f>
        <v>Mid-Market</v>
      </c>
    </row>
    <row r="609" spans="1:16" ht="15" customHeight="1" x14ac:dyDescent="0.2">
      <c r="A609" s="9" t="s">
        <v>1961</v>
      </c>
      <c r="B609" s="9" t="s">
        <v>1219</v>
      </c>
      <c r="C609" s="9" t="b">
        <f>TRUE()</f>
        <v>1</v>
      </c>
      <c r="D609" s="10">
        <v>45978</v>
      </c>
      <c r="E609" s="10">
        <v>45962</v>
      </c>
      <c r="F609" s="9" t="s">
        <v>1479</v>
      </c>
      <c r="G609" s="11">
        <v>16698.560000000001</v>
      </c>
      <c r="H609" s="11">
        <v>0</v>
      </c>
      <c r="I609" s="9" t="b">
        <f>TRUE()</f>
        <v>1</v>
      </c>
      <c r="J609" s="9" t="s">
        <v>1408</v>
      </c>
      <c r="K609" s="11">
        <v>0</v>
      </c>
      <c r="L609" s="9" t="s">
        <v>21</v>
      </c>
      <c r="M609" s="9" t="str">
        <f>IFERROR(INDEX(T_CleanCustomers[Sales_Rep_ID],MATCH(B609,T_CleanCustomers[Customer_ID],0)),"Unmatched")</f>
        <v>REP008</v>
      </c>
      <c r="N609" s="9" t="str">
        <f>IFERROR(INDEX(T_CleanCustomers[Channel],MATCH(B609,T_CleanCustomers[Customer_ID],0)),"Unmatched")</f>
        <v>Direct Sales</v>
      </c>
      <c r="O609" s="9" t="str">
        <f>IFERROR(INDEX(T_CleanCustomers[Product],MATCH(B609,T_CleanCustomers[Customer_ID],0)),"Unmatched")</f>
        <v>Fleet Expense Card</v>
      </c>
      <c r="P609" s="9" t="str">
        <f>IFERROR(INDEX(T_CleanCustomers[Customer_Segment],MATCH(B609,T_CleanCustomers[Customer_ID],0)),"Unmatched")</f>
        <v>Mid-Market</v>
      </c>
    </row>
    <row r="610" spans="1:16" ht="15" customHeight="1" x14ac:dyDescent="0.2">
      <c r="A610" s="9" t="s">
        <v>1962</v>
      </c>
      <c r="B610" s="9" t="s">
        <v>1219</v>
      </c>
      <c r="C610" s="9" t="b">
        <f>TRUE()</f>
        <v>1</v>
      </c>
      <c r="D610" s="10">
        <v>45994</v>
      </c>
      <c r="E610" s="10">
        <v>45992</v>
      </c>
      <c r="F610" s="9" t="s">
        <v>1360</v>
      </c>
      <c r="G610" s="11">
        <v>15969.5</v>
      </c>
      <c r="H610" s="11">
        <v>443.83</v>
      </c>
      <c r="I610" s="9" t="b">
        <f>TRUE()</f>
        <v>1</v>
      </c>
      <c r="J610" s="9" t="s">
        <v>1361</v>
      </c>
      <c r="K610" s="11">
        <v>443.83</v>
      </c>
      <c r="L610" s="9" t="s">
        <v>21</v>
      </c>
      <c r="M610" s="9" t="str">
        <f>IFERROR(INDEX(T_CleanCustomers[Sales_Rep_ID],MATCH(B610,T_CleanCustomers[Customer_ID],0)),"Unmatched")</f>
        <v>REP008</v>
      </c>
      <c r="N610" s="9" t="str">
        <f>IFERROR(INDEX(T_CleanCustomers[Channel],MATCH(B610,T_CleanCustomers[Customer_ID],0)),"Unmatched")</f>
        <v>Direct Sales</v>
      </c>
      <c r="O610" s="9" t="str">
        <f>IFERROR(INDEX(T_CleanCustomers[Product],MATCH(B610,T_CleanCustomers[Customer_ID],0)),"Unmatched")</f>
        <v>Fleet Expense Card</v>
      </c>
      <c r="P610" s="9" t="str">
        <f>IFERROR(INDEX(T_CleanCustomers[Customer_Segment],MATCH(B610,T_CleanCustomers[Customer_ID],0)),"Unmatched")</f>
        <v>Mid-Market</v>
      </c>
    </row>
    <row r="611" spans="1:16" ht="15" customHeight="1" x14ac:dyDescent="0.2">
      <c r="A611" s="9" t="s">
        <v>1963</v>
      </c>
      <c r="B611" s="9" t="s">
        <v>1219</v>
      </c>
      <c r="C611" s="9" t="b">
        <f>TRUE()</f>
        <v>1</v>
      </c>
      <c r="D611" s="10">
        <v>46004</v>
      </c>
      <c r="E611" s="10">
        <v>45992</v>
      </c>
      <c r="F611" s="9" t="s">
        <v>1360</v>
      </c>
      <c r="G611" s="11">
        <v>16917.43</v>
      </c>
      <c r="H611" s="11">
        <v>446.46</v>
      </c>
      <c r="I611" s="9" t="b">
        <f>TRUE()</f>
        <v>1</v>
      </c>
      <c r="J611" s="9" t="s">
        <v>1361</v>
      </c>
      <c r="K611" s="11">
        <v>446.46</v>
      </c>
      <c r="L611" s="9" t="s">
        <v>21</v>
      </c>
      <c r="M611" s="9" t="str">
        <f>IFERROR(INDEX(T_CleanCustomers[Sales_Rep_ID],MATCH(B611,T_CleanCustomers[Customer_ID],0)),"Unmatched")</f>
        <v>REP008</v>
      </c>
      <c r="N611" s="9" t="str">
        <f>IFERROR(INDEX(T_CleanCustomers[Channel],MATCH(B611,T_CleanCustomers[Customer_ID],0)),"Unmatched")</f>
        <v>Direct Sales</v>
      </c>
      <c r="O611" s="9" t="str">
        <f>IFERROR(INDEX(T_CleanCustomers[Product],MATCH(B611,T_CleanCustomers[Customer_ID],0)),"Unmatched")</f>
        <v>Fleet Expense Card</v>
      </c>
      <c r="P611" s="9" t="str">
        <f>IFERROR(INDEX(T_CleanCustomers[Customer_Segment],MATCH(B611,T_CleanCustomers[Customer_ID],0)),"Unmatched")</f>
        <v>Mid-Market</v>
      </c>
    </row>
    <row r="612" spans="1:16" ht="15" customHeight="1" x14ac:dyDescent="0.2">
      <c r="A612" s="9" t="s">
        <v>1964</v>
      </c>
      <c r="B612" s="9" t="s">
        <v>1221</v>
      </c>
      <c r="C612" s="9" t="b">
        <f>TRUE()</f>
        <v>1</v>
      </c>
      <c r="D612" s="10">
        <v>45837</v>
      </c>
      <c r="E612" s="10">
        <v>45809</v>
      </c>
      <c r="F612" s="9" t="s">
        <v>1423</v>
      </c>
      <c r="G612" s="11">
        <v>1593.99</v>
      </c>
      <c r="H612" s="11">
        <v>54.03</v>
      </c>
      <c r="I612" s="9" t="b">
        <f>TRUE()</f>
        <v>1</v>
      </c>
      <c r="J612" s="9" t="s">
        <v>1361</v>
      </c>
      <c r="K612" s="11">
        <v>54.03</v>
      </c>
      <c r="L612" s="9" t="s">
        <v>18</v>
      </c>
      <c r="M612" s="9" t="str">
        <f>IFERROR(INDEX(T_CleanCustomers[Sales_Rep_ID],MATCH(B612,T_CleanCustomers[Customer_ID],0)),"Unmatched")</f>
        <v>REP011</v>
      </c>
      <c r="N612" s="9" t="str">
        <f>IFERROR(INDEX(T_CleanCustomers[Channel],MATCH(B612,T_CleanCustomers[Customer_ID],0)),"Unmatched")</f>
        <v>Digital</v>
      </c>
      <c r="O612" s="9" t="str">
        <f>IFERROR(INDEX(T_CleanCustomers[Product],MATCH(B612,T_CleanCustomers[Customer_ID],0)),"Unmatched")</f>
        <v>EV Charge Card</v>
      </c>
      <c r="P612" s="9" t="str">
        <f>IFERROR(INDEX(T_CleanCustomers[Customer_Segment],MATCH(B612,T_CleanCustomers[Customer_ID],0)),"Unmatched")</f>
        <v>SME</v>
      </c>
    </row>
    <row r="613" spans="1:16" ht="15" customHeight="1" x14ac:dyDescent="0.2">
      <c r="A613" s="9" t="s">
        <v>1965</v>
      </c>
      <c r="B613" s="9" t="s">
        <v>1221</v>
      </c>
      <c r="C613" s="9" t="b">
        <f>TRUE()</f>
        <v>1</v>
      </c>
      <c r="D613" s="10">
        <v>45858</v>
      </c>
      <c r="E613" s="10">
        <v>45839</v>
      </c>
      <c r="F613" s="9" t="s">
        <v>1423</v>
      </c>
      <c r="G613" s="11">
        <v>2919.04</v>
      </c>
      <c r="H613" s="11">
        <v>85.85</v>
      </c>
      <c r="I613" s="9" t="b">
        <f>TRUE()</f>
        <v>1</v>
      </c>
      <c r="J613" s="9" t="s">
        <v>1361</v>
      </c>
      <c r="K613" s="11">
        <v>85.85</v>
      </c>
      <c r="L613" s="9" t="s">
        <v>18</v>
      </c>
      <c r="M613" s="9" t="str">
        <f>IFERROR(INDEX(T_CleanCustomers[Sales_Rep_ID],MATCH(B613,T_CleanCustomers[Customer_ID],0)),"Unmatched")</f>
        <v>REP011</v>
      </c>
      <c r="N613" s="9" t="str">
        <f>IFERROR(INDEX(T_CleanCustomers[Channel],MATCH(B613,T_CleanCustomers[Customer_ID],0)),"Unmatched")</f>
        <v>Digital</v>
      </c>
      <c r="O613" s="9" t="str">
        <f>IFERROR(INDEX(T_CleanCustomers[Product],MATCH(B613,T_CleanCustomers[Customer_ID],0)),"Unmatched")</f>
        <v>EV Charge Card</v>
      </c>
      <c r="P613" s="9" t="str">
        <f>IFERROR(INDEX(T_CleanCustomers[Customer_Segment],MATCH(B613,T_CleanCustomers[Customer_ID],0)),"Unmatched")</f>
        <v>SME</v>
      </c>
    </row>
    <row r="614" spans="1:16" ht="15" customHeight="1" x14ac:dyDescent="0.2">
      <c r="A614" s="9" t="s">
        <v>1966</v>
      </c>
      <c r="B614" s="9" t="s">
        <v>1221</v>
      </c>
      <c r="C614" s="9" t="b">
        <f>TRUE()</f>
        <v>1</v>
      </c>
      <c r="D614" s="10">
        <v>45859</v>
      </c>
      <c r="E614" s="10">
        <v>45839</v>
      </c>
      <c r="F614" s="9" t="s">
        <v>1423</v>
      </c>
      <c r="G614" s="11">
        <v>5191.6899999999996</v>
      </c>
      <c r="H614" s="11">
        <v>180.62</v>
      </c>
      <c r="I614" s="9" t="b">
        <f>TRUE()</f>
        <v>1</v>
      </c>
      <c r="J614" s="9" t="s">
        <v>1361</v>
      </c>
      <c r="K614" s="11">
        <v>180.62</v>
      </c>
      <c r="L614" s="9" t="s">
        <v>18</v>
      </c>
      <c r="M614" s="9" t="str">
        <f>IFERROR(INDEX(T_CleanCustomers[Sales_Rep_ID],MATCH(B614,T_CleanCustomers[Customer_ID],0)),"Unmatched")</f>
        <v>REP011</v>
      </c>
      <c r="N614" s="9" t="str">
        <f>IFERROR(INDEX(T_CleanCustomers[Channel],MATCH(B614,T_CleanCustomers[Customer_ID],0)),"Unmatched")</f>
        <v>Digital</v>
      </c>
      <c r="O614" s="9" t="str">
        <f>IFERROR(INDEX(T_CleanCustomers[Product],MATCH(B614,T_CleanCustomers[Customer_ID],0)),"Unmatched")</f>
        <v>EV Charge Card</v>
      </c>
      <c r="P614" s="9" t="str">
        <f>IFERROR(INDEX(T_CleanCustomers[Customer_Segment],MATCH(B614,T_CleanCustomers[Customer_ID],0)),"Unmatched")</f>
        <v>SME</v>
      </c>
    </row>
    <row r="615" spans="1:16" ht="15" customHeight="1" x14ac:dyDescent="0.2">
      <c r="A615" s="9" t="s">
        <v>1967</v>
      </c>
      <c r="B615" s="9" t="s">
        <v>1221</v>
      </c>
      <c r="C615" s="9" t="b">
        <f>TRUE()</f>
        <v>1</v>
      </c>
      <c r="D615" s="10">
        <v>45856</v>
      </c>
      <c r="E615" s="10">
        <v>45839</v>
      </c>
      <c r="F615" s="9" t="s">
        <v>1423</v>
      </c>
      <c r="G615" s="11">
        <v>1819.06</v>
      </c>
      <c r="H615" s="11">
        <v>54.49</v>
      </c>
      <c r="I615" s="9" t="b">
        <f>TRUE()</f>
        <v>1</v>
      </c>
      <c r="J615" s="9" t="s">
        <v>1361</v>
      </c>
      <c r="K615" s="11">
        <v>54.49</v>
      </c>
      <c r="L615" s="9" t="s">
        <v>18</v>
      </c>
      <c r="M615" s="9" t="str">
        <f>IFERROR(INDEX(T_CleanCustomers[Sales_Rep_ID],MATCH(B615,T_CleanCustomers[Customer_ID],0)),"Unmatched")</f>
        <v>REP011</v>
      </c>
      <c r="N615" s="9" t="str">
        <f>IFERROR(INDEX(T_CleanCustomers[Channel],MATCH(B615,T_CleanCustomers[Customer_ID],0)),"Unmatched")</f>
        <v>Digital</v>
      </c>
      <c r="O615" s="9" t="str">
        <f>IFERROR(INDEX(T_CleanCustomers[Product],MATCH(B615,T_CleanCustomers[Customer_ID],0)),"Unmatched")</f>
        <v>EV Charge Card</v>
      </c>
      <c r="P615" s="9" t="str">
        <f>IFERROR(INDEX(T_CleanCustomers[Customer_Segment],MATCH(B615,T_CleanCustomers[Customer_ID],0)),"Unmatched")</f>
        <v>SME</v>
      </c>
    </row>
    <row r="616" spans="1:16" ht="15" customHeight="1" x14ac:dyDescent="0.2">
      <c r="A616" s="9" t="s">
        <v>1968</v>
      </c>
      <c r="B616" s="9" t="s">
        <v>1221</v>
      </c>
      <c r="C616" s="9" t="b">
        <f>TRUE()</f>
        <v>1</v>
      </c>
      <c r="D616" s="10">
        <v>45892</v>
      </c>
      <c r="E616" s="10">
        <v>45870</v>
      </c>
      <c r="F616" s="9" t="s">
        <v>1423</v>
      </c>
      <c r="G616" s="11">
        <v>1475.99</v>
      </c>
      <c r="H616" s="11">
        <v>0</v>
      </c>
      <c r="I616" s="9" t="b">
        <f>TRUE()</f>
        <v>1</v>
      </c>
      <c r="J616" s="9" t="s">
        <v>1408</v>
      </c>
      <c r="K616" s="11">
        <v>0</v>
      </c>
      <c r="L616" s="9" t="s">
        <v>18</v>
      </c>
      <c r="M616" s="9" t="str">
        <f>IFERROR(INDEX(T_CleanCustomers[Sales_Rep_ID],MATCH(B616,T_CleanCustomers[Customer_ID],0)),"Unmatched")</f>
        <v>REP011</v>
      </c>
      <c r="N616" s="9" t="str">
        <f>IFERROR(INDEX(T_CleanCustomers[Channel],MATCH(B616,T_CleanCustomers[Customer_ID],0)),"Unmatched")</f>
        <v>Digital</v>
      </c>
      <c r="O616" s="9" t="str">
        <f>IFERROR(INDEX(T_CleanCustomers[Product],MATCH(B616,T_CleanCustomers[Customer_ID],0)),"Unmatched")</f>
        <v>EV Charge Card</v>
      </c>
      <c r="P616" s="9" t="str">
        <f>IFERROR(INDEX(T_CleanCustomers[Customer_Segment],MATCH(B616,T_CleanCustomers[Customer_ID],0)),"Unmatched")</f>
        <v>SME</v>
      </c>
    </row>
    <row r="617" spans="1:16" ht="15" customHeight="1" x14ac:dyDescent="0.2">
      <c r="A617" s="9" t="s">
        <v>1969</v>
      </c>
      <c r="B617" s="9" t="s">
        <v>1221</v>
      </c>
      <c r="C617" s="9" t="b">
        <f>TRUE()</f>
        <v>1</v>
      </c>
      <c r="D617" s="10">
        <v>45898</v>
      </c>
      <c r="E617" s="10">
        <v>45870</v>
      </c>
      <c r="F617" s="9" t="s">
        <v>1423</v>
      </c>
      <c r="G617" s="11">
        <v>2550.7600000000002</v>
      </c>
      <c r="H617" s="11">
        <v>86.69</v>
      </c>
      <c r="I617" s="9" t="b">
        <f>TRUE()</f>
        <v>1</v>
      </c>
      <c r="J617" s="9" t="s">
        <v>1361</v>
      </c>
      <c r="K617" s="11">
        <v>86.69</v>
      </c>
      <c r="L617" s="9" t="s">
        <v>18</v>
      </c>
      <c r="M617" s="9" t="str">
        <f>IFERROR(INDEX(T_CleanCustomers[Sales_Rep_ID],MATCH(B617,T_CleanCustomers[Customer_ID],0)),"Unmatched")</f>
        <v>REP011</v>
      </c>
      <c r="N617" s="9" t="str">
        <f>IFERROR(INDEX(T_CleanCustomers[Channel],MATCH(B617,T_CleanCustomers[Customer_ID],0)),"Unmatched")</f>
        <v>Digital</v>
      </c>
      <c r="O617" s="9" t="str">
        <f>IFERROR(INDEX(T_CleanCustomers[Product],MATCH(B617,T_CleanCustomers[Customer_ID],0)),"Unmatched")</f>
        <v>EV Charge Card</v>
      </c>
      <c r="P617" s="9" t="str">
        <f>IFERROR(INDEX(T_CleanCustomers[Customer_Segment],MATCH(B617,T_CleanCustomers[Customer_ID],0)),"Unmatched")</f>
        <v>SME</v>
      </c>
    </row>
    <row r="618" spans="1:16" ht="15" customHeight="1" x14ac:dyDescent="0.2">
      <c r="A618" s="9" t="s">
        <v>1970</v>
      </c>
      <c r="B618" s="9" t="s">
        <v>1221</v>
      </c>
      <c r="C618" s="9" t="b">
        <f>TRUE()</f>
        <v>1</v>
      </c>
      <c r="D618" s="10">
        <v>45899</v>
      </c>
      <c r="E618" s="10">
        <v>45870</v>
      </c>
      <c r="F618" s="9" t="s">
        <v>1423</v>
      </c>
      <c r="G618" s="11">
        <v>1645.47</v>
      </c>
      <c r="H618" s="11">
        <v>43.96</v>
      </c>
      <c r="I618" s="9" t="b">
        <f>TRUE()</f>
        <v>1</v>
      </c>
      <c r="J618" s="9" t="s">
        <v>1361</v>
      </c>
      <c r="K618" s="11">
        <v>43.96</v>
      </c>
      <c r="L618" s="9" t="s">
        <v>18</v>
      </c>
      <c r="M618" s="9" t="str">
        <f>IFERROR(INDEX(T_CleanCustomers[Sales_Rep_ID],MATCH(B618,T_CleanCustomers[Customer_ID],0)),"Unmatched")</f>
        <v>REP011</v>
      </c>
      <c r="N618" s="9" t="str">
        <f>IFERROR(INDEX(T_CleanCustomers[Channel],MATCH(B618,T_CleanCustomers[Customer_ID],0)),"Unmatched")</f>
        <v>Digital</v>
      </c>
      <c r="O618" s="9" t="str">
        <f>IFERROR(INDEX(T_CleanCustomers[Product],MATCH(B618,T_CleanCustomers[Customer_ID],0)),"Unmatched")</f>
        <v>EV Charge Card</v>
      </c>
      <c r="P618" s="9" t="str">
        <f>IFERROR(INDEX(T_CleanCustomers[Customer_Segment],MATCH(B618,T_CleanCustomers[Customer_ID],0)),"Unmatched")</f>
        <v>SME</v>
      </c>
    </row>
    <row r="619" spans="1:16" ht="15" customHeight="1" x14ac:dyDescent="0.2">
      <c r="A619" s="9" t="s">
        <v>1971</v>
      </c>
      <c r="B619" s="9" t="s">
        <v>1221</v>
      </c>
      <c r="C619" s="9" t="b">
        <f>TRUE()</f>
        <v>1</v>
      </c>
      <c r="D619" s="10">
        <v>45905</v>
      </c>
      <c r="E619" s="10">
        <v>45901</v>
      </c>
      <c r="F619" s="9" t="s">
        <v>1423</v>
      </c>
      <c r="G619" s="11">
        <v>2874.64</v>
      </c>
      <c r="H619" s="11">
        <v>76.03</v>
      </c>
      <c r="I619" s="9" t="b">
        <f>TRUE()</f>
        <v>1</v>
      </c>
      <c r="J619" s="9" t="s">
        <v>1361</v>
      </c>
      <c r="K619" s="11">
        <v>76.03</v>
      </c>
      <c r="L619" s="9" t="s">
        <v>18</v>
      </c>
      <c r="M619" s="9" t="str">
        <f>IFERROR(INDEX(T_CleanCustomers[Sales_Rep_ID],MATCH(B619,T_CleanCustomers[Customer_ID],0)),"Unmatched")</f>
        <v>REP011</v>
      </c>
      <c r="N619" s="9" t="str">
        <f>IFERROR(INDEX(T_CleanCustomers[Channel],MATCH(B619,T_CleanCustomers[Customer_ID],0)),"Unmatched")</f>
        <v>Digital</v>
      </c>
      <c r="O619" s="9" t="str">
        <f>IFERROR(INDEX(T_CleanCustomers[Product],MATCH(B619,T_CleanCustomers[Customer_ID],0)),"Unmatched")</f>
        <v>EV Charge Card</v>
      </c>
      <c r="P619" s="9" t="str">
        <f>IFERROR(INDEX(T_CleanCustomers[Customer_Segment],MATCH(B619,T_CleanCustomers[Customer_ID],0)),"Unmatched")</f>
        <v>SME</v>
      </c>
    </row>
    <row r="620" spans="1:16" ht="15" customHeight="1" x14ac:dyDescent="0.2">
      <c r="A620" s="9" t="s">
        <v>1972</v>
      </c>
      <c r="B620" s="9" t="s">
        <v>1222</v>
      </c>
      <c r="C620" s="9" t="b">
        <f>TRUE()</f>
        <v>1</v>
      </c>
      <c r="D620" s="10">
        <v>45732</v>
      </c>
      <c r="E620" s="10">
        <v>45717</v>
      </c>
      <c r="F620" s="9" t="s">
        <v>1423</v>
      </c>
      <c r="G620" s="11">
        <v>20513.14</v>
      </c>
      <c r="H620" s="11">
        <v>579.96</v>
      </c>
      <c r="I620" s="9" t="b">
        <f>TRUE()</f>
        <v>1</v>
      </c>
      <c r="J620" s="9" t="s">
        <v>1361</v>
      </c>
      <c r="K620" s="11">
        <v>579.96</v>
      </c>
      <c r="L620" s="9" t="s">
        <v>22</v>
      </c>
      <c r="M620" s="9" t="str">
        <f>IFERROR(INDEX(T_CleanCustomers[Sales_Rep_ID],MATCH(B620,T_CleanCustomers[Customer_ID],0)),"Unmatched")</f>
        <v>REP005</v>
      </c>
      <c r="N620" s="9" t="str">
        <f>IFERROR(INDEX(T_CleanCustomers[Channel],MATCH(B620,T_CleanCustomers[Customer_ID],0)),"Unmatched")</f>
        <v>Telesales</v>
      </c>
      <c r="O620" s="9" t="str">
        <f>IFERROR(INDEX(T_CleanCustomers[Product],MATCH(B620,T_CleanCustomers[Customer_ID],0)),"Unmatched")</f>
        <v>EV Charge Card</v>
      </c>
      <c r="P620" s="9" t="str">
        <f>IFERROR(INDEX(T_CleanCustomers[Customer_Segment],MATCH(B620,T_CleanCustomers[Customer_ID],0)),"Unmatched")</f>
        <v>Enterprise</v>
      </c>
    </row>
    <row r="621" spans="1:16" ht="15" customHeight="1" x14ac:dyDescent="0.2">
      <c r="A621" s="9" t="s">
        <v>1973</v>
      </c>
      <c r="B621" s="9" t="s">
        <v>1222</v>
      </c>
      <c r="C621" s="9" t="b">
        <f>TRUE()</f>
        <v>1</v>
      </c>
      <c r="D621" s="10">
        <v>45744</v>
      </c>
      <c r="E621" s="10">
        <v>45717</v>
      </c>
      <c r="F621" s="9" t="s">
        <v>1423</v>
      </c>
      <c r="G621" s="11">
        <v>43907.519999999997</v>
      </c>
      <c r="H621" s="11">
        <v>1412.13</v>
      </c>
      <c r="I621" s="9" t="b">
        <f>TRUE()</f>
        <v>1</v>
      </c>
      <c r="J621" s="9" t="s">
        <v>1361</v>
      </c>
      <c r="K621" s="11">
        <v>1412.13</v>
      </c>
      <c r="L621" s="9" t="s">
        <v>22</v>
      </c>
      <c r="M621" s="9" t="str">
        <f>IFERROR(INDEX(T_CleanCustomers[Sales_Rep_ID],MATCH(B621,T_CleanCustomers[Customer_ID],0)),"Unmatched")</f>
        <v>REP005</v>
      </c>
      <c r="N621" s="9" t="str">
        <f>IFERROR(INDEX(T_CleanCustomers[Channel],MATCH(B621,T_CleanCustomers[Customer_ID],0)),"Unmatched")</f>
        <v>Telesales</v>
      </c>
      <c r="O621" s="9" t="str">
        <f>IFERROR(INDEX(T_CleanCustomers[Product],MATCH(B621,T_CleanCustomers[Customer_ID],0)),"Unmatched")</f>
        <v>EV Charge Card</v>
      </c>
      <c r="P621" s="9" t="str">
        <f>IFERROR(INDEX(T_CleanCustomers[Customer_Segment],MATCH(B621,T_CleanCustomers[Customer_ID],0)),"Unmatched")</f>
        <v>Enterprise</v>
      </c>
    </row>
    <row r="622" spans="1:16" ht="15" customHeight="1" x14ac:dyDescent="0.2">
      <c r="A622" s="9" t="s">
        <v>1974</v>
      </c>
      <c r="B622" s="9" t="s">
        <v>1222</v>
      </c>
      <c r="C622" s="9" t="b">
        <f>TRUE()</f>
        <v>1</v>
      </c>
      <c r="D622" s="10">
        <v>45719</v>
      </c>
      <c r="E622" s="10">
        <v>45717</v>
      </c>
      <c r="F622" s="9" t="s">
        <v>1423</v>
      </c>
      <c r="G622" s="11">
        <v>21214.14</v>
      </c>
      <c r="H622" s="11">
        <v>709.16</v>
      </c>
      <c r="I622" s="9" t="b">
        <f>TRUE()</f>
        <v>1</v>
      </c>
      <c r="J622" s="9" t="s">
        <v>1361</v>
      </c>
      <c r="K622" s="11">
        <v>709.16</v>
      </c>
      <c r="L622" s="9" t="s">
        <v>22</v>
      </c>
      <c r="M622" s="9" t="str">
        <f>IFERROR(INDEX(T_CleanCustomers[Sales_Rep_ID],MATCH(B622,T_CleanCustomers[Customer_ID],0)),"Unmatched")</f>
        <v>REP005</v>
      </c>
      <c r="N622" s="9" t="str">
        <f>IFERROR(INDEX(T_CleanCustomers[Channel],MATCH(B622,T_CleanCustomers[Customer_ID],0)),"Unmatched")</f>
        <v>Telesales</v>
      </c>
      <c r="O622" s="9" t="str">
        <f>IFERROR(INDEX(T_CleanCustomers[Product],MATCH(B622,T_CleanCustomers[Customer_ID],0)),"Unmatched")</f>
        <v>EV Charge Card</v>
      </c>
      <c r="P622" s="9" t="str">
        <f>IFERROR(INDEX(T_CleanCustomers[Customer_Segment],MATCH(B622,T_CleanCustomers[Customer_ID],0)),"Unmatched")</f>
        <v>Enterprise</v>
      </c>
    </row>
    <row r="623" spans="1:16" ht="15" customHeight="1" x14ac:dyDescent="0.2">
      <c r="A623" s="9" t="s">
        <v>1975</v>
      </c>
      <c r="B623" s="9" t="s">
        <v>1222</v>
      </c>
      <c r="C623" s="9" t="b">
        <f>TRUE()</f>
        <v>1</v>
      </c>
      <c r="D623" s="10">
        <v>45749</v>
      </c>
      <c r="E623" s="10">
        <v>45748</v>
      </c>
      <c r="F623" s="9" t="s">
        <v>1423</v>
      </c>
      <c r="G623" s="11">
        <v>61389.01</v>
      </c>
      <c r="H623" s="11">
        <v>1843.28</v>
      </c>
      <c r="I623" s="9" t="b">
        <f>TRUE()</f>
        <v>1</v>
      </c>
      <c r="J623" s="9" t="s">
        <v>1361</v>
      </c>
      <c r="K623" s="11">
        <v>1843.28</v>
      </c>
      <c r="L623" s="9" t="s">
        <v>22</v>
      </c>
      <c r="M623" s="9" t="str">
        <f>IFERROR(INDEX(T_CleanCustomers[Sales_Rep_ID],MATCH(B623,T_CleanCustomers[Customer_ID],0)),"Unmatched")</f>
        <v>REP005</v>
      </c>
      <c r="N623" s="9" t="str">
        <f>IFERROR(INDEX(T_CleanCustomers[Channel],MATCH(B623,T_CleanCustomers[Customer_ID],0)),"Unmatched")</f>
        <v>Telesales</v>
      </c>
      <c r="O623" s="9" t="str">
        <f>IFERROR(INDEX(T_CleanCustomers[Product],MATCH(B623,T_CleanCustomers[Customer_ID],0)),"Unmatched")</f>
        <v>EV Charge Card</v>
      </c>
      <c r="P623" s="9" t="str">
        <f>IFERROR(INDEX(T_CleanCustomers[Customer_Segment],MATCH(B623,T_CleanCustomers[Customer_ID],0)),"Unmatched")</f>
        <v>Enterprise</v>
      </c>
    </row>
    <row r="624" spans="1:16" ht="15" customHeight="1" x14ac:dyDescent="0.2">
      <c r="A624" s="9" t="s">
        <v>1976</v>
      </c>
      <c r="B624" s="9" t="s">
        <v>1222</v>
      </c>
      <c r="C624" s="9" t="b">
        <f>TRUE()</f>
        <v>1</v>
      </c>
      <c r="D624" s="10">
        <v>45763</v>
      </c>
      <c r="E624" s="10">
        <v>45748</v>
      </c>
      <c r="F624" s="9" t="s">
        <v>1423</v>
      </c>
      <c r="G624" s="11">
        <v>33447.85</v>
      </c>
      <c r="H624" s="11">
        <v>1037</v>
      </c>
      <c r="I624" s="9" t="b">
        <f>TRUE()</f>
        <v>1</v>
      </c>
      <c r="J624" s="9" t="s">
        <v>1361</v>
      </c>
      <c r="K624" s="11">
        <v>1037</v>
      </c>
      <c r="L624" s="9" t="s">
        <v>22</v>
      </c>
      <c r="M624" s="9" t="str">
        <f>IFERROR(INDEX(T_CleanCustomers[Sales_Rep_ID],MATCH(B624,T_CleanCustomers[Customer_ID],0)),"Unmatched")</f>
        <v>REP005</v>
      </c>
      <c r="N624" s="9" t="str">
        <f>IFERROR(INDEX(T_CleanCustomers[Channel],MATCH(B624,T_CleanCustomers[Customer_ID],0)),"Unmatched")</f>
        <v>Telesales</v>
      </c>
      <c r="O624" s="9" t="str">
        <f>IFERROR(INDEX(T_CleanCustomers[Product],MATCH(B624,T_CleanCustomers[Customer_ID],0)),"Unmatched")</f>
        <v>EV Charge Card</v>
      </c>
      <c r="P624" s="9" t="str">
        <f>IFERROR(INDEX(T_CleanCustomers[Customer_Segment],MATCH(B624,T_CleanCustomers[Customer_ID],0)),"Unmatched")</f>
        <v>Enterprise</v>
      </c>
    </row>
    <row r="625" spans="1:16" ht="15" customHeight="1" x14ac:dyDescent="0.2">
      <c r="A625" s="9" t="s">
        <v>1977</v>
      </c>
      <c r="B625" s="9" t="s">
        <v>1222</v>
      </c>
      <c r="C625" s="9" t="b">
        <f>TRUE()</f>
        <v>1</v>
      </c>
      <c r="D625" s="10">
        <v>45759</v>
      </c>
      <c r="E625" s="10">
        <v>45748</v>
      </c>
      <c r="F625" s="9" t="s">
        <v>1423</v>
      </c>
      <c r="G625" s="11">
        <v>30110.48</v>
      </c>
      <c r="H625" s="11">
        <v>882.18</v>
      </c>
      <c r="I625" s="9" t="b">
        <f>TRUE()</f>
        <v>1</v>
      </c>
      <c r="J625" s="9" t="s">
        <v>1361</v>
      </c>
      <c r="K625" s="11">
        <v>882.18</v>
      </c>
      <c r="L625" s="9" t="s">
        <v>22</v>
      </c>
      <c r="M625" s="9" t="str">
        <f>IFERROR(INDEX(T_CleanCustomers[Sales_Rep_ID],MATCH(B625,T_CleanCustomers[Customer_ID],0)),"Unmatched")</f>
        <v>REP005</v>
      </c>
      <c r="N625" s="9" t="str">
        <f>IFERROR(INDEX(T_CleanCustomers[Channel],MATCH(B625,T_CleanCustomers[Customer_ID],0)),"Unmatched")</f>
        <v>Telesales</v>
      </c>
      <c r="O625" s="9" t="str">
        <f>IFERROR(INDEX(T_CleanCustomers[Product],MATCH(B625,T_CleanCustomers[Customer_ID],0)),"Unmatched")</f>
        <v>EV Charge Card</v>
      </c>
      <c r="P625" s="9" t="str">
        <f>IFERROR(INDEX(T_CleanCustomers[Customer_Segment],MATCH(B625,T_CleanCustomers[Customer_ID],0)),"Unmatched")</f>
        <v>Enterprise</v>
      </c>
    </row>
    <row r="626" spans="1:16" ht="15" customHeight="1" x14ac:dyDescent="0.2">
      <c r="A626" s="9" t="s">
        <v>1978</v>
      </c>
      <c r="B626" s="9" t="s">
        <v>1222</v>
      </c>
      <c r="C626" s="9" t="b">
        <f>TRUE()</f>
        <v>1</v>
      </c>
      <c r="D626" s="10">
        <v>45785</v>
      </c>
      <c r="E626" s="10">
        <v>45778</v>
      </c>
      <c r="F626" s="9" t="s">
        <v>1423</v>
      </c>
      <c r="G626" s="11">
        <v>52810.46</v>
      </c>
      <c r="H626" s="11">
        <v>1817.63</v>
      </c>
      <c r="I626" s="9" t="b">
        <f>TRUE()</f>
        <v>1</v>
      </c>
      <c r="J626" s="9" t="s">
        <v>1361</v>
      </c>
      <c r="K626" s="11">
        <v>1817.63</v>
      </c>
      <c r="L626" s="9" t="s">
        <v>22</v>
      </c>
      <c r="M626" s="9" t="str">
        <f>IFERROR(INDEX(T_CleanCustomers[Sales_Rep_ID],MATCH(B626,T_CleanCustomers[Customer_ID],0)),"Unmatched")</f>
        <v>REP005</v>
      </c>
      <c r="N626" s="9" t="str">
        <f>IFERROR(INDEX(T_CleanCustomers[Channel],MATCH(B626,T_CleanCustomers[Customer_ID],0)),"Unmatched")</f>
        <v>Telesales</v>
      </c>
      <c r="O626" s="9" t="str">
        <f>IFERROR(INDEX(T_CleanCustomers[Product],MATCH(B626,T_CleanCustomers[Customer_ID],0)),"Unmatched")</f>
        <v>EV Charge Card</v>
      </c>
      <c r="P626" s="9" t="str">
        <f>IFERROR(INDEX(T_CleanCustomers[Customer_Segment],MATCH(B626,T_CleanCustomers[Customer_ID],0)),"Unmatched")</f>
        <v>Enterprise</v>
      </c>
    </row>
    <row r="627" spans="1:16" ht="15" customHeight="1" x14ac:dyDescent="0.2">
      <c r="A627" s="9" t="s">
        <v>1979</v>
      </c>
      <c r="B627" s="9" t="s">
        <v>1222</v>
      </c>
      <c r="C627" s="9" t="b">
        <f>TRUE()</f>
        <v>1</v>
      </c>
      <c r="D627" s="10">
        <v>45829</v>
      </c>
      <c r="E627" s="10">
        <v>45809</v>
      </c>
      <c r="F627" s="9" t="s">
        <v>1423</v>
      </c>
      <c r="G627" s="11">
        <v>39770.93</v>
      </c>
      <c r="H627" s="11">
        <v>1227.29</v>
      </c>
      <c r="I627" s="9" t="b">
        <f>TRUE()</f>
        <v>1</v>
      </c>
      <c r="J627" s="9" t="s">
        <v>1361</v>
      </c>
      <c r="K627" s="11">
        <v>1227.29</v>
      </c>
      <c r="L627" s="9" t="s">
        <v>22</v>
      </c>
      <c r="M627" s="9" t="str">
        <f>IFERROR(INDEX(T_CleanCustomers[Sales_Rep_ID],MATCH(B627,T_CleanCustomers[Customer_ID],0)),"Unmatched")</f>
        <v>REP005</v>
      </c>
      <c r="N627" s="9" t="str">
        <f>IFERROR(INDEX(T_CleanCustomers[Channel],MATCH(B627,T_CleanCustomers[Customer_ID],0)),"Unmatched")</f>
        <v>Telesales</v>
      </c>
      <c r="O627" s="9" t="str">
        <f>IFERROR(INDEX(T_CleanCustomers[Product],MATCH(B627,T_CleanCustomers[Customer_ID],0)),"Unmatched")</f>
        <v>EV Charge Card</v>
      </c>
      <c r="P627" s="9" t="str">
        <f>IFERROR(INDEX(T_CleanCustomers[Customer_Segment],MATCH(B627,T_CleanCustomers[Customer_ID],0)),"Unmatched")</f>
        <v>Enterprise</v>
      </c>
    </row>
    <row r="628" spans="1:16" ht="15" customHeight="1" x14ac:dyDescent="0.2">
      <c r="A628" s="9" t="s">
        <v>1980</v>
      </c>
      <c r="B628" s="9" t="s">
        <v>1222</v>
      </c>
      <c r="C628" s="9" t="b">
        <f>TRUE()</f>
        <v>1</v>
      </c>
      <c r="D628" s="10">
        <v>45813</v>
      </c>
      <c r="E628" s="10">
        <v>45809</v>
      </c>
      <c r="F628" s="9" t="s">
        <v>1423</v>
      </c>
      <c r="G628" s="11">
        <v>17743.77</v>
      </c>
      <c r="H628" s="11">
        <v>534.91</v>
      </c>
      <c r="I628" s="9" t="b">
        <f>TRUE()</f>
        <v>1</v>
      </c>
      <c r="J628" s="9" t="s">
        <v>1361</v>
      </c>
      <c r="K628" s="11">
        <v>534.91</v>
      </c>
      <c r="L628" s="9" t="s">
        <v>22</v>
      </c>
      <c r="M628" s="9" t="str">
        <f>IFERROR(INDEX(T_CleanCustomers[Sales_Rep_ID],MATCH(B628,T_CleanCustomers[Customer_ID],0)),"Unmatched")</f>
        <v>REP005</v>
      </c>
      <c r="N628" s="9" t="str">
        <f>IFERROR(INDEX(T_CleanCustomers[Channel],MATCH(B628,T_CleanCustomers[Customer_ID],0)),"Unmatched")</f>
        <v>Telesales</v>
      </c>
      <c r="O628" s="9" t="str">
        <f>IFERROR(INDEX(T_CleanCustomers[Product],MATCH(B628,T_CleanCustomers[Customer_ID],0)),"Unmatched")</f>
        <v>EV Charge Card</v>
      </c>
      <c r="P628" s="9" t="str">
        <f>IFERROR(INDEX(T_CleanCustomers[Customer_Segment],MATCH(B628,T_CleanCustomers[Customer_ID],0)),"Unmatched")</f>
        <v>Enterprise</v>
      </c>
    </row>
    <row r="629" spans="1:16" ht="15" customHeight="1" x14ac:dyDescent="0.2">
      <c r="A629" s="9" t="s">
        <v>1981</v>
      </c>
      <c r="B629" s="9" t="s">
        <v>1222</v>
      </c>
      <c r="C629" s="9" t="b">
        <f>TRUE()</f>
        <v>1</v>
      </c>
      <c r="D629" s="10">
        <v>45849</v>
      </c>
      <c r="E629" s="10">
        <v>45839</v>
      </c>
      <c r="F629" s="9" t="s">
        <v>1423</v>
      </c>
      <c r="G629" s="11">
        <v>14962.59</v>
      </c>
      <c r="H629" s="11">
        <v>476.43</v>
      </c>
      <c r="I629" s="9" t="b">
        <f>TRUE()</f>
        <v>1</v>
      </c>
      <c r="J629" s="9" t="s">
        <v>1361</v>
      </c>
      <c r="K629" s="11">
        <v>476.43</v>
      </c>
      <c r="L629" s="9" t="s">
        <v>22</v>
      </c>
      <c r="M629" s="9" t="str">
        <f>IFERROR(INDEX(T_CleanCustomers[Sales_Rep_ID],MATCH(B629,T_CleanCustomers[Customer_ID],0)),"Unmatched")</f>
        <v>REP005</v>
      </c>
      <c r="N629" s="9" t="str">
        <f>IFERROR(INDEX(T_CleanCustomers[Channel],MATCH(B629,T_CleanCustomers[Customer_ID],0)),"Unmatched")</f>
        <v>Telesales</v>
      </c>
      <c r="O629" s="9" t="str">
        <f>IFERROR(INDEX(T_CleanCustomers[Product],MATCH(B629,T_CleanCustomers[Customer_ID],0)),"Unmatched")</f>
        <v>EV Charge Card</v>
      </c>
      <c r="P629" s="9" t="str">
        <f>IFERROR(INDEX(T_CleanCustomers[Customer_Segment],MATCH(B629,T_CleanCustomers[Customer_ID],0)),"Unmatched")</f>
        <v>Enterprise</v>
      </c>
    </row>
    <row r="630" spans="1:16" ht="15" customHeight="1" x14ac:dyDescent="0.2">
      <c r="A630" s="9" t="s">
        <v>1982</v>
      </c>
      <c r="B630" s="9" t="s">
        <v>1222</v>
      </c>
      <c r="C630" s="9" t="b">
        <f>TRUE()</f>
        <v>1</v>
      </c>
      <c r="D630" s="10">
        <v>45854</v>
      </c>
      <c r="E630" s="10">
        <v>45839</v>
      </c>
      <c r="F630" s="9" t="s">
        <v>1423</v>
      </c>
      <c r="G630" s="11">
        <v>27480.04</v>
      </c>
      <c r="H630" s="11">
        <v>836.63</v>
      </c>
      <c r="I630" s="9" t="b">
        <f>TRUE()</f>
        <v>1</v>
      </c>
      <c r="J630" s="9" t="s">
        <v>1361</v>
      </c>
      <c r="K630" s="11">
        <v>836.63</v>
      </c>
      <c r="L630" s="9" t="s">
        <v>22</v>
      </c>
      <c r="M630" s="9" t="str">
        <f>IFERROR(INDEX(T_CleanCustomers[Sales_Rep_ID],MATCH(B630,T_CleanCustomers[Customer_ID],0)),"Unmatched")</f>
        <v>REP005</v>
      </c>
      <c r="N630" s="9" t="str">
        <f>IFERROR(INDEX(T_CleanCustomers[Channel],MATCH(B630,T_CleanCustomers[Customer_ID],0)),"Unmatched")</f>
        <v>Telesales</v>
      </c>
      <c r="O630" s="9" t="str">
        <f>IFERROR(INDEX(T_CleanCustomers[Product],MATCH(B630,T_CleanCustomers[Customer_ID],0)),"Unmatched")</f>
        <v>EV Charge Card</v>
      </c>
      <c r="P630" s="9" t="str">
        <f>IFERROR(INDEX(T_CleanCustomers[Customer_Segment],MATCH(B630,T_CleanCustomers[Customer_ID],0)),"Unmatched")</f>
        <v>Enterprise</v>
      </c>
    </row>
    <row r="631" spans="1:16" ht="15" customHeight="1" x14ac:dyDescent="0.2">
      <c r="A631" s="9" t="s">
        <v>1983</v>
      </c>
      <c r="B631" s="9" t="s">
        <v>1222</v>
      </c>
      <c r="C631" s="9" t="b">
        <f>TRUE()</f>
        <v>1</v>
      </c>
      <c r="D631" s="10">
        <v>45876</v>
      </c>
      <c r="E631" s="10">
        <v>45870</v>
      </c>
      <c r="F631" s="9" t="s">
        <v>1423</v>
      </c>
      <c r="G631" s="11">
        <v>45926.51</v>
      </c>
      <c r="H631" s="11">
        <v>1636.29</v>
      </c>
      <c r="I631" s="9" t="b">
        <f>TRUE()</f>
        <v>1</v>
      </c>
      <c r="J631" s="9" t="s">
        <v>1361</v>
      </c>
      <c r="K631" s="11">
        <v>1636.29</v>
      </c>
      <c r="L631" s="9" t="s">
        <v>22</v>
      </c>
      <c r="M631" s="9" t="str">
        <f>IFERROR(INDEX(T_CleanCustomers[Sales_Rep_ID],MATCH(B631,T_CleanCustomers[Customer_ID],0)),"Unmatched")</f>
        <v>REP005</v>
      </c>
      <c r="N631" s="9" t="str">
        <f>IFERROR(INDEX(T_CleanCustomers[Channel],MATCH(B631,T_CleanCustomers[Customer_ID],0)),"Unmatched")</f>
        <v>Telesales</v>
      </c>
      <c r="O631" s="9" t="str">
        <f>IFERROR(INDEX(T_CleanCustomers[Product],MATCH(B631,T_CleanCustomers[Customer_ID],0)),"Unmatched")</f>
        <v>EV Charge Card</v>
      </c>
      <c r="P631" s="9" t="str">
        <f>IFERROR(INDEX(T_CleanCustomers[Customer_Segment],MATCH(B631,T_CleanCustomers[Customer_ID],0)),"Unmatched")</f>
        <v>Enterprise</v>
      </c>
    </row>
    <row r="632" spans="1:16" ht="15" customHeight="1" x14ac:dyDescent="0.2">
      <c r="A632" s="9" t="s">
        <v>1984</v>
      </c>
      <c r="B632" s="9" t="s">
        <v>1222</v>
      </c>
      <c r="C632" s="9" t="b">
        <f>TRUE()</f>
        <v>1</v>
      </c>
      <c r="D632" s="10">
        <v>45909</v>
      </c>
      <c r="E632" s="10">
        <v>45901</v>
      </c>
      <c r="F632" s="9" t="s">
        <v>1423</v>
      </c>
      <c r="G632" s="11">
        <v>51436.57</v>
      </c>
      <c r="H632" s="11">
        <v>1411.11</v>
      </c>
      <c r="I632" s="9" t="b">
        <f>TRUE()</f>
        <v>1</v>
      </c>
      <c r="J632" s="9" t="s">
        <v>1361</v>
      </c>
      <c r="K632" s="11">
        <v>1411.11</v>
      </c>
      <c r="L632" s="9" t="s">
        <v>22</v>
      </c>
      <c r="M632" s="9" t="str">
        <f>IFERROR(INDEX(T_CleanCustomers[Sales_Rep_ID],MATCH(B632,T_CleanCustomers[Customer_ID],0)),"Unmatched")</f>
        <v>REP005</v>
      </c>
      <c r="N632" s="9" t="str">
        <f>IFERROR(INDEX(T_CleanCustomers[Channel],MATCH(B632,T_CleanCustomers[Customer_ID],0)),"Unmatched")</f>
        <v>Telesales</v>
      </c>
      <c r="O632" s="9" t="str">
        <f>IFERROR(INDEX(T_CleanCustomers[Product],MATCH(B632,T_CleanCustomers[Customer_ID],0)),"Unmatched")</f>
        <v>EV Charge Card</v>
      </c>
      <c r="P632" s="9" t="str">
        <f>IFERROR(INDEX(T_CleanCustomers[Customer_Segment],MATCH(B632,T_CleanCustomers[Customer_ID],0)),"Unmatched")</f>
        <v>Enterprise</v>
      </c>
    </row>
    <row r="633" spans="1:16" ht="15" customHeight="1" x14ac:dyDescent="0.2">
      <c r="A633" s="9" t="s">
        <v>1985</v>
      </c>
      <c r="B633" s="9" t="s">
        <v>1222</v>
      </c>
      <c r="C633" s="9" t="b">
        <f>TRUE()</f>
        <v>1</v>
      </c>
      <c r="D633" s="10">
        <v>45912</v>
      </c>
      <c r="E633" s="10">
        <v>45901</v>
      </c>
      <c r="F633" s="9" t="s">
        <v>1423</v>
      </c>
      <c r="G633" s="11">
        <v>58642.85</v>
      </c>
      <c r="H633" s="11">
        <v>1995.22</v>
      </c>
      <c r="I633" s="9" t="b">
        <f>TRUE()</f>
        <v>1</v>
      </c>
      <c r="J633" s="9" t="s">
        <v>1361</v>
      </c>
      <c r="K633" s="11">
        <v>1995.22</v>
      </c>
      <c r="L633" s="9" t="s">
        <v>22</v>
      </c>
      <c r="M633" s="9" t="str">
        <f>IFERROR(INDEX(T_CleanCustomers[Sales_Rep_ID],MATCH(B633,T_CleanCustomers[Customer_ID],0)),"Unmatched")</f>
        <v>REP005</v>
      </c>
      <c r="N633" s="9" t="str">
        <f>IFERROR(INDEX(T_CleanCustomers[Channel],MATCH(B633,T_CleanCustomers[Customer_ID],0)),"Unmatched")</f>
        <v>Telesales</v>
      </c>
      <c r="O633" s="9" t="str">
        <f>IFERROR(INDEX(T_CleanCustomers[Product],MATCH(B633,T_CleanCustomers[Customer_ID],0)),"Unmatched")</f>
        <v>EV Charge Card</v>
      </c>
      <c r="P633" s="9" t="str">
        <f>IFERROR(INDEX(T_CleanCustomers[Customer_Segment],MATCH(B633,T_CleanCustomers[Customer_ID],0)),"Unmatched")</f>
        <v>Enterprise</v>
      </c>
    </row>
    <row r="634" spans="1:16" ht="15" customHeight="1" x14ac:dyDescent="0.2">
      <c r="A634" s="9" t="s">
        <v>1986</v>
      </c>
      <c r="B634" s="9" t="s">
        <v>1222</v>
      </c>
      <c r="C634" s="9" t="b">
        <f>TRUE()</f>
        <v>1</v>
      </c>
      <c r="D634" s="10">
        <v>45957</v>
      </c>
      <c r="E634" s="10">
        <v>45931</v>
      </c>
      <c r="F634" s="9" t="s">
        <v>1423</v>
      </c>
      <c r="G634" s="11">
        <v>47200.46</v>
      </c>
      <c r="H634" s="11">
        <v>1327</v>
      </c>
      <c r="I634" s="9" t="b">
        <f>TRUE()</f>
        <v>1</v>
      </c>
      <c r="J634" s="9" t="s">
        <v>1361</v>
      </c>
      <c r="K634" s="11">
        <v>1327</v>
      </c>
      <c r="L634" s="9" t="s">
        <v>22</v>
      </c>
      <c r="M634" s="9" t="str">
        <f>IFERROR(INDEX(T_CleanCustomers[Sales_Rep_ID],MATCH(B634,T_CleanCustomers[Customer_ID],0)),"Unmatched")</f>
        <v>REP005</v>
      </c>
      <c r="N634" s="9" t="str">
        <f>IFERROR(INDEX(T_CleanCustomers[Channel],MATCH(B634,T_CleanCustomers[Customer_ID],0)),"Unmatched")</f>
        <v>Telesales</v>
      </c>
      <c r="O634" s="9" t="str">
        <f>IFERROR(INDEX(T_CleanCustomers[Product],MATCH(B634,T_CleanCustomers[Customer_ID],0)),"Unmatched")</f>
        <v>EV Charge Card</v>
      </c>
      <c r="P634" s="9" t="str">
        <f>IFERROR(INDEX(T_CleanCustomers[Customer_Segment],MATCH(B634,T_CleanCustomers[Customer_ID],0)),"Unmatched")</f>
        <v>Enterprise</v>
      </c>
    </row>
    <row r="635" spans="1:16" ht="15" customHeight="1" x14ac:dyDescent="0.2">
      <c r="A635" s="9" t="s">
        <v>1987</v>
      </c>
      <c r="B635" s="9" t="s">
        <v>1222</v>
      </c>
      <c r="C635" s="9" t="b">
        <f>TRUE()</f>
        <v>1</v>
      </c>
      <c r="D635" s="10">
        <v>45957</v>
      </c>
      <c r="E635" s="10">
        <v>45931</v>
      </c>
      <c r="F635" s="9" t="s">
        <v>1423</v>
      </c>
      <c r="G635" s="11">
        <v>43241.7</v>
      </c>
      <c r="H635" s="11">
        <v>1247.2</v>
      </c>
      <c r="I635" s="9" t="b">
        <f>TRUE()</f>
        <v>1</v>
      </c>
      <c r="J635" s="9" t="s">
        <v>1361</v>
      </c>
      <c r="K635" s="11">
        <v>1247.2</v>
      </c>
      <c r="L635" s="9" t="s">
        <v>22</v>
      </c>
      <c r="M635" s="9" t="str">
        <f>IFERROR(INDEX(T_CleanCustomers[Sales_Rep_ID],MATCH(B635,T_CleanCustomers[Customer_ID],0)),"Unmatched")</f>
        <v>REP005</v>
      </c>
      <c r="N635" s="9" t="str">
        <f>IFERROR(INDEX(T_CleanCustomers[Channel],MATCH(B635,T_CleanCustomers[Customer_ID],0)),"Unmatched")</f>
        <v>Telesales</v>
      </c>
      <c r="O635" s="9" t="str">
        <f>IFERROR(INDEX(T_CleanCustomers[Product],MATCH(B635,T_CleanCustomers[Customer_ID],0)),"Unmatched")</f>
        <v>EV Charge Card</v>
      </c>
      <c r="P635" s="9" t="str">
        <f>IFERROR(INDEX(T_CleanCustomers[Customer_Segment],MATCH(B635,T_CleanCustomers[Customer_ID],0)),"Unmatched")</f>
        <v>Enterprise</v>
      </c>
    </row>
    <row r="636" spans="1:16" ht="15" customHeight="1" x14ac:dyDescent="0.2">
      <c r="A636" s="9" t="s">
        <v>1988</v>
      </c>
      <c r="B636" s="9" t="s">
        <v>1222</v>
      </c>
      <c r="C636" s="9" t="b">
        <f>TRUE()</f>
        <v>1</v>
      </c>
      <c r="D636" s="10">
        <v>45966</v>
      </c>
      <c r="E636" s="10">
        <v>45962</v>
      </c>
      <c r="F636" s="9" t="s">
        <v>1423</v>
      </c>
      <c r="G636" s="11">
        <v>44266.11</v>
      </c>
      <c r="H636" s="11">
        <v>1515.56</v>
      </c>
      <c r="I636" s="9" t="b">
        <f>TRUE()</f>
        <v>1</v>
      </c>
      <c r="J636" s="9" t="s">
        <v>1361</v>
      </c>
      <c r="K636" s="11">
        <v>1515.56</v>
      </c>
      <c r="L636" s="9" t="s">
        <v>22</v>
      </c>
      <c r="M636" s="9" t="str">
        <f>IFERROR(INDEX(T_CleanCustomers[Sales_Rep_ID],MATCH(B636,T_CleanCustomers[Customer_ID],0)),"Unmatched")</f>
        <v>REP005</v>
      </c>
      <c r="N636" s="9" t="str">
        <f>IFERROR(INDEX(T_CleanCustomers[Channel],MATCH(B636,T_CleanCustomers[Customer_ID],0)),"Unmatched")</f>
        <v>Telesales</v>
      </c>
      <c r="O636" s="9" t="str">
        <f>IFERROR(INDEX(T_CleanCustomers[Product],MATCH(B636,T_CleanCustomers[Customer_ID],0)),"Unmatched")</f>
        <v>EV Charge Card</v>
      </c>
      <c r="P636" s="9" t="str">
        <f>IFERROR(INDEX(T_CleanCustomers[Customer_Segment],MATCH(B636,T_CleanCustomers[Customer_ID],0)),"Unmatched")</f>
        <v>Enterprise</v>
      </c>
    </row>
    <row r="637" spans="1:16" ht="15" customHeight="1" x14ac:dyDescent="0.2">
      <c r="A637" s="9" t="s">
        <v>1989</v>
      </c>
      <c r="B637" s="9" t="s">
        <v>1222</v>
      </c>
      <c r="C637" s="9" t="b">
        <f>TRUE()</f>
        <v>1</v>
      </c>
      <c r="D637" s="10">
        <v>46010</v>
      </c>
      <c r="E637" s="10">
        <v>45992</v>
      </c>
      <c r="F637" s="9" t="s">
        <v>1423</v>
      </c>
      <c r="G637" s="11">
        <v>61626.37</v>
      </c>
      <c r="H637" s="11">
        <v>1666.09</v>
      </c>
      <c r="I637" s="9" t="b">
        <f>TRUE()</f>
        <v>1</v>
      </c>
      <c r="J637" s="9" t="s">
        <v>1361</v>
      </c>
      <c r="K637" s="11">
        <v>1666.09</v>
      </c>
      <c r="L637" s="9" t="s">
        <v>22</v>
      </c>
      <c r="M637" s="9" t="str">
        <f>IFERROR(INDEX(T_CleanCustomers[Sales_Rep_ID],MATCH(B637,T_CleanCustomers[Customer_ID],0)),"Unmatched")</f>
        <v>REP005</v>
      </c>
      <c r="N637" s="9" t="str">
        <f>IFERROR(INDEX(T_CleanCustomers[Channel],MATCH(B637,T_CleanCustomers[Customer_ID],0)),"Unmatched")</f>
        <v>Telesales</v>
      </c>
      <c r="O637" s="9" t="str">
        <f>IFERROR(INDEX(T_CleanCustomers[Product],MATCH(B637,T_CleanCustomers[Customer_ID],0)),"Unmatched")</f>
        <v>EV Charge Card</v>
      </c>
      <c r="P637" s="9" t="str">
        <f>IFERROR(INDEX(T_CleanCustomers[Customer_Segment],MATCH(B637,T_CleanCustomers[Customer_ID],0)),"Unmatched")</f>
        <v>Enterprise</v>
      </c>
    </row>
    <row r="638" spans="1:16" ht="15" customHeight="1" x14ac:dyDescent="0.2">
      <c r="A638" s="9" t="s">
        <v>136</v>
      </c>
      <c r="B638" s="9" t="s">
        <v>1222</v>
      </c>
      <c r="C638" s="9" t="b">
        <f>TRUE()</f>
        <v>1</v>
      </c>
      <c r="D638" s="10">
        <v>46002</v>
      </c>
      <c r="E638" s="10">
        <v>45992</v>
      </c>
      <c r="F638" s="9" t="s">
        <v>1423</v>
      </c>
      <c r="G638" s="11"/>
      <c r="H638" s="11">
        <v>1325.61</v>
      </c>
      <c r="I638" s="9" t="b">
        <f>TRUE()</f>
        <v>1</v>
      </c>
      <c r="J638" s="9" t="s">
        <v>1361</v>
      </c>
      <c r="K638" s="11">
        <v>1325.61</v>
      </c>
      <c r="L638" s="9" t="s">
        <v>22</v>
      </c>
      <c r="M638" s="9" t="str">
        <f>IFERROR(INDEX(T_CleanCustomers[Sales_Rep_ID],MATCH(B638,T_CleanCustomers[Customer_ID],0)),"Unmatched")</f>
        <v>REP005</v>
      </c>
      <c r="N638" s="9" t="str">
        <f>IFERROR(INDEX(T_CleanCustomers[Channel],MATCH(B638,T_CleanCustomers[Customer_ID],0)),"Unmatched")</f>
        <v>Telesales</v>
      </c>
      <c r="O638" s="9" t="str">
        <f>IFERROR(INDEX(T_CleanCustomers[Product],MATCH(B638,T_CleanCustomers[Customer_ID],0)),"Unmatched")</f>
        <v>EV Charge Card</v>
      </c>
      <c r="P638" s="9" t="str">
        <f>IFERROR(INDEX(T_CleanCustomers[Customer_Segment],MATCH(B638,T_CleanCustomers[Customer_ID],0)),"Unmatched")</f>
        <v>Enterprise</v>
      </c>
    </row>
    <row r="639" spans="1:16" ht="15" customHeight="1" x14ac:dyDescent="0.2">
      <c r="A639" s="9" t="s">
        <v>1990</v>
      </c>
      <c r="B639" s="9" t="s">
        <v>1222</v>
      </c>
      <c r="C639" s="9" t="b">
        <f>TRUE()</f>
        <v>1</v>
      </c>
      <c r="D639" s="10">
        <v>46008</v>
      </c>
      <c r="E639" s="10">
        <v>45992</v>
      </c>
      <c r="F639" s="9" t="s">
        <v>1423</v>
      </c>
      <c r="G639" s="11">
        <v>28579.11</v>
      </c>
      <c r="H639" s="11">
        <v>1016.09</v>
      </c>
      <c r="I639" s="9" t="b">
        <f>TRUE()</f>
        <v>1</v>
      </c>
      <c r="J639" s="9" t="s">
        <v>1361</v>
      </c>
      <c r="K639" s="11">
        <v>1016.09</v>
      </c>
      <c r="L639" s="9" t="s">
        <v>22</v>
      </c>
      <c r="M639" s="9" t="str">
        <f>IFERROR(INDEX(T_CleanCustomers[Sales_Rep_ID],MATCH(B639,T_CleanCustomers[Customer_ID],0)),"Unmatched")</f>
        <v>REP005</v>
      </c>
      <c r="N639" s="9" t="str">
        <f>IFERROR(INDEX(T_CleanCustomers[Channel],MATCH(B639,T_CleanCustomers[Customer_ID],0)),"Unmatched")</f>
        <v>Telesales</v>
      </c>
      <c r="O639" s="9" t="str">
        <f>IFERROR(INDEX(T_CleanCustomers[Product],MATCH(B639,T_CleanCustomers[Customer_ID],0)),"Unmatched")</f>
        <v>EV Charge Card</v>
      </c>
      <c r="P639" s="9" t="str">
        <f>IFERROR(INDEX(T_CleanCustomers[Customer_Segment],MATCH(B639,T_CleanCustomers[Customer_ID],0)),"Unmatched")</f>
        <v>Enterprise</v>
      </c>
    </row>
    <row r="640" spans="1:16" ht="15" customHeight="1" x14ac:dyDescent="0.2">
      <c r="A640" s="9" t="s">
        <v>1991</v>
      </c>
      <c r="B640" s="9" t="s">
        <v>1223</v>
      </c>
      <c r="C640" s="9" t="b">
        <f>TRUE()</f>
        <v>1</v>
      </c>
      <c r="D640" s="10">
        <v>45802</v>
      </c>
      <c r="E640" s="10">
        <v>45778</v>
      </c>
      <c r="F640" s="9" t="s">
        <v>1423</v>
      </c>
      <c r="G640" s="11">
        <v>34733.68</v>
      </c>
      <c r="H640" s="11">
        <v>995.94</v>
      </c>
      <c r="I640" s="9" t="b">
        <f>TRUE()</f>
        <v>1</v>
      </c>
      <c r="J640" s="9" t="s">
        <v>1361</v>
      </c>
      <c r="K640" s="11">
        <v>995.94</v>
      </c>
      <c r="L640" s="9" t="s">
        <v>22</v>
      </c>
      <c r="M640" s="9" t="str">
        <f>IFERROR(INDEX(T_CleanCustomers[Sales_Rep_ID],MATCH(B640,T_CleanCustomers[Customer_ID],0)),"Unmatched")</f>
        <v>REP006</v>
      </c>
      <c r="N640" s="9" t="str">
        <f>IFERROR(INDEX(T_CleanCustomers[Channel],MATCH(B640,T_CleanCustomers[Customer_ID],0)),"Unmatched")</f>
        <v>Direct Sales</v>
      </c>
      <c r="O640" s="9" t="str">
        <f>IFERROR(INDEX(T_CleanCustomers[Product],MATCH(B640,T_CleanCustomers[Customer_ID],0)),"Unmatched")</f>
        <v>EV Charge Card</v>
      </c>
      <c r="P640" s="9" t="str">
        <f>IFERROR(INDEX(T_CleanCustomers[Customer_Segment],MATCH(B640,T_CleanCustomers[Customer_ID],0)),"Unmatched")</f>
        <v>Enterprise</v>
      </c>
    </row>
    <row r="641" spans="1:16" ht="15" customHeight="1" x14ac:dyDescent="0.2">
      <c r="A641" s="9" t="s">
        <v>1992</v>
      </c>
      <c r="B641" s="9" t="s">
        <v>1223</v>
      </c>
      <c r="C641" s="9" t="b">
        <f>TRUE()</f>
        <v>1</v>
      </c>
      <c r="D641" s="10">
        <v>45803</v>
      </c>
      <c r="E641" s="10">
        <v>45778</v>
      </c>
      <c r="F641" s="9" t="s">
        <v>1423</v>
      </c>
      <c r="G641" s="11">
        <v>21756.35</v>
      </c>
      <c r="H641" s="11">
        <v>0</v>
      </c>
      <c r="I641" s="9" t="b">
        <f>TRUE()</f>
        <v>1</v>
      </c>
      <c r="J641" s="9" t="s">
        <v>1408</v>
      </c>
      <c r="K641" s="11">
        <v>0</v>
      </c>
      <c r="L641" s="9" t="s">
        <v>22</v>
      </c>
      <c r="M641" s="9" t="str">
        <f>IFERROR(INDEX(T_CleanCustomers[Sales_Rep_ID],MATCH(B641,T_CleanCustomers[Customer_ID],0)),"Unmatched")</f>
        <v>REP006</v>
      </c>
      <c r="N641" s="9" t="str">
        <f>IFERROR(INDEX(T_CleanCustomers[Channel],MATCH(B641,T_CleanCustomers[Customer_ID],0)),"Unmatched")</f>
        <v>Direct Sales</v>
      </c>
      <c r="O641" s="9" t="str">
        <f>IFERROR(INDEX(T_CleanCustomers[Product],MATCH(B641,T_CleanCustomers[Customer_ID],0)),"Unmatched")</f>
        <v>EV Charge Card</v>
      </c>
      <c r="P641" s="9" t="str">
        <f>IFERROR(INDEX(T_CleanCustomers[Customer_Segment],MATCH(B641,T_CleanCustomers[Customer_ID],0)),"Unmatched")</f>
        <v>Enterprise</v>
      </c>
    </row>
    <row r="642" spans="1:16" ht="15" customHeight="1" x14ac:dyDescent="0.2">
      <c r="A642" s="9" t="s">
        <v>1993</v>
      </c>
      <c r="B642" s="9" t="s">
        <v>1223</v>
      </c>
      <c r="C642" s="9" t="b">
        <f>TRUE()</f>
        <v>1</v>
      </c>
      <c r="D642" s="10">
        <v>45805</v>
      </c>
      <c r="E642" s="10">
        <v>45778</v>
      </c>
      <c r="F642" s="9" t="s">
        <v>1423</v>
      </c>
      <c r="G642" s="11">
        <v>43626.67</v>
      </c>
      <c r="H642" s="11">
        <v>1457.28</v>
      </c>
      <c r="I642" s="9" t="b">
        <f>TRUE()</f>
        <v>1</v>
      </c>
      <c r="J642" s="9" t="s">
        <v>1361</v>
      </c>
      <c r="K642" s="11">
        <v>1457.28</v>
      </c>
      <c r="L642" s="9" t="s">
        <v>22</v>
      </c>
      <c r="M642" s="9" t="str">
        <f>IFERROR(INDEX(T_CleanCustomers[Sales_Rep_ID],MATCH(B642,T_CleanCustomers[Customer_ID],0)),"Unmatched")</f>
        <v>REP006</v>
      </c>
      <c r="N642" s="9" t="str">
        <f>IFERROR(INDEX(T_CleanCustomers[Channel],MATCH(B642,T_CleanCustomers[Customer_ID],0)),"Unmatched")</f>
        <v>Direct Sales</v>
      </c>
      <c r="O642" s="9" t="str">
        <f>IFERROR(INDEX(T_CleanCustomers[Product],MATCH(B642,T_CleanCustomers[Customer_ID],0)),"Unmatched")</f>
        <v>EV Charge Card</v>
      </c>
      <c r="P642" s="9" t="str">
        <f>IFERROR(INDEX(T_CleanCustomers[Customer_Segment],MATCH(B642,T_CleanCustomers[Customer_ID],0)),"Unmatched")</f>
        <v>Enterprise</v>
      </c>
    </row>
    <row r="643" spans="1:16" ht="15" customHeight="1" x14ac:dyDescent="0.2">
      <c r="A643" s="9" t="s">
        <v>1994</v>
      </c>
      <c r="B643" s="9" t="s">
        <v>1223</v>
      </c>
      <c r="C643" s="9" t="b">
        <f>TRUE()</f>
        <v>1</v>
      </c>
      <c r="D643" s="10">
        <v>45823</v>
      </c>
      <c r="E643" s="10">
        <v>45809</v>
      </c>
      <c r="F643" s="9" t="s">
        <v>1423</v>
      </c>
      <c r="G643" s="11">
        <v>42115.64</v>
      </c>
      <c r="H643" s="11">
        <v>1116.67</v>
      </c>
      <c r="I643" s="9" t="b">
        <f>TRUE()</f>
        <v>1</v>
      </c>
      <c r="J643" s="9" t="s">
        <v>1361</v>
      </c>
      <c r="K643" s="11">
        <v>1116.67</v>
      </c>
      <c r="L643" s="9" t="s">
        <v>22</v>
      </c>
      <c r="M643" s="9" t="str">
        <f>IFERROR(INDEX(T_CleanCustomers[Sales_Rep_ID],MATCH(B643,T_CleanCustomers[Customer_ID],0)),"Unmatched")</f>
        <v>REP006</v>
      </c>
      <c r="N643" s="9" t="str">
        <f>IFERROR(INDEX(T_CleanCustomers[Channel],MATCH(B643,T_CleanCustomers[Customer_ID],0)),"Unmatched")</f>
        <v>Direct Sales</v>
      </c>
      <c r="O643" s="9" t="str">
        <f>IFERROR(INDEX(T_CleanCustomers[Product],MATCH(B643,T_CleanCustomers[Customer_ID],0)),"Unmatched")</f>
        <v>EV Charge Card</v>
      </c>
      <c r="P643" s="9" t="str">
        <f>IFERROR(INDEX(T_CleanCustomers[Customer_Segment],MATCH(B643,T_CleanCustomers[Customer_ID],0)),"Unmatched")</f>
        <v>Enterprise</v>
      </c>
    </row>
    <row r="644" spans="1:16" ht="15" customHeight="1" x14ac:dyDescent="0.2">
      <c r="A644" s="9" t="s">
        <v>1995</v>
      </c>
      <c r="B644" s="9" t="s">
        <v>1223</v>
      </c>
      <c r="C644" s="9" t="b">
        <f>TRUE()</f>
        <v>1</v>
      </c>
      <c r="D644" s="10">
        <v>45837</v>
      </c>
      <c r="E644" s="10">
        <v>45809</v>
      </c>
      <c r="F644" s="9" t="s">
        <v>1423</v>
      </c>
      <c r="G644" s="11">
        <v>22336.55</v>
      </c>
      <c r="H644" s="11">
        <v>722.1</v>
      </c>
      <c r="I644" s="9" t="b">
        <f>TRUE()</f>
        <v>1</v>
      </c>
      <c r="J644" s="9" t="s">
        <v>1361</v>
      </c>
      <c r="K644" s="11">
        <v>722.1</v>
      </c>
      <c r="L644" s="9" t="s">
        <v>22</v>
      </c>
      <c r="M644" s="9" t="str">
        <f>IFERROR(INDEX(T_CleanCustomers[Sales_Rep_ID],MATCH(B644,T_CleanCustomers[Customer_ID],0)),"Unmatched")</f>
        <v>REP006</v>
      </c>
      <c r="N644" s="9" t="str">
        <f>IFERROR(INDEX(T_CleanCustomers[Channel],MATCH(B644,T_CleanCustomers[Customer_ID],0)),"Unmatched")</f>
        <v>Direct Sales</v>
      </c>
      <c r="O644" s="9" t="str">
        <f>IFERROR(INDEX(T_CleanCustomers[Product],MATCH(B644,T_CleanCustomers[Customer_ID],0)),"Unmatched")</f>
        <v>EV Charge Card</v>
      </c>
      <c r="P644" s="9" t="str">
        <f>IFERROR(INDEX(T_CleanCustomers[Customer_Segment],MATCH(B644,T_CleanCustomers[Customer_ID],0)),"Unmatched")</f>
        <v>Enterprise</v>
      </c>
    </row>
    <row r="645" spans="1:16" ht="15" customHeight="1" x14ac:dyDescent="0.2">
      <c r="A645" s="9" t="s">
        <v>1996</v>
      </c>
      <c r="B645" s="9" t="s">
        <v>1223</v>
      </c>
      <c r="C645" s="9" t="b">
        <f>TRUE()</f>
        <v>1</v>
      </c>
      <c r="D645" s="10">
        <v>45866</v>
      </c>
      <c r="E645" s="10">
        <v>45839</v>
      </c>
      <c r="F645" s="9" t="s">
        <v>1423</v>
      </c>
      <c r="G645" s="11">
        <v>59510.52</v>
      </c>
      <c r="H645" s="11">
        <v>1939.4</v>
      </c>
      <c r="I645" s="9" t="b">
        <f>TRUE()</f>
        <v>1</v>
      </c>
      <c r="J645" s="9" t="s">
        <v>1361</v>
      </c>
      <c r="K645" s="11">
        <v>1939.4</v>
      </c>
      <c r="L645" s="9" t="s">
        <v>22</v>
      </c>
      <c r="M645" s="9" t="str">
        <f>IFERROR(INDEX(T_CleanCustomers[Sales_Rep_ID],MATCH(B645,T_CleanCustomers[Customer_ID],0)),"Unmatched")</f>
        <v>REP006</v>
      </c>
      <c r="N645" s="9" t="str">
        <f>IFERROR(INDEX(T_CleanCustomers[Channel],MATCH(B645,T_CleanCustomers[Customer_ID],0)),"Unmatched")</f>
        <v>Direct Sales</v>
      </c>
      <c r="O645" s="9" t="str">
        <f>IFERROR(INDEX(T_CleanCustomers[Product],MATCH(B645,T_CleanCustomers[Customer_ID],0)),"Unmatched")</f>
        <v>EV Charge Card</v>
      </c>
      <c r="P645" s="9" t="str">
        <f>IFERROR(INDEX(T_CleanCustomers[Customer_Segment],MATCH(B645,T_CleanCustomers[Customer_ID],0)),"Unmatched")</f>
        <v>Enterprise</v>
      </c>
    </row>
    <row r="646" spans="1:16" ht="15" customHeight="1" x14ac:dyDescent="0.2">
      <c r="A646" s="9" t="s">
        <v>1997</v>
      </c>
      <c r="B646" s="9" t="s">
        <v>1223</v>
      </c>
      <c r="C646" s="9" t="b">
        <f>TRUE()</f>
        <v>1</v>
      </c>
      <c r="D646" s="10">
        <v>45849</v>
      </c>
      <c r="E646" s="10">
        <v>45839</v>
      </c>
      <c r="F646" s="9" t="s">
        <v>1423</v>
      </c>
      <c r="G646" s="11">
        <v>52978.37</v>
      </c>
      <c r="H646" s="11">
        <v>1404.96</v>
      </c>
      <c r="I646" s="9" t="b">
        <f>TRUE()</f>
        <v>1</v>
      </c>
      <c r="J646" s="9" t="s">
        <v>1361</v>
      </c>
      <c r="K646" s="11">
        <v>1404.96</v>
      </c>
      <c r="L646" s="9" t="s">
        <v>22</v>
      </c>
      <c r="M646" s="9" t="str">
        <f>IFERROR(INDEX(T_CleanCustomers[Sales_Rep_ID],MATCH(B646,T_CleanCustomers[Customer_ID],0)),"Unmatched")</f>
        <v>REP006</v>
      </c>
      <c r="N646" s="9" t="str">
        <f>IFERROR(INDEX(T_CleanCustomers[Channel],MATCH(B646,T_CleanCustomers[Customer_ID],0)),"Unmatched")</f>
        <v>Direct Sales</v>
      </c>
      <c r="O646" s="9" t="str">
        <f>IFERROR(INDEX(T_CleanCustomers[Product],MATCH(B646,T_CleanCustomers[Customer_ID],0)),"Unmatched")</f>
        <v>EV Charge Card</v>
      </c>
      <c r="P646" s="9" t="str">
        <f>IFERROR(INDEX(T_CleanCustomers[Customer_Segment],MATCH(B646,T_CleanCustomers[Customer_ID],0)),"Unmatched")</f>
        <v>Enterprise</v>
      </c>
    </row>
    <row r="647" spans="1:16" ht="15" customHeight="1" x14ac:dyDescent="0.2">
      <c r="A647" s="9" t="s">
        <v>1998</v>
      </c>
      <c r="B647" s="9" t="s">
        <v>1223</v>
      </c>
      <c r="C647" s="9" t="b">
        <f>TRUE()</f>
        <v>1</v>
      </c>
      <c r="D647" s="10">
        <v>45847</v>
      </c>
      <c r="E647" s="10">
        <v>45839</v>
      </c>
      <c r="F647" s="9" t="s">
        <v>1423</v>
      </c>
      <c r="G647" s="11">
        <v>55771.07</v>
      </c>
      <c r="H647" s="11">
        <v>1865.25</v>
      </c>
      <c r="I647" s="9" t="b">
        <f>TRUE()</f>
        <v>1</v>
      </c>
      <c r="J647" s="9" t="s">
        <v>1361</v>
      </c>
      <c r="K647" s="11">
        <v>1865.25</v>
      </c>
      <c r="L647" s="9" t="s">
        <v>22</v>
      </c>
      <c r="M647" s="9" t="str">
        <f>IFERROR(INDEX(T_CleanCustomers[Sales_Rep_ID],MATCH(B647,T_CleanCustomers[Customer_ID],0)),"Unmatched")</f>
        <v>REP006</v>
      </c>
      <c r="N647" s="9" t="str">
        <f>IFERROR(INDEX(T_CleanCustomers[Channel],MATCH(B647,T_CleanCustomers[Customer_ID],0)),"Unmatched")</f>
        <v>Direct Sales</v>
      </c>
      <c r="O647" s="9" t="str">
        <f>IFERROR(INDEX(T_CleanCustomers[Product],MATCH(B647,T_CleanCustomers[Customer_ID],0)),"Unmatched")</f>
        <v>EV Charge Card</v>
      </c>
      <c r="P647" s="9" t="str">
        <f>IFERROR(INDEX(T_CleanCustomers[Customer_Segment],MATCH(B647,T_CleanCustomers[Customer_ID],0)),"Unmatched")</f>
        <v>Enterprise</v>
      </c>
    </row>
    <row r="648" spans="1:16" ht="15" customHeight="1" x14ac:dyDescent="0.2">
      <c r="A648" s="9" t="s">
        <v>1999</v>
      </c>
      <c r="B648" s="9" t="s">
        <v>1223</v>
      </c>
      <c r="C648" s="9" t="b">
        <f>TRUE()</f>
        <v>1</v>
      </c>
      <c r="D648" s="10">
        <v>45897</v>
      </c>
      <c r="E648" s="10">
        <v>45870</v>
      </c>
      <c r="F648" s="9" t="s">
        <v>1423</v>
      </c>
      <c r="G648" s="11">
        <v>15748.66</v>
      </c>
      <c r="H648" s="11">
        <v>0</v>
      </c>
      <c r="I648" s="9" t="b">
        <f>TRUE()</f>
        <v>1</v>
      </c>
      <c r="J648" s="9" t="s">
        <v>1408</v>
      </c>
      <c r="K648" s="11">
        <v>0</v>
      </c>
      <c r="L648" s="9" t="s">
        <v>22</v>
      </c>
      <c r="M648" s="9" t="str">
        <f>IFERROR(INDEX(T_CleanCustomers[Sales_Rep_ID],MATCH(B648,T_CleanCustomers[Customer_ID],0)),"Unmatched")</f>
        <v>REP006</v>
      </c>
      <c r="N648" s="9" t="str">
        <f>IFERROR(INDEX(T_CleanCustomers[Channel],MATCH(B648,T_CleanCustomers[Customer_ID],0)),"Unmatched")</f>
        <v>Direct Sales</v>
      </c>
      <c r="O648" s="9" t="str">
        <f>IFERROR(INDEX(T_CleanCustomers[Product],MATCH(B648,T_CleanCustomers[Customer_ID],0)),"Unmatched")</f>
        <v>EV Charge Card</v>
      </c>
      <c r="P648" s="9" t="str">
        <f>IFERROR(INDEX(T_CleanCustomers[Customer_Segment],MATCH(B648,T_CleanCustomers[Customer_ID],0)),"Unmatched")</f>
        <v>Enterprise</v>
      </c>
    </row>
    <row r="649" spans="1:16" ht="15" customHeight="1" x14ac:dyDescent="0.2">
      <c r="A649" s="9" t="s">
        <v>118</v>
      </c>
      <c r="B649" s="9" t="s">
        <v>1437</v>
      </c>
      <c r="C649" s="9" t="b">
        <f>FALSE()</f>
        <v>0</v>
      </c>
      <c r="D649" s="10">
        <v>45916</v>
      </c>
      <c r="E649" s="10">
        <v>45901</v>
      </c>
      <c r="F649" s="9" t="s">
        <v>1423</v>
      </c>
      <c r="G649" s="11">
        <v>21874.94</v>
      </c>
      <c r="H649" s="11">
        <v>604.19000000000005</v>
      </c>
      <c r="I649" s="9" t="b">
        <f>TRUE()</f>
        <v>1</v>
      </c>
      <c r="J649" s="9" t="s">
        <v>1361</v>
      </c>
      <c r="K649" s="11">
        <v>0</v>
      </c>
      <c r="L649" s="9" t="s">
        <v>22</v>
      </c>
      <c r="M649" s="9" t="str">
        <f>IFERROR(INDEX(T_CleanCustomers[Sales_Rep_ID],MATCH(B649,T_CleanCustomers[Customer_ID],0)),"Unmatched")</f>
        <v>Unmatched</v>
      </c>
      <c r="N649" s="9" t="str">
        <f>IFERROR(INDEX(T_CleanCustomers[Channel],MATCH(B649,T_CleanCustomers[Customer_ID],0)),"Unmatched")</f>
        <v>Unmatched</v>
      </c>
      <c r="O649" s="9" t="str">
        <f>IFERROR(INDEX(T_CleanCustomers[Product],MATCH(B649,T_CleanCustomers[Customer_ID],0)),"Unmatched")</f>
        <v>Unmatched</v>
      </c>
      <c r="P649" s="9" t="str">
        <f>IFERROR(INDEX(T_CleanCustomers[Customer_Segment],MATCH(B649,T_CleanCustomers[Customer_ID],0)),"Unmatched")</f>
        <v>Unmatched</v>
      </c>
    </row>
    <row r="650" spans="1:16" ht="15" customHeight="1" x14ac:dyDescent="0.2">
      <c r="A650" s="9" t="s">
        <v>2000</v>
      </c>
      <c r="B650" s="9" t="s">
        <v>1223</v>
      </c>
      <c r="C650" s="9" t="b">
        <f>TRUE()</f>
        <v>1</v>
      </c>
      <c r="D650" s="10">
        <v>45928</v>
      </c>
      <c r="E650" s="10">
        <v>45901</v>
      </c>
      <c r="F650" s="9" t="s">
        <v>1423</v>
      </c>
      <c r="G650" s="11">
        <v>25073.93</v>
      </c>
      <c r="H650" s="11">
        <v>888.96</v>
      </c>
      <c r="I650" s="9" t="b">
        <f>TRUE()</f>
        <v>1</v>
      </c>
      <c r="J650" s="9" t="s">
        <v>1361</v>
      </c>
      <c r="K650" s="11">
        <v>888.96</v>
      </c>
      <c r="L650" s="9" t="s">
        <v>22</v>
      </c>
      <c r="M650" s="9" t="str">
        <f>IFERROR(INDEX(T_CleanCustomers[Sales_Rep_ID],MATCH(B650,T_CleanCustomers[Customer_ID],0)),"Unmatched")</f>
        <v>REP006</v>
      </c>
      <c r="N650" s="9" t="str">
        <f>IFERROR(INDEX(T_CleanCustomers[Channel],MATCH(B650,T_CleanCustomers[Customer_ID],0)),"Unmatched")</f>
        <v>Direct Sales</v>
      </c>
      <c r="O650" s="9" t="str">
        <f>IFERROR(INDEX(T_CleanCustomers[Product],MATCH(B650,T_CleanCustomers[Customer_ID],0)),"Unmatched")</f>
        <v>EV Charge Card</v>
      </c>
      <c r="P650" s="9" t="str">
        <f>IFERROR(INDEX(T_CleanCustomers[Customer_Segment],MATCH(B650,T_CleanCustomers[Customer_ID],0)),"Unmatched")</f>
        <v>Enterprise</v>
      </c>
    </row>
    <row r="651" spans="1:16" ht="15" customHeight="1" x14ac:dyDescent="0.2">
      <c r="A651" s="9" t="s">
        <v>2001</v>
      </c>
      <c r="B651" s="9" t="s">
        <v>1223</v>
      </c>
      <c r="C651" s="9" t="b">
        <f>TRUE()</f>
        <v>1</v>
      </c>
      <c r="D651" s="10">
        <v>45960</v>
      </c>
      <c r="E651" s="10">
        <v>45931</v>
      </c>
      <c r="F651" s="9" t="s">
        <v>1423</v>
      </c>
      <c r="G651" s="11">
        <v>45273.75</v>
      </c>
      <c r="H651" s="11">
        <v>1565.5</v>
      </c>
      <c r="I651" s="9" t="b">
        <f>TRUE()</f>
        <v>1</v>
      </c>
      <c r="J651" s="9" t="s">
        <v>1361</v>
      </c>
      <c r="K651" s="11">
        <v>1565.5</v>
      </c>
      <c r="L651" s="9" t="s">
        <v>22</v>
      </c>
      <c r="M651" s="9" t="str">
        <f>IFERROR(INDEX(T_CleanCustomers[Sales_Rep_ID],MATCH(B651,T_CleanCustomers[Customer_ID],0)),"Unmatched")</f>
        <v>REP006</v>
      </c>
      <c r="N651" s="9" t="str">
        <f>IFERROR(INDEX(T_CleanCustomers[Channel],MATCH(B651,T_CleanCustomers[Customer_ID],0)),"Unmatched")</f>
        <v>Direct Sales</v>
      </c>
      <c r="O651" s="9" t="str">
        <f>IFERROR(INDEX(T_CleanCustomers[Product],MATCH(B651,T_CleanCustomers[Customer_ID],0)),"Unmatched")</f>
        <v>EV Charge Card</v>
      </c>
      <c r="P651" s="9" t="str">
        <f>IFERROR(INDEX(T_CleanCustomers[Customer_Segment],MATCH(B651,T_CleanCustomers[Customer_ID],0)),"Unmatched")</f>
        <v>Enterprise</v>
      </c>
    </row>
    <row r="652" spans="1:16" ht="15" customHeight="1" x14ac:dyDescent="0.2">
      <c r="A652" s="9" t="s">
        <v>2002</v>
      </c>
      <c r="B652" s="9" t="s">
        <v>1223</v>
      </c>
      <c r="C652" s="9" t="b">
        <f>TRUE()</f>
        <v>1</v>
      </c>
      <c r="D652" s="10">
        <v>45962</v>
      </c>
      <c r="E652" s="10">
        <v>45962</v>
      </c>
      <c r="F652" s="9" t="s">
        <v>1423</v>
      </c>
      <c r="G652" s="11">
        <v>44161.91</v>
      </c>
      <c r="H652" s="11">
        <v>1367.24</v>
      </c>
      <c r="I652" s="9" t="b">
        <f>TRUE()</f>
        <v>1</v>
      </c>
      <c r="J652" s="9" t="s">
        <v>1361</v>
      </c>
      <c r="K652" s="11">
        <v>1367.24</v>
      </c>
      <c r="L652" s="9" t="s">
        <v>22</v>
      </c>
      <c r="M652" s="9" t="str">
        <f>IFERROR(INDEX(T_CleanCustomers[Sales_Rep_ID],MATCH(B652,T_CleanCustomers[Customer_ID],0)),"Unmatched")</f>
        <v>REP006</v>
      </c>
      <c r="N652" s="9" t="str">
        <f>IFERROR(INDEX(T_CleanCustomers[Channel],MATCH(B652,T_CleanCustomers[Customer_ID],0)),"Unmatched")</f>
        <v>Direct Sales</v>
      </c>
      <c r="O652" s="9" t="str">
        <f>IFERROR(INDEX(T_CleanCustomers[Product],MATCH(B652,T_CleanCustomers[Customer_ID],0)),"Unmatched")</f>
        <v>EV Charge Card</v>
      </c>
      <c r="P652" s="9" t="str">
        <f>IFERROR(INDEX(T_CleanCustomers[Customer_Segment],MATCH(B652,T_CleanCustomers[Customer_ID],0)),"Unmatched")</f>
        <v>Enterprise</v>
      </c>
    </row>
    <row r="653" spans="1:16" ht="15" customHeight="1" x14ac:dyDescent="0.2">
      <c r="A653" s="9" t="s">
        <v>2003</v>
      </c>
      <c r="B653" s="9" t="s">
        <v>1223</v>
      </c>
      <c r="C653" s="9" t="b">
        <f>TRUE()</f>
        <v>1</v>
      </c>
      <c r="D653" s="10">
        <v>46006</v>
      </c>
      <c r="E653" s="10">
        <v>45992</v>
      </c>
      <c r="F653" s="9" t="s">
        <v>1423</v>
      </c>
      <c r="G653" s="11">
        <v>31028.799999999999</v>
      </c>
      <c r="H653" s="11">
        <v>0</v>
      </c>
      <c r="I653" s="9" t="b">
        <f>TRUE()</f>
        <v>1</v>
      </c>
      <c r="J653" s="9" t="s">
        <v>1408</v>
      </c>
      <c r="K653" s="11">
        <v>0</v>
      </c>
      <c r="L653" s="9" t="s">
        <v>22</v>
      </c>
      <c r="M653" s="9" t="str">
        <f>IFERROR(INDEX(T_CleanCustomers[Sales_Rep_ID],MATCH(B653,T_CleanCustomers[Customer_ID],0)),"Unmatched")</f>
        <v>REP006</v>
      </c>
      <c r="N653" s="9" t="str">
        <f>IFERROR(INDEX(T_CleanCustomers[Channel],MATCH(B653,T_CleanCustomers[Customer_ID],0)),"Unmatched")</f>
        <v>Direct Sales</v>
      </c>
      <c r="O653" s="9" t="str">
        <f>IFERROR(INDEX(T_CleanCustomers[Product],MATCH(B653,T_CleanCustomers[Customer_ID],0)),"Unmatched")</f>
        <v>EV Charge Card</v>
      </c>
      <c r="P653" s="9" t="str">
        <f>IFERROR(INDEX(T_CleanCustomers[Customer_Segment],MATCH(B653,T_CleanCustomers[Customer_ID],0)),"Unmatched")</f>
        <v>Enterprise</v>
      </c>
    </row>
    <row r="654" spans="1:16" ht="15" customHeight="1" x14ac:dyDescent="0.2">
      <c r="A654" s="9" t="s">
        <v>2004</v>
      </c>
      <c r="B654" s="9" t="s">
        <v>1223</v>
      </c>
      <c r="C654" s="9" t="b">
        <f>TRUE()</f>
        <v>1</v>
      </c>
      <c r="D654" s="10">
        <v>46005</v>
      </c>
      <c r="E654" s="10">
        <v>45992</v>
      </c>
      <c r="F654" s="9" t="s">
        <v>1423</v>
      </c>
      <c r="G654" s="11">
        <v>34981.25</v>
      </c>
      <c r="H654" s="11">
        <v>944.38</v>
      </c>
      <c r="I654" s="9" t="b">
        <f>TRUE()</f>
        <v>1</v>
      </c>
      <c r="J654" s="9" t="s">
        <v>1361</v>
      </c>
      <c r="K654" s="11">
        <v>944.38</v>
      </c>
      <c r="L654" s="9" t="s">
        <v>22</v>
      </c>
      <c r="M654" s="9" t="str">
        <f>IFERROR(INDEX(T_CleanCustomers[Sales_Rep_ID],MATCH(B654,T_CleanCustomers[Customer_ID],0)),"Unmatched")</f>
        <v>REP006</v>
      </c>
      <c r="N654" s="9" t="str">
        <f>IFERROR(INDEX(T_CleanCustomers[Channel],MATCH(B654,T_CleanCustomers[Customer_ID],0)),"Unmatched")</f>
        <v>Direct Sales</v>
      </c>
      <c r="O654" s="9" t="str">
        <f>IFERROR(INDEX(T_CleanCustomers[Product],MATCH(B654,T_CleanCustomers[Customer_ID],0)),"Unmatched")</f>
        <v>EV Charge Card</v>
      </c>
      <c r="P654" s="9" t="str">
        <f>IFERROR(INDEX(T_CleanCustomers[Customer_Segment],MATCH(B654,T_CleanCustomers[Customer_ID],0)),"Unmatched")</f>
        <v>Enterprise</v>
      </c>
    </row>
    <row r="655" spans="1:16" ht="15" customHeight="1" x14ac:dyDescent="0.2">
      <c r="A655" s="9" t="s">
        <v>2005</v>
      </c>
      <c r="B655" s="9" t="s">
        <v>1226</v>
      </c>
      <c r="C655" s="9" t="b">
        <f>TRUE()</f>
        <v>1</v>
      </c>
      <c r="D655" s="10">
        <v>46020</v>
      </c>
      <c r="E655" s="10">
        <v>45992</v>
      </c>
      <c r="F655" s="9" t="s">
        <v>1360</v>
      </c>
      <c r="G655" s="11">
        <v>51147.08</v>
      </c>
      <c r="H655" s="11">
        <v>1367.58</v>
      </c>
      <c r="I655" s="9" t="b">
        <f>TRUE()</f>
        <v>1</v>
      </c>
      <c r="J655" s="9" t="s">
        <v>1361</v>
      </c>
      <c r="K655" s="11">
        <v>1367.58</v>
      </c>
      <c r="L655" s="9" t="s">
        <v>18</v>
      </c>
      <c r="M655" s="9" t="str">
        <f>IFERROR(INDEX(T_CleanCustomers[Sales_Rep_ID],MATCH(B655,T_CleanCustomers[Customer_ID],0)),"Unmatched")</f>
        <v>REP012</v>
      </c>
      <c r="N655" s="9" t="str">
        <f>IFERROR(INDEX(T_CleanCustomers[Channel],MATCH(B655,T_CleanCustomers[Customer_ID],0)),"Unmatched")</f>
        <v>Digital</v>
      </c>
      <c r="O655" s="9" t="str">
        <f>IFERROR(INDEX(T_CleanCustomers[Product],MATCH(B655,T_CleanCustomers[Customer_ID],0)),"Unmatched")</f>
        <v>Fuel Card</v>
      </c>
      <c r="P655" s="9" t="str">
        <f>IFERROR(INDEX(T_CleanCustomers[Customer_Segment],MATCH(B655,T_CleanCustomers[Customer_ID],0)),"Unmatched")</f>
        <v>Enterprise</v>
      </c>
    </row>
    <row r="656" spans="1:16" ht="15" customHeight="1" x14ac:dyDescent="0.2">
      <c r="A656" s="9" t="s">
        <v>2006</v>
      </c>
      <c r="B656" s="9" t="s">
        <v>1226</v>
      </c>
      <c r="C656" s="9" t="b">
        <f>TRUE()</f>
        <v>1</v>
      </c>
      <c r="D656" s="10">
        <v>46021</v>
      </c>
      <c r="E656" s="10">
        <v>45992</v>
      </c>
      <c r="F656" s="9" t="s">
        <v>1360</v>
      </c>
      <c r="G656" s="11">
        <v>32353.16</v>
      </c>
      <c r="H656" s="11">
        <v>862.72</v>
      </c>
      <c r="I656" s="9" t="b">
        <f>TRUE()</f>
        <v>1</v>
      </c>
      <c r="J656" s="9" t="s">
        <v>1361</v>
      </c>
      <c r="K656" s="11">
        <v>862.72</v>
      </c>
      <c r="L656" s="9" t="s">
        <v>18</v>
      </c>
      <c r="M656" s="9" t="str">
        <f>IFERROR(INDEX(T_CleanCustomers[Sales_Rep_ID],MATCH(B656,T_CleanCustomers[Customer_ID],0)),"Unmatched")</f>
        <v>REP012</v>
      </c>
      <c r="N656" s="9" t="str">
        <f>IFERROR(INDEX(T_CleanCustomers[Channel],MATCH(B656,T_CleanCustomers[Customer_ID],0)),"Unmatched")</f>
        <v>Digital</v>
      </c>
      <c r="O656" s="9" t="str">
        <f>IFERROR(INDEX(T_CleanCustomers[Product],MATCH(B656,T_CleanCustomers[Customer_ID],0)),"Unmatched")</f>
        <v>Fuel Card</v>
      </c>
      <c r="P656" s="9" t="str">
        <f>IFERROR(INDEX(T_CleanCustomers[Customer_Segment],MATCH(B656,T_CleanCustomers[Customer_ID],0)),"Unmatched")</f>
        <v>Enterprise</v>
      </c>
    </row>
    <row r="657" spans="1:16" ht="15" customHeight="1" x14ac:dyDescent="0.2">
      <c r="A657" s="9" t="s">
        <v>2007</v>
      </c>
      <c r="B657" s="9" t="s">
        <v>1227</v>
      </c>
      <c r="C657" s="9" t="b">
        <f>TRUE()</f>
        <v>1</v>
      </c>
      <c r="D657" s="10">
        <v>45948</v>
      </c>
      <c r="E657" s="10">
        <v>45931</v>
      </c>
      <c r="F657" s="9" t="s">
        <v>1360</v>
      </c>
      <c r="G657" s="11">
        <v>14942.11</v>
      </c>
      <c r="H657" s="11">
        <v>410.75</v>
      </c>
      <c r="I657" s="9" t="b">
        <f>TRUE()</f>
        <v>1</v>
      </c>
      <c r="J657" s="9" t="s">
        <v>1361</v>
      </c>
      <c r="K657" s="11">
        <v>410.75</v>
      </c>
      <c r="L657" s="9" t="s">
        <v>20</v>
      </c>
      <c r="M657" s="9" t="str">
        <f>IFERROR(INDEX(T_CleanCustomers[Sales_Rep_ID],MATCH(B657,T_CleanCustomers[Customer_ID],0)),"Unmatched")</f>
        <v>REP003</v>
      </c>
      <c r="N657" s="9" t="str">
        <f>IFERROR(INDEX(T_CleanCustomers[Channel],MATCH(B657,T_CleanCustomers[Customer_ID],0)),"Unmatched")</f>
        <v>Direct Sales</v>
      </c>
      <c r="O657" s="9" t="str">
        <f>IFERROR(INDEX(T_CleanCustomers[Product],MATCH(B657,T_CleanCustomers[Customer_ID],0)),"Unmatched")</f>
        <v>Fuel Card</v>
      </c>
      <c r="P657" s="9" t="str">
        <f>IFERROR(INDEX(T_CleanCustomers[Customer_Segment],MATCH(B657,T_CleanCustomers[Customer_ID],0)),"Unmatched")</f>
        <v>Enterprise</v>
      </c>
    </row>
    <row r="658" spans="1:16" ht="15" customHeight="1" x14ac:dyDescent="0.2">
      <c r="A658" s="9" t="s">
        <v>2008</v>
      </c>
      <c r="B658" s="9" t="s">
        <v>1227</v>
      </c>
      <c r="C658" s="9" t="b">
        <f>TRUE()</f>
        <v>1</v>
      </c>
      <c r="D658" s="10">
        <v>45976</v>
      </c>
      <c r="E658" s="10">
        <v>45962</v>
      </c>
      <c r="F658" s="9" t="s">
        <v>1360</v>
      </c>
      <c r="G658" s="11">
        <v>15541.42</v>
      </c>
      <c r="H658" s="11">
        <v>368.8</v>
      </c>
      <c r="I658" s="9" t="b">
        <f>TRUE()</f>
        <v>1</v>
      </c>
      <c r="J658" s="9" t="s">
        <v>1361</v>
      </c>
      <c r="K658" s="11">
        <v>368.8</v>
      </c>
      <c r="L658" s="9" t="s">
        <v>20</v>
      </c>
      <c r="M658" s="9" t="str">
        <f>IFERROR(INDEX(T_CleanCustomers[Sales_Rep_ID],MATCH(B658,T_CleanCustomers[Customer_ID],0)),"Unmatched")</f>
        <v>REP003</v>
      </c>
      <c r="N658" s="9" t="str">
        <f>IFERROR(INDEX(T_CleanCustomers[Channel],MATCH(B658,T_CleanCustomers[Customer_ID],0)),"Unmatched")</f>
        <v>Direct Sales</v>
      </c>
      <c r="O658" s="9" t="str">
        <f>IFERROR(INDEX(T_CleanCustomers[Product],MATCH(B658,T_CleanCustomers[Customer_ID],0)),"Unmatched")</f>
        <v>Fuel Card</v>
      </c>
      <c r="P658" s="9" t="str">
        <f>IFERROR(INDEX(T_CleanCustomers[Customer_Segment],MATCH(B658,T_CleanCustomers[Customer_ID],0)),"Unmatched")</f>
        <v>Enterprise</v>
      </c>
    </row>
    <row r="659" spans="1:16" ht="15" customHeight="1" x14ac:dyDescent="0.2">
      <c r="A659" s="9" t="s">
        <v>2009</v>
      </c>
      <c r="B659" s="9" t="s">
        <v>1227</v>
      </c>
      <c r="C659" s="9" t="b">
        <f>TRUE()</f>
        <v>1</v>
      </c>
      <c r="D659" s="10">
        <v>45984</v>
      </c>
      <c r="E659" s="10">
        <v>45962</v>
      </c>
      <c r="F659" s="9" t="s">
        <v>1360</v>
      </c>
      <c r="G659" s="11">
        <v>43088.37</v>
      </c>
      <c r="H659" s="11">
        <v>1052.3</v>
      </c>
      <c r="I659" s="9" t="b">
        <f>TRUE()</f>
        <v>1</v>
      </c>
      <c r="J659" s="9" t="s">
        <v>1361</v>
      </c>
      <c r="K659" s="11">
        <v>1052.3</v>
      </c>
      <c r="L659" s="9" t="s">
        <v>20</v>
      </c>
      <c r="M659" s="9" t="str">
        <f>IFERROR(INDEX(T_CleanCustomers[Sales_Rep_ID],MATCH(B659,T_CleanCustomers[Customer_ID],0)),"Unmatched")</f>
        <v>REP003</v>
      </c>
      <c r="N659" s="9" t="str">
        <f>IFERROR(INDEX(T_CleanCustomers[Channel],MATCH(B659,T_CleanCustomers[Customer_ID],0)),"Unmatched")</f>
        <v>Direct Sales</v>
      </c>
      <c r="O659" s="9" t="str">
        <f>IFERROR(INDEX(T_CleanCustomers[Product],MATCH(B659,T_CleanCustomers[Customer_ID],0)),"Unmatched")</f>
        <v>Fuel Card</v>
      </c>
      <c r="P659" s="9" t="str">
        <f>IFERROR(INDEX(T_CleanCustomers[Customer_Segment],MATCH(B659,T_CleanCustomers[Customer_ID],0)),"Unmatched")</f>
        <v>Enterprise</v>
      </c>
    </row>
    <row r="660" spans="1:16" ht="15" customHeight="1" x14ac:dyDescent="0.2">
      <c r="A660" s="9" t="s">
        <v>2010</v>
      </c>
      <c r="B660" s="9" t="s">
        <v>1227</v>
      </c>
      <c r="C660" s="9" t="b">
        <f>TRUE()</f>
        <v>1</v>
      </c>
      <c r="D660" s="10">
        <v>46016</v>
      </c>
      <c r="E660" s="10">
        <v>45992</v>
      </c>
      <c r="F660" s="9" t="s">
        <v>1360</v>
      </c>
      <c r="G660" s="11">
        <v>19206.740000000002</v>
      </c>
      <c r="H660" s="11">
        <v>464.2</v>
      </c>
      <c r="I660" s="9" t="b">
        <f>TRUE()</f>
        <v>1</v>
      </c>
      <c r="J660" s="9" t="s">
        <v>1361</v>
      </c>
      <c r="K660" s="11">
        <v>464.2</v>
      </c>
      <c r="L660" s="9" t="s">
        <v>20</v>
      </c>
      <c r="M660" s="9" t="str">
        <f>IFERROR(INDEX(T_CleanCustomers[Sales_Rep_ID],MATCH(B660,T_CleanCustomers[Customer_ID],0)),"Unmatched")</f>
        <v>REP003</v>
      </c>
      <c r="N660" s="9" t="str">
        <f>IFERROR(INDEX(T_CleanCustomers[Channel],MATCH(B660,T_CleanCustomers[Customer_ID],0)),"Unmatched")</f>
        <v>Direct Sales</v>
      </c>
      <c r="O660" s="9" t="str">
        <f>IFERROR(INDEX(T_CleanCustomers[Product],MATCH(B660,T_CleanCustomers[Customer_ID],0)),"Unmatched")</f>
        <v>Fuel Card</v>
      </c>
      <c r="P660" s="9" t="str">
        <f>IFERROR(INDEX(T_CleanCustomers[Customer_Segment],MATCH(B660,T_CleanCustomers[Customer_ID],0)),"Unmatched")</f>
        <v>Enterprise</v>
      </c>
    </row>
    <row r="661" spans="1:16" ht="15" customHeight="1" x14ac:dyDescent="0.2">
      <c r="A661" s="9" t="s">
        <v>2011</v>
      </c>
      <c r="B661" s="9" t="s">
        <v>1227</v>
      </c>
      <c r="C661" s="9" t="b">
        <f>TRUE()</f>
        <v>1</v>
      </c>
      <c r="D661" s="10">
        <v>45996</v>
      </c>
      <c r="E661" s="10">
        <v>45992</v>
      </c>
      <c r="F661" s="9" t="s">
        <v>1360</v>
      </c>
      <c r="G661" s="11">
        <v>61546.18</v>
      </c>
      <c r="H661" s="11">
        <v>1387.34</v>
      </c>
      <c r="I661" s="9" t="b">
        <f>TRUE()</f>
        <v>1</v>
      </c>
      <c r="J661" s="9" t="s">
        <v>1361</v>
      </c>
      <c r="K661" s="11">
        <v>1387.34</v>
      </c>
      <c r="L661" s="9" t="s">
        <v>20</v>
      </c>
      <c r="M661" s="9" t="str">
        <f>IFERROR(INDEX(T_CleanCustomers[Sales_Rep_ID],MATCH(B661,T_CleanCustomers[Customer_ID],0)),"Unmatched")</f>
        <v>REP003</v>
      </c>
      <c r="N661" s="9" t="str">
        <f>IFERROR(INDEX(T_CleanCustomers[Channel],MATCH(B661,T_CleanCustomers[Customer_ID],0)),"Unmatched")</f>
        <v>Direct Sales</v>
      </c>
      <c r="O661" s="9" t="str">
        <f>IFERROR(INDEX(T_CleanCustomers[Product],MATCH(B661,T_CleanCustomers[Customer_ID],0)),"Unmatched")</f>
        <v>Fuel Card</v>
      </c>
      <c r="P661" s="9" t="str">
        <f>IFERROR(INDEX(T_CleanCustomers[Customer_Segment],MATCH(B661,T_CleanCustomers[Customer_ID],0)),"Unmatched")</f>
        <v>Enterprise</v>
      </c>
    </row>
    <row r="662" spans="1:16" ht="15" customHeight="1" x14ac:dyDescent="0.2">
      <c r="A662" s="9" t="s">
        <v>2012</v>
      </c>
      <c r="B662" s="9" t="s">
        <v>79</v>
      </c>
      <c r="C662" s="9" t="b">
        <f>TRUE()</f>
        <v>1</v>
      </c>
      <c r="D662" s="10">
        <v>45773</v>
      </c>
      <c r="E662" s="10">
        <v>45748</v>
      </c>
      <c r="F662" s="9" t="s">
        <v>1423</v>
      </c>
      <c r="G662" s="11">
        <v>17300.62</v>
      </c>
      <c r="H662" s="11">
        <v>531.70000000000005</v>
      </c>
      <c r="I662" s="9" t="b">
        <f>TRUE()</f>
        <v>1</v>
      </c>
      <c r="J662" s="9" t="s">
        <v>1361</v>
      </c>
      <c r="K662" s="11">
        <v>531.70000000000005</v>
      </c>
      <c r="L662" s="9" t="s">
        <v>21</v>
      </c>
      <c r="M662" s="9" t="str">
        <f>IFERROR(INDEX(T_CleanCustomers[Sales_Rep_ID],MATCH(B662,T_CleanCustomers[Customer_ID],0)),"Unmatched")</f>
        <v>REP009</v>
      </c>
      <c r="N662" s="9" t="str">
        <f>IFERROR(INDEX(T_CleanCustomers[Channel],MATCH(B662,T_CleanCustomers[Customer_ID],0)),"Unmatched")</f>
        <v>Direct Sales</v>
      </c>
      <c r="O662" s="9" t="str">
        <f>IFERROR(INDEX(T_CleanCustomers[Product],MATCH(B662,T_CleanCustomers[Customer_ID],0)),"Unmatched")</f>
        <v>EV Charge Card</v>
      </c>
      <c r="P662" s="9" t="str">
        <f>IFERROR(INDEX(T_CleanCustomers[Customer_Segment],MATCH(B662,T_CleanCustomers[Customer_ID],0)),"Unmatched")</f>
        <v>Mid-Market</v>
      </c>
    </row>
    <row r="663" spans="1:16" ht="15" customHeight="1" x14ac:dyDescent="0.2">
      <c r="A663" s="9" t="s">
        <v>2013</v>
      </c>
      <c r="B663" s="9" t="s">
        <v>79</v>
      </c>
      <c r="C663" s="9" t="b">
        <f>TRUE()</f>
        <v>1</v>
      </c>
      <c r="D663" s="10">
        <v>45774</v>
      </c>
      <c r="E663" s="10">
        <v>45748</v>
      </c>
      <c r="F663" s="9" t="s">
        <v>1423</v>
      </c>
      <c r="G663" s="11">
        <v>4841.59</v>
      </c>
      <c r="H663" s="11">
        <v>154.12</v>
      </c>
      <c r="I663" s="9" t="b">
        <f>TRUE()</f>
        <v>1</v>
      </c>
      <c r="J663" s="9" t="s">
        <v>1361</v>
      </c>
      <c r="K663" s="11">
        <v>154.12</v>
      </c>
      <c r="L663" s="9" t="s">
        <v>21</v>
      </c>
      <c r="M663" s="9" t="str">
        <f>IFERROR(INDEX(T_CleanCustomers[Sales_Rep_ID],MATCH(B663,T_CleanCustomers[Customer_ID],0)),"Unmatched")</f>
        <v>REP009</v>
      </c>
      <c r="N663" s="9" t="str">
        <f>IFERROR(INDEX(T_CleanCustomers[Channel],MATCH(B663,T_CleanCustomers[Customer_ID],0)),"Unmatched")</f>
        <v>Direct Sales</v>
      </c>
      <c r="O663" s="9" t="str">
        <f>IFERROR(INDEX(T_CleanCustomers[Product],MATCH(B663,T_CleanCustomers[Customer_ID],0)),"Unmatched")</f>
        <v>EV Charge Card</v>
      </c>
      <c r="P663" s="9" t="str">
        <f>IFERROR(INDEX(T_CleanCustomers[Customer_Segment],MATCH(B663,T_CleanCustomers[Customer_ID],0)),"Unmatched")</f>
        <v>Mid-Market</v>
      </c>
    </row>
    <row r="664" spans="1:16" ht="15" customHeight="1" x14ac:dyDescent="0.2">
      <c r="A664" s="9" t="s">
        <v>2014</v>
      </c>
      <c r="B664" s="9" t="s">
        <v>79</v>
      </c>
      <c r="C664" s="9" t="b">
        <f>TRUE()</f>
        <v>1</v>
      </c>
      <c r="D664" s="10">
        <v>45779</v>
      </c>
      <c r="E664" s="10">
        <v>45778</v>
      </c>
      <c r="F664" s="9" t="s">
        <v>1423</v>
      </c>
      <c r="G664" s="11">
        <v>4598.66</v>
      </c>
      <c r="H664" s="11">
        <v>126.75</v>
      </c>
      <c r="I664" s="9" t="b">
        <f>TRUE()</f>
        <v>1</v>
      </c>
      <c r="J664" s="9" t="s">
        <v>1361</v>
      </c>
      <c r="K664" s="11">
        <v>126.75</v>
      </c>
      <c r="L664" s="9" t="s">
        <v>21</v>
      </c>
      <c r="M664" s="9" t="str">
        <f>IFERROR(INDEX(T_CleanCustomers[Sales_Rep_ID],MATCH(B664,T_CleanCustomers[Customer_ID],0)),"Unmatched")</f>
        <v>REP009</v>
      </c>
      <c r="N664" s="9" t="str">
        <f>IFERROR(INDEX(T_CleanCustomers[Channel],MATCH(B664,T_CleanCustomers[Customer_ID],0)),"Unmatched")</f>
        <v>Direct Sales</v>
      </c>
      <c r="O664" s="9" t="str">
        <f>IFERROR(INDEX(T_CleanCustomers[Product],MATCH(B664,T_CleanCustomers[Customer_ID],0)),"Unmatched")</f>
        <v>EV Charge Card</v>
      </c>
      <c r="P664" s="9" t="str">
        <f>IFERROR(INDEX(T_CleanCustomers[Customer_Segment],MATCH(B664,T_CleanCustomers[Customer_ID],0)),"Unmatched")</f>
        <v>Mid-Market</v>
      </c>
    </row>
    <row r="665" spans="1:16" ht="15" customHeight="1" x14ac:dyDescent="0.2">
      <c r="A665" s="9" t="s">
        <v>2015</v>
      </c>
      <c r="B665" s="9" t="s">
        <v>79</v>
      </c>
      <c r="C665" s="9" t="b">
        <f>TRUE()</f>
        <v>1</v>
      </c>
      <c r="D665" s="10">
        <v>45783</v>
      </c>
      <c r="E665" s="10">
        <v>45778</v>
      </c>
      <c r="F665" s="9" t="s">
        <v>1423</v>
      </c>
      <c r="G665" s="11">
        <v>10825.92</v>
      </c>
      <c r="H665" s="11">
        <v>296.76</v>
      </c>
      <c r="I665" s="9" t="b">
        <f>TRUE()</f>
        <v>1</v>
      </c>
      <c r="J665" s="9" t="s">
        <v>1361</v>
      </c>
      <c r="K665" s="11">
        <v>296.76</v>
      </c>
      <c r="L665" s="9" t="s">
        <v>21</v>
      </c>
      <c r="M665" s="9" t="str">
        <f>IFERROR(INDEX(T_CleanCustomers[Sales_Rep_ID],MATCH(B665,T_CleanCustomers[Customer_ID],0)),"Unmatched")</f>
        <v>REP009</v>
      </c>
      <c r="N665" s="9" t="str">
        <f>IFERROR(INDEX(T_CleanCustomers[Channel],MATCH(B665,T_CleanCustomers[Customer_ID],0)),"Unmatched")</f>
        <v>Direct Sales</v>
      </c>
      <c r="O665" s="9" t="str">
        <f>IFERROR(INDEX(T_CleanCustomers[Product],MATCH(B665,T_CleanCustomers[Customer_ID],0)),"Unmatched")</f>
        <v>EV Charge Card</v>
      </c>
      <c r="P665" s="9" t="str">
        <f>IFERROR(INDEX(T_CleanCustomers[Customer_Segment],MATCH(B665,T_CleanCustomers[Customer_ID],0)),"Unmatched")</f>
        <v>Mid-Market</v>
      </c>
    </row>
    <row r="666" spans="1:16" ht="15" customHeight="1" x14ac:dyDescent="0.2">
      <c r="A666" s="9" t="s">
        <v>2016</v>
      </c>
      <c r="B666" s="9" t="s">
        <v>79</v>
      </c>
      <c r="C666" s="9" t="b">
        <f>TRUE()</f>
        <v>1</v>
      </c>
      <c r="D666" s="10">
        <v>45824</v>
      </c>
      <c r="E666" s="10">
        <v>45809</v>
      </c>
      <c r="F666" s="9" t="s">
        <v>1423</v>
      </c>
      <c r="G666" s="11">
        <v>13133.25</v>
      </c>
      <c r="H666" s="11">
        <v>419.99</v>
      </c>
      <c r="I666" s="9" t="b">
        <f>TRUE()</f>
        <v>1</v>
      </c>
      <c r="J666" s="9" t="s">
        <v>1361</v>
      </c>
      <c r="K666" s="11">
        <v>419.99</v>
      </c>
      <c r="L666" s="9" t="s">
        <v>21</v>
      </c>
      <c r="M666" s="9" t="str">
        <f>IFERROR(INDEX(T_CleanCustomers[Sales_Rep_ID],MATCH(B666,T_CleanCustomers[Customer_ID],0)),"Unmatched")</f>
        <v>REP009</v>
      </c>
      <c r="N666" s="9" t="str">
        <f>IFERROR(INDEX(T_CleanCustomers[Channel],MATCH(B666,T_CleanCustomers[Customer_ID],0)),"Unmatched")</f>
        <v>Direct Sales</v>
      </c>
      <c r="O666" s="9" t="str">
        <f>IFERROR(INDEX(T_CleanCustomers[Product],MATCH(B666,T_CleanCustomers[Customer_ID],0)),"Unmatched")</f>
        <v>EV Charge Card</v>
      </c>
      <c r="P666" s="9" t="str">
        <f>IFERROR(INDEX(T_CleanCustomers[Customer_Segment],MATCH(B666,T_CleanCustomers[Customer_ID],0)),"Unmatched")</f>
        <v>Mid-Market</v>
      </c>
    </row>
    <row r="667" spans="1:16" ht="15" customHeight="1" x14ac:dyDescent="0.2">
      <c r="A667" s="9" t="s">
        <v>2017</v>
      </c>
      <c r="B667" s="9" t="s">
        <v>79</v>
      </c>
      <c r="C667" s="9" t="b">
        <f>TRUE()</f>
        <v>1</v>
      </c>
      <c r="D667" s="10">
        <v>45843</v>
      </c>
      <c r="E667" s="10">
        <v>45839</v>
      </c>
      <c r="F667" s="9" t="s">
        <v>1423</v>
      </c>
      <c r="G667" s="11">
        <v>16226.96</v>
      </c>
      <c r="H667" s="11">
        <v>519.87</v>
      </c>
      <c r="I667" s="9" t="b">
        <f>TRUE()</f>
        <v>1</v>
      </c>
      <c r="J667" s="9" t="s">
        <v>1361</v>
      </c>
      <c r="K667" s="11">
        <v>519.87</v>
      </c>
      <c r="L667" s="9" t="s">
        <v>21</v>
      </c>
      <c r="M667" s="9" t="str">
        <f>IFERROR(INDEX(T_CleanCustomers[Sales_Rep_ID],MATCH(B667,T_CleanCustomers[Customer_ID],0)),"Unmatched")</f>
        <v>REP009</v>
      </c>
      <c r="N667" s="9" t="str">
        <f>IFERROR(INDEX(T_CleanCustomers[Channel],MATCH(B667,T_CleanCustomers[Customer_ID],0)),"Unmatched")</f>
        <v>Direct Sales</v>
      </c>
      <c r="O667" s="9" t="str">
        <f>IFERROR(INDEX(T_CleanCustomers[Product],MATCH(B667,T_CleanCustomers[Customer_ID],0)),"Unmatched")</f>
        <v>EV Charge Card</v>
      </c>
      <c r="P667" s="9" t="str">
        <f>IFERROR(INDEX(T_CleanCustomers[Customer_Segment],MATCH(B667,T_CleanCustomers[Customer_ID],0)),"Unmatched")</f>
        <v>Mid-Market</v>
      </c>
    </row>
    <row r="668" spans="1:16" ht="15" customHeight="1" x14ac:dyDescent="0.2">
      <c r="A668" s="9" t="s">
        <v>2018</v>
      </c>
      <c r="B668" s="9" t="s">
        <v>79</v>
      </c>
      <c r="C668" s="9" t="b">
        <f>TRUE()</f>
        <v>1</v>
      </c>
      <c r="D668" s="10">
        <v>45847</v>
      </c>
      <c r="E668" s="10">
        <v>45839</v>
      </c>
      <c r="F668" s="9" t="s">
        <v>1423</v>
      </c>
      <c r="G668" s="11">
        <v>13636.67</v>
      </c>
      <c r="H668" s="11">
        <v>458.89</v>
      </c>
      <c r="I668" s="9" t="b">
        <f>TRUE()</f>
        <v>1</v>
      </c>
      <c r="J668" s="9" t="s">
        <v>1361</v>
      </c>
      <c r="K668" s="11">
        <v>458.89</v>
      </c>
      <c r="L668" s="9" t="s">
        <v>21</v>
      </c>
      <c r="M668" s="9" t="str">
        <f>IFERROR(INDEX(T_CleanCustomers[Sales_Rep_ID],MATCH(B668,T_CleanCustomers[Customer_ID],0)),"Unmatched")</f>
        <v>REP009</v>
      </c>
      <c r="N668" s="9" t="str">
        <f>IFERROR(INDEX(T_CleanCustomers[Channel],MATCH(B668,T_CleanCustomers[Customer_ID],0)),"Unmatched")</f>
        <v>Direct Sales</v>
      </c>
      <c r="O668" s="9" t="str">
        <f>IFERROR(INDEX(T_CleanCustomers[Product],MATCH(B668,T_CleanCustomers[Customer_ID],0)),"Unmatched")</f>
        <v>EV Charge Card</v>
      </c>
      <c r="P668" s="9" t="str">
        <f>IFERROR(INDEX(T_CleanCustomers[Customer_Segment],MATCH(B668,T_CleanCustomers[Customer_ID],0)),"Unmatched")</f>
        <v>Mid-Market</v>
      </c>
    </row>
    <row r="669" spans="1:16" ht="15" customHeight="1" x14ac:dyDescent="0.2">
      <c r="A669" s="9" t="s">
        <v>2019</v>
      </c>
      <c r="B669" s="9" t="s">
        <v>79</v>
      </c>
      <c r="C669" s="9" t="b">
        <f>TRUE()</f>
        <v>1</v>
      </c>
      <c r="D669" s="10">
        <v>45860</v>
      </c>
      <c r="E669" s="10">
        <v>45839</v>
      </c>
      <c r="F669" s="9" t="s">
        <v>1423</v>
      </c>
      <c r="G669" s="11">
        <v>4717.59</v>
      </c>
      <c r="H669" s="11">
        <v>129.71</v>
      </c>
      <c r="I669" s="9" t="b">
        <f>TRUE()</f>
        <v>1</v>
      </c>
      <c r="J669" s="9" t="s">
        <v>1361</v>
      </c>
      <c r="K669" s="11">
        <v>129.71</v>
      </c>
      <c r="L669" s="9" t="s">
        <v>21</v>
      </c>
      <c r="M669" s="9" t="str">
        <f>IFERROR(INDEX(T_CleanCustomers[Sales_Rep_ID],MATCH(B669,T_CleanCustomers[Customer_ID],0)),"Unmatched")</f>
        <v>REP009</v>
      </c>
      <c r="N669" s="9" t="str">
        <f>IFERROR(INDEX(T_CleanCustomers[Channel],MATCH(B669,T_CleanCustomers[Customer_ID],0)),"Unmatched")</f>
        <v>Direct Sales</v>
      </c>
      <c r="O669" s="9" t="str">
        <f>IFERROR(INDEX(T_CleanCustomers[Product],MATCH(B669,T_CleanCustomers[Customer_ID],0)),"Unmatched")</f>
        <v>EV Charge Card</v>
      </c>
      <c r="P669" s="9" t="str">
        <f>IFERROR(INDEX(T_CleanCustomers[Customer_Segment],MATCH(B669,T_CleanCustomers[Customer_ID],0)),"Unmatched")</f>
        <v>Mid-Market</v>
      </c>
    </row>
    <row r="670" spans="1:16" ht="15" customHeight="1" x14ac:dyDescent="0.2">
      <c r="A670" s="9" t="s">
        <v>2020</v>
      </c>
      <c r="B670" s="9" t="s">
        <v>79</v>
      </c>
      <c r="C670" s="9" t="b">
        <f>TRUE()</f>
        <v>1</v>
      </c>
      <c r="D670" s="10">
        <v>45873</v>
      </c>
      <c r="E670" s="10">
        <v>45870</v>
      </c>
      <c r="F670" s="9" t="s">
        <v>1423</v>
      </c>
      <c r="G670" s="11">
        <v>15800.94</v>
      </c>
      <c r="H670" s="11">
        <v>528.74</v>
      </c>
      <c r="I670" s="9" t="b">
        <f>TRUE()</f>
        <v>1</v>
      </c>
      <c r="J670" s="9" t="s">
        <v>1361</v>
      </c>
      <c r="K670" s="11">
        <v>528.74</v>
      </c>
      <c r="L670" s="9" t="s">
        <v>21</v>
      </c>
      <c r="M670" s="9" t="str">
        <f>IFERROR(INDEX(T_CleanCustomers[Sales_Rep_ID],MATCH(B670,T_CleanCustomers[Customer_ID],0)),"Unmatched")</f>
        <v>REP009</v>
      </c>
      <c r="N670" s="9" t="str">
        <f>IFERROR(INDEX(T_CleanCustomers[Channel],MATCH(B670,T_CleanCustomers[Customer_ID],0)),"Unmatched")</f>
        <v>Direct Sales</v>
      </c>
      <c r="O670" s="9" t="str">
        <f>IFERROR(INDEX(T_CleanCustomers[Product],MATCH(B670,T_CleanCustomers[Customer_ID],0)),"Unmatched")</f>
        <v>EV Charge Card</v>
      </c>
      <c r="P670" s="9" t="str">
        <f>IFERROR(INDEX(T_CleanCustomers[Customer_Segment],MATCH(B670,T_CleanCustomers[Customer_ID],0)),"Unmatched")</f>
        <v>Mid-Market</v>
      </c>
    </row>
    <row r="671" spans="1:16" ht="15" customHeight="1" x14ac:dyDescent="0.2">
      <c r="A671" s="9" t="s">
        <v>2021</v>
      </c>
      <c r="B671" s="9" t="s">
        <v>79</v>
      </c>
      <c r="C671" s="9" t="b">
        <f>TRUE()</f>
        <v>1</v>
      </c>
      <c r="D671" s="10">
        <v>45879</v>
      </c>
      <c r="E671" s="10">
        <v>45870</v>
      </c>
      <c r="F671" s="9" t="s">
        <v>1423</v>
      </c>
      <c r="G671" s="11">
        <v>14089.16</v>
      </c>
      <c r="H671" s="11">
        <v>376.28</v>
      </c>
      <c r="I671" s="9" t="b">
        <f>TRUE()</f>
        <v>1</v>
      </c>
      <c r="J671" s="9" t="s">
        <v>1361</v>
      </c>
      <c r="K671" s="11">
        <v>376.28</v>
      </c>
      <c r="L671" s="9" t="s">
        <v>21</v>
      </c>
      <c r="M671" s="9" t="str">
        <f>IFERROR(INDEX(T_CleanCustomers[Sales_Rep_ID],MATCH(B671,T_CleanCustomers[Customer_ID],0)),"Unmatched")</f>
        <v>REP009</v>
      </c>
      <c r="N671" s="9" t="str">
        <f>IFERROR(INDEX(T_CleanCustomers[Channel],MATCH(B671,T_CleanCustomers[Customer_ID],0)),"Unmatched")</f>
        <v>Direct Sales</v>
      </c>
      <c r="O671" s="9" t="str">
        <f>IFERROR(INDEX(T_CleanCustomers[Product],MATCH(B671,T_CleanCustomers[Customer_ID],0)),"Unmatched")</f>
        <v>EV Charge Card</v>
      </c>
      <c r="P671" s="9" t="str">
        <f>IFERROR(INDEX(T_CleanCustomers[Customer_Segment],MATCH(B671,T_CleanCustomers[Customer_ID],0)),"Unmatched")</f>
        <v>Mid-Market</v>
      </c>
    </row>
    <row r="672" spans="1:16" ht="15" customHeight="1" x14ac:dyDescent="0.2">
      <c r="A672" s="9" t="s">
        <v>2022</v>
      </c>
      <c r="B672" s="9" t="s">
        <v>1228</v>
      </c>
      <c r="C672" s="9" t="b">
        <f>TRUE()</f>
        <v>1</v>
      </c>
      <c r="D672" s="10">
        <v>45757</v>
      </c>
      <c r="E672" s="10">
        <v>45748</v>
      </c>
      <c r="F672" s="9" t="s">
        <v>1373</v>
      </c>
      <c r="G672" s="11">
        <v>32871.18</v>
      </c>
      <c r="H672" s="11">
        <v>636.11</v>
      </c>
      <c r="I672" s="9" t="b">
        <f>TRUE()</f>
        <v>1</v>
      </c>
      <c r="J672" s="9" t="s">
        <v>1361</v>
      </c>
      <c r="K672" s="11">
        <v>636.11</v>
      </c>
      <c r="L672" s="9" t="s">
        <v>19</v>
      </c>
      <c r="M672" s="9" t="str">
        <f>IFERROR(INDEX(T_CleanCustomers[Sales_Rep_ID],MATCH(B672,T_CleanCustomers[Customer_ID],0)),"Unmatched")</f>
        <v>REP014</v>
      </c>
      <c r="N672" s="9" t="str">
        <f>IFERROR(INDEX(T_CleanCustomers[Channel],MATCH(B672,T_CleanCustomers[Customer_ID],0)),"Unmatched")</f>
        <v>Direct Sales</v>
      </c>
      <c r="O672" s="9" t="str">
        <f>IFERROR(INDEX(T_CleanCustomers[Product],MATCH(B672,T_CleanCustomers[Customer_ID],0)),"Unmatched")</f>
        <v>Toll Solution</v>
      </c>
      <c r="P672" s="9" t="str">
        <f>IFERROR(INDEX(T_CleanCustomers[Customer_Segment],MATCH(B672,T_CleanCustomers[Customer_ID],0)),"Unmatched")</f>
        <v>Enterprise</v>
      </c>
    </row>
    <row r="673" spans="1:16" ht="15" customHeight="1" x14ac:dyDescent="0.2">
      <c r="A673" s="9" t="s">
        <v>2023</v>
      </c>
      <c r="B673" s="9" t="s">
        <v>1228</v>
      </c>
      <c r="C673" s="9" t="b">
        <f>TRUE()</f>
        <v>1</v>
      </c>
      <c r="D673" s="10">
        <v>45770</v>
      </c>
      <c r="E673" s="10">
        <v>45748</v>
      </c>
      <c r="F673" s="9" t="s">
        <v>1373</v>
      </c>
      <c r="G673" s="11">
        <v>34819.78</v>
      </c>
      <c r="H673" s="11">
        <v>536.66999999999996</v>
      </c>
      <c r="I673" s="9" t="b">
        <f>TRUE()</f>
        <v>1</v>
      </c>
      <c r="J673" s="9" t="s">
        <v>1361</v>
      </c>
      <c r="K673" s="11">
        <v>536.66999999999996</v>
      </c>
      <c r="L673" s="9" t="s">
        <v>19</v>
      </c>
      <c r="M673" s="9" t="str">
        <f>IFERROR(INDEX(T_CleanCustomers[Sales_Rep_ID],MATCH(B673,T_CleanCustomers[Customer_ID],0)),"Unmatched")</f>
        <v>REP014</v>
      </c>
      <c r="N673" s="9" t="str">
        <f>IFERROR(INDEX(T_CleanCustomers[Channel],MATCH(B673,T_CleanCustomers[Customer_ID],0)),"Unmatched")</f>
        <v>Direct Sales</v>
      </c>
      <c r="O673" s="9" t="str">
        <f>IFERROR(INDEX(T_CleanCustomers[Product],MATCH(B673,T_CleanCustomers[Customer_ID],0)),"Unmatched")</f>
        <v>Toll Solution</v>
      </c>
      <c r="P673" s="9" t="str">
        <f>IFERROR(INDEX(T_CleanCustomers[Customer_Segment],MATCH(B673,T_CleanCustomers[Customer_ID],0)),"Unmatched")</f>
        <v>Enterprise</v>
      </c>
    </row>
    <row r="674" spans="1:16" ht="15" customHeight="1" x14ac:dyDescent="0.2">
      <c r="A674" s="9" t="s">
        <v>2024</v>
      </c>
      <c r="B674" s="9" t="s">
        <v>1228</v>
      </c>
      <c r="C674" s="9" t="b">
        <f>TRUE()</f>
        <v>1</v>
      </c>
      <c r="D674" s="10">
        <v>45793</v>
      </c>
      <c r="E674" s="10">
        <v>45778</v>
      </c>
      <c r="F674" s="9" t="s">
        <v>1373</v>
      </c>
      <c r="G674" s="11">
        <v>21434.68</v>
      </c>
      <c r="H674" s="11">
        <v>441.37</v>
      </c>
      <c r="I674" s="9" t="b">
        <f>TRUE()</f>
        <v>1</v>
      </c>
      <c r="J674" s="9" t="s">
        <v>1361</v>
      </c>
      <c r="K674" s="11">
        <v>441.37</v>
      </c>
      <c r="L674" s="9" t="s">
        <v>19</v>
      </c>
      <c r="M674" s="9" t="str">
        <f>IFERROR(INDEX(T_CleanCustomers[Sales_Rep_ID],MATCH(B674,T_CleanCustomers[Customer_ID],0)),"Unmatched")</f>
        <v>REP014</v>
      </c>
      <c r="N674" s="9" t="str">
        <f>IFERROR(INDEX(T_CleanCustomers[Channel],MATCH(B674,T_CleanCustomers[Customer_ID],0)),"Unmatched")</f>
        <v>Direct Sales</v>
      </c>
      <c r="O674" s="9" t="str">
        <f>IFERROR(INDEX(T_CleanCustomers[Product],MATCH(B674,T_CleanCustomers[Customer_ID],0)),"Unmatched")</f>
        <v>Toll Solution</v>
      </c>
      <c r="P674" s="9" t="str">
        <f>IFERROR(INDEX(T_CleanCustomers[Customer_Segment],MATCH(B674,T_CleanCustomers[Customer_ID],0)),"Unmatched")</f>
        <v>Enterprise</v>
      </c>
    </row>
    <row r="675" spans="1:16" ht="15" customHeight="1" x14ac:dyDescent="0.2">
      <c r="A675" s="9" t="s">
        <v>2025</v>
      </c>
      <c r="B675" s="9" t="s">
        <v>1228</v>
      </c>
      <c r="C675" s="9" t="b">
        <f>TRUE()</f>
        <v>1</v>
      </c>
      <c r="D675" s="10">
        <v>45793</v>
      </c>
      <c r="E675" s="10">
        <v>45778</v>
      </c>
      <c r="F675" s="9" t="s">
        <v>1373</v>
      </c>
      <c r="G675" s="11">
        <v>56457.08</v>
      </c>
      <c r="H675" s="11">
        <v>1043.8499999999999</v>
      </c>
      <c r="I675" s="9" t="b">
        <f>TRUE()</f>
        <v>1</v>
      </c>
      <c r="J675" s="9" t="s">
        <v>1361</v>
      </c>
      <c r="K675" s="11">
        <v>1043.8499999999999</v>
      </c>
      <c r="L675" s="9" t="s">
        <v>19</v>
      </c>
      <c r="M675" s="9" t="str">
        <f>IFERROR(INDEX(T_CleanCustomers[Sales_Rep_ID],MATCH(B675,T_CleanCustomers[Customer_ID],0)),"Unmatched")</f>
        <v>REP014</v>
      </c>
      <c r="N675" s="9" t="str">
        <f>IFERROR(INDEX(T_CleanCustomers[Channel],MATCH(B675,T_CleanCustomers[Customer_ID],0)),"Unmatched")</f>
        <v>Direct Sales</v>
      </c>
      <c r="O675" s="9" t="str">
        <f>IFERROR(INDEX(T_CleanCustomers[Product],MATCH(B675,T_CleanCustomers[Customer_ID],0)),"Unmatched")</f>
        <v>Toll Solution</v>
      </c>
      <c r="P675" s="9" t="str">
        <f>IFERROR(INDEX(T_CleanCustomers[Customer_Segment],MATCH(B675,T_CleanCustomers[Customer_ID],0)),"Unmatched")</f>
        <v>Enterprise</v>
      </c>
    </row>
    <row r="676" spans="1:16" ht="15" customHeight="1" x14ac:dyDescent="0.2">
      <c r="A676" s="9" t="s">
        <v>2026</v>
      </c>
      <c r="B676" s="9" t="s">
        <v>1228</v>
      </c>
      <c r="C676" s="9" t="b">
        <f>TRUE()</f>
        <v>1</v>
      </c>
      <c r="D676" s="10">
        <v>45781</v>
      </c>
      <c r="E676" s="10">
        <v>45778</v>
      </c>
      <c r="F676" s="9" t="s">
        <v>1373</v>
      </c>
      <c r="G676" s="11">
        <v>58228.04</v>
      </c>
      <c r="H676" s="11">
        <v>1179.81</v>
      </c>
      <c r="I676" s="9" t="b">
        <f>TRUE()</f>
        <v>1</v>
      </c>
      <c r="J676" s="9" t="s">
        <v>1361</v>
      </c>
      <c r="K676" s="11">
        <v>1179.81</v>
      </c>
      <c r="L676" s="9" t="s">
        <v>19</v>
      </c>
      <c r="M676" s="9" t="str">
        <f>IFERROR(INDEX(T_CleanCustomers[Sales_Rep_ID],MATCH(B676,T_CleanCustomers[Customer_ID],0)),"Unmatched")</f>
        <v>REP014</v>
      </c>
      <c r="N676" s="9" t="str">
        <f>IFERROR(INDEX(T_CleanCustomers[Channel],MATCH(B676,T_CleanCustomers[Customer_ID],0)),"Unmatched")</f>
        <v>Direct Sales</v>
      </c>
      <c r="O676" s="9" t="str">
        <f>IFERROR(INDEX(T_CleanCustomers[Product],MATCH(B676,T_CleanCustomers[Customer_ID],0)),"Unmatched")</f>
        <v>Toll Solution</v>
      </c>
      <c r="P676" s="9" t="str">
        <f>IFERROR(INDEX(T_CleanCustomers[Customer_Segment],MATCH(B676,T_CleanCustomers[Customer_ID],0)),"Unmatched")</f>
        <v>Enterprise</v>
      </c>
    </row>
    <row r="677" spans="1:16" ht="15" customHeight="1" x14ac:dyDescent="0.2">
      <c r="A677" s="9" t="s">
        <v>109</v>
      </c>
      <c r="B677" s="9" t="s">
        <v>1228</v>
      </c>
      <c r="C677" s="9" t="b">
        <f>TRUE()</f>
        <v>1</v>
      </c>
      <c r="D677" s="10">
        <v>45830</v>
      </c>
      <c r="E677" s="10">
        <v>45809</v>
      </c>
      <c r="F677" s="9" t="s">
        <v>1373</v>
      </c>
      <c r="G677" s="11">
        <v>27892.82</v>
      </c>
      <c r="H677" s="11">
        <v>511.15</v>
      </c>
      <c r="I677" s="9" t="b">
        <f>TRUE()</f>
        <v>1</v>
      </c>
      <c r="J677" s="9" t="s">
        <v>1361</v>
      </c>
      <c r="K677" s="11">
        <v>511.15</v>
      </c>
      <c r="L677" s="9" t="s">
        <v>19</v>
      </c>
      <c r="M677" s="9" t="str">
        <f>IFERROR(INDEX(T_CleanCustomers[Sales_Rep_ID],MATCH(B677,T_CleanCustomers[Customer_ID],0)),"Unmatched")</f>
        <v>REP014</v>
      </c>
      <c r="N677" s="9" t="str">
        <f>IFERROR(INDEX(T_CleanCustomers[Channel],MATCH(B677,T_CleanCustomers[Customer_ID],0)),"Unmatched")</f>
        <v>Direct Sales</v>
      </c>
      <c r="O677" s="9" t="str">
        <f>IFERROR(INDEX(T_CleanCustomers[Product],MATCH(B677,T_CleanCustomers[Customer_ID],0)),"Unmatched")</f>
        <v>Toll Solution</v>
      </c>
      <c r="P677" s="9" t="str">
        <f>IFERROR(INDEX(T_CleanCustomers[Customer_Segment],MATCH(B677,T_CleanCustomers[Customer_ID],0)),"Unmatched")</f>
        <v>Enterprise</v>
      </c>
    </row>
    <row r="678" spans="1:16" ht="15" customHeight="1" x14ac:dyDescent="0.2">
      <c r="A678" s="9" t="s">
        <v>2027</v>
      </c>
      <c r="B678" s="9" t="s">
        <v>1228</v>
      </c>
      <c r="C678" s="9" t="b">
        <f>TRUE()</f>
        <v>1</v>
      </c>
      <c r="D678" s="10">
        <v>45859</v>
      </c>
      <c r="E678" s="10">
        <v>45839</v>
      </c>
      <c r="F678" s="9" t="s">
        <v>1373</v>
      </c>
      <c r="G678" s="11">
        <v>56843.03</v>
      </c>
      <c r="H678" s="11">
        <v>899.23</v>
      </c>
      <c r="I678" s="9" t="b">
        <f>TRUE()</f>
        <v>1</v>
      </c>
      <c r="J678" s="9" t="s">
        <v>1361</v>
      </c>
      <c r="K678" s="11">
        <v>899.23</v>
      </c>
      <c r="L678" s="9" t="s">
        <v>19</v>
      </c>
      <c r="M678" s="9" t="str">
        <f>IFERROR(INDEX(T_CleanCustomers[Sales_Rep_ID],MATCH(B678,T_CleanCustomers[Customer_ID],0)),"Unmatched")</f>
        <v>REP014</v>
      </c>
      <c r="N678" s="9" t="str">
        <f>IFERROR(INDEX(T_CleanCustomers[Channel],MATCH(B678,T_CleanCustomers[Customer_ID],0)),"Unmatched")</f>
        <v>Direct Sales</v>
      </c>
      <c r="O678" s="9" t="str">
        <f>IFERROR(INDEX(T_CleanCustomers[Product],MATCH(B678,T_CleanCustomers[Customer_ID],0)),"Unmatched")</f>
        <v>Toll Solution</v>
      </c>
      <c r="P678" s="9" t="str">
        <f>IFERROR(INDEX(T_CleanCustomers[Customer_Segment],MATCH(B678,T_CleanCustomers[Customer_ID],0)),"Unmatched")</f>
        <v>Enterprise</v>
      </c>
    </row>
    <row r="679" spans="1:16" ht="15" customHeight="1" x14ac:dyDescent="0.2">
      <c r="A679" s="9" t="s">
        <v>2028</v>
      </c>
      <c r="B679" s="9" t="s">
        <v>1228</v>
      </c>
      <c r="C679" s="9" t="b">
        <f>TRUE()</f>
        <v>1</v>
      </c>
      <c r="D679" s="10">
        <v>45880</v>
      </c>
      <c r="E679" s="10">
        <v>45870</v>
      </c>
      <c r="F679" s="9" t="s">
        <v>1373</v>
      </c>
      <c r="G679" s="11">
        <v>18677.2</v>
      </c>
      <c r="H679" s="11">
        <v>325.41000000000003</v>
      </c>
      <c r="I679" s="9" t="b">
        <f>TRUE()</f>
        <v>1</v>
      </c>
      <c r="J679" s="9" t="s">
        <v>1361</v>
      </c>
      <c r="K679" s="11">
        <v>325.41000000000003</v>
      </c>
      <c r="L679" s="9" t="s">
        <v>19</v>
      </c>
      <c r="M679" s="9" t="str">
        <f>IFERROR(INDEX(T_CleanCustomers[Sales_Rep_ID],MATCH(B679,T_CleanCustomers[Customer_ID],0)),"Unmatched")</f>
        <v>REP014</v>
      </c>
      <c r="N679" s="9" t="str">
        <f>IFERROR(INDEX(T_CleanCustomers[Channel],MATCH(B679,T_CleanCustomers[Customer_ID],0)),"Unmatched")</f>
        <v>Direct Sales</v>
      </c>
      <c r="O679" s="9" t="str">
        <f>IFERROR(INDEX(T_CleanCustomers[Product],MATCH(B679,T_CleanCustomers[Customer_ID],0)),"Unmatched")</f>
        <v>Toll Solution</v>
      </c>
      <c r="P679" s="9" t="str">
        <f>IFERROR(INDEX(T_CleanCustomers[Customer_Segment],MATCH(B679,T_CleanCustomers[Customer_ID],0)),"Unmatched")</f>
        <v>Enterprise</v>
      </c>
    </row>
    <row r="680" spans="1:16" ht="15" customHeight="1" x14ac:dyDescent="0.2">
      <c r="A680" s="9" t="s">
        <v>2029</v>
      </c>
      <c r="B680" s="9" t="s">
        <v>1228</v>
      </c>
      <c r="C680" s="9" t="b">
        <f>TRUE()</f>
        <v>1</v>
      </c>
      <c r="D680" s="10">
        <v>45879</v>
      </c>
      <c r="E680" s="10">
        <v>45870</v>
      </c>
      <c r="F680" s="9" t="s">
        <v>1373</v>
      </c>
      <c r="G680" s="11">
        <v>15996.07</v>
      </c>
      <c r="H680" s="11">
        <v>316.07</v>
      </c>
      <c r="I680" s="9" t="b">
        <f>TRUE()</f>
        <v>1</v>
      </c>
      <c r="J680" s="9" t="s">
        <v>1361</v>
      </c>
      <c r="K680" s="11">
        <v>316.07</v>
      </c>
      <c r="L680" s="9" t="s">
        <v>19</v>
      </c>
      <c r="M680" s="9" t="str">
        <f>IFERROR(INDEX(T_CleanCustomers[Sales_Rep_ID],MATCH(B680,T_CleanCustomers[Customer_ID],0)),"Unmatched")</f>
        <v>REP014</v>
      </c>
      <c r="N680" s="9" t="str">
        <f>IFERROR(INDEX(T_CleanCustomers[Channel],MATCH(B680,T_CleanCustomers[Customer_ID],0)),"Unmatched")</f>
        <v>Direct Sales</v>
      </c>
      <c r="O680" s="9" t="str">
        <f>IFERROR(INDEX(T_CleanCustomers[Product],MATCH(B680,T_CleanCustomers[Customer_ID],0)),"Unmatched")</f>
        <v>Toll Solution</v>
      </c>
      <c r="P680" s="9" t="str">
        <f>IFERROR(INDEX(T_CleanCustomers[Customer_Segment],MATCH(B680,T_CleanCustomers[Customer_ID],0)),"Unmatched")</f>
        <v>Enterprise</v>
      </c>
    </row>
    <row r="681" spans="1:16" ht="15" customHeight="1" x14ac:dyDescent="0.2">
      <c r="A681" s="9" t="s">
        <v>2030</v>
      </c>
      <c r="B681" s="9" t="s">
        <v>1228</v>
      </c>
      <c r="C681" s="9" t="b">
        <f>TRUE()</f>
        <v>1</v>
      </c>
      <c r="D681" s="10">
        <v>45905</v>
      </c>
      <c r="E681" s="10">
        <v>45901</v>
      </c>
      <c r="F681" s="9" t="s">
        <v>1373</v>
      </c>
      <c r="G681" s="11">
        <v>44318.67</v>
      </c>
      <c r="H681" s="11">
        <v>912.91</v>
      </c>
      <c r="I681" s="9" t="b">
        <f>TRUE()</f>
        <v>1</v>
      </c>
      <c r="J681" s="9" t="s">
        <v>1361</v>
      </c>
      <c r="K681" s="11">
        <v>912.91</v>
      </c>
      <c r="L681" s="9" t="s">
        <v>19</v>
      </c>
      <c r="M681" s="9" t="str">
        <f>IFERROR(INDEX(T_CleanCustomers[Sales_Rep_ID],MATCH(B681,T_CleanCustomers[Customer_ID],0)),"Unmatched")</f>
        <v>REP014</v>
      </c>
      <c r="N681" s="9" t="str">
        <f>IFERROR(INDEX(T_CleanCustomers[Channel],MATCH(B681,T_CleanCustomers[Customer_ID],0)),"Unmatched")</f>
        <v>Direct Sales</v>
      </c>
      <c r="O681" s="9" t="str">
        <f>IFERROR(INDEX(T_CleanCustomers[Product],MATCH(B681,T_CleanCustomers[Customer_ID],0)),"Unmatched")</f>
        <v>Toll Solution</v>
      </c>
      <c r="P681" s="9" t="str">
        <f>IFERROR(INDEX(T_CleanCustomers[Customer_Segment],MATCH(B681,T_CleanCustomers[Customer_ID],0)),"Unmatched")</f>
        <v>Enterprise</v>
      </c>
    </row>
    <row r="682" spans="1:16" ht="15" customHeight="1" x14ac:dyDescent="0.2">
      <c r="A682" s="9" t="s">
        <v>2031</v>
      </c>
      <c r="B682" s="9" t="s">
        <v>1228</v>
      </c>
      <c r="C682" s="9" t="b">
        <f>TRUE()</f>
        <v>1</v>
      </c>
      <c r="D682" s="10">
        <v>45909</v>
      </c>
      <c r="E682" s="10">
        <v>45901</v>
      </c>
      <c r="F682" s="9" t="s">
        <v>1373</v>
      </c>
      <c r="G682" s="11">
        <v>23262.799999999999</v>
      </c>
      <c r="H682" s="11">
        <v>370.83</v>
      </c>
      <c r="I682" s="9" t="b">
        <f>TRUE()</f>
        <v>1</v>
      </c>
      <c r="J682" s="9" t="s">
        <v>1361</v>
      </c>
      <c r="K682" s="11">
        <v>370.83</v>
      </c>
      <c r="L682" s="9" t="s">
        <v>19</v>
      </c>
      <c r="M682" s="9" t="str">
        <f>IFERROR(INDEX(T_CleanCustomers[Sales_Rep_ID],MATCH(B682,T_CleanCustomers[Customer_ID],0)),"Unmatched")</f>
        <v>REP014</v>
      </c>
      <c r="N682" s="9" t="str">
        <f>IFERROR(INDEX(T_CleanCustomers[Channel],MATCH(B682,T_CleanCustomers[Customer_ID],0)),"Unmatched")</f>
        <v>Direct Sales</v>
      </c>
      <c r="O682" s="9" t="str">
        <f>IFERROR(INDEX(T_CleanCustomers[Product],MATCH(B682,T_CleanCustomers[Customer_ID],0)),"Unmatched")</f>
        <v>Toll Solution</v>
      </c>
      <c r="P682" s="9" t="str">
        <f>IFERROR(INDEX(T_CleanCustomers[Customer_Segment],MATCH(B682,T_CleanCustomers[Customer_ID],0)),"Unmatched")</f>
        <v>Enterprise</v>
      </c>
    </row>
    <row r="683" spans="1:16" ht="15" customHeight="1" x14ac:dyDescent="0.2">
      <c r="A683" s="9" t="s">
        <v>2032</v>
      </c>
      <c r="B683" s="9" t="s">
        <v>1228</v>
      </c>
      <c r="C683" s="9" t="b">
        <f>TRUE()</f>
        <v>1</v>
      </c>
      <c r="D683" s="10">
        <v>45959</v>
      </c>
      <c r="E683" s="10">
        <v>45931</v>
      </c>
      <c r="F683" s="9" t="s">
        <v>1373</v>
      </c>
      <c r="G683" s="11">
        <v>15578.85</v>
      </c>
      <c r="H683" s="11">
        <v>252.16</v>
      </c>
      <c r="I683" s="9" t="b">
        <f>TRUE()</f>
        <v>1</v>
      </c>
      <c r="J683" s="9" t="s">
        <v>1361</v>
      </c>
      <c r="K683" s="11">
        <v>252.16</v>
      </c>
      <c r="L683" s="9" t="s">
        <v>19</v>
      </c>
      <c r="M683" s="9" t="str">
        <f>IFERROR(INDEX(T_CleanCustomers[Sales_Rep_ID],MATCH(B683,T_CleanCustomers[Customer_ID],0)),"Unmatched")</f>
        <v>REP014</v>
      </c>
      <c r="N683" s="9" t="str">
        <f>IFERROR(INDEX(T_CleanCustomers[Channel],MATCH(B683,T_CleanCustomers[Customer_ID],0)),"Unmatched")</f>
        <v>Direct Sales</v>
      </c>
      <c r="O683" s="9" t="str">
        <f>IFERROR(INDEX(T_CleanCustomers[Product],MATCH(B683,T_CleanCustomers[Customer_ID],0)),"Unmatched")</f>
        <v>Toll Solution</v>
      </c>
      <c r="P683" s="9" t="str">
        <f>IFERROR(INDEX(T_CleanCustomers[Customer_Segment],MATCH(B683,T_CleanCustomers[Customer_ID],0)),"Unmatched")</f>
        <v>Enterprise</v>
      </c>
    </row>
    <row r="684" spans="1:16" ht="15" customHeight="1" x14ac:dyDescent="0.2">
      <c r="A684" s="9" t="s">
        <v>2033</v>
      </c>
      <c r="B684" s="9" t="s">
        <v>1228</v>
      </c>
      <c r="C684" s="9" t="b">
        <f>TRUE()</f>
        <v>1</v>
      </c>
      <c r="D684" s="10">
        <v>45943</v>
      </c>
      <c r="E684" s="10">
        <v>45931</v>
      </c>
      <c r="F684" s="9" t="s">
        <v>1373</v>
      </c>
      <c r="G684" s="11">
        <v>41183.75</v>
      </c>
      <c r="H684" s="11">
        <v>658.72</v>
      </c>
      <c r="I684" s="9" t="b">
        <f>TRUE()</f>
        <v>1</v>
      </c>
      <c r="J684" s="9" t="s">
        <v>1361</v>
      </c>
      <c r="K684" s="11">
        <v>658.72</v>
      </c>
      <c r="L684" s="9" t="s">
        <v>19</v>
      </c>
      <c r="M684" s="9" t="str">
        <f>IFERROR(INDEX(T_CleanCustomers[Sales_Rep_ID],MATCH(B684,T_CleanCustomers[Customer_ID],0)),"Unmatched")</f>
        <v>REP014</v>
      </c>
      <c r="N684" s="9" t="str">
        <f>IFERROR(INDEX(T_CleanCustomers[Channel],MATCH(B684,T_CleanCustomers[Customer_ID],0)),"Unmatched")</f>
        <v>Direct Sales</v>
      </c>
      <c r="O684" s="9" t="str">
        <f>IFERROR(INDEX(T_CleanCustomers[Product],MATCH(B684,T_CleanCustomers[Customer_ID],0)),"Unmatched")</f>
        <v>Toll Solution</v>
      </c>
      <c r="P684" s="9" t="str">
        <f>IFERROR(INDEX(T_CleanCustomers[Customer_Segment],MATCH(B684,T_CleanCustomers[Customer_ID],0)),"Unmatched")</f>
        <v>Enterprise</v>
      </c>
    </row>
    <row r="685" spans="1:16" ht="15" customHeight="1" x14ac:dyDescent="0.2">
      <c r="A685" s="9" t="s">
        <v>2034</v>
      </c>
      <c r="B685" s="9" t="s">
        <v>1228</v>
      </c>
      <c r="C685" s="9" t="b">
        <f>TRUE()</f>
        <v>1</v>
      </c>
      <c r="D685" s="10">
        <v>45961</v>
      </c>
      <c r="E685" s="10">
        <v>45931</v>
      </c>
      <c r="F685" s="9" t="s">
        <v>1373</v>
      </c>
      <c r="G685" s="11">
        <v>23704.23</v>
      </c>
      <c r="H685" s="11">
        <v>488.88</v>
      </c>
      <c r="I685" s="9" t="b">
        <f>TRUE()</f>
        <v>1</v>
      </c>
      <c r="J685" s="9" t="s">
        <v>1361</v>
      </c>
      <c r="K685" s="11">
        <v>488.88</v>
      </c>
      <c r="L685" s="9" t="s">
        <v>19</v>
      </c>
      <c r="M685" s="9" t="str">
        <f>IFERROR(INDEX(T_CleanCustomers[Sales_Rep_ID],MATCH(B685,T_CleanCustomers[Customer_ID],0)),"Unmatched")</f>
        <v>REP014</v>
      </c>
      <c r="N685" s="9" t="str">
        <f>IFERROR(INDEX(T_CleanCustomers[Channel],MATCH(B685,T_CleanCustomers[Customer_ID],0)),"Unmatched")</f>
        <v>Direct Sales</v>
      </c>
      <c r="O685" s="9" t="str">
        <f>IFERROR(INDEX(T_CleanCustomers[Product],MATCH(B685,T_CleanCustomers[Customer_ID],0)),"Unmatched")</f>
        <v>Toll Solution</v>
      </c>
      <c r="P685" s="9" t="str">
        <f>IFERROR(INDEX(T_CleanCustomers[Customer_Segment],MATCH(B685,T_CleanCustomers[Customer_ID],0)),"Unmatched")</f>
        <v>Enterprise</v>
      </c>
    </row>
    <row r="686" spans="1:16" ht="15" customHeight="1" x14ac:dyDescent="0.2">
      <c r="A686" s="9" t="s">
        <v>2035</v>
      </c>
      <c r="B686" s="9" t="s">
        <v>1228</v>
      </c>
      <c r="C686" s="9" t="b">
        <f>TRUE()</f>
        <v>1</v>
      </c>
      <c r="D686" s="10">
        <v>45964</v>
      </c>
      <c r="E686" s="10">
        <v>45962</v>
      </c>
      <c r="F686" s="9" t="s">
        <v>1373</v>
      </c>
      <c r="G686" s="11">
        <v>30570.560000000001</v>
      </c>
      <c r="H686" s="11">
        <v>597.95000000000005</v>
      </c>
      <c r="I686" s="9" t="b">
        <f>TRUE()</f>
        <v>1</v>
      </c>
      <c r="J686" s="9" t="s">
        <v>1361</v>
      </c>
      <c r="K686" s="11">
        <v>597.95000000000005</v>
      </c>
      <c r="L686" s="9" t="s">
        <v>19</v>
      </c>
      <c r="M686" s="9" t="str">
        <f>IFERROR(INDEX(T_CleanCustomers[Sales_Rep_ID],MATCH(B686,T_CleanCustomers[Customer_ID],0)),"Unmatched")</f>
        <v>REP014</v>
      </c>
      <c r="N686" s="9" t="str">
        <f>IFERROR(INDEX(T_CleanCustomers[Channel],MATCH(B686,T_CleanCustomers[Customer_ID],0)),"Unmatched")</f>
        <v>Direct Sales</v>
      </c>
      <c r="O686" s="9" t="str">
        <f>IFERROR(INDEX(T_CleanCustomers[Product],MATCH(B686,T_CleanCustomers[Customer_ID],0)),"Unmatched")</f>
        <v>Toll Solution</v>
      </c>
      <c r="P686" s="9" t="str">
        <f>IFERROR(INDEX(T_CleanCustomers[Customer_Segment],MATCH(B686,T_CleanCustomers[Customer_ID],0)),"Unmatched")</f>
        <v>Enterprise</v>
      </c>
    </row>
    <row r="687" spans="1:16" ht="15" customHeight="1" x14ac:dyDescent="0.2">
      <c r="A687" s="9" t="s">
        <v>2036</v>
      </c>
      <c r="B687" s="9" t="s">
        <v>1228</v>
      </c>
      <c r="C687" s="9" t="b">
        <f>TRUE()</f>
        <v>1</v>
      </c>
      <c r="D687" s="10">
        <v>45962</v>
      </c>
      <c r="E687" s="10">
        <v>45962</v>
      </c>
      <c r="F687" s="9" t="s">
        <v>1373</v>
      </c>
      <c r="G687" s="11">
        <v>19248.810000000001</v>
      </c>
      <c r="H687" s="11">
        <v>309.68</v>
      </c>
      <c r="I687" s="9" t="b">
        <f>TRUE()</f>
        <v>1</v>
      </c>
      <c r="J687" s="9" t="s">
        <v>1361</v>
      </c>
      <c r="K687" s="11">
        <v>309.68</v>
      </c>
      <c r="L687" s="9" t="s">
        <v>19</v>
      </c>
      <c r="M687" s="9" t="str">
        <f>IFERROR(INDEX(T_CleanCustomers[Sales_Rep_ID],MATCH(B687,T_CleanCustomers[Customer_ID],0)),"Unmatched")</f>
        <v>REP014</v>
      </c>
      <c r="N687" s="9" t="str">
        <f>IFERROR(INDEX(T_CleanCustomers[Channel],MATCH(B687,T_CleanCustomers[Customer_ID],0)),"Unmatched")</f>
        <v>Direct Sales</v>
      </c>
      <c r="O687" s="9" t="str">
        <f>IFERROR(INDEX(T_CleanCustomers[Product],MATCH(B687,T_CleanCustomers[Customer_ID],0)),"Unmatched")</f>
        <v>Toll Solution</v>
      </c>
      <c r="P687" s="9" t="str">
        <f>IFERROR(INDEX(T_CleanCustomers[Customer_Segment],MATCH(B687,T_CleanCustomers[Customer_ID],0)),"Unmatched")</f>
        <v>Enterprise</v>
      </c>
    </row>
    <row r="688" spans="1:16" ht="15" customHeight="1" x14ac:dyDescent="0.2">
      <c r="A688" s="9" t="s">
        <v>2037</v>
      </c>
      <c r="B688" s="9" t="s">
        <v>1228</v>
      </c>
      <c r="C688" s="9" t="b">
        <f>TRUE()</f>
        <v>1</v>
      </c>
      <c r="D688" s="10">
        <v>45962</v>
      </c>
      <c r="E688" s="10">
        <v>45962</v>
      </c>
      <c r="F688" s="9" t="s">
        <v>1373</v>
      </c>
      <c r="G688" s="11">
        <v>17426.400000000001</v>
      </c>
      <c r="H688" s="11">
        <v>271.77999999999997</v>
      </c>
      <c r="I688" s="9" t="b">
        <f>TRUE()</f>
        <v>1</v>
      </c>
      <c r="J688" s="9" t="s">
        <v>1361</v>
      </c>
      <c r="K688" s="11">
        <v>271.77999999999997</v>
      </c>
      <c r="L688" s="9" t="s">
        <v>19</v>
      </c>
      <c r="M688" s="9" t="str">
        <f>IFERROR(INDEX(T_CleanCustomers[Sales_Rep_ID],MATCH(B688,T_CleanCustomers[Customer_ID],0)),"Unmatched")</f>
        <v>REP014</v>
      </c>
      <c r="N688" s="9" t="str">
        <f>IFERROR(INDEX(T_CleanCustomers[Channel],MATCH(B688,T_CleanCustomers[Customer_ID],0)),"Unmatched")</f>
        <v>Direct Sales</v>
      </c>
      <c r="O688" s="9" t="str">
        <f>IFERROR(INDEX(T_CleanCustomers[Product],MATCH(B688,T_CleanCustomers[Customer_ID],0)),"Unmatched")</f>
        <v>Toll Solution</v>
      </c>
      <c r="P688" s="9" t="str">
        <f>IFERROR(INDEX(T_CleanCustomers[Customer_Segment],MATCH(B688,T_CleanCustomers[Customer_ID],0)),"Unmatched")</f>
        <v>Enterprise</v>
      </c>
    </row>
    <row r="689" spans="1:16" ht="15" customHeight="1" x14ac:dyDescent="0.2">
      <c r="A689" s="9" t="s">
        <v>2038</v>
      </c>
      <c r="B689" s="9" t="s">
        <v>1228</v>
      </c>
      <c r="C689" s="9" t="b">
        <f>TRUE()</f>
        <v>1</v>
      </c>
      <c r="D689" s="10">
        <v>46005</v>
      </c>
      <c r="E689" s="10">
        <v>45992</v>
      </c>
      <c r="F689" s="9" t="s">
        <v>1373</v>
      </c>
      <c r="G689" s="11">
        <v>24523.43</v>
      </c>
      <c r="H689" s="11">
        <v>0</v>
      </c>
      <c r="I689" s="9" t="b">
        <f>TRUE()</f>
        <v>1</v>
      </c>
      <c r="J689" s="9" t="s">
        <v>1408</v>
      </c>
      <c r="K689" s="11">
        <v>0</v>
      </c>
      <c r="L689" s="9" t="s">
        <v>19</v>
      </c>
      <c r="M689" s="9" t="str">
        <f>IFERROR(INDEX(T_CleanCustomers[Sales_Rep_ID],MATCH(B689,T_CleanCustomers[Customer_ID],0)),"Unmatched")</f>
        <v>REP014</v>
      </c>
      <c r="N689" s="9" t="str">
        <f>IFERROR(INDEX(T_CleanCustomers[Channel],MATCH(B689,T_CleanCustomers[Customer_ID],0)),"Unmatched")</f>
        <v>Direct Sales</v>
      </c>
      <c r="O689" s="9" t="str">
        <f>IFERROR(INDEX(T_CleanCustomers[Product],MATCH(B689,T_CleanCustomers[Customer_ID],0)),"Unmatched")</f>
        <v>Toll Solution</v>
      </c>
      <c r="P689" s="9" t="str">
        <f>IFERROR(INDEX(T_CleanCustomers[Customer_Segment],MATCH(B689,T_CleanCustomers[Customer_ID],0)),"Unmatched")</f>
        <v>Enterprise</v>
      </c>
    </row>
    <row r="690" spans="1:16" ht="15" customHeight="1" x14ac:dyDescent="0.2">
      <c r="A690" s="9" t="s">
        <v>2039</v>
      </c>
      <c r="B690" s="9" t="s">
        <v>1228</v>
      </c>
      <c r="C690" s="9" t="b">
        <f>TRUE()</f>
        <v>1</v>
      </c>
      <c r="D690" s="10">
        <v>46014</v>
      </c>
      <c r="E690" s="10">
        <v>45992</v>
      </c>
      <c r="F690" s="9" t="s">
        <v>1373</v>
      </c>
      <c r="G690" s="11">
        <v>35904.720000000001</v>
      </c>
      <c r="H690" s="11">
        <v>641.46</v>
      </c>
      <c r="I690" s="9" t="b">
        <f>TRUE()</f>
        <v>1</v>
      </c>
      <c r="J690" s="9" t="s">
        <v>1361</v>
      </c>
      <c r="K690" s="11">
        <v>641.46</v>
      </c>
      <c r="L690" s="9" t="s">
        <v>19</v>
      </c>
      <c r="M690" s="9" t="str">
        <f>IFERROR(INDEX(T_CleanCustomers[Sales_Rep_ID],MATCH(B690,T_CleanCustomers[Customer_ID],0)),"Unmatched")</f>
        <v>REP014</v>
      </c>
      <c r="N690" s="9" t="str">
        <f>IFERROR(INDEX(T_CleanCustomers[Channel],MATCH(B690,T_CleanCustomers[Customer_ID],0)),"Unmatched")</f>
        <v>Direct Sales</v>
      </c>
      <c r="O690" s="9" t="str">
        <f>IFERROR(INDEX(T_CleanCustomers[Product],MATCH(B690,T_CleanCustomers[Customer_ID],0)),"Unmatched")</f>
        <v>Toll Solution</v>
      </c>
      <c r="P690" s="9" t="str">
        <f>IFERROR(INDEX(T_CleanCustomers[Customer_Segment],MATCH(B690,T_CleanCustomers[Customer_ID],0)),"Unmatched")</f>
        <v>Enterprise</v>
      </c>
    </row>
    <row r="691" spans="1:16" ht="15" customHeight="1" x14ac:dyDescent="0.2">
      <c r="A691" s="9" t="s">
        <v>2040</v>
      </c>
      <c r="B691" s="9" t="s">
        <v>1228</v>
      </c>
      <c r="C691" s="9" t="b">
        <f>TRUE()</f>
        <v>1</v>
      </c>
      <c r="D691" s="10">
        <v>45997</v>
      </c>
      <c r="E691" s="10">
        <v>45992</v>
      </c>
      <c r="F691" s="9" t="s">
        <v>1373</v>
      </c>
      <c r="G691" s="11">
        <v>16455.14</v>
      </c>
      <c r="H691" s="11">
        <v>258.27</v>
      </c>
      <c r="I691" s="9" t="b">
        <f>TRUE()</f>
        <v>1</v>
      </c>
      <c r="J691" s="9" t="s">
        <v>1361</v>
      </c>
      <c r="K691" s="11">
        <v>258.27</v>
      </c>
      <c r="L691" s="9" t="s">
        <v>19</v>
      </c>
      <c r="M691" s="9" t="str">
        <f>IFERROR(INDEX(T_CleanCustomers[Sales_Rep_ID],MATCH(B691,T_CleanCustomers[Customer_ID],0)),"Unmatched")</f>
        <v>REP014</v>
      </c>
      <c r="N691" s="9" t="str">
        <f>IFERROR(INDEX(T_CleanCustomers[Channel],MATCH(B691,T_CleanCustomers[Customer_ID],0)),"Unmatched")</f>
        <v>Direct Sales</v>
      </c>
      <c r="O691" s="9" t="str">
        <f>IFERROR(INDEX(T_CleanCustomers[Product],MATCH(B691,T_CleanCustomers[Customer_ID],0)),"Unmatched")</f>
        <v>Toll Solution</v>
      </c>
      <c r="P691" s="9" t="str">
        <f>IFERROR(INDEX(T_CleanCustomers[Customer_Segment],MATCH(B691,T_CleanCustomers[Customer_ID],0)),"Unmatched")</f>
        <v>Enterprise</v>
      </c>
    </row>
    <row r="692" spans="1:16" ht="15" customHeight="1" x14ac:dyDescent="0.2">
      <c r="A692" s="9" t="s">
        <v>2041</v>
      </c>
      <c r="B692" s="9" t="s">
        <v>1231</v>
      </c>
      <c r="C692" s="9" t="b">
        <f>TRUE()</f>
        <v>1</v>
      </c>
      <c r="D692" s="10">
        <v>45743</v>
      </c>
      <c r="E692" s="10">
        <v>45717</v>
      </c>
      <c r="F692" s="9" t="s">
        <v>1373</v>
      </c>
      <c r="G692" s="11">
        <v>62725.96</v>
      </c>
      <c r="H692" s="11">
        <v>1104.7</v>
      </c>
      <c r="I692" s="9" t="b">
        <f>TRUE()</f>
        <v>1</v>
      </c>
      <c r="J692" s="9" t="s">
        <v>1361</v>
      </c>
      <c r="K692" s="11">
        <v>1104.7</v>
      </c>
      <c r="L692" s="9" t="s">
        <v>19</v>
      </c>
      <c r="M692" s="9" t="str">
        <f>IFERROR(INDEX(T_CleanCustomers[Sales_Rep_ID],MATCH(B692,T_CleanCustomers[Customer_ID],0)),"Unmatched")</f>
        <v>REP014</v>
      </c>
      <c r="N692" s="9" t="str">
        <f>IFERROR(INDEX(T_CleanCustomers[Channel],MATCH(B692,T_CleanCustomers[Customer_ID],0)),"Unmatched")</f>
        <v>Direct Sales</v>
      </c>
      <c r="O692" s="9" t="str">
        <f>IFERROR(INDEX(T_CleanCustomers[Product],MATCH(B692,T_CleanCustomers[Customer_ID],0)),"Unmatched")</f>
        <v>Toll Solution</v>
      </c>
      <c r="P692" s="9" t="str">
        <f>IFERROR(INDEX(T_CleanCustomers[Customer_Segment],MATCH(B692,T_CleanCustomers[Customer_ID],0)),"Unmatched")</f>
        <v>Enterprise</v>
      </c>
    </row>
    <row r="693" spans="1:16" ht="15" customHeight="1" x14ac:dyDescent="0.2">
      <c r="A693" s="9" t="s">
        <v>2042</v>
      </c>
      <c r="B693" s="9" t="s">
        <v>1231</v>
      </c>
      <c r="C693" s="9" t="b">
        <f>TRUE()</f>
        <v>1</v>
      </c>
      <c r="D693" s="10">
        <v>45747</v>
      </c>
      <c r="E693" s="10">
        <v>45717</v>
      </c>
      <c r="F693" s="9" t="s">
        <v>1373</v>
      </c>
      <c r="G693" s="11">
        <v>57241.16</v>
      </c>
      <c r="H693" s="11">
        <v>1091.42</v>
      </c>
      <c r="I693" s="9" t="b">
        <f>TRUE()</f>
        <v>1</v>
      </c>
      <c r="J693" s="9" t="s">
        <v>1361</v>
      </c>
      <c r="K693" s="11">
        <v>1091.42</v>
      </c>
      <c r="L693" s="9" t="s">
        <v>19</v>
      </c>
      <c r="M693" s="9" t="str">
        <f>IFERROR(INDEX(T_CleanCustomers[Sales_Rep_ID],MATCH(B693,T_CleanCustomers[Customer_ID],0)),"Unmatched")</f>
        <v>REP014</v>
      </c>
      <c r="N693" s="9" t="str">
        <f>IFERROR(INDEX(T_CleanCustomers[Channel],MATCH(B693,T_CleanCustomers[Customer_ID],0)),"Unmatched")</f>
        <v>Direct Sales</v>
      </c>
      <c r="O693" s="9" t="str">
        <f>IFERROR(INDEX(T_CleanCustomers[Product],MATCH(B693,T_CleanCustomers[Customer_ID],0)),"Unmatched")</f>
        <v>Toll Solution</v>
      </c>
      <c r="P693" s="9" t="str">
        <f>IFERROR(INDEX(T_CleanCustomers[Customer_Segment],MATCH(B693,T_CleanCustomers[Customer_ID],0)),"Unmatched")</f>
        <v>Enterprise</v>
      </c>
    </row>
    <row r="694" spans="1:16" ht="15" customHeight="1" x14ac:dyDescent="0.2">
      <c r="A694" s="9" t="s">
        <v>2043</v>
      </c>
      <c r="B694" s="9" t="s">
        <v>1231</v>
      </c>
      <c r="C694" s="9" t="b">
        <f>TRUE()</f>
        <v>1</v>
      </c>
      <c r="D694" s="10">
        <v>45743</v>
      </c>
      <c r="E694" s="10">
        <v>45717</v>
      </c>
      <c r="F694" s="9" t="s">
        <v>1373</v>
      </c>
      <c r="G694" s="11">
        <v>30743.03</v>
      </c>
      <c r="H694" s="11">
        <v>626.19000000000005</v>
      </c>
      <c r="I694" s="9" t="b">
        <f>TRUE()</f>
        <v>1</v>
      </c>
      <c r="J694" s="9" t="s">
        <v>1361</v>
      </c>
      <c r="K694" s="11">
        <v>626.19000000000005</v>
      </c>
      <c r="L694" s="9" t="s">
        <v>19</v>
      </c>
      <c r="M694" s="9" t="str">
        <f>IFERROR(INDEX(T_CleanCustomers[Sales_Rep_ID],MATCH(B694,T_CleanCustomers[Customer_ID],0)),"Unmatched")</f>
        <v>REP014</v>
      </c>
      <c r="N694" s="9" t="str">
        <f>IFERROR(INDEX(T_CleanCustomers[Channel],MATCH(B694,T_CleanCustomers[Customer_ID],0)),"Unmatched")</f>
        <v>Direct Sales</v>
      </c>
      <c r="O694" s="9" t="str">
        <f>IFERROR(INDEX(T_CleanCustomers[Product],MATCH(B694,T_CleanCustomers[Customer_ID],0)),"Unmatched")</f>
        <v>Toll Solution</v>
      </c>
      <c r="P694" s="9" t="str">
        <f>IFERROR(INDEX(T_CleanCustomers[Customer_Segment],MATCH(B694,T_CleanCustomers[Customer_ID],0)),"Unmatched")</f>
        <v>Enterprise</v>
      </c>
    </row>
    <row r="695" spans="1:16" ht="15" customHeight="1" x14ac:dyDescent="0.2">
      <c r="A695" s="9" t="s">
        <v>2044</v>
      </c>
      <c r="B695" s="9" t="s">
        <v>1231</v>
      </c>
      <c r="C695" s="9" t="b">
        <f>TRUE()</f>
        <v>1</v>
      </c>
      <c r="D695" s="10">
        <v>45749</v>
      </c>
      <c r="E695" s="10">
        <v>45748</v>
      </c>
      <c r="F695" s="9" t="s">
        <v>1373</v>
      </c>
      <c r="G695" s="11">
        <v>54731.18</v>
      </c>
      <c r="H695" s="11">
        <v>1121.9100000000001</v>
      </c>
      <c r="I695" s="9" t="b">
        <f>TRUE()</f>
        <v>1</v>
      </c>
      <c r="J695" s="9" t="s">
        <v>1361</v>
      </c>
      <c r="K695" s="11">
        <v>1121.9100000000001</v>
      </c>
      <c r="L695" s="9" t="s">
        <v>19</v>
      </c>
      <c r="M695" s="9" t="str">
        <f>IFERROR(INDEX(T_CleanCustomers[Sales_Rep_ID],MATCH(B695,T_CleanCustomers[Customer_ID],0)),"Unmatched")</f>
        <v>REP014</v>
      </c>
      <c r="N695" s="9" t="str">
        <f>IFERROR(INDEX(T_CleanCustomers[Channel],MATCH(B695,T_CleanCustomers[Customer_ID],0)),"Unmatched")</f>
        <v>Direct Sales</v>
      </c>
      <c r="O695" s="9" t="str">
        <f>IFERROR(INDEX(T_CleanCustomers[Product],MATCH(B695,T_CleanCustomers[Customer_ID],0)),"Unmatched")</f>
        <v>Toll Solution</v>
      </c>
      <c r="P695" s="9" t="str">
        <f>IFERROR(INDEX(T_CleanCustomers[Customer_Segment],MATCH(B695,T_CleanCustomers[Customer_ID],0)),"Unmatched")</f>
        <v>Enterprise</v>
      </c>
    </row>
    <row r="696" spans="1:16" ht="15" customHeight="1" x14ac:dyDescent="0.2">
      <c r="A696" s="9" t="s">
        <v>2045</v>
      </c>
      <c r="B696" s="9" t="s">
        <v>1231</v>
      </c>
      <c r="C696" s="9" t="b">
        <f>TRUE()</f>
        <v>1</v>
      </c>
      <c r="D696" s="10">
        <v>45768</v>
      </c>
      <c r="E696" s="10">
        <v>45748</v>
      </c>
      <c r="F696" s="9" t="s">
        <v>1373</v>
      </c>
      <c r="G696" s="11">
        <v>34118.46</v>
      </c>
      <c r="H696" s="11">
        <v>691.02</v>
      </c>
      <c r="I696" s="9" t="b">
        <f>TRUE()</f>
        <v>1</v>
      </c>
      <c r="J696" s="9" t="s">
        <v>1361</v>
      </c>
      <c r="K696" s="11">
        <v>691.02</v>
      </c>
      <c r="L696" s="9" t="s">
        <v>19</v>
      </c>
      <c r="M696" s="9" t="str">
        <f>IFERROR(INDEX(T_CleanCustomers[Sales_Rep_ID],MATCH(B696,T_CleanCustomers[Customer_ID],0)),"Unmatched")</f>
        <v>REP014</v>
      </c>
      <c r="N696" s="9" t="str">
        <f>IFERROR(INDEX(T_CleanCustomers[Channel],MATCH(B696,T_CleanCustomers[Customer_ID],0)),"Unmatched")</f>
        <v>Direct Sales</v>
      </c>
      <c r="O696" s="9" t="str">
        <f>IFERROR(INDEX(T_CleanCustomers[Product],MATCH(B696,T_CleanCustomers[Customer_ID],0)),"Unmatched")</f>
        <v>Toll Solution</v>
      </c>
      <c r="P696" s="9" t="str">
        <f>IFERROR(INDEX(T_CleanCustomers[Customer_Segment],MATCH(B696,T_CleanCustomers[Customer_ID],0)),"Unmatched")</f>
        <v>Enterprise</v>
      </c>
    </row>
    <row r="697" spans="1:16" ht="15" customHeight="1" x14ac:dyDescent="0.2">
      <c r="A697" s="9" t="s">
        <v>2046</v>
      </c>
      <c r="B697" s="9" t="s">
        <v>1231</v>
      </c>
      <c r="C697" s="9" t="b">
        <f>TRUE()</f>
        <v>1</v>
      </c>
      <c r="D697" s="10">
        <v>45767</v>
      </c>
      <c r="E697" s="10">
        <v>45748</v>
      </c>
      <c r="F697" s="9" t="s">
        <v>1373</v>
      </c>
      <c r="G697" s="11">
        <v>50442.16</v>
      </c>
      <c r="H697" s="11">
        <v>866.19</v>
      </c>
      <c r="I697" s="9" t="b">
        <f>TRUE()</f>
        <v>1</v>
      </c>
      <c r="J697" s="9" t="s">
        <v>1361</v>
      </c>
      <c r="K697" s="11">
        <v>866.19</v>
      </c>
      <c r="L697" s="9" t="s">
        <v>19</v>
      </c>
      <c r="M697" s="9" t="str">
        <f>IFERROR(INDEX(T_CleanCustomers[Sales_Rep_ID],MATCH(B697,T_CleanCustomers[Customer_ID],0)),"Unmatched")</f>
        <v>REP014</v>
      </c>
      <c r="N697" s="9" t="str">
        <f>IFERROR(INDEX(T_CleanCustomers[Channel],MATCH(B697,T_CleanCustomers[Customer_ID],0)),"Unmatched")</f>
        <v>Direct Sales</v>
      </c>
      <c r="O697" s="9" t="str">
        <f>IFERROR(INDEX(T_CleanCustomers[Product],MATCH(B697,T_CleanCustomers[Customer_ID],0)),"Unmatched")</f>
        <v>Toll Solution</v>
      </c>
      <c r="P697" s="9" t="str">
        <f>IFERROR(INDEX(T_CleanCustomers[Customer_Segment],MATCH(B697,T_CleanCustomers[Customer_ID],0)),"Unmatched")</f>
        <v>Enterprise</v>
      </c>
    </row>
    <row r="698" spans="1:16" ht="15" customHeight="1" x14ac:dyDescent="0.2">
      <c r="A698" s="9" t="s">
        <v>2047</v>
      </c>
      <c r="B698" s="9" t="s">
        <v>1231</v>
      </c>
      <c r="C698" s="9" t="b">
        <f>TRUE()</f>
        <v>1</v>
      </c>
      <c r="D698" s="10">
        <v>45808</v>
      </c>
      <c r="E698" s="10">
        <v>45778</v>
      </c>
      <c r="F698" s="9" t="s">
        <v>1373</v>
      </c>
      <c r="G698" s="11">
        <v>36716.47</v>
      </c>
      <c r="H698" s="11">
        <v>646.04</v>
      </c>
      <c r="I698" s="9" t="b">
        <f>TRUE()</f>
        <v>1</v>
      </c>
      <c r="J698" s="9" t="s">
        <v>1361</v>
      </c>
      <c r="K698" s="11">
        <v>646.04</v>
      </c>
      <c r="L698" s="9" t="s">
        <v>19</v>
      </c>
      <c r="M698" s="9" t="str">
        <f>IFERROR(INDEX(T_CleanCustomers[Sales_Rep_ID],MATCH(B698,T_CleanCustomers[Customer_ID],0)),"Unmatched")</f>
        <v>REP014</v>
      </c>
      <c r="N698" s="9" t="str">
        <f>IFERROR(INDEX(T_CleanCustomers[Channel],MATCH(B698,T_CleanCustomers[Customer_ID],0)),"Unmatched")</f>
        <v>Direct Sales</v>
      </c>
      <c r="O698" s="9" t="str">
        <f>IFERROR(INDEX(T_CleanCustomers[Product],MATCH(B698,T_CleanCustomers[Customer_ID],0)),"Unmatched")</f>
        <v>Toll Solution</v>
      </c>
      <c r="P698" s="9" t="str">
        <f>IFERROR(INDEX(T_CleanCustomers[Customer_Segment],MATCH(B698,T_CleanCustomers[Customer_ID],0)),"Unmatched")</f>
        <v>Enterprise</v>
      </c>
    </row>
    <row r="699" spans="1:16" ht="15" customHeight="1" x14ac:dyDescent="0.2">
      <c r="A699" s="9" t="s">
        <v>2048</v>
      </c>
      <c r="B699" s="9" t="s">
        <v>1231</v>
      </c>
      <c r="C699" s="9" t="b">
        <f>TRUE()</f>
        <v>1</v>
      </c>
      <c r="D699" s="10">
        <v>45793</v>
      </c>
      <c r="E699" s="10">
        <v>45778</v>
      </c>
      <c r="F699" s="9" t="s">
        <v>1373</v>
      </c>
      <c r="G699" s="11">
        <v>55486.94</v>
      </c>
      <c r="H699" s="11">
        <v>863.01</v>
      </c>
      <c r="I699" s="9" t="b">
        <f>TRUE()</f>
        <v>1</v>
      </c>
      <c r="J699" s="9" t="s">
        <v>1361</v>
      </c>
      <c r="K699" s="11">
        <v>863.01</v>
      </c>
      <c r="L699" s="9" t="s">
        <v>19</v>
      </c>
      <c r="M699" s="9" t="str">
        <f>IFERROR(INDEX(T_CleanCustomers[Sales_Rep_ID],MATCH(B699,T_CleanCustomers[Customer_ID],0)),"Unmatched")</f>
        <v>REP014</v>
      </c>
      <c r="N699" s="9" t="str">
        <f>IFERROR(INDEX(T_CleanCustomers[Channel],MATCH(B699,T_CleanCustomers[Customer_ID],0)),"Unmatched")</f>
        <v>Direct Sales</v>
      </c>
      <c r="O699" s="9" t="str">
        <f>IFERROR(INDEX(T_CleanCustomers[Product],MATCH(B699,T_CleanCustomers[Customer_ID],0)),"Unmatched")</f>
        <v>Toll Solution</v>
      </c>
      <c r="P699" s="9" t="str">
        <f>IFERROR(INDEX(T_CleanCustomers[Customer_Segment],MATCH(B699,T_CleanCustomers[Customer_ID],0)),"Unmatched")</f>
        <v>Enterprise</v>
      </c>
    </row>
    <row r="700" spans="1:16" ht="15" customHeight="1" x14ac:dyDescent="0.2">
      <c r="A700" s="9" t="s">
        <v>2049</v>
      </c>
      <c r="B700" s="9" t="s">
        <v>1231</v>
      </c>
      <c r="C700" s="9" t="b">
        <f>TRUE()</f>
        <v>1</v>
      </c>
      <c r="D700" s="10">
        <v>45830</v>
      </c>
      <c r="E700" s="10">
        <v>45809</v>
      </c>
      <c r="F700" s="9" t="s">
        <v>1373</v>
      </c>
      <c r="G700" s="11">
        <v>59330.22</v>
      </c>
      <c r="H700" s="11">
        <v>980.8</v>
      </c>
      <c r="I700" s="9" t="b">
        <f>TRUE()</f>
        <v>1</v>
      </c>
      <c r="J700" s="9" t="s">
        <v>1361</v>
      </c>
      <c r="K700" s="11">
        <v>980.8</v>
      </c>
      <c r="L700" s="9" t="s">
        <v>19</v>
      </c>
      <c r="M700" s="9" t="str">
        <f>IFERROR(INDEX(T_CleanCustomers[Sales_Rep_ID],MATCH(B700,T_CleanCustomers[Customer_ID],0)),"Unmatched")</f>
        <v>REP014</v>
      </c>
      <c r="N700" s="9" t="str">
        <f>IFERROR(INDEX(T_CleanCustomers[Channel],MATCH(B700,T_CleanCustomers[Customer_ID],0)),"Unmatched")</f>
        <v>Direct Sales</v>
      </c>
      <c r="O700" s="9" t="str">
        <f>IFERROR(INDEX(T_CleanCustomers[Product],MATCH(B700,T_CleanCustomers[Customer_ID],0)),"Unmatched")</f>
        <v>Toll Solution</v>
      </c>
      <c r="P700" s="9" t="str">
        <f>IFERROR(INDEX(T_CleanCustomers[Customer_Segment],MATCH(B700,T_CleanCustomers[Customer_ID],0)),"Unmatched")</f>
        <v>Enterprise</v>
      </c>
    </row>
    <row r="701" spans="1:16" ht="15" customHeight="1" x14ac:dyDescent="0.2">
      <c r="A701" s="9" t="s">
        <v>2050</v>
      </c>
      <c r="B701" s="9" t="s">
        <v>1231</v>
      </c>
      <c r="C701" s="9" t="b">
        <f>TRUE()</f>
        <v>1</v>
      </c>
      <c r="D701" s="10">
        <v>45836</v>
      </c>
      <c r="E701" s="10">
        <v>45809</v>
      </c>
      <c r="F701" s="9" t="s">
        <v>1373</v>
      </c>
      <c r="G701" s="11">
        <v>31756.33</v>
      </c>
      <c r="H701" s="11">
        <v>0</v>
      </c>
      <c r="I701" s="9" t="b">
        <f>TRUE()</f>
        <v>1</v>
      </c>
      <c r="J701" s="9" t="s">
        <v>1408</v>
      </c>
      <c r="K701" s="11">
        <v>0</v>
      </c>
      <c r="L701" s="9" t="s">
        <v>19</v>
      </c>
      <c r="M701" s="9" t="str">
        <f>IFERROR(INDEX(T_CleanCustomers[Sales_Rep_ID],MATCH(B701,T_CleanCustomers[Customer_ID],0)),"Unmatched")</f>
        <v>REP014</v>
      </c>
      <c r="N701" s="9" t="str">
        <f>IFERROR(INDEX(T_CleanCustomers[Channel],MATCH(B701,T_CleanCustomers[Customer_ID],0)),"Unmatched")</f>
        <v>Direct Sales</v>
      </c>
      <c r="O701" s="9" t="str">
        <f>IFERROR(INDEX(T_CleanCustomers[Product],MATCH(B701,T_CleanCustomers[Customer_ID],0)),"Unmatched")</f>
        <v>Toll Solution</v>
      </c>
      <c r="P701" s="9" t="str">
        <f>IFERROR(INDEX(T_CleanCustomers[Customer_Segment],MATCH(B701,T_CleanCustomers[Customer_ID],0)),"Unmatched")</f>
        <v>Enterprise</v>
      </c>
    </row>
    <row r="702" spans="1:16" ht="15" customHeight="1" x14ac:dyDescent="0.2">
      <c r="A702" s="9" t="s">
        <v>2051</v>
      </c>
      <c r="B702" s="9" t="s">
        <v>1231</v>
      </c>
      <c r="C702" s="9" t="b">
        <f>TRUE()</f>
        <v>1</v>
      </c>
      <c r="D702" s="10">
        <v>45819</v>
      </c>
      <c r="E702" s="10">
        <v>45809</v>
      </c>
      <c r="F702" s="9" t="s">
        <v>1373</v>
      </c>
      <c r="G702" s="11">
        <v>44029.59</v>
      </c>
      <c r="H702" s="11">
        <v>684.61</v>
      </c>
      <c r="I702" s="9" t="b">
        <f>TRUE()</f>
        <v>1</v>
      </c>
      <c r="J702" s="9" t="s">
        <v>1361</v>
      </c>
      <c r="K702" s="11">
        <v>684.61</v>
      </c>
      <c r="L702" s="9" t="s">
        <v>19</v>
      </c>
      <c r="M702" s="9" t="str">
        <f>IFERROR(INDEX(T_CleanCustomers[Sales_Rep_ID],MATCH(B702,T_CleanCustomers[Customer_ID],0)),"Unmatched")</f>
        <v>REP014</v>
      </c>
      <c r="N702" s="9" t="str">
        <f>IFERROR(INDEX(T_CleanCustomers[Channel],MATCH(B702,T_CleanCustomers[Customer_ID],0)),"Unmatched")</f>
        <v>Direct Sales</v>
      </c>
      <c r="O702" s="9" t="str">
        <f>IFERROR(INDEX(T_CleanCustomers[Product],MATCH(B702,T_CleanCustomers[Customer_ID],0)),"Unmatched")</f>
        <v>Toll Solution</v>
      </c>
      <c r="P702" s="9" t="str">
        <f>IFERROR(INDEX(T_CleanCustomers[Customer_Segment],MATCH(B702,T_CleanCustomers[Customer_ID],0)),"Unmatched")</f>
        <v>Enterprise</v>
      </c>
    </row>
    <row r="703" spans="1:16" ht="15" customHeight="1" x14ac:dyDescent="0.2">
      <c r="A703" s="9" t="s">
        <v>2052</v>
      </c>
      <c r="B703" s="9" t="s">
        <v>1231</v>
      </c>
      <c r="C703" s="9" t="b">
        <f>TRUE()</f>
        <v>1</v>
      </c>
      <c r="D703" s="10">
        <v>45864</v>
      </c>
      <c r="E703" s="10">
        <v>45839</v>
      </c>
      <c r="F703" s="9" t="s">
        <v>1373</v>
      </c>
      <c r="G703" s="11">
        <v>55527.27</v>
      </c>
      <c r="H703" s="11">
        <v>1065.95</v>
      </c>
      <c r="I703" s="9" t="b">
        <f>TRUE()</f>
        <v>1</v>
      </c>
      <c r="J703" s="9" t="s">
        <v>1361</v>
      </c>
      <c r="K703" s="11">
        <v>1065.95</v>
      </c>
      <c r="L703" s="9" t="s">
        <v>19</v>
      </c>
      <c r="M703" s="9" t="str">
        <f>IFERROR(INDEX(T_CleanCustomers[Sales_Rep_ID],MATCH(B703,T_CleanCustomers[Customer_ID],0)),"Unmatched")</f>
        <v>REP014</v>
      </c>
      <c r="N703" s="9" t="str">
        <f>IFERROR(INDEX(T_CleanCustomers[Channel],MATCH(B703,T_CleanCustomers[Customer_ID],0)),"Unmatched")</f>
        <v>Direct Sales</v>
      </c>
      <c r="O703" s="9" t="str">
        <f>IFERROR(INDEX(T_CleanCustomers[Product],MATCH(B703,T_CleanCustomers[Customer_ID],0)),"Unmatched")</f>
        <v>Toll Solution</v>
      </c>
      <c r="P703" s="9" t="str">
        <f>IFERROR(INDEX(T_CleanCustomers[Customer_Segment],MATCH(B703,T_CleanCustomers[Customer_ID],0)),"Unmatched")</f>
        <v>Enterprise</v>
      </c>
    </row>
    <row r="704" spans="1:16" ht="15" customHeight="1" x14ac:dyDescent="0.2">
      <c r="A704" s="9" t="s">
        <v>2053</v>
      </c>
      <c r="B704" s="9" t="s">
        <v>1231</v>
      </c>
      <c r="C704" s="9" t="b">
        <f>TRUE()</f>
        <v>1</v>
      </c>
      <c r="D704" s="10">
        <v>45885</v>
      </c>
      <c r="E704" s="10">
        <v>45870</v>
      </c>
      <c r="F704" s="9" t="s">
        <v>1373</v>
      </c>
      <c r="G704" s="11">
        <v>27373.61</v>
      </c>
      <c r="H704" s="11">
        <v>432.06</v>
      </c>
      <c r="I704" s="9" t="b">
        <f>TRUE()</f>
        <v>1</v>
      </c>
      <c r="J704" s="9" t="s">
        <v>1361</v>
      </c>
      <c r="K704" s="11">
        <v>432.06</v>
      </c>
      <c r="L704" s="9" t="s">
        <v>19</v>
      </c>
      <c r="M704" s="9" t="str">
        <f>IFERROR(INDEX(T_CleanCustomers[Sales_Rep_ID],MATCH(B704,T_CleanCustomers[Customer_ID],0)),"Unmatched")</f>
        <v>REP014</v>
      </c>
      <c r="N704" s="9" t="str">
        <f>IFERROR(INDEX(T_CleanCustomers[Channel],MATCH(B704,T_CleanCustomers[Customer_ID],0)),"Unmatched")</f>
        <v>Direct Sales</v>
      </c>
      <c r="O704" s="9" t="str">
        <f>IFERROR(INDEX(T_CleanCustomers[Product],MATCH(B704,T_CleanCustomers[Customer_ID],0)),"Unmatched")</f>
        <v>Toll Solution</v>
      </c>
      <c r="P704" s="9" t="str">
        <f>IFERROR(INDEX(T_CleanCustomers[Customer_Segment],MATCH(B704,T_CleanCustomers[Customer_ID],0)),"Unmatched")</f>
        <v>Enterprise</v>
      </c>
    </row>
    <row r="705" spans="1:16" ht="15" customHeight="1" x14ac:dyDescent="0.2">
      <c r="A705" s="9" t="s">
        <v>2054</v>
      </c>
      <c r="B705" s="9" t="s">
        <v>1231</v>
      </c>
      <c r="C705" s="9" t="b">
        <f>TRUE()</f>
        <v>1</v>
      </c>
      <c r="D705" s="10">
        <v>45917</v>
      </c>
      <c r="E705" s="10">
        <v>45901</v>
      </c>
      <c r="F705" s="9" t="s">
        <v>1373</v>
      </c>
      <c r="G705" s="11">
        <v>43073.63</v>
      </c>
      <c r="H705" s="11">
        <v>765.95</v>
      </c>
      <c r="I705" s="9" t="b">
        <f>TRUE()</f>
        <v>1</v>
      </c>
      <c r="J705" s="9" t="s">
        <v>1361</v>
      </c>
      <c r="K705" s="11">
        <v>765.95</v>
      </c>
      <c r="L705" s="9" t="s">
        <v>19</v>
      </c>
      <c r="M705" s="9" t="str">
        <f>IFERROR(INDEX(T_CleanCustomers[Sales_Rep_ID],MATCH(B705,T_CleanCustomers[Customer_ID],0)),"Unmatched")</f>
        <v>REP014</v>
      </c>
      <c r="N705" s="9" t="str">
        <f>IFERROR(INDEX(T_CleanCustomers[Channel],MATCH(B705,T_CleanCustomers[Customer_ID],0)),"Unmatched")</f>
        <v>Direct Sales</v>
      </c>
      <c r="O705" s="9" t="str">
        <f>IFERROR(INDEX(T_CleanCustomers[Product],MATCH(B705,T_CleanCustomers[Customer_ID],0)),"Unmatched")</f>
        <v>Toll Solution</v>
      </c>
      <c r="P705" s="9" t="str">
        <f>IFERROR(INDEX(T_CleanCustomers[Customer_Segment],MATCH(B705,T_CleanCustomers[Customer_ID],0)),"Unmatched")</f>
        <v>Enterprise</v>
      </c>
    </row>
    <row r="706" spans="1:16" ht="15" customHeight="1" x14ac:dyDescent="0.2">
      <c r="A706" s="9" t="s">
        <v>2055</v>
      </c>
      <c r="B706" s="9" t="s">
        <v>1231</v>
      </c>
      <c r="C706" s="9" t="b">
        <f>TRUE()</f>
        <v>1</v>
      </c>
      <c r="D706" s="10">
        <v>45925</v>
      </c>
      <c r="E706" s="10">
        <v>45901</v>
      </c>
      <c r="F706" s="9" t="s">
        <v>1373</v>
      </c>
      <c r="G706" s="11">
        <v>21231.95</v>
      </c>
      <c r="H706" s="11">
        <v>337.5</v>
      </c>
      <c r="I706" s="9" t="b">
        <f>TRUE()</f>
        <v>1</v>
      </c>
      <c r="J706" s="9" t="s">
        <v>1361</v>
      </c>
      <c r="K706" s="11">
        <v>337.5</v>
      </c>
      <c r="L706" s="9" t="s">
        <v>19</v>
      </c>
      <c r="M706" s="9" t="str">
        <f>IFERROR(INDEX(T_CleanCustomers[Sales_Rep_ID],MATCH(B706,T_CleanCustomers[Customer_ID],0)),"Unmatched")</f>
        <v>REP014</v>
      </c>
      <c r="N706" s="9" t="str">
        <f>IFERROR(INDEX(T_CleanCustomers[Channel],MATCH(B706,T_CleanCustomers[Customer_ID],0)),"Unmatched")</f>
        <v>Direct Sales</v>
      </c>
      <c r="O706" s="9" t="str">
        <f>IFERROR(INDEX(T_CleanCustomers[Product],MATCH(B706,T_CleanCustomers[Customer_ID],0)),"Unmatched")</f>
        <v>Toll Solution</v>
      </c>
      <c r="P706" s="9" t="str">
        <f>IFERROR(INDEX(T_CleanCustomers[Customer_Segment],MATCH(B706,T_CleanCustomers[Customer_ID],0)),"Unmatched")</f>
        <v>Enterprise</v>
      </c>
    </row>
    <row r="707" spans="1:16" ht="15" customHeight="1" x14ac:dyDescent="0.2">
      <c r="A707" s="9" t="s">
        <v>2056</v>
      </c>
      <c r="B707" s="9" t="s">
        <v>1231</v>
      </c>
      <c r="C707" s="9" t="b">
        <f>TRUE()</f>
        <v>1</v>
      </c>
      <c r="D707" s="10">
        <v>45932</v>
      </c>
      <c r="E707" s="10">
        <v>45931</v>
      </c>
      <c r="F707" s="9" t="s">
        <v>1373</v>
      </c>
      <c r="G707" s="11">
        <v>41349.58</v>
      </c>
      <c r="H707" s="11">
        <v>673.55</v>
      </c>
      <c r="I707" s="9" t="b">
        <f>TRUE()</f>
        <v>1</v>
      </c>
      <c r="J707" s="9" t="s">
        <v>1361</v>
      </c>
      <c r="K707" s="11">
        <v>673.55</v>
      </c>
      <c r="L707" s="9" t="s">
        <v>19</v>
      </c>
      <c r="M707" s="9" t="str">
        <f>IFERROR(INDEX(T_CleanCustomers[Sales_Rep_ID],MATCH(B707,T_CleanCustomers[Customer_ID],0)),"Unmatched")</f>
        <v>REP014</v>
      </c>
      <c r="N707" s="9" t="str">
        <f>IFERROR(INDEX(T_CleanCustomers[Channel],MATCH(B707,T_CleanCustomers[Customer_ID],0)),"Unmatched")</f>
        <v>Direct Sales</v>
      </c>
      <c r="O707" s="9" t="str">
        <f>IFERROR(INDEX(T_CleanCustomers[Product],MATCH(B707,T_CleanCustomers[Customer_ID],0)),"Unmatched")</f>
        <v>Toll Solution</v>
      </c>
      <c r="P707" s="9" t="str">
        <f>IFERROR(INDEX(T_CleanCustomers[Customer_Segment],MATCH(B707,T_CleanCustomers[Customer_ID],0)),"Unmatched")</f>
        <v>Enterprise</v>
      </c>
    </row>
    <row r="708" spans="1:16" ht="15" customHeight="1" x14ac:dyDescent="0.2">
      <c r="A708" s="9" t="s">
        <v>2057</v>
      </c>
      <c r="B708" s="9" t="s">
        <v>1231</v>
      </c>
      <c r="C708" s="9" t="b">
        <f>TRUE()</f>
        <v>1</v>
      </c>
      <c r="D708" s="10">
        <v>45986</v>
      </c>
      <c r="E708" s="10">
        <v>45962</v>
      </c>
      <c r="F708" s="9" t="s">
        <v>1373</v>
      </c>
      <c r="G708" s="11">
        <v>15207.16</v>
      </c>
      <c r="H708" s="11">
        <v>275.67</v>
      </c>
      <c r="I708" s="9" t="b">
        <f>TRUE()</f>
        <v>1</v>
      </c>
      <c r="J708" s="9" t="s">
        <v>1361</v>
      </c>
      <c r="K708" s="11">
        <v>275.67</v>
      </c>
      <c r="L708" s="9" t="s">
        <v>19</v>
      </c>
      <c r="M708" s="9" t="str">
        <f>IFERROR(INDEX(T_CleanCustomers[Sales_Rep_ID],MATCH(B708,T_CleanCustomers[Customer_ID],0)),"Unmatched")</f>
        <v>REP014</v>
      </c>
      <c r="N708" s="9" t="str">
        <f>IFERROR(INDEX(T_CleanCustomers[Channel],MATCH(B708,T_CleanCustomers[Customer_ID],0)),"Unmatched")</f>
        <v>Direct Sales</v>
      </c>
      <c r="O708" s="9" t="str">
        <f>IFERROR(INDEX(T_CleanCustomers[Product],MATCH(B708,T_CleanCustomers[Customer_ID],0)),"Unmatched")</f>
        <v>Toll Solution</v>
      </c>
      <c r="P708" s="9" t="str">
        <f>IFERROR(INDEX(T_CleanCustomers[Customer_Segment],MATCH(B708,T_CleanCustomers[Customer_ID],0)),"Unmatched")</f>
        <v>Enterprise</v>
      </c>
    </row>
    <row r="709" spans="1:16" ht="15" customHeight="1" x14ac:dyDescent="0.2">
      <c r="A709" s="9" t="s">
        <v>2058</v>
      </c>
      <c r="B709" s="9" t="s">
        <v>1231</v>
      </c>
      <c r="C709" s="9" t="b">
        <f>TRUE()</f>
        <v>1</v>
      </c>
      <c r="D709" s="10">
        <v>45972</v>
      </c>
      <c r="E709" s="10">
        <v>45962</v>
      </c>
      <c r="F709" s="9" t="s">
        <v>1373</v>
      </c>
      <c r="G709" s="11">
        <v>17628.2</v>
      </c>
      <c r="H709" s="11">
        <v>341.33</v>
      </c>
      <c r="I709" s="9" t="b">
        <f>TRUE()</f>
        <v>1</v>
      </c>
      <c r="J709" s="9" t="s">
        <v>1361</v>
      </c>
      <c r="K709" s="11">
        <v>341.33</v>
      </c>
      <c r="L709" s="9" t="s">
        <v>19</v>
      </c>
      <c r="M709" s="9" t="str">
        <f>IFERROR(INDEX(T_CleanCustomers[Sales_Rep_ID],MATCH(B709,T_CleanCustomers[Customer_ID],0)),"Unmatched")</f>
        <v>REP014</v>
      </c>
      <c r="N709" s="9" t="str">
        <f>IFERROR(INDEX(T_CleanCustomers[Channel],MATCH(B709,T_CleanCustomers[Customer_ID],0)),"Unmatched")</f>
        <v>Direct Sales</v>
      </c>
      <c r="O709" s="9" t="str">
        <f>IFERROR(INDEX(T_CleanCustomers[Product],MATCH(B709,T_CleanCustomers[Customer_ID],0)),"Unmatched")</f>
        <v>Toll Solution</v>
      </c>
      <c r="P709" s="9" t="str">
        <f>IFERROR(INDEX(T_CleanCustomers[Customer_Segment],MATCH(B709,T_CleanCustomers[Customer_ID],0)),"Unmatched")</f>
        <v>Enterprise</v>
      </c>
    </row>
    <row r="710" spans="1:16" ht="15" customHeight="1" x14ac:dyDescent="0.2">
      <c r="A710" s="9" t="s">
        <v>2059</v>
      </c>
      <c r="B710" s="9" t="s">
        <v>1231</v>
      </c>
      <c r="C710" s="9" t="b">
        <f>TRUE()</f>
        <v>1</v>
      </c>
      <c r="D710" s="10">
        <v>46011</v>
      </c>
      <c r="E710" s="10">
        <v>45992</v>
      </c>
      <c r="F710" s="9" t="s">
        <v>1373</v>
      </c>
      <c r="G710" s="11">
        <v>24930.61</v>
      </c>
      <c r="H710" s="11">
        <v>493.07</v>
      </c>
      <c r="I710" s="9" t="b">
        <f>TRUE()</f>
        <v>1</v>
      </c>
      <c r="J710" s="9" t="s">
        <v>1361</v>
      </c>
      <c r="K710" s="11">
        <v>493.07</v>
      </c>
      <c r="L710" s="9" t="s">
        <v>19</v>
      </c>
      <c r="M710" s="9" t="str">
        <f>IFERROR(INDEX(T_CleanCustomers[Sales_Rep_ID],MATCH(B710,T_CleanCustomers[Customer_ID],0)),"Unmatched")</f>
        <v>REP014</v>
      </c>
      <c r="N710" s="9" t="str">
        <f>IFERROR(INDEX(T_CleanCustomers[Channel],MATCH(B710,T_CleanCustomers[Customer_ID],0)),"Unmatched")</f>
        <v>Direct Sales</v>
      </c>
      <c r="O710" s="9" t="str">
        <f>IFERROR(INDEX(T_CleanCustomers[Product],MATCH(B710,T_CleanCustomers[Customer_ID],0)),"Unmatched")</f>
        <v>Toll Solution</v>
      </c>
      <c r="P710" s="9" t="str">
        <f>IFERROR(INDEX(T_CleanCustomers[Customer_Segment],MATCH(B710,T_CleanCustomers[Customer_ID],0)),"Unmatched")</f>
        <v>Enterprise</v>
      </c>
    </row>
    <row r="711" spans="1:16" ht="15" customHeight="1" x14ac:dyDescent="0.2">
      <c r="A711" s="9" t="s">
        <v>2060</v>
      </c>
      <c r="B711" s="9" t="s">
        <v>1232</v>
      </c>
      <c r="C711" s="9" t="b">
        <f>TRUE()</f>
        <v>1</v>
      </c>
      <c r="D711" s="10">
        <v>45745</v>
      </c>
      <c r="E711" s="10">
        <v>45717</v>
      </c>
      <c r="F711" s="9" t="s">
        <v>1360</v>
      </c>
      <c r="G711" s="11">
        <v>22018.03</v>
      </c>
      <c r="H711" s="11">
        <v>498.61</v>
      </c>
      <c r="I711" s="9" t="b">
        <f>TRUE()</f>
        <v>1</v>
      </c>
      <c r="J711" s="9" t="s">
        <v>1361</v>
      </c>
      <c r="K711" s="11">
        <v>498.61</v>
      </c>
      <c r="L711" s="9" t="s">
        <v>18</v>
      </c>
      <c r="M711" s="9" t="str">
        <f>IFERROR(INDEX(T_CleanCustomers[Sales_Rep_ID],MATCH(B711,T_CleanCustomers[Customer_ID],0)),"Unmatched")</f>
        <v>REP011</v>
      </c>
      <c r="N711" s="9" t="str">
        <f>IFERROR(INDEX(T_CleanCustomers[Channel],MATCH(B711,T_CleanCustomers[Customer_ID],0)),"Unmatched")</f>
        <v>Telesales</v>
      </c>
      <c r="O711" s="9" t="str">
        <f>IFERROR(INDEX(T_CleanCustomers[Product],MATCH(B711,T_CleanCustomers[Customer_ID],0)),"Unmatched")</f>
        <v>Fuel Card</v>
      </c>
      <c r="P711" s="9" t="str">
        <f>IFERROR(INDEX(T_CleanCustomers[Customer_Segment],MATCH(B711,T_CleanCustomers[Customer_ID],0)),"Unmatched")</f>
        <v>Enterprise</v>
      </c>
    </row>
    <row r="712" spans="1:16" ht="15" customHeight="1" x14ac:dyDescent="0.2">
      <c r="A712" s="9" t="s">
        <v>2061</v>
      </c>
      <c r="B712" s="9" t="s">
        <v>1232</v>
      </c>
      <c r="C712" s="9" t="b">
        <f>TRUE()</f>
        <v>1</v>
      </c>
      <c r="D712" s="10">
        <v>45746</v>
      </c>
      <c r="E712" s="10">
        <v>45717</v>
      </c>
      <c r="F712" s="9" t="s">
        <v>1360</v>
      </c>
      <c r="G712" s="11">
        <v>40836.79</v>
      </c>
      <c r="H712" s="11">
        <v>964.2</v>
      </c>
      <c r="I712" s="9" t="b">
        <f>TRUE()</f>
        <v>1</v>
      </c>
      <c r="J712" s="9" t="s">
        <v>1361</v>
      </c>
      <c r="K712" s="11">
        <v>964.2</v>
      </c>
      <c r="L712" s="9" t="s">
        <v>18</v>
      </c>
      <c r="M712" s="9" t="str">
        <f>IFERROR(INDEX(T_CleanCustomers[Sales_Rep_ID],MATCH(B712,T_CleanCustomers[Customer_ID],0)),"Unmatched")</f>
        <v>REP011</v>
      </c>
      <c r="N712" s="9" t="str">
        <f>IFERROR(INDEX(T_CleanCustomers[Channel],MATCH(B712,T_CleanCustomers[Customer_ID],0)),"Unmatched")</f>
        <v>Telesales</v>
      </c>
      <c r="O712" s="9" t="str">
        <f>IFERROR(INDEX(T_CleanCustomers[Product],MATCH(B712,T_CleanCustomers[Customer_ID],0)),"Unmatched")</f>
        <v>Fuel Card</v>
      </c>
      <c r="P712" s="9" t="str">
        <f>IFERROR(INDEX(T_CleanCustomers[Customer_Segment],MATCH(B712,T_CleanCustomers[Customer_ID],0)),"Unmatched")</f>
        <v>Enterprise</v>
      </c>
    </row>
    <row r="713" spans="1:16" ht="15" customHeight="1" x14ac:dyDescent="0.2">
      <c r="A713" s="9" t="s">
        <v>2062</v>
      </c>
      <c r="B713" s="9" t="s">
        <v>1232</v>
      </c>
      <c r="C713" s="9" t="b">
        <f>TRUE()</f>
        <v>1</v>
      </c>
      <c r="D713" s="10">
        <v>45732</v>
      </c>
      <c r="E713" s="10">
        <v>45717</v>
      </c>
      <c r="F713" s="9" t="s">
        <v>1360</v>
      </c>
      <c r="G713" s="11">
        <v>42850.49</v>
      </c>
      <c r="H713" s="11">
        <v>1100.01</v>
      </c>
      <c r="I713" s="9" t="b">
        <f>TRUE()</f>
        <v>1</v>
      </c>
      <c r="J713" s="9" t="s">
        <v>1361</v>
      </c>
      <c r="K713" s="11">
        <v>1100.01</v>
      </c>
      <c r="L713" s="9" t="s">
        <v>18</v>
      </c>
      <c r="M713" s="9" t="str">
        <f>IFERROR(INDEX(T_CleanCustomers[Sales_Rep_ID],MATCH(B713,T_CleanCustomers[Customer_ID],0)),"Unmatched")</f>
        <v>REP011</v>
      </c>
      <c r="N713" s="9" t="str">
        <f>IFERROR(INDEX(T_CleanCustomers[Channel],MATCH(B713,T_CleanCustomers[Customer_ID],0)),"Unmatched")</f>
        <v>Telesales</v>
      </c>
      <c r="O713" s="9" t="str">
        <f>IFERROR(INDEX(T_CleanCustomers[Product],MATCH(B713,T_CleanCustomers[Customer_ID],0)),"Unmatched")</f>
        <v>Fuel Card</v>
      </c>
      <c r="P713" s="9" t="str">
        <f>IFERROR(INDEX(T_CleanCustomers[Customer_Segment],MATCH(B713,T_CleanCustomers[Customer_ID],0)),"Unmatched")</f>
        <v>Enterprise</v>
      </c>
    </row>
    <row r="714" spans="1:16" ht="15" customHeight="1" x14ac:dyDescent="0.2">
      <c r="A714" s="9" t="s">
        <v>2063</v>
      </c>
      <c r="B714" s="9" t="s">
        <v>1232</v>
      </c>
      <c r="C714" s="9" t="b">
        <f>TRUE()</f>
        <v>1</v>
      </c>
      <c r="D714" s="10">
        <v>45764</v>
      </c>
      <c r="E714" s="10">
        <v>45748</v>
      </c>
      <c r="F714" s="9" t="s">
        <v>1360</v>
      </c>
      <c r="G714" s="11">
        <v>30295.33</v>
      </c>
      <c r="H714" s="11">
        <v>648.52</v>
      </c>
      <c r="I714" s="9" t="b">
        <f>TRUE()</f>
        <v>1</v>
      </c>
      <c r="J714" s="9" t="s">
        <v>1361</v>
      </c>
      <c r="K714" s="11">
        <v>648.52</v>
      </c>
      <c r="L714" s="9" t="s">
        <v>18</v>
      </c>
      <c r="M714" s="9" t="str">
        <f>IFERROR(INDEX(T_CleanCustomers[Sales_Rep_ID],MATCH(B714,T_CleanCustomers[Customer_ID],0)),"Unmatched")</f>
        <v>REP011</v>
      </c>
      <c r="N714" s="9" t="str">
        <f>IFERROR(INDEX(T_CleanCustomers[Channel],MATCH(B714,T_CleanCustomers[Customer_ID],0)),"Unmatched")</f>
        <v>Telesales</v>
      </c>
      <c r="O714" s="9" t="str">
        <f>IFERROR(INDEX(T_CleanCustomers[Product],MATCH(B714,T_CleanCustomers[Customer_ID],0)),"Unmatched")</f>
        <v>Fuel Card</v>
      </c>
      <c r="P714" s="9" t="str">
        <f>IFERROR(INDEX(T_CleanCustomers[Customer_Segment],MATCH(B714,T_CleanCustomers[Customer_ID],0)),"Unmatched")</f>
        <v>Enterprise</v>
      </c>
    </row>
    <row r="715" spans="1:16" ht="15" customHeight="1" x14ac:dyDescent="0.2">
      <c r="A715" s="9" t="s">
        <v>2064</v>
      </c>
      <c r="B715" s="9" t="s">
        <v>1232</v>
      </c>
      <c r="C715" s="9" t="b">
        <f>TRUE()</f>
        <v>1</v>
      </c>
      <c r="D715" s="10">
        <v>45756</v>
      </c>
      <c r="E715" s="10">
        <v>45748</v>
      </c>
      <c r="F715" s="9" t="s">
        <v>1360</v>
      </c>
      <c r="G715" s="11">
        <v>30598.53</v>
      </c>
      <c r="H715" s="11">
        <v>828.04</v>
      </c>
      <c r="I715" s="9" t="b">
        <f>TRUE()</f>
        <v>1</v>
      </c>
      <c r="J715" s="9" t="s">
        <v>1361</v>
      </c>
      <c r="K715" s="11">
        <v>828.04</v>
      </c>
      <c r="L715" s="9" t="s">
        <v>18</v>
      </c>
      <c r="M715" s="9" t="str">
        <f>IFERROR(INDEX(T_CleanCustomers[Sales_Rep_ID],MATCH(B715,T_CleanCustomers[Customer_ID],0)),"Unmatched")</f>
        <v>REP011</v>
      </c>
      <c r="N715" s="9" t="str">
        <f>IFERROR(INDEX(T_CleanCustomers[Channel],MATCH(B715,T_CleanCustomers[Customer_ID],0)),"Unmatched")</f>
        <v>Telesales</v>
      </c>
      <c r="O715" s="9" t="str">
        <f>IFERROR(INDEX(T_CleanCustomers[Product],MATCH(B715,T_CleanCustomers[Customer_ID],0)),"Unmatched")</f>
        <v>Fuel Card</v>
      </c>
      <c r="P715" s="9" t="str">
        <f>IFERROR(INDEX(T_CleanCustomers[Customer_Segment],MATCH(B715,T_CleanCustomers[Customer_ID],0)),"Unmatched")</f>
        <v>Enterprise</v>
      </c>
    </row>
    <row r="716" spans="1:16" ht="15" customHeight="1" x14ac:dyDescent="0.2">
      <c r="A716" s="9" t="s">
        <v>2065</v>
      </c>
      <c r="B716" s="9" t="s">
        <v>1232</v>
      </c>
      <c r="C716" s="9" t="b">
        <f>TRUE()</f>
        <v>1</v>
      </c>
      <c r="D716" s="10">
        <v>45777</v>
      </c>
      <c r="E716" s="10">
        <v>45748</v>
      </c>
      <c r="F716" s="9" t="s">
        <v>1360</v>
      </c>
      <c r="G716" s="11">
        <v>56533.29</v>
      </c>
      <c r="H716" s="11">
        <v>1376.42</v>
      </c>
      <c r="I716" s="9" t="b">
        <f>TRUE()</f>
        <v>1</v>
      </c>
      <c r="J716" s="9" t="s">
        <v>1361</v>
      </c>
      <c r="K716" s="11">
        <v>1376.42</v>
      </c>
      <c r="L716" s="9" t="s">
        <v>18</v>
      </c>
      <c r="M716" s="9" t="str">
        <f>IFERROR(INDEX(T_CleanCustomers[Sales_Rep_ID],MATCH(B716,T_CleanCustomers[Customer_ID],0)),"Unmatched")</f>
        <v>REP011</v>
      </c>
      <c r="N716" s="9" t="str">
        <f>IFERROR(INDEX(T_CleanCustomers[Channel],MATCH(B716,T_CleanCustomers[Customer_ID],0)),"Unmatched")</f>
        <v>Telesales</v>
      </c>
      <c r="O716" s="9" t="str">
        <f>IFERROR(INDEX(T_CleanCustomers[Product],MATCH(B716,T_CleanCustomers[Customer_ID],0)),"Unmatched")</f>
        <v>Fuel Card</v>
      </c>
      <c r="P716" s="9" t="str">
        <f>IFERROR(INDEX(T_CleanCustomers[Customer_Segment],MATCH(B716,T_CleanCustomers[Customer_ID],0)),"Unmatched")</f>
        <v>Enterprise</v>
      </c>
    </row>
    <row r="717" spans="1:16" ht="15" customHeight="1" x14ac:dyDescent="0.2">
      <c r="A717" s="9" t="s">
        <v>2066</v>
      </c>
      <c r="B717" s="9" t="s">
        <v>1232</v>
      </c>
      <c r="C717" s="9" t="b">
        <f>TRUE()</f>
        <v>1</v>
      </c>
      <c r="D717" s="10">
        <v>45778</v>
      </c>
      <c r="E717" s="10">
        <v>45778</v>
      </c>
      <c r="F717" s="9" t="s">
        <v>1360</v>
      </c>
      <c r="G717" s="11">
        <v>36761.46</v>
      </c>
      <c r="H717" s="11">
        <v>786.21</v>
      </c>
      <c r="I717" s="9" t="b">
        <f>TRUE()</f>
        <v>1</v>
      </c>
      <c r="J717" s="9" t="s">
        <v>1361</v>
      </c>
      <c r="K717" s="11">
        <v>786.21</v>
      </c>
      <c r="L717" s="9" t="s">
        <v>18</v>
      </c>
      <c r="M717" s="9" t="str">
        <f>IFERROR(INDEX(T_CleanCustomers[Sales_Rep_ID],MATCH(B717,T_CleanCustomers[Customer_ID],0)),"Unmatched")</f>
        <v>REP011</v>
      </c>
      <c r="N717" s="9" t="str">
        <f>IFERROR(INDEX(T_CleanCustomers[Channel],MATCH(B717,T_CleanCustomers[Customer_ID],0)),"Unmatched")</f>
        <v>Telesales</v>
      </c>
      <c r="O717" s="9" t="str">
        <f>IFERROR(INDEX(T_CleanCustomers[Product],MATCH(B717,T_CleanCustomers[Customer_ID],0)),"Unmatched")</f>
        <v>Fuel Card</v>
      </c>
      <c r="P717" s="9" t="str">
        <f>IFERROR(INDEX(T_CleanCustomers[Customer_Segment],MATCH(B717,T_CleanCustomers[Customer_ID],0)),"Unmatched")</f>
        <v>Enterprise</v>
      </c>
    </row>
    <row r="718" spans="1:16" ht="15" customHeight="1" x14ac:dyDescent="0.2">
      <c r="A718" s="9" t="s">
        <v>2067</v>
      </c>
      <c r="B718" s="9" t="s">
        <v>1232</v>
      </c>
      <c r="C718" s="9" t="b">
        <f>TRUE()</f>
        <v>1</v>
      </c>
      <c r="D718" s="10">
        <v>45785</v>
      </c>
      <c r="E718" s="10">
        <v>45778</v>
      </c>
      <c r="F718" s="9" t="s">
        <v>1360</v>
      </c>
      <c r="G718" s="11">
        <v>54082.42</v>
      </c>
      <c r="H718" s="11">
        <v>1472.01</v>
      </c>
      <c r="I718" s="9" t="b">
        <f>TRUE()</f>
        <v>1</v>
      </c>
      <c r="J718" s="9" t="s">
        <v>1361</v>
      </c>
      <c r="K718" s="11">
        <v>1472.01</v>
      </c>
      <c r="L718" s="9" t="s">
        <v>18</v>
      </c>
      <c r="M718" s="9" t="str">
        <f>IFERROR(INDEX(T_CleanCustomers[Sales_Rep_ID],MATCH(B718,T_CleanCustomers[Customer_ID],0)),"Unmatched")</f>
        <v>REP011</v>
      </c>
      <c r="N718" s="9" t="str">
        <f>IFERROR(INDEX(T_CleanCustomers[Channel],MATCH(B718,T_CleanCustomers[Customer_ID],0)),"Unmatched")</f>
        <v>Telesales</v>
      </c>
      <c r="O718" s="9" t="str">
        <f>IFERROR(INDEX(T_CleanCustomers[Product],MATCH(B718,T_CleanCustomers[Customer_ID],0)),"Unmatched")</f>
        <v>Fuel Card</v>
      </c>
      <c r="P718" s="9" t="str">
        <f>IFERROR(INDEX(T_CleanCustomers[Customer_Segment],MATCH(B718,T_CleanCustomers[Customer_ID],0)),"Unmatched")</f>
        <v>Enterprise</v>
      </c>
    </row>
    <row r="719" spans="1:16" ht="15" customHeight="1" x14ac:dyDescent="0.2">
      <c r="A719" s="9" t="s">
        <v>2068</v>
      </c>
      <c r="B719" s="9" t="s">
        <v>1232</v>
      </c>
      <c r="C719" s="9" t="b">
        <f>TRUE()</f>
        <v>1</v>
      </c>
      <c r="D719" s="10">
        <v>45800</v>
      </c>
      <c r="E719" s="10">
        <v>45778</v>
      </c>
      <c r="F719" s="9" t="s">
        <v>1360</v>
      </c>
      <c r="G719" s="11">
        <v>38996.79</v>
      </c>
      <c r="H719" s="11">
        <v>0</v>
      </c>
      <c r="I719" s="9" t="b">
        <f>TRUE()</f>
        <v>1</v>
      </c>
      <c r="J719" s="9" t="s">
        <v>1408</v>
      </c>
      <c r="K719" s="11">
        <v>0</v>
      </c>
      <c r="L719" s="9" t="s">
        <v>18</v>
      </c>
      <c r="M719" s="9" t="str">
        <f>IFERROR(INDEX(T_CleanCustomers[Sales_Rep_ID],MATCH(B719,T_CleanCustomers[Customer_ID],0)),"Unmatched")</f>
        <v>REP011</v>
      </c>
      <c r="N719" s="9" t="str">
        <f>IFERROR(INDEX(T_CleanCustomers[Channel],MATCH(B719,T_CleanCustomers[Customer_ID],0)),"Unmatched")</f>
        <v>Telesales</v>
      </c>
      <c r="O719" s="9" t="str">
        <f>IFERROR(INDEX(T_CleanCustomers[Product],MATCH(B719,T_CleanCustomers[Customer_ID],0)),"Unmatched")</f>
        <v>Fuel Card</v>
      </c>
      <c r="P719" s="9" t="str">
        <f>IFERROR(INDEX(T_CleanCustomers[Customer_Segment],MATCH(B719,T_CleanCustomers[Customer_ID],0)),"Unmatched")</f>
        <v>Enterprise</v>
      </c>
    </row>
    <row r="720" spans="1:16" ht="15" customHeight="1" x14ac:dyDescent="0.2">
      <c r="A720" s="9" t="s">
        <v>2069</v>
      </c>
      <c r="B720" s="9" t="s">
        <v>1232</v>
      </c>
      <c r="C720" s="9" t="b">
        <f>TRUE()</f>
        <v>1</v>
      </c>
      <c r="D720" s="10">
        <v>45809</v>
      </c>
      <c r="E720" s="10">
        <v>45809</v>
      </c>
      <c r="F720" s="9" t="s">
        <v>1360</v>
      </c>
      <c r="G720" s="11">
        <v>32937.75</v>
      </c>
      <c r="H720" s="11">
        <v>920.72</v>
      </c>
      <c r="I720" s="9" t="b">
        <f>TRUE()</f>
        <v>1</v>
      </c>
      <c r="J720" s="9" t="s">
        <v>1361</v>
      </c>
      <c r="K720" s="11">
        <v>920.72</v>
      </c>
      <c r="L720" s="9" t="s">
        <v>18</v>
      </c>
      <c r="M720" s="9" t="str">
        <f>IFERROR(INDEX(T_CleanCustomers[Sales_Rep_ID],MATCH(B720,T_CleanCustomers[Customer_ID],0)),"Unmatched")</f>
        <v>REP011</v>
      </c>
      <c r="N720" s="9" t="str">
        <f>IFERROR(INDEX(T_CleanCustomers[Channel],MATCH(B720,T_CleanCustomers[Customer_ID],0)),"Unmatched")</f>
        <v>Telesales</v>
      </c>
      <c r="O720" s="9" t="str">
        <f>IFERROR(INDEX(T_CleanCustomers[Product],MATCH(B720,T_CleanCustomers[Customer_ID],0)),"Unmatched")</f>
        <v>Fuel Card</v>
      </c>
      <c r="P720" s="9" t="str">
        <f>IFERROR(INDEX(T_CleanCustomers[Customer_Segment],MATCH(B720,T_CleanCustomers[Customer_ID],0)),"Unmatched")</f>
        <v>Enterprise</v>
      </c>
    </row>
    <row r="721" spans="1:16" ht="15" customHeight="1" x14ac:dyDescent="0.2">
      <c r="A721" s="9" t="s">
        <v>2070</v>
      </c>
      <c r="B721" s="9" t="s">
        <v>1232</v>
      </c>
      <c r="C721" s="9" t="b">
        <f>TRUE()</f>
        <v>1</v>
      </c>
      <c r="D721" s="10">
        <v>45825</v>
      </c>
      <c r="E721" s="10">
        <v>45809</v>
      </c>
      <c r="F721" s="9" t="s">
        <v>1360</v>
      </c>
      <c r="G721" s="11">
        <v>51631.22</v>
      </c>
      <c r="H721" s="11">
        <v>1180.95</v>
      </c>
      <c r="I721" s="9" t="b">
        <f>TRUE()</f>
        <v>1</v>
      </c>
      <c r="J721" s="9" t="s">
        <v>1361</v>
      </c>
      <c r="K721" s="11">
        <v>1180.95</v>
      </c>
      <c r="L721" s="9" t="s">
        <v>18</v>
      </c>
      <c r="M721" s="9" t="str">
        <f>IFERROR(INDEX(T_CleanCustomers[Sales_Rep_ID],MATCH(B721,T_CleanCustomers[Customer_ID],0)),"Unmatched")</f>
        <v>REP011</v>
      </c>
      <c r="N721" s="9" t="str">
        <f>IFERROR(INDEX(T_CleanCustomers[Channel],MATCH(B721,T_CleanCustomers[Customer_ID],0)),"Unmatched")</f>
        <v>Telesales</v>
      </c>
      <c r="O721" s="9" t="str">
        <f>IFERROR(INDEX(T_CleanCustomers[Product],MATCH(B721,T_CleanCustomers[Customer_ID],0)),"Unmatched")</f>
        <v>Fuel Card</v>
      </c>
      <c r="P721" s="9" t="str">
        <f>IFERROR(INDEX(T_CleanCustomers[Customer_Segment],MATCH(B721,T_CleanCustomers[Customer_ID],0)),"Unmatched")</f>
        <v>Enterprise</v>
      </c>
    </row>
    <row r="722" spans="1:16" ht="15" customHeight="1" x14ac:dyDescent="0.2">
      <c r="A722" s="9" t="s">
        <v>2071</v>
      </c>
      <c r="B722" s="9" t="s">
        <v>1232</v>
      </c>
      <c r="C722" s="9" t="b">
        <f>TRUE()</f>
        <v>1</v>
      </c>
      <c r="D722" s="10">
        <v>45841</v>
      </c>
      <c r="E722" s="10">
        <v>45839</v>
      </c>
      <c r="F722" s="9" t="s">
        <v>1360</v>
      </c>
      <c r="G722" s="11">
        <v>45794.17</v>
      </c>
      <c r="H722" s="11">
        <v>1181.95</v>
      </c>
      <c r="I722" s="9" t="b">
        <f>TRUE()</f>
        <v>1</v>
      </c>
      <c r="J722" s="9" t="s">
        <v>1361</v>
      </c>
      <c r="K722" s="11">
        <v>1181.95</v>
      </c>
      <c r="L722" s="9" t="s">
        <v>18</v>
      </c>
      <c r="M722" s="9" t="str">
        <f>IFERROR(INDEX(T_CleanCustomers[Sales_Rep_ID],MATCH(B722,T_CleanCustomers[Customer_ID],0)),"Unmatched")</f>
        <v>REP011</v>
      </c>
      <c r="N722" s="9" t="str">
        <f>IFERROR(INDEX(T_CleanCustomers[Channel],MATCH(B722,T_CleanCustomers[Customer_ID],0)),"Unmatched")</f>
        <v>Telesales</v>
      </c>
      <c r="O722" s="9" t="str">
        <f>IFERROR(INDEX(T_CleanCustomers[Product],MATCH(B722,T_CleanCustomers[Customer_ID],0)),"Unmatched")</f>
        <v>Fuel Card</v>
      </c>
      <c r="P722" s="9" t="str">
        <f>IFERROR(INDEX(T_CleanCustomers[Customer_Segment],MATCH(B722,T_CleanCustomers[Customer_ID],0)),"Unmatched")</f>
        <v>Enterprise</v>
      </c>
    </row>
    <row r="723" spans="1:16" ht="15" customHeight="1" x14ac:dyDescent="0.2">
      <c r="A723" s="9" t="s">
        <v>2072</v>
      </c>
      <c r="B723" s="9" t="s">
        <v>1232</v>
      </c>
      <c r="C723" s="9" t="b">
        <f>TRUE()</f>
        <v>1</v>
      </c>
      <c r="D723" s="10">
        <v>45859</v>
      </c>
      <c r="E723" s="10">
        <v>45839</v>
      </c>
      <c r="F723" s="9" t="s">
        <v>1360</v>
      </c>
      <c r="G723" s="11">
        <v>55490.63</v>
      </c>
      <c r="H723" s="11">
        <v>1231.8</v>
      </c>
      <c r="I723" s="9" t="b">
        <f>TRUE()</f>
        <v>1</v>
      </c>
      <c r="J723" s="9" t="s">
        <v>1361</v>
      </c>
      <c r="K723" s="11">
        <v>1231.8</v>
      </c>
      <c r="L723" s="9" t="s">
        <v>18</v>
      </c>
      <c r="M723" s="9" t="str">
        <f>IFERROR(INDEX(T_CleanCustomers[Sales_Rep_ID],MATCH(B723,T_CleanCustomers[Customer_ID],0)),"Unmatched")</f>
        <v>REP011</v>
      </c>
      <c r="N723" s="9" t="str">
        <f>IFERROR(INDEX(T_CleanCustomers[Channel],MATCH(B723,T_CleanCustomers[Customer_ID],0)),"Unmatched")</f>
        <v>Telesales</v>
      </c>
      <c r="O723" s="9" t="str">
        <f>IFERROR(INDEX(T_CleanCustomers[Product],MATCH(B723,T_CleanCustomers[Customer_ID],0)),"Unmatched")</f>
        <v>Fuel Card</v>
      </c>
      <c r="P723" s="9" t="str">
        <f>IFERROR(INDEX(T_CleanCustomers[Customer_Segment],MATCH(B723,T_CleanCustomers[Customer_ID],0)),"Unmatched")</f>
        <v>Enterprise</v>
      </c>
    </row>
    <row r="724" spans="1:16" ht="15" customHeight="1" x14ac:dyDescent="0.2">
      <c r="A724" s="9" t="s">
        <v>2073</v>
      </c>
      <c r="B724" s="9" t="s">
        <v>1232</v>
      </c>
      <c r="C724" s="9" t="b">
        <f>TRUE()</f>
        <v>1</v>
      </c>
      <c r="D724" s="10">
        <v>45862</v>
      </c>
      <c r="E724" s="10">
        <v>45839</v>
      </c>
      <c r="F724" s="9" t="s">
        <v>1360</v>
      </c>
      <c r="G724" s="11">
        <v>24751.69</v>
      </c>
      <c r="H724" s="11">
        <v>615.96</v>
      </c>
      <c r="I724" s="9" t="b">
        <f>TRUE()</f>
        <v>1</v>
      </c>
      <c r="J724" s="9" t="s">
        <v>1361</v>
      </c>
      <c r="K724" s="11">
        <v>615.96</v>
      </c>
      <c r="L724" s="9" t="s">
        <v>18</v>
      </c>
      <c r="M724" s="9" t="str">
        <f>IFERROR(INDEX(T_CleanCustomers[Sales_Rep_ID],MATCH(B724,T_CleanCustomers[Customer_ID],0)),"Unmatched")</f>
        <v>REP011</v>
      </c>
      <c r="N724" s="9" t="str">
        <f>IFERROR(INDEX(T_CleanCustomers[Channel],MATCH(B724,T_CleanCustomers[Customer_ID],0)),"Unmatched")</f>
        <v>Telesales</v>
      </c>
      <c r="O724" s="9" t="str">
        <f>IFERROR(INDEX(T_CleanCustomers[Product],MATCH(B724,T_CleanCustomers[Customer_ID],0)),"Unmatched")</f>
        <v>Fuel Card</v>
      </c>
      <c r="P724" s="9" t="str">
        <f>IFERROR(INDEX(T_CleanCustomers[Customer_Segment],MATCH(B724,T_CleanCustomers[Customer_ID],0)),"Unmatched")</f>
        <v>Enterprise</v>
      </c>
    </row>
    <row r="725" spans="1:16" ht="15" customHeight="1" x14ac:dyDescent="0.2">
      <c r="A725" s="9" t="s">
        <v>2074</v>
      </c>
      <c r="B725" s="9" t="s">
        <v>1232</v>
      </c>
      <c r="C725" s="9" t="b">
        <f>TRUE()</f>
        <v>1</v>
      </c>
      <c r="D725" s="10">
        <v>45875</v>
      </c>
      <c r="E725" s="10">
        <v>45870</v>
      </c>
      <c r="F725" s="9" t="s">
        <v>1360</v>
      </c>
      <c r="G725" s="11">
        <v>20614.509999999998</v>
      </c>
      <c r="H725" s="11">
        <v>535.21</v>
      </c>
      <c r="I725" s="9" t="b">
        <f>TRUE()</f>
        <v>1</v>
      </c>
      <c r="J725" s="9" t="s">
        <v>1361</v>
      </c>
      <c r="K725" s="11">
        <v>535.21</v>
      </c>
      <c r="L725" s="9" t="s">
        <v>18</v>
      </c>
      <c r="M725" s="9" t="str">
        <f>IFERROR(INDEX(T_CleanCustomers[Sales_Rep_ID],MATCH(B725,T_CleanCustomers[Customer_ID],0)),"Unmatched")</f>
        <v>REP011</v>
      </c>
      <c r="N725" s="9" t="str">
        <f>IFERROR(INDEX(T_CleanCustomers[Channel],MATCH(B725,T_CleanCustomers[Customer_ID],0)),"Unmatched")</f>
        <v>Telesales</v>
      </c>
      <c r="O725" s="9" t="str">
        <f>IFERROR(INDEX(T_CleanCustomers[Product],MATCH(B725,T_CleanCustomers[Customer_ID],0)),"Unmatched")</f>
        <v>Fuel Card</v>
      </c>
      <c r="P725" s="9" t="str">
        <f>IFERROR(INDEX(T_CleanCustomers[Customer_Segment],MATCH(B725,T_CleanCustomers[Customer_ID],0)),"Unmatched")</f>
        <v>Enterprise</v>
      </c>
    </row>
    <row r="726" spans="1:16" ht="15" customHeight="1" x14ac:dyDescent="0.2">
      <c r="A726" s="9" t="s">
        <v>2075</v>
      </c>
      <c r="B726" s="9" t="s">
        <v>1232</v>
      </c>
      <c r="C726" s="9" t="b">
        <f>TRUE()</f>
        <v>1</v>
      </c>
      <c r="D726" s="10">
        <v>45870</v>
      </c>
      <c r="E726" s="10">
        <v>45870</v>
      </c>
      <c r="F726" s="9" t="s">
        <v>1360</v>
      </c>
      <c r="G726" s="11">
        <v>54325.63</v>
      </c>
      <c r="H726" s="11">
        <v>1343.44</v>
      </c>
      <c r="I726" s="9" t="b">
        <f>TRUE()</f>
        <v>1</v>
      </c>
      <c r="J726" s="9" t="s">
        <v>1361</v>
      </c>
      <c r="K726" s="11">
        <v>1343.44</v>
      </c>
      <c r="L726" s="9" t="s">
        <v>18</v>
      </c>
      <c r="M726" s="9" t="str">
        <f>IFERROR(INDEX(T_CleanCustomers[Sales_Rep_ID],MATCH(B726,T_CleanCustomers[Customer_ID],0)),"Unmatched")</f>
        <v>REP011</v>
      </c>
      <c r="N726" s="9" t="str">
        <f>IFERROR(INDEX(T_CleanCustomers[Channel],MATCH(B726,T_CleanCustomers[Customer_ID],0)),"Unmatched")</f>
        <v>Telesales</v>
      </c>
      <c r="O726" s="9" t="str">
        <f>IFERROR(INDEX(T_CleanCustomers[Product],MATCH(B726,T_CleanCustomers[Customer_ID],0)),"Unmatched")</f>
        <v>Fuel Card</v>
      </c>
      <c r="P726" s="9" t="str">
        <f>IFERROR(INDEX(T_CleanCustomers[Customer_Segment],MATCH(B726,T_CleanCustomers[Customer_ID],0)),"Unmatched")</f>
        <v>Enterprise</v>
      </c>
    </row>
    <row r="727" spans="1:16" ht="15" customHeight="1" x14ac:dyDescent="0.2">
      <c r="A727" s="9" t="s">
        <v>2076</v>
      </c>
      <c r="B727" s="9" t="s">
        <v>1232</v>
      </c>
      <c r="C727" s="9" t="b">
        <f>TRUE()</f>
        <v>1</v>
      </c>
      <c r="D727" s="10">
        <v>45899</v>
      </c>
      <c r="E727" s="10">
        <v>45870</v>
      </c>
      <c r="F727" s="9" t="s">
        <v>1360</v>
      </c>
      <c r="G727" s="11">
        <v>39475.61</v>
      </c>
      <c r="H727" s="11">
        <v>1005.75</v>
      </c>
      <c r="I727" s="9" t="b">
        <f>TRUE()</f>
        <v>1</v>
      </c>
      <c r="J727" s="9" t="s">
        <v>1361</v>
      </c>
      <c r="K727" s="11">
        <v>1005.75</v>
      </c>
      <c r="L727" s="9" t="s">
        <v>18</v>
      </c>
      <c r="M727" s="9" t="str">
        <f>IFERROR(INDEX(T_CleanCustomers[Sales_Rep_ID],MATCH(B727,T_CleanCustomers[Customer_ID],0)),"Unmatched")</f>
        <v>REP011</v>
      </c>
      <c r="N727" s="9" t="str">
        <f>IFERROR(INDEX(T_CleanCustomers[Channel],MATCH(B727,T_CleanCustomers[Customer_ID],0)),"Unmatched")</f>
        <v>Telesales</v>
      </c>
      <c r="O727" s="9" t="str">
        <f>IFERROR(INDEX(T_CleanCustomers[Product],MATCH(B727,T_CleanCustomers[Customer_ID],0)),"Unmatched")</f>
        <v>Fuel Card</v>
      </c>
      <c r="P727" s="9" t="str">
        <f>IFERROR(INDEX(T_CleanCustomers[Customer_Segment],MATCH(B727,T_CleanCustomers[Customer_ID],0)),"Unmatched")</f>
        <v>Enterprise</v>
      </c>
    </row>
    <row r="728" spans="1:16" ht="15" customHeight="1" x14ac:dyDescent="0.2">
      <c r="A728" s="9" t="s">
        <v>2077</v>
      </c>
      <c r="B728" s="9" t="s">
        <v>1232</v>
      </c>
      <c r="C728" s="9" t="b">
        <f>TRUE()</f>
        <v>1</v>
      </c>
      <c r="D728" s="10">
        <v>45901</v>
      </c>
      <c r="E728" s="10">
        <v>45901</v>
      </c>
      <c r="F728" s="9" t="s">
        <v>1360</v>
      </c>
      <c r="G728" s="11">
        <v>39932.49</v>
      </c>
      <c r="H728" s="11">
        <v>1061.06</v>
      </c>
      <c r="I728" s="9" t="b">
        <f>TRUE()</f>
        <v>1</v>
      </c>
      <c r="J728" s="9" t="s">
        <v>1361</v>
      </c>
      <c r="K728" s="11">
        <v>1061.06</v>
      </c>
      <c r="L728" s="9" t="s">
        <v>18</v>
      </c>
      <c r="M728" s="9" t="str">
        <f>IFERROR(INDEX(T_CleanCustomers[Sales_Rep_ID],MATCH(B728,T_CleanCustomers[Customer_ID],0)),"Unmatched")</f>
        <v>REP011</v>
      </c>
      <c r="N728" s="9" t="str">
        <f>IFERROR(INDEX(T_CleanCustomers[Channel],MATCH(B728,T_CleanCustomers[Customer_ID],0)),"Unmatched")</f>
        <v>Telesales</v>
      </c>
      <c r="O728" s="9" t="str">
        <f>IFERROR(INDEX(T_CleanCustomers[Product],MATCH(B728,T_CleanCustomers[Customer_ID],0)),"Unmatched")</f>
        <v>Fuel Card</v>
      </c>
      <c r="P728" s="9" t="str">
        <f>IFERROR(INDEX(T_CleanCustomers[Customer_Segment],MATCH(B728,T_CleanCustomers[Customer_ID],0)),"Unmatched")</f>
        <v>Enterprise</v>
      </c>
    </row>
    <row r="729" spans="1:16" ht="15" customHeight="1" x14ac:dyDescent="0.2">
      <c r="A729" s="9" t="s">
        <v>2078</v>
      </c>
      <c r="B729" s="9" t="s">
        <v>1233</v>
      </c>
      <c r="C729" s="9" t="b">
        <f>TRUE()</f>
        <v>1</v>
      </c>
      <c r="D729" s="10">
        <v>45985</v>
      </c>
      <c r="E729" s="10">
        <v>45962</v>
      </c>
      <c r="F729" s="9" t="s">
        <v>1423</v>
      </c>
      <c r="G729" s="11">
        <v>2408.86</v>
      </c>
      <c r="H729" s="11">
        <v>68.09</v>
      </c>
      <c r="I729" s="9" t="b">
        <f>TRUE()</f>
        <v>1</v>
      </c>
      <c r="J729" s="9" t="s">
        <v>1361</v>
      </c>
      <c r="K729" s="11">
        <v>68.09</v>
      </c>
      <c r="L729" s="9" t="s">
        <v>20</v>
      </c>
      <c r="M729" s="9" t="str">
        <f>IFERROR(INDEX(T_CleanCustomers[Sales_Rep_ID],MATCH(B729,T_CleanCustomers[Customer_ID],0)),"Unmatched")</f>
        <v>REP003</v>
      </c>
      <c r="N729" s="9" t="str">
        <f>IFERROR(INDEX(T_CleanCustomers[Channel],MATCH(B729,T_CleanCustomers[Customer_ID],0)),"Unmatched")</f>
        <v>Direct Sales</v>
      </c>
      <c r="O729" s="9" t="str">
        <f>IFERROR(INDEX(T_CleanCustomers[Product],MATCH(B729,T_CleanCustomers[Customer_ID],0)),"Unmatched")</f>
        <v>EV Charge Card</v>
      </c>
      <c r="P729" s="9" t="str">
        <f>IFERROR(INDEX(T_CleanCustomers[Customer_Segment],MATCH(B729,T_CleanCustomers[Customer_ID],0)),"Unmatched")</f>
        <v>SME</v>
      </c>
    </row>
    <row r="730" spans="1:16" ht="15" customHeight="1" x14ac:dyDescent="0.2">
      <c r="A730" s="9" t="s">
        <v>2079</v>
      </c>
      <c r="B730" s="9" t="s">
        <v>1233</v>
      </c>
      <c r="C730" s="9" t="b">
        <f>TRUE()</f>
        <v>1</v>
      </c>
      <c r="D730" s="10">
        <v>45975</v>
      </c>
      <c r="E730" s="10">
        <v>45962</v>
      </c>
      <c r="F730" s="9" t="s">
        <v>1423</v>
      </c>
      <c r="G730" s="11">
        <v>3859.65</v>
      </c>
      <c r="H730" s="11">
        <v>132.69999999999999</v>
      </c>
      <c r="I730" s="9" t="b">
        <f>TRUE()</f>
        <v>1</v>
      </c>
      <c r="J730" s="9" t="s">
        <v>1361</v>
      </c>
      <c r="K730" s="11">
        <v>132.69999999999999</v>
      </c>
      <c r="L730" s="9" t="s">
        <v>20</v>
      </c>
      <c r="M730" s="9" t="str">
        <f>IFERROR(INDEX(T_CleanCustomers[Sales_Rep_ID],MATCH(B730,T_CleanCustomers[Customer_ID],0)),"Unmatched")</f>
        <v>REP003</v>
      </c>
      <c r="N730" s="9" t="str">
        <f>IFERROR(INDEX(T_CleanCustomers[Channel],MATCH(B730,T_CleanCustomers[Customer_ID],0)),"Unmatched")</f>
        <v>Direct Sales</v>
      </c>
      <c r="O730" s="9" t="str">
        <f>IFERROR(INDEX(T_CleanCustomers[Product],MATCH(B730,T_CleanCustomers[Customer_ID],0)),"Unmatched")</f>
        <v>EV Charge Card</v>
      </c>
      <c r="P730" s="9" t="str">
        <f>IFERROR(INDEX(T_CleanCustomers[Customer_Segment],MATCH(B730,T_CleanCustomers[Customer_ID],0)),"Unmatched")</f>
        <v>SME</v>
      </c>
    </row>
    <row r="731" spans="1:16" ht="15" customHeight="1" x14ac:dyDescent="0.2">
      <c r="A731" s="9" t="s">
        <v>2080</v>
      </c>
      <c r="B731" s="9" t="s">
        <v>1233</v>
      </c>
      <c r="C731" s="9" t="b">
        <f>TRUE()</f>
        <v>1</v>
      </c>
      <c r="D731" s="10">
        <v>46004</v>
      </c>
      <c r="E731" s="10">
        <v>45992</v>
      </c>
      <c r="F731" s="9" t="s">
        <v>1423</v>
      </c>
      <c r="G731" s="11">
        <v>1820</v>
      </c>
      <c r="H731" s="11">
        <v>48.99</v>
      </c>
      <c r="I731" s="9" t="b">
        <f>TRUE()</f>
        <v>1</v>
      </c>
      <c r="J731" s="9" t="s">
        <v>1361</v>
      </c>
      <c r="K731" s="11">
        <v>48.99</v>
      </c>
      <c r="L731" s="9" t="s">
        <v>20</v>
      </c>
      <c r="M731" s="9" t="str">
        <f>IFERROR(INDEX(T_CleanCustomers[Sales_Rep_ID],MATCH(B731,T_CleanCustomers[Customer_ID],0)),"Unmatched")</f>
        <v>REP003</v>
      </c>
      <c r="N731" s="9" t="str">
        <f>IFERROR(INDEX(T_CleanCustomers[Channel],MATCH(B731,T_CleanCustomers[Customer_ID],0)),"Unmatched")</f>
        <v>Direct Sales</v>
      </c>
      <c r="O731" s="9" t="str">
        <f>IFERROR(INDEX(T_CleanCustomers[Product],MATCH(B731,T_CleanCustomers[Customer_ID],0)),"Unmatched")</f>
        <v>EV Charge Card</v>
      </c>
      <c r="P731" s="9" t="str">
        <f>IFERROR(INDEX(T_CleanCustomers[Customer_Segment],MATCH(B731,T_CleanCustomers[Customer_ID],0)),"Unmatched")</f>
        <v>SME</v>
      </c>
    </row>
    <row r="732" spans="1:16" ht="15" customHeight="1" x14ac:dyDescent="0.2">
      <c r="A732" s="9" t="s">
        <v>2081</v>
      </c>
      <c r="B732" s="9" t="s">
        <v>1233</v>
      </c>
      <c r="C732" s="9" t="b">
        <f>TRUE()</f>
        <v>1</v>
      </c>
      <c r="D732" s="10">
        <v>46020</v>
      </c>
      <c r="E732" s="10">
        <v>45992</v>
      </c>
      <c r="F732" s="9" t="s">
        <v>1423</v>
      </c>
      <c r="G732" s="11">
        <v>4447.0600000000004</v>
      </c>
      <c r="H732" s="11">
        <v>144.65</v>
      </c>
      <c r="I732" s="9" t="b">
        <f>TRUE()</f>
        <v>1</v>
      </c>
      <c r="J732" s="9" t="s">
        <v>1361</v>
      </c>
      <c r="K732" s="11">
        <v>144.65</v>
      </c>
      <c r="L732" s="9" t="s">
        <v>20</v>
      </c>
      <c r="M732" s="9" t="str">
        <f>IFERROR(INDEX(T_CleanCustomers[Sales_Rep_ID],MATCH(B732,T_CleanCustomers[Customer_ID],0)),"Unmatched")</f>
        <v>REP003</v>
      </c>
      <c r="N732" s="9" t="str">
        <f>IFERROR(INDEX(T_CleanCustomers[Channel],MATCH(B732,T_CleanCustomers[Customer_ID],0)),"Unmatched")</f>
        <v>Direct Sales</v>
      </c>
      <c r="O732" s="9" t="str">
        <f>IFERROR(INDEX(T_CleanCustomers[Product],MATCH(B732,T_CleanCustomers[Customer_ID],0)),"Unmatched")</f>
        <v>EV Charge Card</v>
      </c>
      <c r="P732" s="9" t="str">
        <f>IFERROR(INDEX(T_CleanCustomers[Customer_Segment],MATCH(B732,T_CleanCustomers[Customer_ID],0)),"Unmatched")</f>
        <v>SME</v>
      </c>
    </row>
    <row r="733" spans="1:16" ht="15" customHeight="1" x14ac:dyDescent="0.2">
      <c r="A733" s="9" t="s">
        <v>2082</v>
      </c>
      <c r="B733" s="9" t="s">
        <v>1235</v>
      </c>
      <c r="C733" s="9" t="b">
        <f>TRUE()</f>
        <v>1</v>
      </c>
      <c r="D733" s="10">
        <v>45984</v>
      </c>
      <c r="E733" s="10">
        <v>45962</v>
      </c>
      <c r="F733" s="9" t="s">
        <v>1360</v>
      </c>
      <c r="G733" s="11">
        <v>2543</v>
      </c>
      <c r="H733" s="11">
        <v>66.099999999999994</v>
      </c>
      <c r="I733" s="9" t="b">
        <f>TRUE()</f>
        <v>1</v>
      </c>
      <c r="J733" s="9" t="s">
        <v>1361</v>
      </c>
      <c r="K733" s="11">
        <v>66.099999999999994</v>
      </c>
      <c r="L733" s="9" t="s">
        <v>19</v>
      </c>
      <c r="M733" s="9" t="str">
        <f>IFERROR(INDEX(T_CleanCustomers[Sales_Rep_ID],MATCH(B733,T_CleanCustomers[Customer_ID],0)),"Unmatched")</f>
        <v>REP014</v>
      </c>
      <c r="N733" s="9" t="str">
        <f>IFERROR(INDEX(T_CleanCustomers[Channel],MATCH(B733,T_CleanCustomers[Customer_ID],0)),"Unmatched")</f>
        <v>Partner</v>
      </c>
      <c r="O733" s="9" t="str">
        <f>IFERROR(INDEX(T_CleanCustomers[Product],MATCH(B733,T_CleanCustomers[Customer_ID],0)),"Unmatched")</f>
        <v>Fuel Card</v>
      </c>
      <c r="P733" s="9" t="str">
        <f>IFERROR(INDEX(T_CleanCustomers[Customer_Segment],MATCH(B733,T_CleanCustomers[Customer_ID],0)),"Unmatched")</f>
        <v>SME</v>
      </c>
    </row>
    <row r="734" spans="1:16" ht="15" customHeight="1" x14ac:dyDescent="0.2">
      <c r="A734" s="9" t="s">
        <v>2083</v>
      </c>
      <c r="B734" s="9" t="s">
        <v>1235</v>
      </c>
      <c r="C734" s="9" t="b">
        <f>TRUE()</f>
        <v>1</v>
      </c>
      <c r="D734" s="10">
        <v>45985</v>
      </c>
      <c r="E734" s="10">
        <v>45962</v>
      </c>
      <c r="F734" s="9" t="s">
        <v>1360</v>
      </c>
      <c r="G734" s="11">
        <v>1471.43</v>
      </c>
      <c r="H734" s="11">
        <v>36.06</v>
      </c>
      <c r="I734" s="9" t="b">
        <f>TRUE()</f>
        <v>1</v>
      </c>
      <c r="J734" s="9" t="s">
        <v>1361</v>
      </c>
      <c r="K734" s="11">
        <v>36.06</v>
      </c>
      <c r="L734" s="9" t="s">
        <v>19</v>
      </c>
      <c r="M734" s="9" t="str">
        <f>IFERROR(INDEX(T_CleanCustomers[Sales_Rep_ID],MATCH(B734,T_CleanCustomers[Customer_ID],0)),"Unmatched")</f>
        <v>REP014</v>
      </c>
      <c r="N734" s="9" t="str">
        <f>IFERROR(INDEX(T_CleanCustomers[Channel],MATCH(B734,T_CleanCustomers[Customer_ID],0)),"Unmatched")</f>
        <v>Partner</v>
      </c>
      <c r="O734" s="9" t="str">
        <f>IFERROR(INDEX(T_CleanCustomers[Product],MATCH(B734,T_CleanCustomers[Customer_ID],0)),"Unmatched")</f>
        <v>Fuel Card</v>
      </c>
      <c r="P734" s="9" t="str">
        <f>IFERROR(INDEX(T_CleanCustomers[Customer_Segment],MATCH(B734,T_CleanCustomers[Customer_ID],0)),"Unmatched")</f>
        <v>SME</v>
      </c>
    </row>
    <row r="735" spans="1:16" ht="15" customHeight="1" x14ac:dyDescent="0.2">
      <c r="A735" s="9" t="s">
        <v>2084</v>
      </c>
      <c r="B735" s="9" t="s">
        <v>1235</v>
      </c>
      <c r="C735" s="9" t="b">
        <f>TRUE()</f>
        <v>1</v>
      </c>
      <c r="D735" s="10">
        <v>46014</v>
      </c>
      <c r="E735" s="10">
        <v>45992</v>
      </c>
      <c r="F735" s="9" t="s">
        <v>1360</v>
      </c>
      <c r="G735" s="11">
        <v>4751.47</v>
      </c>
      <c r="H735" s="11">
        <v>128.08000000000001</v>
      </c>
      <c r="I735" s="9" t="b">
        <f>TRUE()</f>
        <v>1</v>
      </c>
      <c r="J735" s="9" t="s">
        <v>1361</v>
      </c>
      <c r="K735" s="11">
        <v>128.08000000000001</v>
      </c>
      <c r="L735" s="9" t="s">
        <v>19</v>
      </c>
      <c r="M735" s="9" t="str">
        <f>IFERROR(INDEX(T_CleanCustomers[Sales_Rep_ID],MATCH(B735,T_CleanCustomers[Customer_ID],0)),"Unmatched")</f>
        <v>REP014</v>
      </c>
      <c r="N735" s="9" t="str">
        <f>IFERROR(INDEX(T_CleanCustomers[Channel],MATCH(B735,T_CleanCustomers[Customer_ID],0)),"Unmatched")</f>
        <v>Partner</v>
      </c>
      <c r="O735" s="9" t="str">
        <f>IFERROR(INDEX(T_CleanCustomers[Product],MATCH(B735,T_CleanCustomers[Customer_ID],0)),"Unmatched")</f>
        <v>Fuel Card</v>
      </c>
      <c r="P735" s="9" t="str">
        <f>IFERROR(INDEX(T_CleanCustomers[Customer_Segment],MATCH(B735,T_CleanCustomers[Customer_ID],0)),"Unmatched")</f>
        <v>SME</v>
      </c>
    </row>
    <row r="736" spans="1:16" ht="15" customHeight="1" x14ac:dyDescent="0.2">
      <c r="A736" s="9" t="s">
        <v>2085</v>
      </c>
      <c r="B736" s="9" t="s">
        <v>1235</v>
      </c>
      <c r="C736" s="9" t="b">
        <f>TRUE()</f>
        <v>1</v>
      </c>
      <c r="D736" s="10">
        <v>46006</v>
      </c>
      <c r="E736" s="10">
        <v>45992</v>
      </c>
      <c r="F736" s="9" t="s">
        <v>1360</v>
      </c>
      <c r="G736" s="11">
        <v>3617.33</v>
      </c>
      <c r="H736" s="11">
        <v>86.22</v>
      </c>
      <c r="I736" s="9" t="b">
        <f>TRUE()</f>
        <v>1</v>
      </c>
      <c r="J736" s="9" t="s">
        <v>1361</v>
      </c>
      <c r="K736" s="11">
        <v>86.22</v>
      </c>
      <c r="L736" s="9" t="s">
        <v>19</v>
      </c>
      <c r="M736" s="9" t="str">
        <f>IFERROR(INDEX(T_CleanCustomers[Sales_Rep_ID],MATCH(B736,T_CleanCustomers[Customer_ID],0)),"Unmatched")</f>
        <v>REP014</v>
      </c>
      <c r="N736" s="9" t="str">
        <f>IFERROR(INDEX(T_CleanCustomers[Channel],MATCH(B736,T_CleanCustomers[Customer_ID],0)),"Unmatched")</f>
        <v>Partner</v>
      </c>
      <c r="O736" s="9" t="str">
        <f>IFERROR(INDEX(T_CleanCustomers[Product],MATCH(B736,T_CleanCustomers[Customer_ID],0)),"Unmatched")</f>
        <v>Fuel Card</v>
      </c>
      <c r="P736" s="9" t="str">
        <f>IFERROR(INDEX(T_CleanCustomers[Customer_Segment],MATCH(B736,T_CleanCustomers[Customer_ID],0)),"Unmatched")</f>
        <v>SME</v>
      </c>
    </row>
    <row r="737" spans="1:16" ht="15" customHeight="1" x14ac:dyDescent="0.2">
      <c r="A737" s="9" t="s">
        <v>2086</v>
      </c>
      <c r="B737" s="9" t="s">
        <v>1235</v>
      </c>
      <c r="C737" s="9" t="b">
        <f>TRUE()</f>
        <v>1</v>
      </c>
      <c r="D737" s="10">
        <v>46005</v>
      </c>
      <c r="E737" s="10">
        <v>45992</v>
      </c>
      <c r="F737" s="9" t="s">
        <v>1360</v>
      </c>
      <c r="G737" s="11">
        <v>5083.0200000000004</v>
      </c>
      <c r="H737" s="11">
        <v>123.12</v>
      </c>
      <c r="I737" s="9" t="b">
        <f>TRUE()</f>
        <v>1</v>
      </c>
      <c r="J737" s="9" t="s">
        <v>1361</v>
      </c>
      <c r="K737" s="11">
        <v>123.12</v>
      </c>
      <c r="L737" s="9" t="s">
        <v>19</v>
      </c>
      <c r="M737" s="9" t="str">
        <f>IFERROR(INDEX(T_CleanCustomers[Sales_Rep_ID],MATCH(B737,T_CleanCustomers[Customer_ID],0)),"Unmatched")</f>
        <v>REP014</v>
      </c>
      <c r="N737" s="9" t="str">
        <f>IFERROR(INDEX(T_CleanCustomers[Channel],MATCH(B737,T_CleanCustomers[Customer_ID],0)),"Unmatched")</f>
        <v>Partner</v>
      </c>
      <c r="O737" s="9" t="str">
        <f>IFERROR(INDEX(T_CleanCustomers[Product],MATCH(B737,T_CleanCustomers[Customer_ID],0)),"Unmatched")</f>
        <v>Fuel Card</v>
      </c>
      <c r="P737" s="9" t="str">
        <f>IFERROR(INDEX(T_CleanCustomers[Customer_Segment],MATCH(B737,T_CleanCustomers[Customer_ID],0)),"Unmatched")</f>
        <v>SME</v>
      </c>
    </row>
    <row r="738" spans="1:16" ht="15" customHeight="1" x14ac:dyDescent="0.2">
      <c r="A738" s="9" t="s">
        <v>2087</v>
      </c>
      <c r="B738" s="9" t="s">
        <v>1236</v>
      </c>
      <c r="C738" s="9" t="b">
        <f>TRUE()</f>
        <v>1</v>
      </c>
      <c r="D738" s="10">
        <v>45890</v>
      </c>
      <c r="E738" s="10">
        <v>45870</v>
      </c>
      <c r="F738" s="9" t="s">
        <v>1373</v>
      </c>
      <c r="G738" s="11">
        <v>4960.9799999999996</v>
      </c>
      <c r="H738" s="11">
        <v>87.56</v>
      </c>
      <c r="I738" s="9" t="b">
        <f>TRUE()</f>
        <v>1</v>
      </c>
      <c r="J738" s="9" t="s">
        <v>1361</v>
      </c>
      <c r="K738" s="11">
        <v>87.56</v>
      </c>
      <c r="L738" s="9" t="s">
        <v>21</v>
      </c>
      <c r="M738" s="9" t="str">
        <f>IFERROR(INDEX(T_CleanCustomers[Sales_Rep_ID],MATCH(B738,T_CleanCustomers[Customer_ID],0)),"Unmatched")</f>
        <v>REP007</v>
      </c>
      <c r="N738" s="9" t="str">
        <f>IFERROR(INDEX(T_CleanCustomers[Channel],MATCH(B738,T_CleanCustomers[Customer_ID],0)),"Unmatched")</f>
        <v>Direct Sales</v>
      </c>
      <c r="O738" s="9" t="str">
        <f>IFERROR(INDEX(T_CleanCustomers[Product],MATCH(B738,T_CleanCustomers[Customer_ID],0)),"Unmatched")</f>
        <v>Toll Solution</v>
      </c>
      <c r="P738" s="9" t="str">
        <f>IFERROR(INDEX(T_CleanCustomers[Customer_Segment],MATCH(B738,T_CleanCustomers[Customer_ID],0)),"Unmatched")</f>
        <v>SME</v>
      </c>
    </row>
    <row r="739" spans="1:16" ht="15" customHeight="1" x14ac:dyDescent="0.2">
      <c r="A739" s="9" t="s">
        <v>2088</v>
      </c>
      <c r="B739" s="9" t="s">
        <v>1236</v>
      </c>
      <c r="C739" s="9" t="b">
        <f>TRUE()</f>
        <v>1</v>
      </c>
      <c r="D739" s="10">
        <v>45892</v>
      </c>
      <c r="E739" s="10">
        <v>45870</v>
      </c>
      <c r="F739" s="9" t="s">
        <v>1373</v>
      </c>
      <c r="G739" s="11">
        <v>1949.9</v>
      </c>
      <c r="H739" s="11">
        <v>0</v>
      </c>
      <c r="I739" s="9" t="b">
        <f>TRUE()</f>
        <v>1</v>
      </c>
      <c r="J739" s="9" t="s">
        <v>1408</v>
      </c>
      <c r="K739" s="11">
        <v>0</v>
      </c>
      <c r="L739" s="9" t="s">
        <v>21</v>
      </c>
      <c r="M739" s="9" t="str">
        <f>IFERROR(INDEX(T_CleanCustomers[Sales_Rep_ID],MATCH(B739,T_CleanCustomers[Customer_ID],0)),"Unmatched")</f>
        <v>REP007</v>
      </c>
      <c r="N739" s="9" t="str">
        <f>IFERROR(INDEX(T_CleanCustomers[Channel],MATCH(B739,T_CleanCustomers[Customer_ID],0)),"Unmatched")</f>
        <v>Direct Sales</v>
      </c>
      <c r="O739" s="9" t="str">
        <f>IFERROR(INDEX(T_CleanCustomers[Product],MATCH(B739,T_CleanCustomers[Customer_ID],0)),"Unmatched")</f>
        <v>Toll Solution</v>
      </c>
      <c r="P739" s="9" t="str">
        <f>IFERROR(INDEX(T_CleanCustomers[Customer_Segment],MATCH(B739,T_CleanCustomers[Customer_ID],0)),"Unmatched")</f>
        <v>SME</v>
      </c>
    </row>
    <row r="740" spans="1:16" ht="15" customHeight="1" x14ac:dyDescent="0.2">
      <c r="A740" s="9" t="s">
        <v>2089</v>
      </c>
      <c r="B740" s="9" t="s">
        <v>1236</v>
      </c>
      <c r="C740" s="9" t="b">
        <f>TRUE()</f>
        <v>1</v>
      </c>
      <c r="D740" s="10">
        <v>45898</v>
      </c>
      <c r="E740" s="10">
        <v>45870</v>
      </c>
      <c r="F740" s="9" t="s">
        <v>1373</v>
      </c>
      <c r="G740" s="11">
        <v>3990.93</v>
      </c>
      <c r="H740" s="11">
        <v>72.09</v>
      </c>
      <c r="I740" s="9" t="b">
        <f>TRUE()</f>
        <v>1</v>
      </c>
      <c r="J740" s="9" t="s">
        <v>1361</v>
      </c>
      <c r="K740" s="11">
        <v>72.09</v>
      </c>
      <c r="L740" s="9" t="s">
        <v>21</v>
      </c>
      <c r="M740" s="9" t="str">
        <f>IFERROR(INDEX(T_CleanCustomers[Sales_Rep_ID],MATCH(B740,T_CleanCustomers[Customer_ID],0)),"Unmatched")</f>
        <v>REP007</v>
      </c>
      <c r="N740" s="9" t="str">
        <f>IFERROR(INDEX(T_CleanCustomers[Channel],MATCH(B740,T_CleanCustomers[Customer_ID],0)),"Unmatched")</f>
        <v>Direct Sales</v>
      </c>
      <c r="O740" s="9" t="str">
        <f>IFERROR(INDEX(T_CleanCustomers[Product],MATCH(B740,T_CleanCustomers[Customer_ID],0)),"Unmatched")</f>
        <v>Toll Solution</v>
      </c>
      <c r="P740" s="9" t="str">
        <f>IFERROR(INDEX(T_CleanCustomers[Customer_Segment],MATCH(B740,T_CleanCustomers[Customer_ID],0)),"Unmatched")</f>
        <v>SME</v>
      </c>
    </row>
    <row r="741" spans="1:16" ht="15" customHeight="1" x14ac:dyDescent="0.2">
      <c r="A741" s="9" t="s">
        <v>2090</v>
      </c>
      <c r="B741" s="9" t="s">
        <v>1236</v>
      </c>
      <c r="C741" s="9" t="b">
        <f>TRUE()</f>
        <v>1</v>
      </c>
      <c r="D741" s="10">
        <v>45911</v>
      </c>
      <c r="E741" s="10">
        <v>45901</v>
      </c>
      <c r="F741" s="9" t="s">
        <v>1373</v>
      </c>
      <c r="G741" s="11">
        <v>3593.83</v>
      </c>
      <c r="H741" s="11">
        <v>66.37</v>
      </c>
      <c r="I741" s="9" t="b">
        <f>TRUE()</f>
        <v>1</v>
      </c>
      <c r="J741" s="9" t="s">
        <v>1361</v>
      </c>
      <c r="K741" s="11">
        <v>66.37</v>
      </c>
      <c r="L741" s="9" t="s">
        <v>21</v>
      </c>
      <c r="M741" s="9" t="str">
        <f>IFERROR(INDEX(T_CleanCustomers[Sales_Rep_ID],MATCH(B741,T_CleanCustomers[Customer_ID],0)),"Unmatched")</f>
        <v>REP007</v>
      </c>
      <c r="N741" s="9" t="str">
        <f>IFERROR(INDEX(T_CleanCustomers[Channel],MATCH(B741,T_CleanCustomers[Customer_ID],0)),"Unmatched")</f>
        <v>Direct Sales</v>
      </c>
      <c r="O741" s="9" t="str">
        <f>IFERROR(INDEX(T_CleanCustomers[Product],MATCH(B741,T_CleanCustomers[Customer_ID],0)),"Unmatched")</f>
        <v>Toll Solution</v>
      </c>
      <c r="P741" s="9" t="str">
        <f>IFERROR(INDEX(T_CleanCustomers[Customer_Segment],MATCH(B741,T_CleanCustomers[Customer_ID],0)),"Unmatched")</f>
        <v>SME</v>
      </c>
    </row>
    <row r="742" spans="1:16" ht="15" customHeight="1" x14ac:dyDescent="0.2">
      <c r="A742" s="9" t="s">
        <v>2091</v>
      </c>
      <c r="B742" s="9" t="s">
        <v>1236</v>
      </c>
      <c r="C742" s="9" t="b">
        <f>TRUE()</f>
        <v>1</v>
      </c>
      <c r="D742" s="10">
        <v>45916</v>
      </c>
      <c r="E742" s="10">
        <v>45901</v>
      </c>
      <c r="F742" s="9" t="s">
        <v>1373</v>
      </c>
      <c r="G742" s="11">
        <v>3250.2</v>
      </c>
      <c r="H742" s="11">
        <v>52.23</v>
      </c>
      <c r="I742" s="9" t="b">
        <f>TRUE()</f>
        <v>1</v>
      </c>
      <c r="J742" s="9" t="s">
        <v>1361</v>
      </c>
      <c r="K742" s="11">
        <v>52.23</v>
      </c>
      <c r="L742" s="9" t="s">
        <v>21</v>
      </c>
      <c r="M742" s="9" t="str">
        <f>IFERROR(INDEX(T_CleanCustomers[Sales_Rep_ID],MATCH(B742,T_CleanCustomers[Customer_ID],0)),"Unmatched")</f>
        <v>REP007</v>
      </c>
      <c r="N742" s="9" t="str">
        <f>IFERROR(INDEX(T_CleanCustomers[Channel],MATCH(B742,T_CleanCustomers[Customer_ID],0)),"Unmatched")</f>
        <v>Direct Sales</v>
      </c>
      <c r="O742" s="9" t="str">
        <f>IFERROR(INDEX(T_CleanCustomers[Product],MATCH(B742,T_CleanCustomers[Customer_ID],0)),"Unmatched")</f>
        <v>Toll Solution</v>
      </c>
      <c r="P742" s="9" t="str">
        <f>IFERROR(INDEX(T_CleanCustomers[Customer_Segment],MATCH(B742,T_CleanCustomers[Customer_ID],0)),"Unmatched")</f>
        <v>SME</v>
      </c>
    </row>
    <row r="743" spans="1:16" ht="15" customHeight="1" x14ac:dyDescent="0.2">
      <c r="A743" s="9" t="s">
        <v>2092</v>
      </c>
      <c r="B743" s="9" t="s">
        <v>1236</v>
      </c>
      <c r="C743" s="9" t="b">
        <f>TRUE()</f>
        <v>1</v>
      </c>
      <c r="D743" s="10">
        <v>45915</v>
      </c>
      <c r="E743" s="10">
        <v>45901</v>
      </c>
      <c r="F743" s="9" t="s">
        <v>1373</v>
      </c>
      <c r="G743" s="11">
        <v>2411.75</v>
      </c>
      <c r="H743" s="11">
        <v>40.74</v>
      </c>
      <c r="I743" s="9" t="b">
        <f>TRUE()</f>
        <v>1</v>
      </c>
      <c r="J743" s="9" t="s">
        <v>1361</v>
      </c>
      <c r="K743" s="11">
        <v>40.74</v>
      </c>
      <c r="L743" s="9" t="s">
        <v>21</v>
      </c>
      <c r="M743" s="9" t="str">
        <f>IFERROR(INDEX(T_CleanCustomers[Sales_Rep_ID],MATCH(B743,T_CleanCustomers[Customer_ID],0)),"Unmatched")</f>
        <v>REP007</v>
      </c>
      <c r="N743" s="9" t="str">
        <f>IFERROR(INDEX(T_CleanCustomers[Channel],MATCH(B743,T_CleanCustomers[Customer_ID],0)),"Unmatched")</f>
        <v>Direct Sales</v>
      </c>
      <c r="O743" s="9" t="str">
        <f>IFERROR(INDEX(T_CleanCustomers[Product],MATCH(B743,T_CleanCustomers[Customer_ID],0)),"Unmatched")</f>
        <v>Toll Solution</v>
      </c>
      <c r="P743" s="9" t="str">
        <f>IFERROR(INDEX(T_CleanCustomers[Customer_Segment],MATCH(B743,T_CleanCustomers[Customer_ID],0)),"Unmatched")</f>
        <v>SME</v>
      </c>
    </row>
    <row r="744" spans="1:16" ht="15" customHeight="1" x14ac:dyDescent="0.2">
      <c r="A744" s="9" t="s">
        <v>2093</v>
      </c>
      <c r="B744" s="9" t="s">
        <v>1236</v>
      </c>
      <c r="C744" s="9" t="b">
        <f>TRUE()</f>
        <v>1</v>
      </c>
      <c r="D744" s="10">
        <v>45950</v>
      </c>
      <c r="E744" s="10">
        <v>45931</v>
      </c>
      <c r="F744" s="9" t="s">
        <v>1373</v>
      </c>
      <c r="G744" s="11">
        <v>4778.88</v>
      </c>
      <c r="H744" s="11">
        <v>74.099999999999994</v>
      </c>
      <c r="I744" s="9" t="b">
        <f>TRUE()</f>
        <v>1</v>
      </c>
      <c r="J744" s="9" t="s">
        <v>1361</v>
      </c>
      <c r="K744" s="11">
        <v>74.099999999999994</v>
      </c>
      <c r="L744" s="9" t="s">
        <v>21</v>
      </c>
      <c r="M744" s="9" t="str">
        <f>IFERROR(INDEX(T_CleanCustomers[Sales_Rep_ID],MATCH(B744,T_CleanCustomers[Customer_ID],0)),"Unmatched")</f>
        <v>REP007</v>
      </c>
      <c r="N744" s="9" t="str">
        <f>IFERROR(INDEX(T_CleanCustomers[Channel],MATCH(B744,T_CleanCustomers[Customer_ID],0)),"Unmatched")</f>
        <v>Direct Sales</v>
      </c>
      <c r="O744" s="9" t="str">
        <f>IFERROR(INDEX(T_CleanCustomers[Product],MATCH(B744,T_CleanCustomers[Customer_ID],0)),"Unmatched")</f>
        <v>Toll Solution</v>
      </c>
      <c r="P744" s="9" t="str">
        <f>IFERROR(INDEX(T_CleanCustomers[Customer_Segment],MATCH(B744,T_CleanCustomers[Customer_ID],0)),"Unmatched")</f>
        <v>SME</v>
      </c>
    </row>
    <row r="745" spans="1:16" ht="15" customHeight="1" x14ac:dyDescent="0.2">
      <c r="A745" s="9" t="s">
        <v>2094</v>
      </c>
      <c r="B745" s="9" t="s">
        <v>1236</v>
      </c>
      <c r="C745" s="9" t="b">
        <f>TRUE()</f>
        <v>1</v>
      </c>
      <c r="D745" s="10">
        <v>45936</v>
      </c>
      <c r="E745" s="10">
        <v>45931</v>
      </c>
      <c r="F745" s="9" t="s">
        <v>1373</v>
      </c>
      <c r="G745" s="11">
        <v>1237.03</v>
      </c>
      <c r="H745" s="11">
        <v>23.02</v>
      </c>
      <c r="I745" s="9" t="b">
        <f>TRUE()</f>
        <v>1</v>
      </c>
      <c r="J745" s="9" t="s">
        <v>1361</v>
      </c>
      <c r="K745" s="11">
        <v>23.02</v>
      </c>
      <c r="L745" s="9" t="s">
        <v>21</v>
      </c>
      <c r="M745" s="9" t="str">
        <f>IFERROR(INDEX(T_CleanCustomers[Sales_Rep_ID],MATCH(B745,T_CleanCustomers[Customer_ID],0)),"Unmatched")</f>
        <v>REP007</v>
      </c>
      <c r="N745" s="9" t="str">
        <f>IFERROR(INDEX(T_CleanCustomers[Channel],MATCH(B745,T_CleanCustomers[Customer_ID],0)),"Unmatched")</f>
        <v>Direct Sales</v>
      </c>
      <c r="O745" s="9" t="str">
        <f>IFERROR(INDEX(T_CleanCustomers[Product],MATCH(B745,T_CleanCustomers[Customer_ID],0)),"Unmatched")</f>
        <v>Toll Solution</v>
      </c>
      <c r="P745" s="9" t="str">
        <f>IFERROR(INDEX(T_CleanCustomers[Customer_Segment],MATCH(B745,T_CleanCustomers[Customer_ID],0)),"Unmatched")</f>
        <v>SME</v>
      </c>
    </row>
    <row r="746" spans="1:16" ht="15" customHeight="1" x14ac:dyDescent="0.2">
      <c r="A746" s="9" t="s">
        <v>2095</v>
      </c>
      <c r="B746" s="9" t="s">
        <v>1236</v>
      </c>
      <c r="C746" s="9" t="b">
        <f>TRUE()</f>
        <v>1</v>
      </c>
      <c r="D746" s="10">
        <v>45991</v>
      </c>
      <c r="E746" s="10">
        <v>45962</v>
      </c>
      <c r="F746" s="9" t="s">
        <v>1373</v>
      </c>
      <c r="G746" s="11">
        <v>1391.74</v>
      </c>
      <c r="H746" s="11">
        <v>27.38</v>
      </c>
      <c r="I746" s="9" t="b">
        <f>TRUE()</f>
        <v>1</v>
      </c>
      <c r="J746" s="9" t="s">
        <v>1361</v>
      </c>
      <c r="K746" s="11">
        <v>27.38</v>
      </c>
      <c r="L746" s="9" t="s">
        <v>21</v>
      </c>
      <c r="M746" s="9" t="str">
        <f>IFERROR(INDEX(T_CleanCustomers[Sales_Rep_ID],MATCH(B746,T_CleanCustomers[Customer_ID],0)),"Unmatched")</f>
        <v>REP007</v>
      </c>
      <c r="N746" s="9" t="str">
        <f>IFERROR(INDEX(T_CleanCustomers[Channel],MATCH(B746,T_CleanCustomers[Customer_ID],0)),"Unmatched")</f>
        <v>Direct Sales</v>
      </c>
      <c r="O746" s="9" t="str">
        <f>IFERROR(INDEX(T_CleanCustomers[Product],MATCH(B746,T_CleanCustomers[Customer_ID],0)),"Unmatched")</f>
        <v>Toll Solution</v>
      </c>
      <c r="P746" s="9" t="str">
        <f>IFERROR(INDEX(T_CleanCustomers[Customer_Segment],MATCH(B746,T_CleanCustomers[Customer_ID],0)),"Unmatched")</f>
        <v>SME</v>
      </c>
    </row>
    <row r="747" spans="1:16" ht="15" customHeight="1" x14ac:dyDescent="0.2">
      <c r="A747" s="9" t="s">
        <v>2096</v>
      </c>
      <c r="B747" s="9" t="s">
        <v>1236</v>
      </c>
      <c r="C747" s="9" t="b">
        <f>TRUE()</f>
        <v>1</v>
      </c>
      <c r="D747" s="10">
        <v>45964</v>
      </c>
      <c r="E747" s="10">
        <v>45962</v>
      </c>
      <c r="F747" s="9" t="s">
        <v>1373</v>
      </c>
      <c r="G747" s="11">
        <v>4300.87</v>
      </c>
      <c r="H747" s="11">
        <v>70.86</v>
      </c>
      <c r="I747" s="9" t="b">
        <f>TRUE()</f>
        <v>1</v>
      </c>
      <c r="J747" s="9" t="s">
        <v>1361</v>
      </c>
      <c r="K747" s="11">
        <v>70.86</v>
      </c>
      <c r="L747" s="9" t="s">
        <v>21</v>
      </c>
      <c r="M747" s="9" t="str">
        <f>IFERROR(INDEX(T_CleanCustomers[Sales_Rep_ID],MATCH(B747,T_CleanCustomers[Customer_ID],0)),"Unmatched")</f>
        <v>REP007</v>
      </c>
      <c r="N747" s="9" t="str">
        <f>IFERROR(INDEX(T_CleanCustomers[Channel],MATCH(B747,T_CleanCustomers[Customer_ID],0)),"Unmatched")</f>
        <v>Direct Sales</v>
      </c>
      <c r="O747" s="9" t="str">
        <f>IFERROR(INDEX(T_CleanCustomers[Product],MATCH(B747,T_CleanCustomers[Customer_ID],0)),"Unmatched")</f>
        <v>Toll Solution</v>
      </c>
      <c r="P747" s="9" t="str">
        <f>IFERROR(INDEX(T_CleanCustomers[Customer_Segment],MATCH(B747,T_CleanCustomers[Customer_ID],0)),"Unmatched")</f>
        <v>SME</v>
      </c>
    </row>
    <row r="748" spans="1:16" ht="15" customHeight="1" x14ac:dyDescent="0.2">
      <c r="A748" s="9" t="s">
        <v>2097</v>
      </c>
      <c r="B748" s="9" t="s">
        <v>1236</v>
      </c>
      <c r="C748" s="9" t="b">
        <f>TRUE()</f>
        <v>1</v>
      </c>
      <c r="D748" s="10">
        <v>45997</v>
      </c>
      <c r="E748" s="10">
        <v>45992</v>
      </c>
      <c r="F748" s="9" t="s">
        <v>1373</v>
      </c>
      <c r="G748" s="11">
        <v>1738.48</v>
      </c>
      <c r="H748" s="11">
        <v>31.86</v>
      </c>
      <c r="I748" s="9" t="b">
        <f>TRUE()</f>
        <v>1</v>
      </c>
      <c r="J748" s="9" t="s">
        <v>1361</v>
      </c>
      <c r="K748" s="11">
        <v>31.86</v>
      </c>
      <c r="L748" s="9" t="s">
        <v>21</v>
      </c>
      <c r="M748" s="9" t="str">
        <f>IFERROR(INDEX(T_CleanCustomers[Sales_Rep_ID],MATCH(B748,T_CleanCustomers[Customer_ID],0)),"Unmatched")</f>
        <v>REP007</v>
      </c>
      <c r="N748" s="9" t="str">
        <f>IFERROR(INDEX(T_CleanCustomers[Channel],MATCH(B748,T_CleanCustomers[Customer_ID],0)),"Unmatched")</f>
        <v>Direct Sales</v>
      </c>
      <c r="O748" s="9" t="str">
        <f>IFERROR(INDEX(T_CleanCustomers[Product],MATCH(B748,T_CleanCustomers[Customer_ID],0)),"Unmatched")</f>
        <v>Toll Solution</v>
      </c>
      <c r="P748" s="9" t="str">
        <f>IFERROR(INDEX(T_CleanCustomers[Customer_Segment],MATCH(B748,T_CleanCustomers[Customer_ID],0)),"Unmatched")</f>
        <v>SME</v>
      </c>
    </row>
    <row r="749" spans="1:16" ht="15" customHeight="1" x14ac:dyDescent="0.2">
      <c r="A749" s="9" t="s">
        <v>131</v>
      </c>
      <c r="B749" s="9" t="s">
        <v>1237</v>
      </c>
      <c r="C749" s="9" t="b">
        <f>TRUE()</f>
        <v>1</v>
      </c>
      <c r="D749" s="10">
        <v>45928</v>
      </c>
      <c r="E749" s="10">
        <v>45901</v>
      </c>
      <c r="F749" s="9" t="s">
        <v>1360</v>
      </c>
      <c r="G749" s="11">
        <v>4797.6099999999997</v>
      </c>
      <c r="H749" s="11">
        <v>127.97</v>
      </c>
      <c r="I749" s="9" t="b">
        <f>TRUE()</f>
        <v>1</v>
      </c>
      <c r="J749" s="9" t="s">
        <v>1408</v>
      </c>
      <c r="K749" s="11">
        <v>0</v>
      </c>
      <c r="L749" s="9" t="s">
        <v>19</v>
      </c>
      <c r="M749" s="9" t="str">
        <f>IFERROR(INDEX(T_CleanCustomers[Sales_Rep_ID],MATCH(B749,T_CleanCustomers[Customer_ID],0)),"Unmatched")</f>
        <v>REP013</v>
      </c>
      <c r="N749" s="9" t="str">
        <f>IFERROR(INDEX(T_CleanCustomers[Channel],MATCH(B749,T_CleanCustomers[Customer_ID],0)),"Unmatched")</f>
        <v>Telesales</v>
      </c>
      <c r="O749" s="9" t="str">
        <f>IFERROR(INDEX(T_CleanCustomers[Product],MATCH(B749,T_CleanCustomers[Customer_ID],0)),"Unmatched")</f>
        <v>Fuel Card</v>
      </c>
      <c r="P749" s="9" t="str">
        <f>IFERROR(INDEX(T_CleanCustomers[Customer_Segment],MATCH(B749,T_CleanCustomers[Customer_ID],0)),"Unmatched")</f>
        <v>SME</v>
      </c>
    </row>
    <row r="750" spans="1:16" ht="15" customHeight="1" x14ac:dyDescent="0.2">
      <c r="A750" s="9" t="s">
        <v>2098</v>
      </c>
      <c r="B750" s="9" t="s">
        <v>1237</v>
      </c>
      <c r="C750" s="9" t="b">
        <f>TRUE()</f>
        <v>1</v>
      </c>
      <c r="D750" s="10">
        <v>45912</v>
      </c>
      <c r="E750" s="10">
        <v>45901</v>
      </c>
      <c r="F750" s="9" t="s">
        <v>1360</v>
      </c>
      <c r="G750" s="11">
        <v>3351.63</v>
      </c>
      <c r="H750" s="11">
        <v>89.81</v>
      </c>
      <c r="I750" s="9" t="b">
        <f>TRUE()</f>
        <v>1</v>
      </c>
      <c r="J750" s="9" t="s">
        <v>1361</v>
      </c>
      <c r="K750" s="11">
        <v>89.81</v>
      </c>
      <c r="L750" s="9" t="s">
        <v>19</v>
      </c>
      <c r="M750" s="9" t="str">
        <f>IFERROR(INDEX(T_CleanCustomers[Sales_Rep_ID],MATCH(B750,T_CleanCustomers[Customer_ID],0)),"Unmatched")</f>
        <v>REP013</v>
      </c>
      <c r="N750" s="9" t="str">
        <f>IFERROR(INDEX(T_CleanCustomers[Channel],MATCH(B750,T_CleanCustomers[Customer_ID],0)),"Unmatched")</f>
        <v>Telesales</v>
      </c>
      <c r="O750" s="9" t="str">
        <f>IFERROR(INDEX(T_CleanCustomers[Product],MATCH(B750,T_CleanCustomers[Customer_ID],0)),"Unmatched")</f>
        <v>Fuel Card</v>
      </c>
      <c r="P750" s="9" t="str">
        <f>IFERROR(INDEX(T_CleanCustomers[Customer_Segment],MATCH(B750,T_CleanCustomers[Customer_ID],0)),"Unmatched")</f>
        <v>SME</v>
      </c>
    </row>
    <row r="751" spans="1:16" ht="15" customHeight="1" x14ac:dyDescent="0.2">
      <c r="A751" s="9" t="s">
        <v>2099</v>
      </c>
      <c r="B751" s="9" t="s">
        <v>1237</v>
      </c>
      <c r="C751" s="9" t="b">
        <f>TRUE()</f>
        <v>1</v>
      </c>
      <c r="D751" s="10">
        <v>45959</v>
      </c>
      <c r="E751" s="10">
        <v>45931</v>
      </c>
      <c r="F751" s="9" t="s">
        <v>1360</v>
      </c>
      <c r="G751" s="11">
        <v>3294.61</v>
      </c>
      <c r="H751" s="11">
        <v>84.05</v>
      </c>
      <c r="I751" s="9" t="b">
        <f>TRUE()</f>
        <v>1</v>
      </c>
      <c r="J751" s="9" t="s">
        <v>1361</v>
      </c>
      <c r="K751" s="11">
        <v>84.05</v>
      </c>
      <c r="L751" s="9" t="s">
        <v>19</v>
      </c>
      <c r="M751" s="9" t="str">
        <f>IFERROR(INDEX(T_CleanCustomers[Sales_Rep_ID],MATCH(B751,T_CleanCustomers[Customer_ID],0)),"Unmatched")</f>
        <v>REP013</v>
      </c>
      <c r="N751" s="9" t="str">
        <f>IFERROR(INDEX(T_CleanCustomers[Channel],MATCH(B751,T_CleanCustomers[Customer_ID],0)),"Unmatched")</f>
        <v>Telesales</v>
      </c>
      <c r="O751" s="9" t="str">
        <f>IFERROR(INDEX(T_CleanCustomers[Product],MATCH(B751,T_CleanCustomers[Customer_ID],0)),"Unmatched")</f>
        <v>Fuel Card</v>
      </c>
      <c r="P751" s="9" t="str">
        <f>IFERROR(INDEX(T_CleanCustomers[Customer_Segment],MATCH(B751,T_CleanCustomers[Customer_ID],0)),"Unmatched")</f>
        <v>SME</v>
      </c>
    </row>
    <row r="752" spans="1:16" ht="15" customHeight="1" x14ac:dyDescent="0.2">
      <c r="A752" s="9" t="s">
        <v>2100</v>
      </c>
      <c r="B752" s="9" t="s">
        <v>1237</v>
      </c>
      <c r="C752" s="9" t="b">
        <f>TRUE()</f>
        <v>1</v>
      </c>
      <c r="D752" s="10">
        <v>45955</v>
      </c>
      <c r="E752" s="10">
        <v>45931</v>
      </c>
      <c r="F752" s="9" t="s">
        <v>1360</v>
      </c>
      <c r="G752" s="11">
        <v>3490.97</v>
      </c>
      <c r="H752" s="11">
        <v>92.62</v>
      </c>
      <c r="I752" s="9" t="b">
        <f>TRUE()</f>
        <v>1</v>
      </c>
      <c r="J752" s="9" t="s">
        <v>1361</v>
      </c>
      <c r="K752" s="11">
        <v>92.62</v>
      </c>
      <c r="L752" s="9" t="s">
        <v>19</v>
      </c>
      <c r="M752" s="9" t="str">
        <f>IFERROR(INDEX(T_CleanCustomers[Sales_Rep_ID],MATCH(B752,T_CleanCustomers[Customer_ID],0)),"Unmatched")</f>
        <v>REP013</v>
      </c>
      <c r="N752" s="9" t="str">
        <f>IFERROR(INDEX(T_CleanCustomers[Channel],MATCH(B752,T_CleanCustomers[Customer_ID],0)),"Unmatched")</f>
        <v>Telesales</v>
      </c>
      <c r="O752" s="9" t="str">
        <f>IFERROR(INDEX(T_CleanCustomers[Product],MATCH(B752,T_CleanCustomers[Customer_ID],0)),"Unmatched")</f>
        <v>Fuel Card</v>
      </c>
      <c r="P752" s="9" t="str">
        <f>IFERROR(INDEX(T_CleanCustomers[Customer_Segment],MATCH(B752,T_CleanCustomers[Customer_ID],0)),"Unmatched")</f>
        <v>SME</v>
      </c>
    </row>
    <row r="753" spans="1:16" ht="15" customHeight="1" x14ac:dyDescent="0.2">
      <c r="A753" s="9" t="s">
        <v>2101</v>
      </c>
      <c r="B753" s="9" t="s">
        <v>1237</v>
      </c>
      <c r="C753" s="9" t="b">
        <f>TRUE()</f>
        <v>1</v>
      </c>
      <c r="D753" s="10">
        <v>45949</v>
      </c>
      <c r="E753" s="10">
        <v>45931</v>
      </c>
      <c r="F753" s="9" t="s">
        <v>1360</v>
      </c>
      <c r="G753" s="11">
        <v>2433.37</v>
      </c>
      <c r="H753" s="11">
        <v>54.53</v>
      </c>
      <c r="I753" s="9" t="b">
        <f>TRUE()</f>
        <v>1</v>
      </c>
      <c r="J753" s="9" t="s">
        <v>1361</v>
      </c>
      <c r="K753" s="11">
        <v>54.53</v>
      </c>
      <c r="L753" s="9" t="s">
        <v>19</v>
      </c>
      <c r="M753" s="9" t="str">
        <f>IFERROR(INDEX(T_CleanCustomers[Sales_Rep_ID],MATCH(B753,T_CleanCustomers[Customer_ID],0)),"Unmatched")</f>
        <v>REP013</v>
      </c>
      <c r="N753" s="9" t="str">
        <f>IFERROR(INDEX(T_CleanCustomers[Channel],MATCH(B753,T_CleanCustomers[Customer_ID],0)),"Unmatched")</f>
        <v>Telesales</v>
      </c>
      <c r="O753" s="9" t="str">
        <f>IFERROR(INDEX(T_CleanCustomers[Product],MATCH(B753,T_CleanCustomers[Customer_ID],0)),"Unmatched")</f>
        <v>Fuel Card</v>
      </c>
      <c r="P753" s="9" t="str">
        <f>IFERROR(INDEX(T_CleanCustomers[Customer_Segment],MATCH(B753,T_CleanCustomers[Customer_ID],0)),"Unmatched")</f>
        <v>SME</v>
      </c>
    </row>
    <row r="754" spans="1:16" ht="15" customHeight="1" x14ac:dyDescent="0.2">
      <c r="A754" s="9" t="s">
        <v>2102</v>
      </c>
      <c r="B754" s="9" t="s">
        <v>1237</v>
      </c>
      <c r="C754" s="9" t="b">
        <f>TRUE()</f>
        <v>1</v>
      </c>
      <c r="D754" s="10">
        <v>45962</v>
      </c>
      <c r="E754" s="10">
        <v>45962</v>
      </c>
      <c r="F754" s="9" t="s">
        <v>1360</v>
      </c>
      <c r="G754" s="11">
        <v>3376.34</v>
      </c>
      <c r="H754" s="11">
        <v>75.19</v>
      </c>
      <c r="I754" s="9" t="b">
        <f>TRUE()</f>
        <v>1</v>
      </c>
      <c r="J754" s="9" t="s">
        <v>1361</v>
      </c>
      <c r="K754" s="11">
        <v>75.19</v>
      </c>
      <c r="L754" s="9" t="s">
        <v>19</v>
      </c>
      <c r="M754" s="9" t="str">
        <f>IFERROR(INDEX(T_CleanCustomers[Sales_Rep_ID],MATCH(B754,T_CleanCustomers[Customer_ID],0)),"Unmatched")</f>
        <v>REP013</v>
      </c>
      <c r="N754" s="9" t="str">
        <f>IFERROR(INDEX(T_CleanCustomers[Channel],MATCH(B754,T_CleanCustomers[Customer_ID],0)),"Unmatched")</f>
        <v>Telesales</v>
      </c>
      <c r="O754" s="9" t="str">
        <f>IFERROR(INDEX(T_CleanCustomers[Product],MATCH(B754,T_CleanCustomers[Customer_ID],0)),"Unmatched")</f>
        <v>Fuel Card</v>
      </c>
      <c r="P754" s="9" t="str">
        <f>IFERROR(INDEX(T_CleanCustomers[Customer_Segment],MATCH(B754,T_CleanCustomers[Customer_ID],0)),"Unmatched")</f>
        <v>SME</v>
      </c>
    </row>
    <row r="755" spans="1:16" ht="15" customHeight="1" x14ac:dyDescent="0.2">
      <c r="A755" s="9" t="s">
        <v>2103</v>
      </c>
      <c r="B755" s="9" t="s">
        <v>1237</v>
      </c>
      <c r="C755" s="9" t="b">
        <f>TRUE()</f>
        <v>1</v>
      </c>
      <c r="D755" s="10">
        <v>45975</v>
      </c>
      <c r="E755" s="10">
        <v>45962</v>
      </c>
      <c r="F755" s="9" t="s">
        <v>1360</v>
      </c>
      <c r="G755" s="11">
        <v>2643.46</v>
      </c>
      <c r="H755" s="11">
        <v>69.69</v>
      </c>
      <c r="I755" s="9" t="b">
        <f>TRUE()</f>
        <v>1</v>
      </c>
      <c r="J755" s="9" t="s">
        <v>1361</v>
      </c>
      <c r="K755" s="11">
        <v>69.69</v>
      </c>
      <c r="L755" s="9" t="s">
        <v>19</v>
      </c>
      <c r="M755" s="9" t="str">
        <f>IFERROR(INDEX(T_CleanCustomers[Sales_Rep_ID],MATCH(B755,T_CleanCustomers[Customer_ID],0)),"Unmatched")</f>
        <v>REP013</v>
      </c>
      <c r="N755" s="9" t="str">
        <f>IFERROR(INDEX(T_CleanCustomers[Channel],MATCH(B755,T_CleanCustomers[Customer_ID],0)),"Unmatched")</f>
        <v>Telesales</v>
      </c>
      <c r="O755" s="9" t="str">
        <f>IFERROR(INDEX(T_CleanCustomers[Product],MATCH(B755,T_CleanCustomers[Customer_ID],0)),"Unmatched")</f>
        <v>Fuel Card</v>
      </c>
      <c r="P755" s="9" t="str">
        <f>IFERROR(INDEX(T_CleanCustomers[Customer_Segment],MATCH(B755,T_CleanCustomers[Customer_ID],0)),"Unmatched")</f>
        <v>SME</v>
      </c>
    </row>
    <row r="756" spans="1:16" ht="15" customHeight="1" x14ac:dyDescent="0.2">
      <c r="A756" s="9" t="s">
        <v>2104</v>
      </c>
      <c r="B756" s="9" t="s">
        <v>1237</v>
      </c>
      <c r="C756" s="9" t="b">
        <f>TRUE()</f>
        <v>1</v>
      </c>
      <c r="D756" s="10">
        <v>45972</v>
      </c>
      <c r="E756" s="10">
        <v>45962</v>
      </c>
      <c r="F756" s="9" t="s">
        <v>1360</v>
      </c>
      <c r="G756" s="11">
        <v>3841.43</v>
      </c>
      <c r="H756" s="11">
        <v>108.94</v>
      </c>
      <c r="I756" s="9" t="b">
        <f>TRUE()</f>
        <v>1</v>
      </c>
      <c r="J756" s="9" t="s">
        <v>1361</v>
      </c>
      <c r="K756" s="11">
        <v>108.94</v>
      </c>
      <c r="L756" s="9" t="s">
        <v>19</v>
      </c>
      <c r="M756" s="9" t="str">
        <f>IFERROR(INDEX(T_CleanCustomers[Sales_Rep_ID],MATCH(B756,T_CleanCustomers[Customer_ID],0)),"Unmatched")</f>
        <v>REP013</v>
      </c>
      <c r="N756" s="9" t="str">
        <f>IFERROR(INDEX(T_CleanCustomers[Channel],MATCH(B756,T_CleanCustomers[Customer_ID],0)),"Unmatched")</f>
        <v>Telesales</v>
      </c>
      <c r="O756" s="9" t="str">
        <f>IFERROR(INDEX(T_CleanCustomers[Product],MATCH(B756,T_CleanCustomers[Customer_ID],0)),"Unmatched")</f>
        <v>Fuel Card</v>
      </c>
      <c r="P756" s="9" t="str">
        <f>IFERROR(INDEX(T_CleanCustomers[Customer_Segment],MATCH(B756,T_CleanCustomers[Customer_ID],0)),"Unmatched")</f>
        <v>SME</v>
      </c>
    </row>
    <row r="757" spans="1:16" ht="15" customHeight="1" x14ac:dyDescent="0.2">
      <c r="A757" s="9" t="s">
        <v>2105</v>
      </c>
      <c r="B757" s="9" t="s">
        <v>1238</v>
      </c>
      <c r="C757" s="9" t="b">
        <f>TRUE()</f>
        <v>1</v>
      </c>
      <c r="D757" s="10">
        <v>46020</v>
      </c>
      <c r="E757" s="10">
        <v>45992</v>
      </c>
      <c r="F757" s="9" t="s">
        <v>1360</v>
      </c>
      <c r="G757" s="11">
        <v>3474.11</v>
      </c>
      <c r="H757" s="11">
        <v>97.03</v>
      </c>
      <c r="I757" s="9" t="b">
        <f>TRUE()</f>
        <v>1</v>
      </c>
      <c r="J757" s="9" t="s">
        <v>1361</v>
      </c>
      <c r="K757" s="11">
        <v>97.03</v>
      </c>
      <c r="L757" s="9" t="s">
        <v>20</v>
      </c>
      <c r="M757" s="9" t="str">
        <f>IFERROR(INDEX(T_CleanCustomers[Sales_Rep_ID],MATCH(B757,T_CleanCustomers[Customer_ID],0)),"Unmatched")</f>
        <v>REP003</v>
      </c>
      <c r="N757" s="9" t="str">
        <f>IFERROR(INDEX(T_CleanCustomers[Channel],MATCH(B757,T_CleanCustomers[Customer_ID],0)),"Unmatched")</f>
        <v>Referral</v>
      </c>
      <c r="O757" s="9" t="str">
        <f>IFERROR(INDEX(T_CleanCustomers[Product],MATCH(B757,T_CleanCustomers[Customer_ID],0)),"Unmatched")</f>
        <v>Fuel Card</v>
      </c>
      <c r="P757" s="9" t="str">
        <f>IFERROR(INDEX(T_CleanCustomers[Customer_Segment],MATCH(B757,T_CleanCustomers[Customer_ID],0)),"Unmatched")</f>
        <v>SME</v>
      </c>
    </row>
    <row r="758" spans="1:16" ht="15" customHeight="1" x14ac:dyDescent="0.2">
      <c r="A758" s="9" t="s">
        <v>2106</v>
      </c>
      <c r="B758" s="9" t="s">
        <v>1238</v>
      </c>
      <c r="C758" s="9" t="b">
        <f>TRUE()</f>
        <v>1</v>
      </c>
      <c r="D758" s="10">
        <v>46021</v>
      </c>
      <c r="E758" s="10">
        <v>45992</v>
      </c>
      <c r="F758" s="9" t="s">
        <v>1360</v>
      </c>
      <c r="G758" s="11">
        <v>4827.63</v>
      </c>
      <c r="H758" s="11">
        <v>114.14</v>
      </c>
      <c r="I758" s="9" t="b">
        <f>TRUE()</f>
        <v>1</v>
      </c>
      <c r="J758" s="9" t="s">
        <v>1361</v>
      </c>
      <c r="K758" s="11">
        <v>114.14</v>
      </c>
      <c r="L758" s="9" t="s">
        <v>20</v>
      </c>
      <c r="M758" s="9" t="str">
        <f>IFERROR(INDEX(T_CleanCustomers[Sales_Rep_ID],MATCH(B758,T_CleanCustomers[Customer_ID],0)),"Unmatched")</f>
        <v>REP003</v>
      </c>
      <c r="N758" s="9" t="str">
        <f>IFERROR(INDEX(T_CleanCustomers[Channel],MATCH(B758,T_CleanCustomers[Customer_ID],0)),"Unmatched")</f>
        <v>Referral</v>
      </c>
      <c r="O758" s="9" t="str">
        <f>IFERROR(INDEX(T_CleanCustomers[Product],MATCH(B758,T_CleanCustomers[Customer_ID],0)),"Unmatched")</f>
        <v>Fuel Card</v>
      </c>
      <c r="P758" s="9" t="str">
        <f>IFERROR(INDEX(T_CleanCustomers[Customer_Segment],MATCH(B758,T_CleanCustomers[Customer_ID],0)),"Unmatched")</f>
        <v>SME</v>
      </c>
    </row>
    <row r="759" spans="1:16" ht="15" customHeight="1" x14ac:dyDescent="0.2">
      <c r="A759" s="9" t="s">
        <v>2107</v>
      </c>
      <c r="B759" s="9" t="s">
        <v>1239</v>
      </c>
      <c r="C759" s="9" t="b">
        <f>TRUE()</f>
        <v>1</v>
      </c>
      <c r="D759" s="10">
        <v>45991</v>
      </c>
      <c r="E759" s="10">
        <v>45962</v>
      </c>
      <c r="F759" s="9" t="s">
        <v>1360</v>
      </c>
      <c r="G759" s="11">
        <v>2909.91</v>
      </c>
      <c r="H759" s="11">
        <v>69.05</v>
      </c>
      <c r="I759" s="9" t="b">
        <f>TRUE()</f>
        <v>1</v>
      </c>
      <c r="J759" s="9" t="s">
        <v>1361</v>
      </c>
      <c r="K759" s="11">
        <v>69.05</v>
      </c>
      <c r="L759" s="9" t="s">
        <v>21</v>
      </c>
      <c r="M759" s="9" t="str">
        <f>IFERROR(INDEX(T_CleanCustomers[Sales_Rep_ID],MATCH(B759,T_CleanCustomers[Customer_ID],0)),"Unmatched")</f>
        <v>REP007</v>
      </c>
      <c r="N759" s="9" t="str">
        <f>IFERROR(INDEX(T_CleanCustomers[Channel],MATCH(B759,T_CleanCustomers[Customer_ID],0)),"Unmatched")</f>
        <v>Partner</v>
      </c>
      <c r="O759" s="9" t="str">
        <f>IFERROR(INDEX(T_CleanCustomers[Product],MATCH(B759,T_CleanCustomers[Customer_ID],0)),"Unmatched")</f>
        <v>Fuel Card</v>
      </c>
      <c r="P759" s="9" t="str">
        <f>IFERROR(INDEX(T_CleanCustomers[Customer_Segment],MATCH(B759,T_CleanCustomers[Customer_ID],0)),"Unmatched")</f>
        <v>SME</v>
      </c>
    </row>
    <row r="760" spans="1:16" ht="15" customHeight="1" x14ac:dyDescent="0.2">
      <c r="A760" s="9" t="s">
        <v>2108</v>
      </c>
      <c r="B760" s="9" t="s">
        <v>1239</v>
      </c>
      <c r="C760" s="9" t="b">
        <f>TRUE()</f>
        <v>1</v>
      </c>
      <c r="D760" s="10">
        <v>45977</v>
      </c>
      <c r="E760" s="10">
        <v>45962</v>
      </c>
      <c r="F760" s="9" t="s">
        <v>1360</v>
      </c>
      <c r="G760" s="11">
        <v>3408.13</v>
      </c>
      <c r="H760" s="11">
        <v>84.97</v>
      </c>
      <c r="I760" s="9" t="b">
        <f>TRUE()</f>
        <v>1</v>
      </c>
      <c r="J760" s="9" t="s">
        <v>1361</v>
      </c>
      <c r="K760" s="11">
        <v>84.97</v>
      </c>
      <c r="L760" s="9" t="s">
        <v>21</v>
      </c>
      <c r="M760" s="9" t="str">
        <f>IFERROR(INDEX(T_CleanCustomers[Sales_Rep_ID],MATCH(B760,T_CleanCustomers[Customer_ID],0)),"Unmatched")</f>
        <v>REP007</v>
      </c>
      <c r="N760" s="9" t="str">
        <f>IFERROR(INDEX(T_CleanCustomers[Channel],MATCH(B760,T_CleanCustomers[Customer_ID],0)),"Unmatched")</f>
        <v>Partner</v>
      </c>
      <c r="O760" s="9" t="str">
        <f>IFERROR(INDEX(T_CleanCustomers[Product],MATCH(B760,T_CleanCustomers[Customer_ID],0)),"Unmatched")</f>
        <v>Fuel Card</v>
      </c>
      <c r="P760" s="9" t="str">
        <f>IFERROR(INDEX(T_CleanCustomers[Customer_Segment],MATCH(B760,T_CleanCustomers[Customer_ID],0)),"Unmatched")</f>
        <v>SME</v>
      </c>
    </row>
    <row r="761" spans="1:16" ht="15" customHeight="1" x14ac:dyDescent="0.2">
      <c r="A761" s="9" t="s">
        <v>2109</v>
      </c>
      <c r="B761" s="9" t="s">
        <v>1239</v>
      </c>
      <c r="C761" s="9" t="b">
        <f>TRUE()</f>
        <v>1</v>
      </c>
      <c r="D761" s="10">
        <v>45963</v>
      </c>
      <c r="E761" s="10">
        <v>45962</v>
      </c>
      <c r="F761" s="9" t="s">
        <v>1360</v>
      </c>
      <c r="G761" s="11">
        <v>4064.49</v>
      </c>
      <c r="H761" s="11">
        <v>105.99</v>
      </c>
      <c r="I761" s="9" t="b">
        <f>TRUE()</f>
        <v>1</v>
      </c>
      <c r="J761" s="9" t="s">
        <v>1361</v>
      </c>
      <c r="K761" s="11">
        <v>105.99</v>
      </c>
      <c r="L761" s="9" t="s">
        <v>21</v>
      </c>
      <c r="M761" s="9" t="str">
        <f>IFERROR(INDEX(T_CleanCustomers[Sales_Rep_ID],MATCH(B761,T_CleanCustomers[Customer_ID],0)),"Unmatched")</f>
        <v>REP007</v>
      </c>
      <c r="N761" s="9" t="str">
        <f>IFERROR(INDEX(T_CleanCustomers[Channel],MATCH(B761,T_CleanCustomers[Customer_ID],0)),"Unmatched")</f>
        <v>Partner</v>
      </c>
      <c r="O761" s="9" t="str">
        <f>IFERROR(INDEX(T_CleanCustomers[Product],MATCH(B761,T_CleanCustomers[Customer_ID],0)),"Unmatched")</f>
        <v>Fuel Card</v>
      </c>
      <c r="P761" s="9" t="str">
        <f>IFERROR(INDEX(T_CleanCustomers[Customer_Segment],MATCH(B761,T_CleanCustomers[Customer_ID],0)),"Unmatched")</f>
        <v>SME</v>
      </c>
    </row>
    <row r="762" spans="1:16" ht="15" customHeight="1" x14ac:dyDescent="0.2">
      <c r="A762" s="9" t="s">
        <v>2110</v>
      </c>
      <c r="B762" s="9" t="s">
        <v>1239</v>
      </c>
      <c r="C762" s="9" t="b">
        <f>TRUE()</f>
        <v>1</v>
      </c>
      <c r="D762" s="10">
        <v>46001</v>
      </c>
      <c r="E762" s="10">
        <v>45992</v>
      </c>
      <c r="F762" s="9" t="s">
        <v>1360</v>
      </c>
      <c r="G762" s="11">
        <v>1241.47</v>
      </c>
      <c r="H762" s="11">
        <v>31.36</v>
      </c>
      <c r="I762" s="9" t="b">
        <f>TRUE()</f>
        <v>1</v>
      </c>
      <c r="J762" s="9" t="s">
        <v>1361</v>
      </c>
      <c r="K762" s="11">
        <v>31.36</v>
      </c>
      <c r="L762" s="9" t="s">
        <v>21</v>
      </c>
      <c r="M762" s="9" t="str">
        <f>IFERROR(INDEX(T_CleanCustomers[Sales_Rep_ID],MATCH(B762,T_CleanCustomers[Customer_ID],0)),"Unmatched")</f>
        <v>REP007</v>
      </c>
      <c r="N762" s="9" t="str">
        <f>IFERROR(INDEX(T_CleanCustomers[Channel],MATCH(B762,T_CleanCustomers[Customer_ID],0)),"Unmatched")</f>
        <v>Partner</v>
      </c>
      <c r="O762" s="9" t="str">
        <f>IFERROR(INDEX(T_CleanCustomers[Product],MATCH(B762,T_CleanCustomers[Customer_ID],0)),"Unmatched")</f>
        <v>Fuel Card</v>
      </c>
      <c r="P762" s="9" t="str">
        <f>IFERROR(INDEX(T_CleanCustomers[Customer_Segment],MATCH(B762,T_CleanCustomers[Customer_ID],0)),"Unmatched")</f>
        <v>SME</v>
      </c>
    </row>
    <row r="763" spans="1:16" ht="15" customHeight="1" x14ac:dyDescent="0.2">
      <c r="A763" s="9" t="s">
        <v>2111</v>
      </c>
      <c r="B763" s="9" t="s">
        <v>1240</v>
      </c>
      <c r="C763" s="9" t="b">
        <f>TRUE()</f>
        <v>1</v>
      </c>
      <c r="D763" s="10">
        <v>45838</v>
      </c>
      <c r="E763" s="10">
        <v>45809</v>
      </c>
      <c r="F763" s="9" t="s">
        <v>1360</v>
      </c>
      <c r="G763" s="11">
        <v>39193.94</v>
      </c>
      <c r="H763" s="11">
        <v>945.19</v>
      </c>
      <c r="I763" s="9" t="b">
        <f>TRUE()</f>
        <v>1</v>
      </c>
      <c r="J763" s="9" t="s">
        <v>1361</v>
      </c>
      <c r="K763" s="11">
        <v>945.19</v>
      </c>
      <c r="L763" s="9" t="s">
        <v>20</v>
      </c>
      <c r="M763" s="9" t="str">
        <f>IFERROR(INDEX(T_CleanCustomers[Sales_Rep_ID],MATCH(B763,T_CleanCustomers[Customer_ID],0)),"Unmatched")</f>
        <v>REP002</v>
      </c>
      <c r="N763" s="9" t="str">
        <f>IFERROR(INDEX(T_CleanCustomers[Channel],MATCH(B763,T_CleanCustomers[Customer_ID],0)),"Unmatched")</f>
        <v>Direct Sales</v>
      </c>
      <c r="O763" s="9" t="str">
        <f>IFERROR(INDEX(T_CleanCustomers[Product],MATCH(B763,T_CleanCustomers[Customer_ID],0)),"Unmatched")</f>
        <v>Fuel Card</v>
      </c>
      <c r="P763" s="9" t="str">
        <f>IFERROR(INDEX(T_CleanCustomers[Customer_Segment],MATCH(B763,T_CleanCustomers[Customer_ID],0)),"Unmatched")</f>
        <v>Enterprise</v>
      </c>
    </row>
    <row r="764" spans="1:16" ht="15" customHeight="1" x14ac:dyDescent="0.2">
      <c r="A764" s="9" t="s">
        <v>2112</v>
      </c>
      <c r="B764" s="9" t="s">
        <v>1240</v>
      </c>
      <c r="C764" s="9" t="b">
        <f>TRUE()</f>
        <v>1</v>
      </c>
      <c r="D764" s="10">
        <v>45835</v>
      </c>
      <c r="E764" s="10">
        <v>45809</v>
      </c>
      <c r="F764" s="9" t="s">
        <v>1360</v>
      </c>
      <c r="G764" s="11">
        <v>45752.63</v>
      </c>
      <c r="H764" s="11">
        <v>1286.08</v>
      </c>
      <c r="I764" s="9" t="b">
        <f>TRUE()</f>
        <v>1</v>
      </c>
      <c r="J764" s="9" t="s">
        <v>1361</v>
      </c>
      <c r="K764" s="11">
        <v>1286.08</v>
      </c>
      <c r="L764" s="9" t="s">
        <v>20</v>
      </c>
      <c r="M764" s="9" t="str">
        <f>IFERROR(INDEX(T_CleanCustomers[Sales_Rep_ID],MATCH(B764,T_CleanCustomers[Customer_ID],0)),"Unmatched")</f>
        <v>REP002</v>
      </c>
      <c r="N764" s="9" t="str">
        <f>IFERROR(INDEX(T_CleanCustomers[Channel],MATCH(B764,T_CleanCustomers[Customer_ID],0)),"Unmatched")</f>
        <v>Direct Sales</v>
      </c>
      <c r="O764" s="9" t="str">
        <f>IFERROR(INDEX(T_CleanCustomers[Product],MATCH(B764,T_CleanCustomers[Customer_ID],0)),"Unmatched")</f>
        <v>Fuel Card</v>
      </c>
      <c r="P764" s="9" t="str">
        <f>IFERROR(INDEX(T_CleanCustomers[Customer_Segment],MATCH(B764,T_CleanCustomers[Customer_ID],0)),"Unmatched")</f>
        <v>Enterprise</v>
      </c>
    </row>
    <row r="765" spans="1:16" ht="15" customHeight="1" x14ac:dyDescent="0.2">
      <c r="A765" s="9" t="s">
        <v>2113</v>
      </c>
      <c r="B765" s="9" t="s">
        <v>1240</v>
      </c>
      <c r="C765" s="9" t="b">
        <f>TRUE()</f>
        <v>1</v>
      </c>
      <c r="D765" s="10">
        <v>45834</v>
      </c>
      <c r="E765" s="10">
        <v>45809</v>
      </c>
      <c r="F765" s="9" t="s">
        <v>1360</v>
      </c>
      <c r="G765" s="11">
        <v>52328.15</v>
      </c>
      <c r="H765" s="11">
        <v>1465.44</v>
      </c>
      <c r="I765" s="9" t="b">
        <f>TRUE()</f>
        <v>1</v>
      </c>
      <c r="J765" s="9" t="s">
        <v>1361</v>
      </c>
      <c r="K765" s="11">
        <v>1465.44</v>
      </c>
      <c r="L765" s="9" t="s">
        <v>20</v>
      </c>
      <c r="M765" s="9" t="str">
        <f>IFERROR(INDEX(T_CleanCustomers[Sales_Rep_ID],MATCH(B765,T_CleanCustomers[Customer_ID],0)),"Unmatched")</f>
        <v>REP002</v>
      </c>
      <c r="N765" s="9" t="str">
        <f>IFERROR(INDEX(T_CleanCustomers[Channel],MATCH(B765,T_CleanCustomers[Customer_ID],0)),"Unmatched")</f>
        <v>Direct Sales</v>
      </c>
      <c r="O765" s="9" t="str">
        <f>IFERROR(INDEX(T_CleanCustomers[Product],MATCH(B765,T_CleanCustomers[Customer_ID],0)),"Unmatched")</f>
        <v>Fuel Card</v>
      </c>
      <c r="P765" s="9" t="str">
        <f>IFERROR(INDEX(T_CleanCustomers[Customer_Segment],MATCH(B765,T_CleanCustomers[Customer_ID],0)),"Unmatched")</f>
        <v>Enterprise</v>
      </c>
    </row>
    <row r="766" spans="1:16" ht="15" customHeight="1" x14ac:dyDescent="0.2">
      <c r="A766" s="9" t="s">
        <v>2114</v>
      </c>
      <c r="B766" s="9" t="s">
        <v>1240</v>
      </c>
      <c r="C766" s="9" t="b">
        <f>TRUE()</f>
        <v>1</v>
      </c>
      <c r="D766" s="10">
        <v>45869</v>
      </c>
      <c r="E766" s="10">
        <v>45839</v>
      </c>
      <c r="F766" s="9" t="s">
        <v>1360</v>
      </c>
      <c r="G766" s="11">
        <v>16831.7</v>
      </c>
      <c r="H766" s="11">
        <v>430.52</v>
      </c>
      <c r="I766" s="9" t="b">
        <f>TRUE()</f>
        <v>1</v>
      </c>
      <c r="J766" s="9" t="s">
        <v>1361</v>
      </c>
      <c r="K766" s="11">
        <v>430.52</v>
      </c>
      <c r="L766" s="9" t="s">
        <v>20</v>
      </c>
      <c r="M766" s="9" t="str">
        <f>IFERROR(INDEX(T_CleanCustomers[Sales_Rep_ID],MATCH(B766,T_CleanCustomers[Customer_ID],0)),"Unmatched")</f>
        <v>REP002</v>
      </c>
      <c r="N766" s="9" t="str">
        <f>IFERROR(INDEX(T_CleanCustomers[Channel],MATCH(B766,T_CleanCustomers[Customer_ID],0)),"Unmatched")</f>
        <v>Direct Sales</v>
      </c>
      <c r="O766" s="9" t="str">
        <f>IFERROR(INDEX(T_CleanCustomers[Product],MATCH(B766,T_CleanCustomers[Customer_ID],0)),"Unmatched")</f>
        <v>Fuel Card</v>
      </c>
      <c r="P766" s="9" t="str">
        <f>IFERROR(INDEX(T_CleanCustomers[Customer_Segment],MATCH(B766,T_CleanCustomers[Customer_ID],0)),"Unmatched")</f>
        <v>Enterprise</v>
      </c>
    </row>
    <row r="767" spans="1:16" ht="15" customHeight="1" x14ac:dyDescent="0.2">
      <c r="A767" s="9" t="s">
        <v>2115</v>
      </c>
      <c r="B767" s="9" t="s">
        <v>1240</v>
      </c>
      <c r="C767" s="9" t="b">
        <f>TRUE()</f>
        <v>1</v>
      </c>
      <c r="D767" s="10">
        <v>45840</v>
      </c>
      <c r="E767" s="10">
        <v>45839</v>
      </c>
      <c r="F767" s="9" t="s">
        <v>1360</v>
      </c>
      <c r="G767" s="11">
        <v>20122.22</v>
      </c>
      <c r="H767" s="11">
        <v>550.89</v>
      </c>
      <c r="I767" s="9" t="b">
        <f>TRUE()</f>
        <v>1</v>
      </c>
      <c r="J767" s="9" t="s">
        <v>1361</v>
      </c>
      <c r="K767" s="11">
        <v>550.89</v>
      </c>
      <c r="L767" s="9" t="s">
        <v>20</v>
      </c>
      <c r="M767" s="9" t="str">
        <f>IFERROR(INDEX(T_CleanCustomers[Sales_Rep_ID],MATCH(B767,T_CleanCustomers[Customer_ID],0)),"Unmatched")</f>
        <v>REP002</v>
      </c>
      <c r="N767" s="9" t="str">
        <f>IFERROR(INDEX(T_CleanCustomers[Channel],MATCH(B767,T_CleanCustomers[Customer_ID],0)),"Unmatched")</f>
        <v>Direct Sales</v>
      </c>
      <c r="O767" s="9" t="str">
        <f>IFERROR(INDEX(T_CleanCustomers[Product],MATCH(B767,T_CleanCustomers[Customer_ID],0)),"Unmatched")</f>
        <v>Fuel Card</v>
      </c>
      <c r="P767" s="9" t="str">
        <f>IFERROR(INDEX(T_CleanCustomers[Customer_Segment],MATCH(B767,T_CleanCustomers[Customer_ID],0)),"Unmatched")</f>
        <v>Enterprise</v>
      </c>
    </row>
    <row r="768" spans="1:16" ht="15" customHeight="1" x14ac:dyDescent="0.2">
      <c r="A768" s="9" t="s">
        <v>2116</v>
      </c>
      <c r="B768" s="9" t="s">
        <v>1240</v>
      </c>
      <c r="C768" s="9" t="b">
        <f>TRUE()</f>
        <v>1</v>
      </c>
      <c r="D768" s="10">
        <v>45862</v>
      </c>
      <c r="E768" s="10">
        <v>45839</v>
      </c>
      <c r="F768" s="9" t="s">
        <v>1360</v>
      </c>
      <c r="G768" s="11">
        <v>54496.82</v>
      </c>
      <c r="H768" s="11">
        <v>1247.68</v>
      </c>
      <c r="I768" s="9" t="b">
        <f>TRUE()</f>
        <v>1</v>
      </c>
      <c r="J768" s="9" t="s">
        <v>1361</v>
      </c>
      <c r="K768" s="11">
        <v>1247.68</v>
      </c>
      <c r="L768" s="9" t="s">
        <v>20</v>
      </c>
      <c r="M768" s="9" t="str">
        <f>IFERROR(INDEX(T_CleanCustomers[Sales_Rep_ID],MATCH(B768,T_CleanCustomers[Customer_ID],0)),"Unmatched")</f>
        <v>REP002</v>
      </c>
      <c r="N768" s="9" t="str">
        <f>IFERROR(INDEX(T_CleanCustomers[Channel],MATCH(B768,T_CleanCustomers[Customer_ID],0)),"Unmatched")</f>
        <v>Direct Sales</v>
      </c>
      <c r="O768" s="9" t="str">
        <f>IFERROR(INDEX(T_CleanCustomers[Product],MATCH(B768,T_CleanCustomers[Customer_ID],0)),"Unmatched")</f>
        <v>Fuel Card</v>
      </c>
      <c r="P768" s="9" t="str">
        <f>IFERROR(INDEX(T_CleanCustomers[Customer_Segment],MATCH(B768,T_CleanCustomers[Customer_ID],0)),"Unmatched")</f>
        <v>Enterprise</v>
      </c>
    </row>
    <row r="769" spans="1:16" ht="15" customHeight="1" x14ac:dyDescent="0.2">
      <c r="A769" s="9" t="s">
        <v>2117</v>
      </c>
      <c r="B769" s="9" t="s">
        <v>1240</v>
      </c>
      <c r="C769" s="9" t="b">
        <f>TRUE()</f>
        <v>1</v>
      </c>
      <c r="D769" s="10">
        <v>45874</v>
      </c>
      <c r="E769" s="10">
        <v>45870</v>
      </c>
      <c r="F769" s="9" t="s">
        <v>1360</v>
      </c>
      <c r="G769" s="11">
        <v>26703.13</v>
      </c>
      <c r="H769" s="11">
        <v>683.3</v>
      </c>
      <c r="I769" s="9" t="b">
        <f>TRUE()</f>
        <v>1</v>
      </c>
      <c r="J769" s="9" t="s">
        <v>1361</v>
      </c>
      <c r="K769" s="11">
        <v>683.3</v>
      </c>
      <c r="L769" s="9" t="s">
        <v>20</v>
      </c>
      <c r="M769" s="9" t="str">
        <f>IFERROR(INDEX(T_CleanCustomers[Sales_Rep_ID],MATCH(B769,T_CleanCustomers[Customer_ID],0)),"Unmatched")</f>
        <v>REP002</v>
      </c>
      <c r="N769" s="9" t="str">
        <f>IFERROR(INDEX(T_CleanCustomers[Channel],MATCH(B769,T_CleanCustomers[Customer_ID],0)),"Unmatched")</f>
        <v>Direct Sales</v>
      </c>
      <c r="O769" s="9" t="str">
        <f>IFERROR(INDEX(T_CleanCustomers[Product],MATCH(B769,T_CleanCustomers[Customer_ID],0)),"Unmatched")</f>
        <v>Fuel Card</v>
      </c>
      <c r="P769" s="9" t="str">
        <f>IFERROR(INDEX(T_CleanCustomers[Customer_Segment],MATCH(B769,T_CleanCustomers[Customer_ID],0)),"Unmatched")</f>
        <v>Enterprise</v>
      </c>
    </row>
    <row r="770" spans="1:16" ht="15" customHeight="1" x14ac:dyDescent="0.2">
      <c r="A770" s="9" t="s">
        <v>2118</v>
      </c>
      <c r="B770" s="9" t="s">
        <v>1240</v>
      </c>
      <c r="C770" s="9" t="b">
        <f>TRUE()</f>
        <v>1</v>
      </c>
      <c r="D770" s="10">
        <v>45890</v>
      </c>
      <c r="E770" s="10">
        <v>45870</v>
      </c>
      <c r="F770" s="9" t="s">
        <v>1360</v>
      </c>
      <c r="G770" s="11">
        <v>55674.75</v>
      </c>
      <c r="H770" s="11">
        <v>1449.65</v>
      </c>
      <c r="I770" s="9" t="b">
        <f>TRUE()</f>
        <v>1</v>
      </c>
      <c r="J770" s="9" t="s">
        <v>1361</v>
      </c>
      <c r="K770" s="11">
        <v>1449.65</v>
      </c>
      <c r="L770" s="9" t="s">
        <v>20</v>
      </c>
      <c r="M770" s="9" t="str">
        <f>IFERROR(INDEX(T_CleanCustomers[Sales_Rep_ID],MATCH(B770,T_CleanCustomers[Customer_ID],0)),"Unmatched")</f>
        <v>REP002</v>
      </c>
      <c r="N770" s="9" t="str">
        <f>IFERROR(INDEX(T_CleanCustomers[Channel],MATCH(B770,T_CleanCustomers[Customer_ID],0)),"Unmatched")</f>
        <v>Direct Sales</v>
      </c>
      <c r="O770" s="9" t="str">
        <f>IFERROR(INDEX(T_CleanCustomers[Product],MATCH(B770,T_CleanCustomers[Customer_ID],0)),"Unmatched")</f>
        <v>Fuel Card</v>
      </c>
      <c r="P770" s="9" t="str">
        <f>IFERROR(INDEX(T_CleanCustomers[Customer_Segment],MATCH(B770,T_CleanCustomers[Customer_ID],0)),"Unmatched")</f>
        <v>Enterprise</v>
      </c>
    </row>
    <row r="771" spans="1:16" ht="15" customHeight="1" x14ac:dyDescent="0.2">
      <c r="A771" s="9" t="s">
        <v>2119</v>
      </c>
      <c r="B771" s="9" t="s">
        <v>1240</v>
      </c>
      <c r="C771" s="9" t="b">
        <f>TRUE()</f>
        <v>1</v>
      </c>
      <c r="D771" s="10">
        <v>45870</v>
      </c>
      <c r="E771" s="10">
        <v>45870</v>
      </c>
      <c r="F771" s="9" t="s">
        <v>1360</v>
      </c>
      <c r="G771" s="11">
        <v>60081.75</v>
      </c>
      <c r="H771" s="11">
        <v>1672.54</v>
      </c>
      <c r="I771" s="9" t="b">
        <f>TRUE()</f>
        <v>1</v>
      </c>
      <c r="J771" s="9" t="s">
        <v>1361</v>
      </c>
      <c r="K771" s="11">
        <v>1672.54</v>
      </c>
      <c r="L771" s="9" t="s">
        <v>20</v>
      </c>
      <c r="M771" s="9" t="str">
        <f>IFERROR(INDEX(T_CleanCustomers[Sales_Rep_ID],MATCH(B771,T_CleanCustomers[Customer_ID],0)),"Unmatched")</f>
        <v>REP002</v>
      </c>
      <c r="N771" s="9" t="str">
        <f>IFERROR(INDEX(T_CleanCustomers[Channel],MATCH(B771,T_CleanCustomers[Customer_ID],0)),"Unmatched")</f>
        <v>Direct Sales</v>
      </c>
      <c r="O771" s="9" t="str">
        <f>IFERROR(INDEX(T_CleanCustomers[Product],MATCH(B771,T_CleanCustomers[Customer_ID],0)),"Unmatched")</f>
        <v>Fuel Card</v>
      </c>
      <c r="P771" s="9" t="str">
        <f>IFERROR(INDEX(T_CleanCustomers[Customer_Segment],MATCH(B771,T_CleanCustomers[Customer_ID],0)),"Unmatched")</f>
        <v>Enterprise</v>
      </c>
    </row>
    <row r="772" spans="1:16" ht="15" customHeight="1" x14ac:dyDescent="0.2">
      <c r="A772" s="9" t="s">
        <v>2120</v>
      </c>
      <c r="B772" s="9" t="s">
        <v>1240</v>
      </c>
      <c r="C772" s="9" t="b">
        <f>TRUE()</f>
        <v>1</v>
      </c>
      <c r="D772" s="10">
        <v>45906</v>
      </c>
      <c r="E772" s="10">
        <v>45901</v>
      </c>
      <c r="F772" s="9" t="s">
        <v>1360</v>
      </c>
      <c r="G772" s="11">
        <v>41470.699999999997</v>
      </c>
      <c r="H772" s="11">
        <v>1180.31</v>
      </c>
      <c r="I772" s="9" t="b">
        <f>TRUE()</f>
        <v>1</v>
      </c>
      <c r="J772" s="9" t="s">
        <v>1361</v>
      </c>
      <c r="K772" s="11">
        <v>1180.31</v>
      </c>
      <c r="L772" s="9" t="s">
        <v>20</v>
      </c>
      <c r="M772" s="9" t="str">
        <f>IFERROR(INDEX(T_CleanCustomers[Sales_Rep_ID],MATCH(B772,T_CleanCustomers[Customer_ID],0)),"Unmatched")</f>
        <v>REP002</v>
      </c>
      <c r="N772" s="9" t="str">
        <f>IFERROR(INDEX(T_CleanCustomers[Channel],MATCH(B772,T_CleanCustomers[Customer_ID],0)),"Unmatched")</f>
        <v>Direct Sales</v>
      </c>
      <c r="O772" s="9" t="str">
        <f>IFERROR(INDEX(T_CleanCustomers[Product],MATCH(B772,T_CleanCustomers[Customer_ID],0)),"Unmatched")</f>
        <v>Fuel Card</v>
      </c>
      <c r="P772" s="9" t="str">
        <f>IFERROR(INDEX(T_CleanCustomers[Customer_Segment],MATCH(B772,T_CleanCustomers[Customer_ID],0)),"Unmatched")</f>
        <v>Enterprise</v>
      </c>
    </row>
    <row r="773" spans="1:16" ht="15" customHeight="1" x14ac:dyDescent="0.2">
      <c r="A773" s="9" t="s">
        <v>2121</v>
      </c>
      <c r="B773" s="9" t="s">
        <v>1240</v>
      </c>
      <c r="C773" s="9" t="b">
        <f>TRUE()</f>
        <v>1</v>
      </c>
      <c r="D773" s="10">
        <v>45924</v>
      </c>
      <c r="E773" s="10">
        <v>45901</v>
      </c>
      <c r="F773" s="9" t="s">
        <v>1360</v>
      </c>
      <c r="G773" s="11">
        <v>24471.51</v>
      </c>
      <c r="H773" s="11">
        <v>676.31</v>
      </c>
      <c r="I773" s="9" t="b">
        <f>TRUE()</f>
        <v>1</v>
      </c>
      <c r="J773" s="9" t="s">
        <v>1361</v>
      </c>
      <c r="K773" s="11">
        <v>676.31</v>
      </c>
      <c r="L773" s="9" t="s">
        <v>20</v>
      </c>
      <c r="M773" s="9" t="str">
        <f>IFERROR(INDEX(T_CleanCustomers[Sales_Rep_ID],MATCH(B773,T_CleanCustomers[Customer_ID],0)),"Unmatched")</f>
        <v>REP002</v>
      </c>
      <c r="N773" s="9" t="str">
        <f>IFERROR(INDEX(T_CleanCustomers[Channel],MATCH(B773,T_CleanCustomers[Customer_ID],0)),"Unmatched")</f>
        <v>Direct Sales</v>
      </c>
      <c r="O773" s="9" t="str">
        <f>IFERROR(INDEX(T_CleanCustomers[Product],MATCH(B773,T_CleanCustomers[Customer_ID],0)),"Unmatched")</f>
        <v>Fuel Card</v>
      </c>
      <c r="P773" s="9" t="str">
        <f>IFERROR(INDEX(T_CleanCustomers[Customer_Segment],MATCH(B773,T_CleanCustomers[Customer_ID],0)),"Unmatched")</f>
        <v>Enterprise</v>
      </c>
    </row>
    <row r="774" spans="1:16" ht="15" customHeight="1" x14ac:dyDescent="0.2">
      <c r="A774" s="9" t="s">
        <v>2122</v>
      </c>
      <c r="B774" s="9" t="s">
        <v>1240</v>
      </c>
      <c r="C774" s="9" t="b">
        <f>TRUE()</f>
        <v>1</v>
      </c>
      <c r="D774" s="10">
        <v>45945</v>
      </c>
      <c r="E774" s="10">
        <v>45931</v>
      </c>
      <c r="F774" s="9" t="s">
        <v>1360</v>
      </c>
      <c r="G774" s="11">
        <v>18849.03</v>
      </c>
      <c r="H774" s="11">
        <v>513.5</v>
      </c>
      <c r="I774" s="9" t="b">
        <f>TRUE()</f>
        <v>1</v>
      </c>
      <c r="J774" s="9" t="s">
        <v>1361</v>
      </c>
      <c r="K774" s="11">
        <v>513.5</v>
      </c>
      <c r="L774" s="9" t="s">
        <v>20</v>
      </c>
      <c r="M774" s="9" t="str">
        <f>IFERROR(INDEX(T_CleanCustomers[Sales_Rep_ID],MATCH(B774,T_CleanCustomers[Customer_ID],0)),"Unmatched")</f>
        <v>REP002</v>
      </c>
      <c r="N774" s="9" t="str">
        <f>IFERROR(INDEX(T_CleanCustomers[Channel],MATCH(B774,T_CleanCustomers[Customer_ID],0)),"Unmatched")</f>
        <v>Direct Sales</v>
      </c>
      <c r="O774" s="9" t="str">
        <f>IFERROR(INDEX(T_CleanCustomers[Product],MATCH(B774,T_CleanCustomers[Customer_ID],0)),"Unmatched")</f>
        <v>Fuel Card</v>
      </c>
      <c r="P774" s="9" t="str">
        <f>IFERROR(INDEX(T_CleanCustomers[Customer_Segment],MATCH(B774,T_CleanCustomers[Customer_ID],0)),"Unmatched")</f>
        <v>Enterprise</v>
      </c>
    </row>
    <row r="775" spans="1:16" ht="15" customHeight="1" x14ac:dyDescent="0.2">
      <c r="A775" s="9" t="s">
        <v>2123</v>
      </c>
      <c r="B775" s="9" t="s">
        <v>1240</v>
      </c>
      <c r="C775" s="9" t="b">
        <f>TRUE()</f>
        <v>1</v>
      </c>
      <c r="D775" s="10">
        <v>45975</v>
      </c>
      <c r="E775" s="10">
        <v>45962</v>
      </c>
      <c r="F775" s="9" t="s">
        <v>1360</v>
      </c>
      <c r="G775" s="11">
        <v>26596.71</v>
      </c>
      <c r="H775" s="11">
        <v>662.22</v>
      </c>
      <c r="I775" s="9" t="b">
        <f>TRUE()</f>
        <v>1</v>
      </c>
      <c r="J775" s="9" t="s">
        <v>1361</v>
      </c>
      <c r="K775" s="11">
        <v>662.22</v>
      </c>
      <c r="L775" s="9" t="s">
        <v>20</v>
      </c>
      <c r="M775" s="9" t="str">
        <f>IFERROR(INDEX(T_CleanCustomers[Sales_Rep_ID],MATCH(B775,T_CleanCustomers[Customer_ID],0)),"Unmatched")</f>
        <v>REP002</v>
      </c>
      <c r="N775" s="9" t="str">
        <f>IFERROR(INDEX(T_CleanCustomers[Channel],MATCH(B775,T_CleanCustomers[Customer_ID],0)),"Unmatched")</f>
        <v>Direct Sales</v>
      </c>
      <c r="O775" s="9" t="str">
        <f>IFERROR(INDEX(T_CleanCustomers[Product],MATCH(B775,T_CleanCustomers[Customer_ID],0)),"Unmatched")</f>
        <v>Fuel Card</v>
      </c>
      <c r="P775" s="9" t="str">
        <f>IFERROR(INDEX(T_CleanCustomers[Customer_Segment],MATCH(B775,T_CleanCustomers[Customer_ID],0)),"Unmatched")</f>
        <v>Enterprise</v>
      </c>
    </row>
    <row r="776" spans="1:16" ht="15" customHeight="1" x14ac:dyDescent="0.2">
      <c r="A776" s="9" t="s">
        <v>2124</v>
      </c>
      <c r="B776" s="9" t="s">
        <v>1241</v>
      </c>
      <c r="C776" s="9" t="b">
        <f>TRUE()</f>
        <v>1</v>
      </c>
      <c r="D776" s="10">
        <v>46011</v>
      </c>
      <c r="E776" s="10">
        <v>45992</v>
      </c>
      <c r="F776" s="9" t="s">
        <v>1360</v>
      </c>
      <c r="G776" s="11">
        <v>3269.32</v>
      </c>
      <c r="H776" s="11">
        <v>81.16</v>
      </c>
      <c r="I776" s="9" t="b">
        <f>TRUE()</f>
        <v>1</v>
      </c>
      <c r="J776" s="9" t="s">
        <v>1361</v>
      </c>
      <c r="K776" s="11">
        <v>81.16</v>
      </c>
      <c r="L776" s="9" t="s">
        <v>19</v>
      </c>
      <c r="M776" s="9" t="str">
        <f>IFERROR(INDEX(T_CleanCustomers[Sales_Rep_ID],MATCH(B776,T_CleanCustomers[Customer_ID],0)),"Unmatched")</f>
        <v>REP015</v>
      </c>
      <c r="N776" s="9" t="str">
        <f>IFERROR(INDEX(T_CleanCustomers[Channel],MATCH(B776,T_CleanCustomers[Customer_ID],0)),"Unmatched")</f>
        <v>Direct Sales</v>
      </c>
      <c r="O776" s="9" t="str">
        <f>IFERROR(INDEX(T_CleanCustomers[Product],MATCH(B776,T_CleanCustomers[Customer_ID],0)),"Unmatched")</f>
        <v>Fuel Card</v>
      </c>
      <c r="P776" s="9" t="str">
        <f>IFERROR(INDEX(T_CleanCustomers[Customer_Segment],MATCH(B776,T_CleanCustomers[Customer_ID],0)),"Unmatched")</f>
        <v>SME</v>
      </c>
    </row>
    <row r="777" spans="1:16" ht="15" customHeight="1" x14ac:dyDescent="0.2">
      <c r="A777" s="9" t="s">
        <v>2125</v>
      </c>
      <c r="B777" s="9" t="s">
        <v>1241</v>
      </c>
      <c r="C777" s="9" t="b">
        <f>TRUE()</f>
        <v>1</v>
      </c>
      <c r="D777" s="10">
        <v>46013</v>
      </c>
      <c r="E777" s="10">
        <v>45992</v>
      </c>
      <c r="F777" s="9" t="s">
        <v>1360</v>
      </c>
      <c r="G777" s="11">
        <v>2379.09</v>
      </c>
      <c r="H777" s="11">
        <v>66.87</v>
      </c>
      <c r="I777" s="9" t="b">
        <f>TRUE()</f>
        <v>1</v>
      </c>
      <c r="J777" s="9" t="s">
        <v>1361</v>
      </c>
      <c r="K777" s="11">
        <v>66.87</v>
      </c>
      <c r="L777" s="9" t="s">
        <v>19</v>
      </c>
      <c r="M777" s="9" t="str">
        <f>IFERROR(INDEX(T_CleanCustomers[Sales_Rep_ID],MATCH(B777,T_CleanCustomers[Customer_ID],0)),"Unmatched")</f>
        <v>REP015</v>
      </c>
      <c r="N777" s="9" t="str">
        <f>IFERROR(INDEX(T_CleanCustomers[Channel],MATCH(B777,T_CleanCustomers[Customer_ID],0)),"Unmatched")</f>
        <v>Direct Sales</v>
      </c>
      <c r="O777" s="9" t="str">
        <f>IFERROR(INDEX(T_CleanCustomers[Product],MATCH(B777,T_CleanCustomers[Customer_ID],0)),"Unmatched")</f>
        <v>Fuel Card</v>
      </c>
      <c r="P777" s="9" t="str">
        <f>IFERROR(INDEX(T_CleanCustomers[Customer_Segment],MATCH(B777,T_CleanCustomers[Customer_ID],0)),"Unmatched")</f>
        <v>SME</v>
      </c>
    </row>
    <row r="778" spans="1:16" ht="15" customHeight="1" x14ac:dyDescent="0.2">
      <c r="A778" s="9" t="s">
        <v>2126</v>
      </c>
      <c r="B778" s="9" t="s">
        <v>1241</v>
      </c>
      <c r="C778" s="9" t="b">
        <f>TRUE()</f>
        <v>1</v>
      </c>
      <c r="D778" s="10">
        <v>46014</v>
      </c>
      <c r="E778" s="10">
        <v>45992</v>
      </c>
      <c r="F778" s="9" t="s">
        <v>1360</v>
      </c>
      <c r="G778" s="11">
        <v>1673.53</v>
      </c>
      <c r="H778" s="11">
        <v>39.880000000000003</v>
      </c>
      <c r="I778" s="9" t="b">
        <f>TRUE()</f>
        <v>1</v>
      </c>
      <c r="J778" s="9" t="s">
        <v>1361</v>
      </c>
      <c r="K778" s="11">
        <v>39.880000000000003</v>
      </c>
      <c r="L778" s="9" t="s">
        <v>19</v>
      </c>
      <c r="M778" s="9" t="str">
        <f>IFERROR(INDEX(T_CleanCustomers[Sales_Rep_ID],MATCH(B778,T_CleanCustomers[Customer_ID],0)),"Unmatched")</f>
        <v>REP015</v>
      </c>
      <c r="N778" s="9" t="str">
        <f>IFERROR(INDEX(T_CleanCustomers[Channel],MATCH(B778,T_CleanCustomers[Customer_ID],0)),"Unmatched")</f>
        <v>Direct Sales</v>
      </c>
      <c r="O778" s="9" t="str">
        <f>IFERROR(INDEX(T_CleanCustomers[Product],MATCH(B778,T_CleanCustomers[Customer_ID],0)),"Unmatched")</f>
        <v>Fuel Card</v>
      </c>
      <c r="P778" s="9" t="str">
        <f>IFERROR(INDEX(T_CleanCustomers[Customer_Segment],MATCH(B778,T_CleanCustomers[Customer_ID],0)),"Unmatched")</f>
        <v>SME</v>
      </c>
    </row>
    <row r="779" spans="1:16" ht="15" customHeight="1" x14ac:dyDescent="0.2">
      <c r="A779" s="9" t="s">
        <v>2127</v>
      </c>
      <c r="B779" s="9" t="s">
        <v>83</v>
      </c>
      <c r="C779" s="9" t="b">
        <f>TRUE()</f>
        <v>1</v>
      </c>
      <c r="D779" s="10">
        <v>45716</v>
      </c>
      <c r="E779" s="10">
        <v>45689</v>
      </c>
      <c r="F779" s="9" t="s">
        <v>1373</v>
      </c>
      <c r="G779" s="11">
        <v>8302.93</v>
      </c>
      <c r="H779" s="11">
        <v>171.75</v>
      </c>
      <c r="I779" s="9" t="b">
        <f>TRUE()</f>
        <v>1</v>
      </c>
      <c r="J779" s="9" t="s">
        <v>1361</v>
      </c>
      <c r="K779" s="11">
        <v>171.75</v>
      </c>
      <c r="L779" s="9" t="s">
        <v>22</v>
      </c>
      <c r="M779" s="9" t="str">
        <f>IFERROR(INDEX(T_CleanCustomers[Sales_Rep_ID],MATCH(B779,T_CleanCustomers[Customer_ID],0)),"Unmatched")</f>
        <v>REP005</v>
      </c>
      <c r="N779" s="9" t="str">
        <f>IFERROR(INDEX(T_CleanCustomers[Channel],MATCH(B779,T_CleanCustomers[Customer_ID],0)),"Unmatched")</f>
        <v>Referral</v>
      </c>
      <c r="O779" s="9" t="str">
        <f>IFERROR(INDEX(T_CleanCustomers[Product],MATCH(B779,T_CleanCustomers[Customer_ID],0)),"Unmatched")</f>
        <v>Toll Solution</v>
      </c>
      <c r="P779" s="9" t="str">
        <f>IFERROR(INDEX(T_CleanCustomers[Customer_Segment],MATCH(B779,T_CleanCustomers[Customer_ID],0)),"Unmatched")</f>
        <v>Mid-Market</v>
      </c>
    </row>
    <row r="780" spans="1:16" ht="15" customHeight="1" x14ac:dyDescent="0.2">
      <c r="A780" s="9" t="s">
        <v>2128</v>
      </c>
      <c r="B780" s="9" t="s">
        <v>83</v>
      </c>
      <c r="C780" s="9" t="b">
        <f>TRUE()</f>
        <v>1</v>
      </c>
      <c r="D780" s="10">
        <v>45740</v>
      </c>
      <c r="E780" s="10">
        <v>45717</v>
      </c>
      <c r="F780" s="9" t="s">
        <v>1373</v>
      </c>
      <c r="G780" s="11">
        <v>12437.86</v>
      </c>
      <c r="H780" s="11">
        <v>234.75</v>
      </c>
      <c r="I780" s="9" t="b">
        <f>TRUE()</f>
        <v>1</v>
      </c>
      <c r="J780" s="9" t="s">
        <v>1361</v>
      </c>
      <c r="K780" s="11">
        <v>234.75</v>
      </c>
      <c r="L780" s="9" t="s">
        <v>22</v>
      </c>
      <c r="M780" s="9" t="str">
        <f>IFERROR(INDEX(T_CleanCustomers[Sales_Rep_ID],MATCH(B780,T_CleanCustomers[Customer_ID],0)),"Unmatched")</f>
        <v>REP005</v>
      </c>
      <c r="N780" s="9" t="str">
        <f>IFERROR(INDEX(T_CleanCustomers[Channel],MATCH(B780,T_CleanCustomers[Customer_ID],0)),"Unmatched")</f>
        <v>Referral</v>
      </c>
      <c r="O780" s="9" t="str">
        <f>IFERROR(INDEX(T_CleanCustomers[Product],MATCH(B780,T_CleanCustomers[Customer_ID],0)),"Unmatched")</f>
        <v>Toll Solution</v>
      </c>
      <c r="P780" s="9" t="str">
        <f>IFERROR(INDEX(T_CleanCustomers[Customer_Segment],MATCH(B780,T_CleanCustomers[Customer_ID],0)),"Unmatched")</f>
        <v>Mid-Market</v>
      </c>
    </row>
    <row r="781" spans="1:16" ht="15" customHeight="1" x14ac:dyDescent="0.2">
      <c r="A781" s="9" t="s">
        <v>2129</v>
      </c>
      <c r="B781" s="9" t="s">
        <v>83</v>
      </c>
      <c r="C781" s="9" t="b">
        <f>TRUE()</f>
        <v>1</v>
      </c>
      <c r="D781" s="10">
        <v>45758</v>
      </c>
      <c r="E781" s="10">
        <v>45748</v>
      </c>
      <c r="F781" s="9" t="s">
        <v>1373</v>
      </c>
      <c r="G781" s="11">
        <v>9375.98</v>
      </c>
      <c r="H781" s="11">
        <v>188.89</v>
      </c>
      <c r="I781" s="9" t="b">
        <f>TRUE()</f>
        <v>1</v>
      </c>
      <c r="J781" s="9" t="s">
        <v>1361</v>
      </c>
      <c r="K781" s="11">
        <v>188.89</v>
      </c>
      <c r="L781" s="9" t="s">
        <v>22</v>
      </c>
      <c r="M781" s="9" t="str">
        <f>IFERROR(INDEX(T_CleanCustomers[Sales_Rep_ID],MATCH(B781,T_CleanCustomers[Customer_ID],0)),"Unmatched")</f>
        <v>REP005</v>
      </c>
      <c r="N781" s="9" t="str">
        <f>IFERROR(INDEX(T_CleanCustomers[Channel],MATCH(B781,T_CleanCustomers[Customer_ID],0)),"Unmatched")</f>
        <v>Referral</v>
      </c>
      <c r="O781" s="9" t="str">
        <f>IFERROR(INDEX(T_CleanCustomers[Product],MATCH(B781,T_CleanCustomers[Customer_ID],0)),"Unmatched")</f>
        <v>Toll Solution</v>
      </c>
      <c r="P781" s="9" t="str">
        <f>IFERROR(INDEX(T_CleanCustomers[Customer_Segment],MATCH(B781,T_CleanCustomers[Customer_ID],0)),"Unmatched")</f>
        <v>Mid-Market</v>
      </c>
    </row>
    <row r="782" spans="1:16" ht="15" customHeight="1" x14ac:dyDescent="0.2">
      <c r="A782" s="9" t="s">
        <v>2130</v>
      </c>
      <c r="B782" s="9" t="s">
        <v>83</v>
      </c>
      <c r="C782" s="9" t="b">
        <f>TRUE()</f>
        <v>1</v>
      </c>
      <c r="D782" s="10">
        <v>45761</v>
      </c>
      <c r="E782" s="10">
        <v>45748</v>
      </c>
      <c r="F782" s="9" t="s">
        <v>1373</v>
      </c>
      <c r="G782" s="11">
        <v>6633.8</v>
      </c>
      <c r="H782" s="11">
        <v>101.72</v>
      </c>
      <c r="I782" s="9" t="b">
        <f>TRUE()</f>
        <v>1</v>
      </c>
      <c r="J782" s="9" t="s">
        <v>1361</v>
      </c>
      <c r="K782" s="11">
        <v>101.72</v>
      </c>
      <c r="L782" s="9" t="s">
        <v>22</v>
      </c>
      <c r="M782" s="9" t="str">
        <f>IFERROR(INDEX(T_CleanCustomers[Sales_Rep_ID],MATCH(B782,T_CleanCustomers[Customer_ID],0)),"Unmatched")</f>
        <v>REP005</v>
      </c>
      <c r="N782" s="9" t="str">
        <f>IFERROR(INDEX(T_CleanCustomers[Channel],MATCH(B782,T_CleanCustomers[Customer_ID],0)),"Unmatched")</f>
        <v>Referral</v>
      </c>
      <c r="O782" s="9" t="str">
        <f>IFERROR(INDEX(T_CleanCustomers[Product],MATCH(B782,T_CleanCustomers[Customer_ID],0)),"Unmatched")</f>
        <v>Toll Solution</v>
      </c>
      <c r="P782" s="9" t="str">
        <f>IFERROR(INDEX(T_CleanCustomers[Customer_Segment],MATCH(B782,T_CleanCustomers[Customer_ID],0)),"Unmatched")</f>
        <v>Mid-Market</v>
      </c>
    </row>
    <row r="783" spans="1:16" ht="15" customHeight="1" x14ac:dyDescent="0.2">
      <c r="A783" s="9" t="s">
        <v>2131</v>
      </c>
      <c r="B783" s="9" t="s">
        <v>83</v>
      </c>
      <c r="C783" s="9" t="b">
        <f>TRUE()</f>
        <v>1</v>
      </c>
      <c r="D783" s="10">
        <v>45759</v>
      </c>
      <c r="E783" s="10">
        <v>45748</v>
      </c>
      <c r="F783" s="9" t="s">
        <v>1373</v>
      </c>
      <c r="G783" s="11">
        <v>15628.31</v>
      </c>
      <c r="H783" s="11">
        <v>309.8</v>
      </c>
      <c r="I783" s="9" t="b">
        <f>TRUE()</f>
        <v>1</v>
      </c>
      <c r="J783" s="9" t="s">
        <v>1361</v>
      </c>
      <c r="K783" s="11">
        <v>309.8</v>
      </c>
      <c r="L783" s="9" t="s">
        <v>22</v>
      </c>
      <c r="M783" s="9" t="str">
        <f>IFERROR(INDEX(T_CleanCustomers[Sales_Rep_ID],MATCH(B783,T_CleanCustomers[Customer_ID],0)),"Unmatched")</f>
        <v>REP005</v>
      </c>
      <c r="N783" s="9" t="str">
        <f>IFERROR(INDEX(T_CleanCustomers[Channel],MATCH(B783,T_CleanCustomers[Customer_ID],0)),"Unmatched")</f>
        <v>Referral</v>
      </c>
      <c r="O783" s="9" t="str">
        <f>IFERROR(INDEX(T_CleanCustomers[Product],MATCH(B783,T_CleanCustomers[Customer_ID],0)),"Unmatched")</f>
        <v>Toll Solution</v>
      </c>
      <c r="P783" s="9" t="str">
        <f>IFERROR(INDEX(T_CleanCustomers[Customer_Segment],MATCH(B783,T_CleanCustomers[Customer_ID],0)),"Unmatched")</f>
        <v>Mid-Market</v>
      </c>
    </row>
    <row r="784" spans="1:16" ht="15" customHeight="1" x14ac:dyDescent="0.2">
      <c r="A784" s="9" t="s">
        <v>2132</v>
      </c>
      <c r="B784" s="9" t="s">
        <v>83</v>
      </c>
      <c r="C784" s="9" t="b">
        <f>TRUE()</f>
        <v>1</v>
      </c>
      <c r="D784" s="10">
        <v>45800</v>
      </c>
      <c r="E784" s="10">
        <v>45778</v>
      </c>
      <c r="F784" s="9" t="s">
        <v>1373</v>
      </c>
      <c r="G784" s="11">
        <v>9003.74</v>
      </c>
      <c r="H784" s="11">
        <v>170.77</v>
      </c>
      <c r="I784" s="9" t="b">
        <f>TRUE()</f>
        <v>1</v>
      </c>
      <c r="J784" s="9" t="s">
        <v>1361</v>
      </c>
      <c r="K784" s="11">
        <v>170.77</v>
      </c>
      <c r="L784" s="9" t="s">
        <v>22</v>
      </c>
      <c r="M784" s="9" t="str">
        <f>IFERROR(INDEX(T_CleanCustomers[Sales_Rep_ID],MATCH(B784,T_CleanCustomers[Customer_ID],0)),"Unmatched")</f>
        <v>REP005</v>
      </c>
      <c r="N784" s="9" t="str">
        <f>IFERROR(INDEX(T_CleanCustomers[Channel],MATCH(B784,T_CleanCustomers[Customer_ID],0)),"Unmatched")</f>
        <v>Referral</v>
      </c>
      <c r="O784" s="9" t="str">
        <f>IFERROR(INDEX(T_CleanCustomers[Product],MATCH(B784,T_CleanCustomers[Customer_ID],0)),"Unmatched")</f>
        <v>Toll Solution</v>
      </c>
      <c r="P784" s="9" t="str">
        <f>IFERROR(INDEX(T_CleanCustomers[Customer_Segment],MATCH(B784,T_CleanCustomers[Customer_ID],0)),"Unmatched")</f>
        <v>Mid-Market</v>
      </c>
    </row>
    <row r="785" spans="1:16" ht="15" customHeight="1" x14ac:dyDescent="0.2">
      <c r="A785" s="9" t="s">
        <v>2133</v>
      </c>
      <c r="B785" s="9" t="s">
        <v>83</v>
      </c>
      <c r="C785" s="9" t="b">
        <f>TRUE()</f>
        <v>1</v>
      </c>
      <c r="D785" s="10">
        <v>45796</v>
      </c>
      <c r="E785" s="10">
        <v>45778</v>
      </c>
      <c r="F785" s="9" t="s">
        <v>1373</v>
      </c>
      <c r="G785" s="11">
        <v>12945.24</v>
      </c>
      <c r="H785" s="11">
        <v>225.11</v>
      </c>
      <c r="I785" s="9" t="b">
        <f>TRUE()</f>
        <v>1</v>
      </c>
      <c r="J785" s="9" t="s">
        <v>1361</v>
      </c>
      <c r="K785" s="11">
        <v>225.11</v>
      </c>
      <c r="L785" s="9" t="s">
        <v>22</v>
      </c>
      <c r="M785" s="9" t="str">
        <f>IFERROR(INDEX(T_CleanCustomers[Sales_Rep_ID],MATCH(B785,T_CleanCustomers[Customer_ID],0)),"Unmatched")</f>
        <v>REP005</v>
      </c>
      <c r="N785" s="9" t="str">
        <f>IFERROR(INDEX(T_CleanCustomers[Channel],MATCH(B785,T_CleanCustomers[Customer_ID],0)),"Unmatched")</f>
        <v>Referral</v>
      </c>
      <c r="O785" s="9" t="str">
        <f>IFERROR(INDEX(T_CleanCustomers[Product],MATCH(B785,T_CleanCustomers[Customer_ID],0)),"Unmatched")</f>
        <v>Toll Solution</v>
      </c>
      <c r="P785" s="9" t="str">
        <f>IFERROR(INDEX(T_CleanCustomers[Customer_Segment],MATCH(B785,T_CleanCustomers[Customer_ID],0)),"Unmatched")</f>
        <v>Mid-Market</v>
      </c>
    </row>
    <row r="786" spans="1:16" ht="15" customHeight="1" x14ac:dyDescent="0.2">
      <c r="A786" s="9" t="s">
        <v>2134</v>
      </c>
      <c r="B786" s="9" t="s">
        <v>83</v>
      </c>
      <c r="C786" s="9" t="b">
        <f>TRUE()</f>
        <v>1</v>
      </c>
      <c r="D786" s="10">
        <v>45837</v>
      </c>
      <c r="E786" s="10">
        <v>45809</v>
      </c>
      <c r="F786" s="9" t="s">
        <v>1373</v>
      </c>
      <c r="G786" s="11">
        <v>13793.48</v>
      </c>
      <c r="H786" s="11">
        <v>266.89</v>
      </c>
      <c r="I786" s="9" t="b">
        <f>TRUE()</f>
        <v>1</v>
      </c>
      <c r="J786" s="9" t="s">
        <v>1361</v>
      </c>
      <c r="K786" s="11">
        <v>266.89</v>
      </c>
      <c r="L786" s="9" t="s">
        <v>22</v>
      </c>
      <c r="M786" s="9" t="str">
        <f>IFERROR(INDEX(T_CleanCustomers[Sales_Rep_ID],MATCH(B786,T_CleanCustomers[Customer_ID],0)),"Unmatched")</f>
        <v>REP005</v>
      </c>
      <c r="N786" s="9" t="str">
        <f>IFERROR(INDEX(T_CleanCustomers[Channel],MATCH(B786,T_CleanCustomers[Customer_ID],0)),"Unmatched")</f>
        <v>Referral</v>
      </c>
      <c r="O786" s="9" t="str">
        <f>IFERROR(INDEX(T_CleanCustomers[Product],MATCH(B786,T_CleanCustomers[Customer_ID],0)),"Unmatched")</f>
        <v>Toll Solution</v>
      </c>
      <c r="P786" s="9" t="str">
        <f>IFERROR(INDEX(T_CleanCustomers[Customer_Segment],MATCH(B786,T_CleanCustomers[Customer_ID],0)),"Unmatched")</f>
        <v>Mid-Market</v>
      </c>
    </row>
    <row r="787" spans="1:16" ht="15" customHeight="1" x14ac:dyDescent="0.2">
      <c r="A787" s="9" t="s">
        <v>2135</v>
      </c>
      <c r="B787" s="9" t="s">
        <v>83</v>
      </c>
      <c r="C787" s="9" t="b">
        <f>TRUE()</f>
        <v>1</v>
      </c>
      <c r="D787" s="10">
        <v>45841</v>
      </c>
      <c r="E787" s="10">
        <v>45839</v>
      </c>
      <c r="F787" s="9" t="s">
        <v>1373</v>
      </c>
      <c r="G787" s="11">
        <v>15780.62</v>
      </c>
      <c r="H787" s="11">
        <v>289.25</v>
      </c>
      <c r="I787" s="9" t="b">
        <f>TRUE()</f>
        <v>1</v>
      </c>
      <c r="J787" s="9" t="s">
        <v>1361</v>
      </c>
      <c r="K787" s="11">
        <v>289.25</v>
      </c>
      <c r="L787" s="9" t="s">
        <v>22</v>
      </c>
      <c r="M787" s="9" t="str">
        <f>IFERROR(INDEX(T_CleanCustomers[Sales_Rep_ID],MATCH(B787,T_CleanCustomers[Customer_ID],0)),"Unmatched")</f>
        <v>REP005</v>
      </c>
      <c r="N787" s="9" t="str">
        <f>IFERROR(INDEX(T_CleanCustomers[Channel],MATCH(B787,T_CleanCustomers[Customer_ID],0)),"Unmatched")</f>
        <v>Referral</v>
      </c>
      <c r="O787" s="9" t="str">
        <f>IFERROR(INDEX(T_CleanCustomers[Product],MATCH(B787,T_CleanCustomers[Customer_ID],0)),"Unmatched")</f>
        <v>Toll Solution</v>
      </c>
      <c r="P787" s="9" t="str">
        <f>IFERROR(INDEX(T_CleanCustomers[Customer_Segment],MATCH(B787,T_CleanCustomers[Customer_ID],0)),"Unmatched")</f>
        <v>Mid-Market</v>
      </c>
    </row>
    <row r="788" spans="1:16" ht="15" customHeight="1" x14ac:dyDescent="0.2">
      <c r="A788" s="9" t="s">
        <v>2136</v>
      </c>
      <c r="B788" s="9" t="s">
        <v>83</v>
      </c>
      <c r="C788" s="9" t="b">
        <f>TRUE()</f>
        <v>1</v>
      </c>
      <c r="D788" s="10">
        <v>45851</v>
      </c>
      <c r="E788" s="10">
        <v>45839</v>
      </c>
      <c r="F788" s="9" t="s">
        <v>1373</v>
      </c>
      <c r="G788" s="11">
        <v>10592.74</v>
      </c>
      <c r="H788" s="11">
        <v>176.83</v>
      </c>
      <c r="I788" s="9" t="b">
        <f>TRUE()</f>
        <v>1</v>
      </c>
      <c r="J788" s="9" t="s">
        <v>1361</v>
      </c>
      <c r="K788" s="11">
        <v>176.83</v>
      </c>
      <c r="L788" s="9" t="s">
        <v>22</v>
      </c>
      <c r="M788" s="9" t="str">
        <f>IFERROR(INDEX(T_CleanCustomers[Sales_Rep_ID],MATCH(B788,T_CleanCustomers[Customer_ID],0)),"Unmatched")</f>
        <v>REP005</v>
      </c>
      <c r="N788" s="9" t="str">
        <f>IFERROR(INDEX(T_CleanCustomers[Channel],MATCH(B788,T_CleanCustomers[Customer_ID],0)),"Unmatched")</f>
        <v>Referral</v>
      </c>
      <c r="O788" s="9" t="str">
        <f>IFERROR(INDEX(T_CleanCustomers[Product],MATCH(B788,T_CleanCustomers[Customer_ID],0)),"Unmatched")</f>
        <v>Toll Solution</v>
      </c>
      <c r="P788" s="9" t="str">
        <f>IFERROR(INDEX(T_CleanCustomers[Customer_Segment],MATCH(B788,T_CleanCustomers[Customer_ID],0)),"Unmatched")</f>
        <v>Mid-Market</v>
      </c>
    </row>
    <row r="789" spans="1:16" ht="15" customHeight="1" x14ac:dyDescent="0.2">
      <c r="A789" s="9" t="s">
        <v>110</v>
      </c>
      <c r="B789" s="9" t="s">
        <v>83</v>
      </c>
      <c r="C789" s="9" t="b">
        <f>TRUE()</f>
        <v>1</v>
      </c>
      <c r="D789" s="10">
        <v>45862</v>
      </c>
      <c r="E789" s="10">
        <v>45839</v>
      </c>
      <c r="F789" s="9" t="s">
        <v>1373</v>
      </c>
      <c r="G789" s="11">
        <v>6971.99</v>
      </c>
      <c r="H789" s="11">
        <v>136.13</v>
      </c>
      <c r="I789" s="9" t="b">
        <f>TRUE()</f>
        <v>1</v>
      </c>
      <c r="J789" s="9" t="s">
        <v>1361</v>
      </c>
      <c r="K789" s="11">
        <v>136.13</v>
      </c>
      <c r="L789" s="9" t="s">
        <v>22</v>
      </c>
      <c r="M789" s="9" t="str">
        <f>IFERROR(INDEX(T_CleanCustomers[Sales_Rep_ID],MATCH(B789,T_CleanCustomers[Customer_ID],0)),"Unmatched")</f>
        <v>REP005</v>
      </c>
      <c r="N789" s="9" t="str">
        <f>IFERROR(INDEX(T_CleanCustomers[Channel],MATCH(B789,T_CleanCustomers[Customer_ID],0)),"Unmatched")</f>
        <v>Referral</v>
      </c>
      <c r="O789" s="9" t="str">
        <f>IFERROR(INDEX(T_CleanCustomers[Product],MATCH(B789,T_CleanCustomers[Customer_ID],0)),"Unmatched")</f>
        <v>Toll Solution</v>
      </c>
      <c r="P789" s="9" t="str">
        <f>IFERROR(INDEX(T_CleanCustomers[Customer_Segment],MATCH(B789,T_CleanCustomers[Customer_ID],0)),"Unmatched")</f>
        <v>Mid-Market</v>
      </c>
    </row>
    <row r="790" spans="1:16" ht="15" customHeight="1" x14ac:dyDescent="0.2">
      <c r="A790" s="9" t="s">
        <v>2137</v>
      </c>
      <c r="B790" s="9" t="s">
        <v>83</v>
      </c>
      <c r="C790" s="9" t="b">
        <f>TRUE()</f>
        <v>1</v>
      </c>
      <c r="D790" s="10">
        <v>45890</v>
      </c>
      <c r="E790" s="10">
        <v>45870</v>
      </c>
      <c r="F790" s="9" t="s">
        <v>1373</v>
      </c>
      <c r="G790" s="11">
        <v>6215.49</v>
      </c>
      <c r="H790" s="11">
        <v>109.61</v>
      </c>
      <c r="I790" s="9" t="b">
        <f>TRUE()</f>
        <v>1</v>
      </c>
      <c r="J790" s="9" t="s">
        <v>1361</v>
      </c>
      <c r="K790" s="11">
        <v>109.61</v>
      </c>
      <c r="L790" s="9" t="s">
        <v>22</v>
      </c>
      <c r="M790" s="9" t="str">
        <f>IFERROR(INDEX(T_CleanCustomers[Sales_Rep_ID],MATCH(B790,T_CleanCustomers[Customer_ID],0)),"Unmatched")</f>
        <v>REP005</v>
      </c>
      <c r="N790" s="9" t="str">
        <f>IFERROR(INDEX(T_CleanCustomers[Channel],MATCH(B790,T_CleanCustomers[Customer_ID],0)),"Unmatched")</f>
        <v>Referral</v>
      </c>
      <c r="O790" s="9" t="str">
        <f>IFERROR(INDEX(T_CleanCustomers[Product],MATCH(B790,T_CleanCustomers[Customer_ID],0)),"Unmatched")</f>
        <v>Toll Solution</v>
      </c>
      <c r="P790" s="9" t="str">
        <f>IFERROR(INDEX(T_CleanCustomers[Customer_Segment],MATCH(B790,T_CleanCustomers[Customer_ID],0)),"Unmatched")</f>
        <v>Mid-Market</v>
      </c>
    </row>
    <row r="791" spans="1:16" ht="15" customHeight="1" x14ac:dyDescent="0.2">
      <c r="A791" s="9" t="s">
        <v>2138</v>
      </c>
      <c r="B791" s="9" t="s">
        <v>83</v>
      </c>
      <c r="C791" s="9" t="b">
        <f>TRUE()</f>
        <v>1</v>
      </c>
      <c r="D791" s="10">
        <v>45915</v>
      </c>
      <c r="E791" s="10">
        <v>45901</v>
      </c>
      <c r="F791" s="9" t="s">
        <v>1373</v>
      </c>
      <c r="G791" s="11">
        <v>10583.48</v>
      </c>
      <c r="H791" s="11">
        <v>191.92</v>
      </c>
      <c r="I791" s="9" t="b">
        <f>TRUE()</f>
        <v>1</v>
      </c>
      <c r="J791" s="9" t="s">
        <v>1361</v>
      </c>
      <c r="K791" s="11">
        <v>191.92</v>
      </c>
      <c r="L791" s="9" t="s">
        <v>22</v>
      </c>
      <c r="M791" s="9" t="str">
        <f>IFERROR(INDEX(T_CleanCustomers[Sales_Rep_ID],MATCH(B791,T_CleanCustomers[Customer_ID],0)),"Unmatched")</f>
        <v>REP005</v>
      </c>
      <c r="N791" s="9" t="str">
        <f>IFERROR(INDEX(T_CleanCustomers[Channel],MATCH(B791,T_CleanCustomers[Customer_ID],0)),"Unmatched")</f>
        <v>Referral</v>
      </c>
      <c r="O791" s="9" t="str">
        <f>IFERROR(INDEX(T_CleanCustomers[Product],MATCH(B791,T_CleanCustomers[Customer_ID],0)),"Unmatched")</f>
        <v>Toll Solution</v>
      </c>
      <c r="P791" s="9" t="str">
        <f>IFERROR(INDEX(T_CleanCustomers[Customer_Segment],MATCH(B791,T_CleanCustomers[Customer_ID],0)),"Unmatched")</f>
        <v>Mid-Market</v>
      </c>
    </row>
    <row r="792" spans="1:16" ht="15" customHeight="1" x14ac:dyDescent="0.2">
      <c r="A792" s="9" t="s">
        <v>2139</v>
      </c>
      <c r="B792" s="9" t="s">
        <v>83</v>
      </c>
      <c r="C792" s="9" t="b">
        <f>TRUE()</f>
        <v>1</v>
      </c>
      <c r="D792" s="10">
        <v>45930</v>
      </c>
      <c r="E792" s="10">
        <v>45901</v>
      </c>
      <c r="F792" s="9" t="s">
        <v>1373</v>
      </c>
      <c r="G792" s="11">
        <v>13649.19</v>
      </c>
      <c r="H792" s="11">
        <v>262.75</v>
      </c>
      <c r="I792" s="9" t="b">
        <f>TRUE()</f>
        <v>1</v>
      </c>
      <c r="J792" s="9" t="s">
        <v>1361</v>
      </c>
      <c r="K792" s="11">
        <v>262.75</v>
      </c>
      <c r="L792" s="9" t="s">
        <v>22</v>
      </c>
      <c r="M792" s="9" t="str">
        <f>IFERROR(INDEX(T_CleanCustomers[Sales_Rep_ID],MATCH(B792,T_CleanCustomers[Customer_ID],0)),"Unmatched")</f>
        <v>REP005</v>
      </c>
      <c r="N792" s="9" t="str">
        <f>IFERROR(INDEX(T_CleanCustomers[Channel],MATCH(B792,T_CleanCustomers[Customer_ID],0)),"Unmatched")</f>
        <v>Referral</v>
      </c>
      <c r="O792" s="9" t="str">
        <f>IFERROR(INDEX(T_CleanCustomers[Product],MATCH(B792,T_CleanCustomers[Customer_ID],0)),"Unmatched")</f>
        <v>Toll Solution</v>
      </c>
      <c r="P792" s="9" t="str">
        <f>IFERROR(INDEX(T_CleanCustomers[Customer_Segment],MATCH(B792,T_CleanCustomers[Customer_ID],0)),"Unmatched")</f>
        <v>Mid-Market</v>
      </c>
    </row>
    <row r="793" spans="1:16" ht="15" customHeight="1" x14ac:dyDescent="0.2">
      <c r="A793" s="9" t="s">
        <v>2140</v>
      </c>
      <c r="B793" s="9" t="s">
        <v>83</v>
      </c>
      <c r="C793" s="9" t="b">
        <f>TRUE()</f>
        <v>1</v>
      </c>
      <c r="D793" s="10">
        <v>45914</v>
      </c>
      <c r="E793" s="10">
        <v>45901</v>
      </c>
      <c r="F793" s="9" t="s">
        <v>1373</v>
      </c>
      <c r="G793" s="11">
        <v>15023.87</v>
      </c>
      <c r="H793" s="11">
        <v>259.02</v>
      </c>
      <c r="I793" s="9" t="b">
        <f>TRUE()</f>
        <v>1</v>
      </c>
      <c r="J793" s="9" t="s">
        <v>1361</v>
      </c>
      <c r="K793" s="11">
        <v>259.02</v>
      </c>
      <c r="L793" s="9" t="s">
        <v>22</v>
      </c>
      <c r="M793" s="9" t="str">
        <f>IFERROR(INDEX(T_CleanCustomers[Sales_Rep_ID],MATCH(B793,T_CleanCustomers[Customer_ID],0)),"Unmatched")</f>
        <v>REP005</v>
      </c>
      <c r="N793" s="9" t="str">
        <f>IFERROR(INDEX(T_CleanCustomers[Channel],MATCH(B793,T_CleanCustomers[Customer_ID],0)),"Unmatched")</f>
        <v>Referral</v>
      </c>
      <c r="O793" s="9" t="str">
        <f>IFERROR(INDEX(T_CleanCustomers[Product],MATCH(B793,T_CleanCustomers[Customer_ID],0)),"Unmatched")</f>
        <v>Toll Solution</v>
      </c>
      <c r="P793" s="9" t="str">
        <f>IFERROR(INDEX(T_CleanCustomers[Customer_Segment],MATCH(B793,T_CleanCustomers[Customer_ID],0)),"Unmatched")</f>
        <v>Mid-Market</v>
      </c>
    </row>
    <row r="794" spans="1:16" ht="15" customHeight="1" x14ac:dyDescent="0.2">
      <c r="A794" s="9" t="s">
        <v>2141</v>
      </c>
      <c r="B794" s="9" t="s">
        <v>83</v>
      </c>
      <c r="C794" s="9" t="b">
        <f>TRUE()</f>
        <v>1</v>
      </c>
      <c r="D794" s="10">
        <v>45942</v>
      </c>
      <c r="E794" s="10">
        <v>45931</v>
      </c>
      <c r="F794" s="9" t="s">
        <v>1373</v>
      </c>
      <c r="G794" s="11">
        <v>15059.37</v>
      </c>
      <c r="H794" s="11">
        <v>230.59</v>
      </c>
      <c r="I794" s="9" t="b">
        <f>TRUE()</f>
        <v>1</v>
      </c>
      <c r="J794" s="9" t="s">
        <v>1361</v>
      </c>
      <c r="K794" s="11">
        <v>230.59</v>
      </c>
      <c r="L794" s="9" t="s">
        <v>22</v>
      </c>
      <c r="M794" s="9" t="str">
        <f>IFERROR(INDEX(T_CleanCustomers[Sales_Rep_ID],MATCH(B794,T_CleanCustomers[Customer_ID],0)),"Unmatched")</f>
        <v>REP005</v>
      </c>
      <c r="N794" s="9" t="str">
        <f>IFERROR(INDEX(T_CleanCustomers[Channel],MATCH(B794,T_CleanCustomers[Customer_ID],0)),"Unmatched")</f>
        <v>Referral</v>
      </c>
      <c r="O794" s="9" t="str">
        <f>IFERROR(INDEX(T_CleanCustomers[Product],MATCH(B794,T_CleanCustomers[Customer_ID],0)),"Unmatched")</f>
        <v>Toll Solution</v>
      </c>
      <c r="P794" s="9" t="str">
        <f>IFERROR(INDEX(T_CleanCustomers[Customer_Segment],MATCH(B794,T_CleanCustomers[Customer_ID],0)),"Unmatched")</f>
        <v>Mid-Market</v>
      </c>
    </row>
    <row r="795" spans="1:16" ht="15" customHeight="1" x14ac:dyDescent="0.2">
      <c r="A795" s="9" t="s">
        <v>2142</v>
      </c>
      <c r="B795" s="9" t="s">
        <v>83</v>
      </c>
      <c r="C795" s="9" t="b">
        <f>TRUE()</f>
        <v>1</v>
      </c>
      <c r="D795" s="10">
        <v>45945</v>
      </c>
      <c r="E795" s="10">
        <v>45931</v>
      </c>
      <c r="F795" s="9" t="s">
        <v>1373</v>
      </c>
      <c r="G795" s="11">
        <v>8502.6200000000008</v>
      </c>
      <c r="H795" s="11">
        <v>145.68</v>
      </c>
      <c r="I795" s="9" t="b">
        <f>TRUE()</f>
        <v>1</v>
      </c>
      <c r="J795" s="9" t="s">
        <v>1361</v>
      </c>
      <c r="K795" s="11">
        <v>145.68</v>
      </c>
      <c r="L795" s="9" t="s">
        <v>22</v>
      </c>
      <c r="M795" s="9" t="str">
        <f>IFERROR(INDEX(T_CleanCustomers[Sales_Rep_ID],MATCH(B795,T_CleanCustomers[Customer_ID],0)),"Unmatched")</f>
        <v>REP005</v>
      </c>
      <c r="N795" s="9" t="str">
        <f>IFERROR(INDEX(T_CleanCustomers[Channel],MATCH(B795,T_CleanCustomers[Customer_ID],0)),"Unmatched")</f>
        <v>Referral</v>
      </c>
      <c r="O795" s="9" t="str">
        <f>IFERROR(INDEX(T_CleanCustomers[Product],MATCH(B795,T_CleanCustomers[Customer_ID],0)),"Unmatched")</f>
        <v>Toll Solution</v>
      </c>
      <c r="P795" s="9" t="str">
        <f>IFERROR(INDEX(T_CleanCustomers[Customer_Segment],MATCH(B795,T_CleanCustomers[Customer_ID],0)),"Unmatched")</f>
        <v>Mid-Market</v>
      </c>
    </row>
    <row r="796" spans="1:16" ht="15" customHeight="1" x14ac:dyDescent="0.2">
      <c r="A796" s="9" t="s">
        <v>2143</v>
      </c>
      <c r="B796" s="9" t="s">
        <v>83</v>
      </c>
      <c r="C796" s="9" t="b">
        <f>TRUE()</f>
        <v>1</v>
      </c>
      <c r="D796" s="10">
        <v>45973</v>
      </c>
      <c r="E796" s="10">
        <v>45962</v>
      </c>
      <c r="F796" s="9" t="s">
        <v>1373</v>
      </c>
      <c r="G796" s="11">
        <v>12900.07</v>
      </c>
      <c r="H796" s="11">
        <v>245.45</v>
      </c>
      <c r="I796" s="9" t="b">
        <f>TRUE()</f>
        <v>1</v>
      </c>
      <c r="J796" s="9" t="s">
        <v>1361</v>
      </c>
      <c r="K796" s="11">
        <v>245.45</v>
      </c>
      <c r="L796" s="9" t="s">
        <v>22</v>
      </c>
      <c r="M796" s="9" t="str">
        <f>IFERROR(INDEX(T_CleanCustomers[Sales_Rep_ID],MATCH(B796,T_CleanCustomers[Customer_ID],0)),"Unmatched")</f>
        <v>REP005</v>
      </c>
      <c r="N796" s="9" t="str">
        <f>IFERROR(INDEX(T_CleanCustomers[Channel],MATCH(B796,T_CleanCustomers[Customer_ID],0)),"Unmatched")</f>
        <v>Referral</v>
      </c>
      <c r="O796" s="9" t="str">
        <f>IFERROR(INDEX(T_CleanCustomers[Product],MATCH(B796,T_CleanCustomers[Customer_ID],0)),"Unmatched")</f>
        <v>Toll Solution</v>
      </c>
      <c r="P796" s="9" t="str">
        <f>IFERROR(INDEX(T_CleanCustomers[Customer_Segment],MATCH(B796,T_CleanCustomers[Customer_ID],0)),"Unmatched")</f>
        <v>Mid-Market</v>
      </c>
    </row>
    <row r="797" spans="1:16" ht="15" customHeight="1" x14ac:dyDescent="0.2">
      <c r="A797" s="9" t="s">
        <v>2144</v>
      </c>
      <c r="B797" s="9" t="s">
        <v>83</v>
      </c>
      <c r="C797" s="9" t="b">
        <f>TRUE()</f>
        <v>1</v>
      </c>
      <c r="D797" s="10">
        <v>45987</v>
      </c>
      <c r="E797" s="10">
        <v>45962</v>
      </c>
      <c r="F797" s="9" t="s">
        <v>1373</v>
      </c>
      <c r="G797" s="11">
        <v>13301.08</v>
      </c>
      <c r="H797" s="11">
        <v>260.2</v>
      </c>
      <c r="I797" s="9" t="b">
        <f>TRUE()</f>
        <v>1</v>
      </c>
      <c r="J797" s="9" t="s">
        <v>1361</v>
      </c>
      <c r="K797" s="11">
        <v>260.2</v>
      </c>
      <c r="L797" s="9" t="s">
        <v>22</v>
      </c>
      <c r="M797" s="9" t="str">
        <f>IFERROR(INDEX(T_CleanCustomers[Sales_Rep_ID],MATCH(B797,T_CleanCustomers[Customer_ID],0)),"Unmatched")</f>
        <v>REP005</v>
      </c>
      <c r="N797" s="9" t="str">
        <f>IFERROR(INDEX(T_CleanCustomers[Channel],MATCH(B797,T_CleanCustomers[Customer_ID],0)),"Unmatched")</f>
        <v>Referral</v>
      </c>
      <c r="O797" s="9" t="str">
        <f>IFERROR(INDEX(T_CleanCustomers[Product],MATCH(B797,T_CleanCustomers[Customer_ID],0)),"Unmatched")</f>
        <v>Toll Solution</v>
      </c>
      <c r="P797" s="9" t="str">
        <f>IFERROR(INDEX(T_CleanCustomers[Customer_Segment],MATCH(B797,T_CleanCustomers[Customer_ID],0)),"Unmatched")</f>
        <v>Mid-Market</v>
      </c>
    </row>
    <row r="798" spans="1:16" ht="15" customHeight="1" x14ac:dyDescent="0.2">
      <c r="A798" s="9" t="s">
        <v>2145</v>
      </c>
      <c r="B798" s="9" t="s">
        <v>83</v>
      </c>
      <c r="C798" s="9" t="b">
        <f>TRUE()</f>
        <v>1</v>
      </c>
      <c r="D798" s="10">
        <v>46016</v>
      </c>
      <c r="E798" s="10">
        <v>45992</v>
      </c>
      <c r="F798" s="9" t="s">
        <v>1373</v>
      </c>
      <c r="G798" s="11">
        <v>5414.76</v>
      </c>
      <c r="H798" s="11">
        <v>107.31</v>
      </c>
      <c r="I798" s="9" t="b">
        <f>TRUE()</f>
        <v>1</v>
      </c>
      <c r="J798" s="9" t="s">
        <v>1361</v>
      </c>
      <c r="K798" s="11">
        <v>107.31</v>
      </c>
      <c r="L798" s="9" t="s">
        <v>22</v>
      </c>
      <c r="M798" s="9" t="str">
        <f>IFERROR(INDEX(T_CleanCustomers[Sales_Rep_ID],MATCH(B798,T_CleanCustomers[Customer_ID],0)),"Unmatched")</f>
        <v>REP005</v>
      </c>
      <c r="N798" s="9" t="str">
        <f>IFERROR(INDEX(T_CleanCustomers[Channel],MATCH(B798,T_CleanCustomers[Customer_ID],0)),"Unmatched")</f>
        <v>Referral</v>
      </c>
      <c r="O798" s="9" t="str">
        <f>IFERROR(INDEX(T_CleanCustomers[Product],MATCH(B798,T_CleanCustomers[Customer_ID],0)),"Unmatched")</f>
        <v>Toll Solution</v>
      </c>
      <c r="P798" s="9" t="str">
        <f>IFERROR(INDEX(T_CleanCustomers[Customer_Segment],MATCH(B798,T_CleanCustomers[Customer_ID],0)),"Unmatched")</f>
        <v>Mid-Market</v>
      </c>
    </row>
    <row r="799" spans="1:16" ht="15" customHeight="1" x14ac:dyDescent="0.2">
      <c r="A799" s="9" t="s">
        <v>2146</v>
      </c>
      <c r="B799" s="9" t="s">
        <v>1243</v>
      </c>
      <c r="C799" s="9" t="b">
        <f>TRUE()</f>
        <v>1</v>
      </c>
      <c r="D799" s="10">
        <v>45959</v>
      </c>
      <c r="E799" s="10">
        <v>45931</v>
      </c>
      <c r="F799" s="9" t="s">
        <v>1423</v>
      </c>
      <c r="G799" s="11">
        <v>3177.51</v>
      </c>
      <c r="H799" s="11">
        <v>93.2</v>
      </c>
      <c r="I799" s="9" t="b">
        <f>TRUE()</f>
        <v>1</v>
      </c>
      <c r="J799" s="9" t="s">
        <v>1361</v>
      </c>
      <c r="K799" s="11">
        <v>93.2</v>
      </c>
      <c r="L799" s="9" t="s">
        <v>19</v>
      </c>
      <c r="M799" s="9" t="str">
        <f>IFERROR(INDEX(T_CleanCustomers[Sales_Rep_ID],MATCH(B799,T_CleanCustomers[Customer_ID],0)),"Unmatched")</f>
        <v>REP014</v>
      </c>
      <c r="N799" s="9" t="str">
        <f>IFERROR(INDEX(T_CleanCustomers[Channel],MATCH(B799,T_CleanCustomers[Customer_ID],0)),"Unmatched")</f>
        <v>Direct Sales</v>
      </c>
      <c r="O799" s="9" t="str">
        <f>IFERROR(INDEX(T_CleanCustomers[Product],MATCH(B799,T_CleanCustomers[Customer_ID],0)),"Unmatched")</f>
        <v>EV Charge Card</v>
      </c>
      <c r="P799" s="9" t="str">
        <f>IFERROR(INDEX(T_CleanCustomers[Customer_Segment],MATCH(B799,T_CleanCustomers[Customer_ID],0)),"Unmatched")</f>
        <v>SME</v>
      </c>
    </row>
    <row r="800" spans="1:16" ht="15" customHeight="1" x14ac:dyDescent="0.2">
      <c r="A800" s="9" t="s">
        <v>119</v>
      </c>
      <c r="B800" s="9" t="s">
        <v>1437</v>
      </c>
      <c r="C800" s="9" t="b">
        <f>FALSE()</f>
        <v>0</v>
      </c>
      <c r="D800" s="10">
        <v>45960</v>
      </c>
      <c r="E800" s="10">
        <v>45931</v>
      </c>
      <c r="F800" s="9" t="s">
        <v>1423</v>
      </c>
      <c r="G800" s="11">
        <v>3028.76</v>
      </c>
      <c r="H800" s="11">
        <v>0</v>
      </c>
      <c r="I800" s="9" t="b">
        <f>TRUE()</f>
        <v>1</v>
      </c>
      <c r="J800" s="9" t="s">
        <v>1408</v>
      </c>
      <c r="K800" s="11">
        <v>0</v>
      </c>
      <c r="L800" s="9" t="s">
        <v>19</v>
      </c>
      <c r="M800" s="9" t="str">
        <f>IFERROR(INDEX(T_CleanCustomers[Sales_Rep_ID],MATCH(B800,T_CleanCustomers[Customer_ID],0)),"Unmatched")</f>
        <v>Unmatched</v>
      </c>
      <c r="N800" s="9" t="str">
        <f>IFERROR(INDEX(T_CleanCustomers[Channel],MATCH(B800,T_CleanCustomers[Customer_ID],0)),"Unmatched")</f>
        <v>Unmatched</v>
      </c>
      <c r="O800" s="9" t="str">
        <f>IFERROR(INDEX(T_CleanCustomers[Product],MATCH(B800,T_CleanCustomers[Customer_ID],0)),"Unmatched")</f>
        <v>Unmatched</v>
      </c>
      <c r="P800" s="9" t="str">
        <f>IFERROR(INDEX(T_CleanCustomers[Customer_Segment],MATCH(B800,T_CleanCustomers[Customer_ID],0)),"Unmatched")</f>
        <v>Unmatched</v>
      </c>
    </row>
    <row r="801" spans="1:16" ht="15" customHeight="1" x14ac:dyDescent="0.2">
      <c r="A801" s="9" t="s">
        <v>2147</v>
      </c>
      <c r="B801" s="9" t="s">
        <v>1243</v>
      </c>
      <c r="C801" s="9" t="b">
        <f>TRUE()</f>
        <v>1</v>
      </c>
      <c r="D801" s="10">
        <v>45961</v>
      </c>
      <c r="E801" s="10">
        <v>45931</v>
      </c>
      <c r="F801" s="9" t="s">
        <v>1423</v>
      </c>
      <c r="G801" s="11">
        <v>3665.72</v>
      </c>
      <c r="H801" s="11">
        <v>106.16</v>
      </c>
      <c r="I801" s="9" t="b">
        <f>TRUE()</f>
        <v>1</v>
      </c>
      <c r="J801" s="9" t="s">
        <v>1361</v>
      </c>
      <c r="K801" s="11">
        <v>106.16</v>
      </c>
      <c r="L801" s="9" t="s">
        <v>19</v>
      </c>
      <c r="M801" s="9" t="str">
        <f>IFERROR(INDEX(T_CleanCustomers[Sales_Rep_ID],MATCH(B801,T_CleanCustomers[Customer_ID],0)),"Unmatched")</f>
        <v>REP014</v>
      </c>
      <c r="N801" s="9" t="str">
        <f>IFERROR(INDEX(T_CleanCustomers[Channel],MATCH(B801,T_CleanCustomers[Customer_ID],0)),"Unmatched")</f>
        <v>Direct Sales</v>
      </c>
      <c r="O801" s="9" t="str">
        <f>IFERROR(INDEX(T_CleanCustomers[Product],MATCH(B801,T_CleanCustomers[Customer_ID],0)),"Unmatched")</f>
        <v>EV Charge Card</v>
      </c>
      <c r="P801" s="9" t="str">
        <f>IFERROR(INDEX(T_CleanCustomers[Customer_Segment],MATCH(B801,T_CleanCustomers[Customer_ID],0)),"Unmatched")</f>
        <v>SME</v>
      </c>
    </row>
    <row r="802" spans="1:16" ht="15" customHeight="1" x14ac:dyDescent="0.2">
      <c r="A802" s="9" t="s">
        <v>2148</v>
      </c>
      <c r="B802" s="9" t="s">
        <v>1243</v>
      </c>
      <c r="C802" s="9" t="b">
        <f>TRUE()</f>
        <v>1</v>
      </c>
      <c r="D802" s="10">
        <v>45974</v>
      </c>
      <c r="E802" s="10">
        <v>45962</v>
      </c>
      <c r="F802" s="9" t="s">
        <v>1423</v>
      </c>
      <c r="G802" s="11">
        <v>4109.24</v>
      </c>
      <c r="H802" s="11">
        <v>143.86000000000001</v>
      </c>
      <c r="I802" s="9" t="b">
        <f>TRUE()</f>
        <v>1</v>
      </c>
      <c r="J802" s="9" t="s">
        <v>1361</v>
      </c>
      <c r="K802" s="11">
        <v>143.86000000000001</v>
      </c>
      <c r="L802" s="9" t="s">
        <v>19</v>
      </c>
      <c r="M802" s="9" t="str">
        <f>IFERROR(INDEX(T_CleanCustomers[Sales_Rep_ID],MATCH(B802,T_CleanCustomers[Customer_ID],0)),"Unmatched")</f>
        <v>REP014</v>
      </c>
      <c r="N802" s="9" t="str">
        <f>IFERROR(INDEX(T_CleanCustomers[Channel],MATCH(B802,T_CleanCustomers[Customer_ID],0)),"Unmatched")</f>
        <v>Direct Sales</v>
      </c>
      <c r="O802" s="9" t="str">
        <f>IFERROR(INDEX(T_CleanCustomers[Product],MATCH(B802,T_CleanCustomers[Customer_ID],0)),"Unmatched")</f>
        <v>EV Charge Card</v>
      </c>
      <c r="P802" s="9" t="str">
        <f>IFERROR(INDEX(T_CleanCustomers[Customer_Segment],MATCH(B802,T_CleanCustomers[Customer_ID],0)),"Unmatched")</f>
        <v>SME</v>
      </c>
    </row>
    <row r="803" spans="1:16" ht="15" customHeight="1" x14ac:dyDescent="0.2">
      <c r="A803" s="9" t="s">
        <v>2149</v>
      </c>
      <c r="B803" s="9" t="s">
        <v>1243</v>
      </c>
      <c r="C803" s="9" t="b">
        <f>TRUE()</f>
        <v>1</v>
      </c>
      <c r="D803" s="10">
        <v>46019</v>
      </c>
      <c r="E803" s="10">
        <v>45992</v>
      </c>
      <c r="F803" s="9" t="s">
        <v>1423</v>
      </c>
      <c r="G803" s="11">
        <v>2741.26</v>
      </c>
      <c r="H803" s="11">
        <v>90.51</v>
      </c>
      <c r="I803" s="9" t="b">
        <f>TRUE()</f>
        <v>1</v>
      </c>
      <c r="J803" s="9" t="s">
        <v>1361</v>
      </c>
      <c r="K803" s="11">
        <v>90.51</v>
      </c>
      <c r="L803" s="9" t="s">
        <v>19</v>
      </c>
      <c r="M803" s="9" t="str">
        <f>IFERROR(INDEX(T_CleanCustomers[Sales_Rep_ID],MATCH(B803,T_CleanCustomers[Customer_ID],0)),"Unmatched")</f>
        <v>REP014</v>
      </c>
      <c r="N803" s="9" t="str">
        <f>IFERROR(INDEX(T_CleanCustomers[Channel],MATCH(B803,T_CleanCustomers[Customer_ID],0)),"Unmatched")</f>
        <v>Direct Sales</v>
      </c>
      <c r="O803" s="9" t="str">
        <f>IFERROR(INDEX(T_CleanCustomers[Product],MATCH(B803,T_CleanCustomers[Customer_ID],0)),"Unmatched")</f>
        <v>EV Charge Card</v>
      </c>
      <c r="P803" s="9" t="str">
        <f>IFERROR(INDEX(T_CleanCustomers[Customer_Segment],MATCH(B803,T_CleanCustomers[Customer_ID],0)),"Unmatched")</f>
        <v>SME</v>
      </c>
    </row>
    <row r="804" spans="1:16" ht="15" customHeight="1" x14ac:dyDescent="0.2">
      <c r="A804" s="9" t="s">
        <v>2150</v>
      </c>
      <c r="B804" s="9" t="s">
        <v>1243</v>
      </c>
      <c r="C804" s="9" t="b">
        <f>TRUE()</f>
        <v>1</v>
      </c>
      <c r="D804" s="10">
        <v>46010</v>
      </c>
      <c r="E804" s="10">
        <v>45992</v>
      </c>
      <c r="F804" s="9" t="s">
        <v>1423</v>
      </c>
      <c r="G804" s="11">
        <v>5092.91</v>
      </c>
      <c r="H804" s="11">
        <v>168.83</v>
      </c>
      <c r="I804" s="9" t="b">
        <f>TRUE()</f>
        <v>1</v>
      </c>
      <c r="J804" s="9" t="s">
        <v>1361</v>
      </c>
      <c r="K804" s="11">
        <v>168.83</v>
      </c>
      <c r="L804" s="9" t="s">
        <v>19</v>
      </c>
      <c r="M804" s="9" t="str">
        <f>IFERROR(INDEX(T_CleanCustomers[Sales_Rep_ID],MATCH(B804,T_CleanCustomers[Customer_ID],0)),"Unmatched")</f>
        <v>REP014</v>
      </c>
      <c r="N804" s="9" t="str">
        <f>IFERROR(INDEX(T_CleanCustomers[Channel],MATCH(B804,T_CleanCustomers[Customer_ID],0)),"Unmatched")</f>
        <v>Direct Sales</v>
      </c>
      <c r="O804" s="9" t="str">
        <f>IFERROR(INDEX(T_CleanCustomers[Product],MATCH(B804,T_CleanCustomers[Customer_ID],0)),"Unmatched")</f>
        <v>EV Charge Card</v>
      </c>
      <c r="P804" s="9" t="str">
        <f>IFERROR(INDEX(T_CleanCustomers[Customer_Segment],MATCH(B804,T_CleanCustomers[Customer_ID],0)),"Unmatched")</f>
        <v>SME</v>
      </c>
    </row>
    <row r="805" spans="1:16" ht="15" customHeight="1" x14ac:dyDescent="0.2">
      <c r="A805" s="9" t="s">
        <v>2151</v>
      </c>
      <c r="B805" s="9" t="s">
        <v>1244</v>
      </c>
      <c r="C805" s="9" t="b">
        <f>TRUE()</f>
        <v>1</v>
      </c>
      <c r="D805" s="10">
        <v>45833</v>
      </c>
      <c r="E805" s="10">
        <v>45809</v>
      </c>
      <c r="F805" s="9" t="s">
        <v>1360</v>
      </c>
      <c r="G805" s="11">
        <v>2481.04</v>
      </c>
      <c r="H805" s="11">
        <v>58.58</v>
      </c>
      <c r="I805" s="9" t="b">
        <f>TRUE()</f>
        <v>1</v>
      </c>
      <c r="J805" s="9" t="s">
        <v>1361</v>
      </c>
      <c r="K805" s="11">
        <v>58.58</v>
      </c>
      <c r="L805" s="9" t="s">
        <v>22</v>
      </c>
      <c r="M805" s="9" t="str">
        <f>IFERROR(INDEX(T_CleanCustomers[Sales_Rep_ID],MATCH(B805,T_CleanCustomers[Customer_ID],0)),"Unmatched")</f>
        <v>REP006</v>
      </c>
      <c r="N805" s="9" t="str">
        <f>IFERROR(INDEX(T_CleanCustomers[Channel],MATCH(B805,T_CleanCustomers[Customer_ID],0)),"Unmatched")</f>
        <v>Direct Sales</v>
      </c>
      <c r="O805" s="9" t="str">
        <f>IFERROR(INDEX(T_CleanCustomers[Product],MATCH(B805,T_CleanCustomers[Customer_ID],0)),"Unmatched")</f>
        <v>Fuel Card</v>
      </c>
      <c r="P805" s="9" t="str">
        <f>IFERROR(INDEX(T_CleanCustomers[Customer_Segment],MATCH(B805,T_CleanCustomers[Customer_ID],0)),"Unmatched")</f>
        <v>SME</v>
      </c>
    </row>
    <row r="806" spans="1:16" ht="15" customHeight="1" x14ac:dyDescent="0.2">
      <c r="A806" s="9" t="s">
        <v>2152</v>
      </c>
      <c r="B806" s="9" t="s">
        <v>1244</v>
      </c>
      <c r="C806" s="9" t="b">
        <f>TRUE()</f>
        <v>1</v>
      </c>
      <c r="D806" s="10">
        <v>45842</v>
      </c>
      <c r="E806" s="10">
        <v>45839</v>
      </c>
      <c r="F806" s="9" t="s">
        <v>1360</v>
      </c>
      <c r="G806" s="11">
        <v>3442.55</v>
      </c>
      <c r="H806" s="11">
        <v>95.26</v>
      </c>
      <c r="I806" s="9" t="b">
        <f>TRUE()</f>
        <v>1</v>
      </c>
      <c r="J806" s="9" t="s">
        <v>1361</v>
      </c>
      <c r="K806" s="11">
        <v>95.26</v>
      </c>
      <c r="L806" s="9" t="s">
        <v>22</v>
      </c>
      <c r="M806" s="9" t="str">
        <f>IFERROR(INDEX(T_CleanCustomers[Sales_Rep_ID],MATCH(B806,T_CleanCustomers[Customer_ID],0)),"Unmatched")</f>
        <v>REP006</v>
      </c>
      <c r="N806" s="9" t="str">
        <f>IFERROR(INDEX(T_CleanCustomers[Channel],MATCH(B806,T_CleanCustomers[Customer_ID],0)),"Unmatched")</f>
        <v>Direct Sales</v>
      </c>
      <c r="O806" s="9" t="str">
        <f>IFERROR(INDEX(T_CleanCustomers[Product],MATCH(B806,T_CleanCustomers[Customer_ID],0)),"Unmatched")</f>
        <v>Fuel Card</v>
      </c>
      <c r="P806" s="9" t="str">
        <f>IFERROR(INDEX(T_CleanCustomers[Customer_Segment],MATCH(B806,T_CleanCustomers[Customer_ID],0)),"Unmatched")</f>
        <v>SME</v>
      </c>
    </row>
    <row r="807" spans="1:16" ht="15" customHeight="1" x14ac:dyDescent="0.2">
      <c r="A807" s="9" t="s">
        <v>2153</v>
      </c>
      <c r="B807" s="9" t="s">
        <v>1244</v>
      </c>
      <c r="C807" s="9" t="b">
        <f>TRUE()</f>
        <v>1</v>
      </c>
      <c r="D807" s="10">
        <v>45849</v>
      </c>
      <c r="E807" s="10">
        <v>45839</v>
      </c>
      <c r="F807" s="9" t="s">
        <v>1360</v>
      </c>
      <c r="G807" s="11">
        <v>1252.8499999999999</v>
      </c>
      <c r="H807" s="11">
        <v>28.11</v>
      </c>
      <c r="I807" s="9" t="b">
        <f>TRUE()</f>
        <v>1</v>
      </c>
      <c r="J807" s="9" t="s">
        <v>1361</v>
      </c>
      <c r="K807" s="11">
        <v>28.11</v>
      </c>
      <c r="L807" s="9" t="s">
        <v>22</v>
      </c>
      <c r="M807" s="9" t="str">
        <f>IFERROR(INDEX(T_CleanCustomers[Sales_Rep_ID],MATCH(B807,T_CleanCustomers[Customer_ID],0)),"Unmatched")</f>
        <v>REP006</v>
      </c>
      <c r="N807" s="9" t="str">
        <f>IFERROR(INDEX(T_CleanCustomers[Channel],MATCH(B807,T_CleanCustomers[Customer_ID],0)),"Unmatched")</f>
        <v>Direct Sales</v>
      </c>
      <c r="O807" s="9" t="str">
        <f>IFERROR(INDEX(T_CleanCustomers[Product],MATCH(B807,T_CleanCustomers[Customer_ID],0)),"Unmatched")</f>
        <v>Fuel Card</v>
      </c>
      <c r="P807" s="9" t="str">
        <f>IFERROR(INDEX(T_CleanCustomers[Customer_Segment],MATCH(B807,T_CleanCustomers[Customer_ID],0)),"Unmatched")</f>
        <v>SME</v>
      </c>
    </row>
    <row r="808" spans="1:16" ht="15" customHeight="1" x14ac:dyDescent="0.2">
      <c r="A808" s="9" t="s">
        <v>2154</v>
      </c>
      <c r="B808" s="9" t="s">
        <v>1244</v>
      </c>
      <c r="C808" s="9" t="b">
        <f>TRUE()</f>
        <v>1</v>
      </c>
      <c r="D808" s="10">
        <v>45869</v>
      </c>
      <c r="E808" s="10">
        <v>45839</v>
      </c>
      <c r="F808" s="9" t="s">
        <v>1360</v>
      </c>
      <c r="G808" s="11">
        <v>4945.07</v>
      </c>
      <c r="H808" s="11">
        <v>114.72</v>
      </c>
      <c r="I808" s="9" t="b">
        <f>TRUE()</f>
        <v>1</v>
      </c>
      <c r="J808" s="9" t="s">
        <v>1361</v>
      </c>
      <c r="K808" s="11">
        <v>114.72</v>
      </c>
      <c r="L808" s="9" t="s">
        <v>22</v>
      </c>
      <c r="M808" s="9" t="str">
        <f>IFERROR(INDEX(T_CleanCustomers[Sales_Rep_ID],MATCH(B808,T_CleanCustomers[Customer_ID],0)),"Unmatched")</f>
        <v>REP006</v>
      </c>
      <c r="N808" s="9" t="str">
        <f>IFERROR(INDEX(T_CleanCustomers[Channel],MATCH(B808,T_CleanCustomers[Customer_ID],0)),"Unmatched")</f>
        <v>Direct Sales</v>
      </c>
      <c r="O808" s="9" t="str">
        <f>IFERROR(INDEX(T_CleanCustomers[Product],MATCH(B808,T_CleanCustomers[Customer_ID],0)),"Unmatched")</f>
        <v>Fuel Card</v>
      </c>
      <c r="P808" s="9" t="str">
        <f>IFERROR(INDEX(T_CleanCustomers[Customer_Segment],MATCH(B808,T_CleanCustomers[Customer_ID],0)),"Unmatched")</f>
        <v>SME</v>
      </c>
    </row>
    <row r="809" spans="1:16" ht="15" customHeight="1" x14ac:dyDescent="0.2">
      <c r="A809" s="9" t="s">
        <v>2155</v>
      </c>
      <c r="B809" s="9" t="s">
        <v>1244</v>
      </c>
      <c r="C809" s="9" t="b">
        <f>TRUE()</f>
        <v>1</v>
      </c>
      <c r="D809" s="10">
        <v>45898</v>
      </c>
      <c r="E809" s="10">
        <v>45870</v>
      </c>
      <c r="F809" s="9" t="s">
        <v>1360</v>
      </c>
      <c r="G809" s="11">
        <v>2469.5300000000002</v>
      </c>
      <c r="H809" s="11">
        <v>58.91</v>
      </c>
      <c r="I809" s="9" t="b">
        <f>TRUE()</f>
        <v>1</v>
      </c>
      <c r="J809" s="9" t="s">
        <v>1361</v>
      </c>
      <c r="K809" s="11">
        <v>58.91</v>
      </c>
      <c r="L809" s="9" t="s">
        <v>22</v>
      </c>
      <c r="M809" s="9" t="str">
        <f>IFERROR(INDEX(T_CleanCustomers[Sales_Rep_ID],MATCH(B809,T_CleanCustomers[Customer_ID],0)),"Unmatched")</f>
        <v>REP006</v>
      </c>
      <c r="N809" s="9" t="str">
        <f>IFERROR(INDEX(T_CleanCustomers[Channel],MATCH(B809,T_CleanCustomers[Customer_ID],0)),"Unmatched")</f>
        <v>Direct Sales</v>
      </c>
      <c r="O809" s="9" t="str">
        <f>IFERROR(INDEX(T_CleanCustomers[Product],MATCH(B809,T_CleanCustomers[Customer_ID],0)),"Unmatched")</f>
        <v>Fuel Card</v>
      </c>
      <c r="P809" s="9" t="str">
        <f>IFERROR(INDEX(T_CleanCustomers[Customer_Segment],MATCH(B809,T_CleanCustomers[Customer_ID],0)),"Unmatched")</f>
        <v>SME</v>
      </c>
    </row>
    <row r="810" spans="1:16" ht="15" customHeight="1" x14ac:dyDescent="0.2">
      <c r="A810" s="9" t="s">
        <v>2156</v>
      </c>
      <c r="B810" s="9" t="s">
        <v>1244</v>
      </c>
      <c r="C810" s="9" t="b">
        <f>TRUE()</f>
        <v>1</v>
      </c>
      <c r="D810" s="10">
        <v>45871</v>
      </c>
      <c r="E810" s="10">
        <v>45870</v>
      </c>
      <c r="F810" s="9" t="s">
        <v>1360</v>
      </c>
      <c r="G810" s="11">
        <v>2437.9499999999998</v>
      </c>
      <c r="H810" s="11">
        <v>67.95</v>
      </c>
      <c r="I810" s="9" t="b">
        <f>TRUE()</f>
        <v>1</v>
      </c>
      <c r="J810" s="9" t="s">
        <v>1361</v>
      </c>
      <c r="K810" s="11">
        <v>67.95</v>
      </c>
      <c r="L810" s="9" t="s">
        <v>22</v>
      </c>
      <c r="M810" s="9" t="str">
        <f>IFERROR(INDEX(T_CleanCustomers[Sales_Rep_ID],MATCH(B810,T_CleanCustomers[Customer_ID],0)),"Unmatched")</f>
        <v>REP006</v>
      </c>
      <c r="N810" s="9" t="str">
        <f>IFERROR(INDEX(T_CleanCustomers[Channel],MATCH(B810,T_CleanCustomers[Customer_ID],0)),"Unmatched")</f>
        <v>Direct Sales</v>
      </c>
      <c r="O810" s="9" t="str">
        <f>IFERROR(INDEX(T_CleanCustomers[Product],MATCH(B810,T_CleanCustomers[Customer_ID],0)),"Unmatched")</f>
        <v>Fuel Card</v>
      </c>
      <c r="P810" s="9" t="str">
        <f>IFERROR(INDEX(T_CleanCustomers[Customer_Segment],MATCH(B810,T_CleanCustomers[Customer_ID],0)),"Unmatched")</f>
        <v>SME</v>
      </c>
    </row>
    <row r="811" spans="1:16" ht="15" customHeight="1" x14ac:dyDescent="0.2">
      <c r="A811" s="9" t="s">
        <v>2157</v>
      </c>
      <c r="B811" s="9" t="s">
        <v>1244</v>
      </c>
      <c r="C811" s="9" t="b">
        <f>TRUE()</f>
        <v>1</v>
      </c>
      <c r="D811" s="10">
        <v>45920</v>
      </c>
      <c r="E811" s="10">
        <v>45901</v>
      </c>
      <c r="F811" s="9" t="s">
        <v>1360</v>
      </c>
      <c r="G811" s="11">
        <v>3508.54</v>
      </c>
      <c r="H811" s="11">
        <v>95.58</v>
      </c>
      <c r="I811" s="9" t="b">
        <f>TRUE()</f>
        <v>1</v>
      </c>
      <c r="J811" s="9" t="s">
        <v>1361</v>
      </c>
      <c r="K811" s="11">
        <v>95.58</v>
      </c>
      <c r="L811" s="9" t="s">
        <v>22</v>
      </c>
      <c r="M811" s="9" t="str">
        <f>IFERROR(INDEX(T_CleanCustomers[Sales_Rep_ID],MATCH(B811,T_CleanCustomers[Customer_ID],0)),"Unmatched")</f>
        <v>REP006</v>
      </c>
      <c r="N811" s="9" t="str">
        <f>IFERROR(INDEX(T_CleanCustomers[Channel],MATCH(B811,T_CleanCustomers[Customer_ID],0)),"Unmatched")</f>
        <v>Direct Sales</v>
      </c>
      <c r="O811" s="9" t="str">
        <f>IFERROR(INDEX(T_CleanCustomers[Product],MATCH(B811,T_CleanCustomers[Customer_ID],0)),"Unmatched")</f>
        <v>Fuel Card</v>
      </c>
      <c r="P811" s="9" t="str">
        <f>IFERROR(INDEX(T_CleanCustomers[Customer_Segment],MATCH(B811,T_CleanCustomers[Customer_ID],0)),"Unmatched")</f>
        <v>SME</v>
      </c>
    </row>
    <row r="812" spans="1:16" ht="15" customHeight="1" x14ac:dyDescent="0.2">
      <c r="A812" s="9" t="s">
        <v>2158</v>
      </c>
      <c r="B812" s="9" t="s">
        <v>1244</v>
      </c>
      <c r="C812" s="9" t="b">
        <f>TRUE()</f>
        <v>1</v>
      </c>
      <c r="D812" s="10">
        <v>45908</v>
      </c>
      <c r="E812" s="10">
        <v>45901</v>
      </c>
      <c r="F812" s="9" t="s">
        <v>1360</v>
      </c>
      <c r="G812" s="11">
        <v>1241.8599999999999</v>
      </c>
      <c r="H812" s="11">
        <v>28.31</v>
      </c>
      <c r="I812" s="9" t="b">
        <f>TRUE()</f>
        <v>1</v>
      </c>
      <c r="J812" s="9" t="s">
        <v>1361</v>
      </c>
      <c r="K812" s="11">
        <v>28.31</v>
      </c>
      <c r="L812" s="9" t="s">
        <v>22</v>
      </c>
      <c r="M812" s="9" t="str">
        <f>IFERROR(INDEX(T_CleanCustomers[Sales_Rep_ID],MATCH(B812,T_CleanCustomers[Customer_ID],0)),"Unmatched")</f>
        <v>REP006</v>
      </c>
      <c r="N812" s="9" t="str">
        <f>IFERROR(INDEX(T_CleanCustomers[Channel],MATCH(B812,T_CleanCustomers[Customer_ID],0)),"Unmatched")</f>
        <v>Direct Sales</v>
      </c>
      <c r="O812" s="9" t="str">
        <f>IFERROR(INDEX(T_CleanCustomers[Product],MATCH(B812,T_CleanCustomers[Customer_ID],0)),"Unmatched")</f>
        <v>Fuel Card</v>
      </c>
      <c r="P812" s="9" t="str">
        <f>IFERROR(INDEX(T_CleanCustomers[Customer_Segment],MATCH(B812,T_CleanCustomers[Customer_ID],0)),"Unmatched")</f>
        <v>SME</v>
      </c>
    </row>
    <row r="813" spans="1:16" ht="15" customHeight="1" x14ac:dyDescent="0.2">
      <c r="A813" s="9" t="s">
        <v>2159</v>
      </c>
      <c r="B813" s="9" t="s">
        <v>1244</v>
      </c>
      <c r="C813" s="9" t="b">
        <f>TRUE()</f>
        <v>1</v>
      </c>
      <c r="D813" s="10">
        <v>45904</v>
      </c>
      <c r="E813" s="10">
        <v>45901</v>
      </c>
      <c r="F813" s="9" t="s">
        <v>1360</v>
      </c>
      <c r="G813" s="11">
        <v>5135.18</v>
      </c>
      <c r="H813" s="11">
        <v>114.62</v>
      </c>
      <c r="I813" s="9" t="b">
        <f>TRUE()</f>
        <v>1</v>
      </c>
      <c r="J813" s="9" t="s">
        <v>1361</v>
      </c>
      <c r="K813" s="11">
        <v>114.62</v>
      </c>
      <c r="L813" s="9" t="s">
        <v>22</v>
      </c>
      <c r="M813" s="9" t="str">
        <f>IFERROR(INDEX(T_CleanCustomers[Sales_Rep_ID],MATCH(B813,T_CleanCustomers[Customer_ID],0)),"Unmatched")</f>
        <v>REP006</v>
      </c>
      <c r="N813" s="9" t="str">
        <f>IFERROR(INDEX(T_CleanCustomers[Channel],MATCH(B813,T_CleanCustomers[Customer_ID],0)),"Unmatched")</f>
        <v>Direct Sales</v>
      </c>
      <c r="O813" s="9" t="str">
        <f>IFERROR(INDEX(T_CleanCustomers[Product],MATCH(B813,T_CleanCustomers[Customer_ID],0)),"Unmatched")</f>
        <v>Fuel Card</v>
      </c>
      <c r="P813" s="9" t="str">
        <f>IFERROR(INDEX(T_CleanCustomers[Customer_Segment],MATCH(B813,T_CleanCustomers[Customer_ID],0)),"Unmatched")</f>
        <v>SME</v>
      </c>
    </row>
    <row r="814" spans="1:16" ht="15" customHeight="1" x14ac:dyDescent="0.2">
      <c r="A814" s="9" t="s">
        <v>2160</v>
      </c>
      <c r="B814" s="9" t="s">
        <v>1244</v>
      </c>
      <c r="C814" s="9" t="b">
        <f>TRUE()</f>
        <v>1</v>
      </c>
      <c r="D814" s="10">
        <v>45950</v>
      </c>
      <c r="E814" s="10">
        <v>45931</v>
      </c>
      <c r="F814" s="9" t="s">
        <v>1360</v>
      </c>
      <c r="G814" s="11">
        <v>1876.22</v>
      </c>
      <c r="H814" s="11">
        <v>42.26</v>
      </c>
      <c r="I814" s="9" t="b">
        <f>TRUE()</f>
        <v>1</v>
      </c>
      <c r="J814" s="9" t="s">
        <v>1361</v>
      </c>
      <c r="K814" s="11">
        <v>42.26</v>
      </c>
      <c r="L814" s="9" t="s">
        <v>22</v>
      </c>
      <c r="M814" s="9" t="str">
        <f>IFERROR(INDEX(T_CleanCustomers[Sales_Rep_ID],MATCH(B814,T_CleanCustomers[Customer_ID],0)),"Unmatched")</f>
        <v>REP006</v>
      </c>
      <c r="N814" s="9" t="str">
        <f>IFERROR(INDEX(T_CleanCustomers[Channel],MATCH(B814,T_CleanCustomers[Customer_ID],0)),"Unmatched")</f>
        <v>Direct Sales</v>
      </c>
      <c r="O814" s="9" t="str">
        <f>IFERROR(INDEX(T_CleanCustomers[Product],MATCH(B814,T_CleanCustomers[Customer_ID],0)),"Unmatched")</f>
        <v>Fuel Card</v>
      </c>
      <c r="P814" s="9" t="str">
        <f>IFERROR(INDEX(T_CleanCustomers[Customer_Segment],MATCH(B814,T_CleanCustomers[Customer_ID],0)),"Unmatched")</f>
        <v>SME</v>
      </c>
    </row>
    <row r="815" spans="1:16" ht="15" customHeight="1" x14ac:dyDescent="0.2">
      <c r="A815" s="9" t="s">
        <v>2161</v>
      </c>
      <c r="B815" s="9" t="s">
        <v>1244</v>
      </c>
      <c r="C815" s="9" t="b">
        <f>TRUE()</f>
        <v>1</v>
      </c>
      <c r="D815" s="10">
        <v>45967</v>
      </c>
      <c r="E815" s="10">
        <v>45962</v>
      </c>
      <c r="F815" s="9" t="s">
        <v>1360</v>
      </c>
      <c r="G815" s="11">
        <v>2585.12</v>
      </c>
      <c r="H815" s="11">
        <v>65.77</v>
      </c>
      <c r="I815" s="9" t="b">
        <f>TRUE()</f>
        <v>1</v>
      </c>
      <c r="J815" s="9" t="s">
        <v>1361</v>
      </c>
      <c r="K815" s="11">
        <v>65.77</v>
      </c>
      <c r="L815" s="9" t="s">
        <v>22</v>
      </c>
      <c r="M815" s="9" t="str">
        <f>IFERROR(INDEX(T_CleanCustomers[Sales_Rep_ID],MATCH(B815,T_CleanCustomers[Customer_ID],0)),"Unmatched")</f>
        <v>REP006</v>
      </c>
      <c r="N815" s="9" t="str">
        <f>IFERROR(INDEX(T_CleanCustomers[Channel],MATCH(B815,T_CleanCustomers[Customer_ID],0)),"Unmatched")</f>
        <v>Direct Sales</v>
      </c>
      <c r="O815" s="9" t="str">
        <f>IFERROR(INDEX(T_CleanCustomers[Product],MATCH(B815,T_CleanCustomers[Customer_ID],0)),"Unmatched")</f>
        <v>Fuel Card</v>
      </c>
      <c r="P815" s="9" t="str">
        <f>IFERROR(INDEX(T_CleanCustomers[Customer_Segment],MATCH(B815,T_CleanCustomers[Customer_ID],0)),"Unmatched")</f>
        <v>SME</v>
      </c>
    </row>
    <row r="816" spans="1:16" ht="15" customHeight="1" x14ac:dyDescent="0.2">
      <c r="A816" s="9" t="s">
        <v>2162</v>
      </c>
      <c r="B816" s="9" t="s">
        <v>1244</v>
      </c>
      <c r="C816" s="9" t="b">
        <f>TRUE()</f>
        <v>1</v>
      </c>
      <c r="D816" s="10">
        <v>45971</v>
      </c>
      <c r="E816" s="10">
        <v>45962</v>
      </c>
      <c r="F816" s="9" t="s">
        <v>1360</v>
      </c>
      <c r="G816" s="11">
        <v>4882.07</v>
      </c>
      <c r="H816" s="11">
        <v>126.81</v>
      </c>
      <c r="I816" s="9" t="b">
        <f>TRUE()</f>
        <v>1</v>
      </c>
      <c r="J816" s="9" t="s">
        <v>1361</v>
      </c>
      <c r="K816" s="11">
        <v>126.81</v>
      </c>
      <c r="L816" s="9" t="s">
        <v>22</v>
      </c>
      <c r="M816" s="9" t="str">
        <f>IFERROR(INDEX(T_CleanCustomers[Sales_Rep_ID],MATCH(B816,T_CleanCustomers[Customer_ID],0)),"Unmatched")</f>
        <v>REP006</v>
      </c>
      <c r="N816" s="9" t="str">
        <f>IFERROR(INDEX(T_CleanCustomers[Channel],MATCH(B816,T_CleanCustomers[Customer_ID],0)),"Unmatched")</f>
        <v>Direct Sales</v>
      </c>
      <c r="O816" s="9" t="str">
        <f>IFERROR(INDEX(T_CleanCustomers[Product],MATCH(B816,T_CleanCustomers[Customer_ID],0)),"Unmatched")</f>
        <v>Fuel Card</v>
      </c>
      <c r="P816" s="9" t="str">
        <f>IFERROR(INDEX(T_CleanCustomers[Customer_Segment],MATCH(B816,T_CleanCustomers[Customer_ID],0)),"Unmatched")</f>
        <v>SME</v>
      </c>
    </row>
    <row r="817" spans="1:16" ht="15" customHeight="1" x14ac:dyDescent="0.2">
      <c r="A817" s="9" t="s">
        <v>2163</v>
      </c>
      <c r="B817" s="9" t="s">
        <v>1244</v>
      </c>
      <c r="C817" s="9" t="b">
        <f>TRUE()</f>
        <v>1</v>
      </c>
      <c r="D817" s="10">
        <v>45996</v>
      </c>
      <c r="E817" s="10">
        <v>45992</v>
      </c>
      <c r="F817" s="9" t="s">
        <v>1360</v>
      </c>
      <c r="G817" s="11">
        <v>4382.34</v>
      </c>
      <c r="H817" s="11">
        <v>99.14</v>
      </c>
      <c r="I817" s="9" t="b">
        <f>TRUE()</f>
        <v>1</v>
      </c>
      <c r="J817" s="9" t="s">
        <v>1361</v>
      </c>
      <c r="K817" s="11">
        <v>99.14</v>
      </c>
      <c r="L817" s="9" t="s">
        <v>22</v>
      </c>
      <c r="M817" s="9" t="str">
        <f>IFERROR(INDEX(T_CleanCustomers[Sales_Rep_ID],MATCH(B817,T_CleanCustomers[Customer_ID],0)),"Unmatched")</f>
        <v>REP006</v>
      </c>
      <c r="N817" s="9" t="str">
        <f>IFERROR(INDEX(T_CleanCustomers[Channel],MATCH(B817,T_CleanCustomers[Customer_ID],0)),"Unmatched")</f>
        <v>Direct Sales</v>
      </c>
      <c r="O817" s="9" t="str">
        <f>IFERROR(INDEX(T_CleanCustomers[Product],MATCH(B817,T_CleanCustomers[Customer_ID],0)),"Unmatched")</f>
        <v>Fuel Card</v>
      </c>
      <c r="P817" s="9" t="str">
        <f>IFERROR(INDEX(T_CleanCustomers[Customer_Segment],MATCH(B817,T_CleanCustomers[Customer_ID],0)),"Unmatched")</f>
        <v>SME</v>
      </c>
    </row>
    <row r="818" spans="1:16" ht="15" customHeight="1" x14ac:dyDescent="0.2">
      <c r="A818" s="9" t="s">
        <v>2164</v>
      </c>
      <c r="B818" s="9" t="s">
        <v>1244</v>
      </c>
      <c r="C818" s="9" t="b">
        <f>TRUE()</f>
        <v>1</v>
      </c>
      <c r="D818" s="10">
        <v>46013</v>
      </c>
      <c r="E818" s="10">
        <v>45992</v>
      </c>
      <c r="F818" s="9" t="s">
        <v>1360</v>
      </c>
      <c r="G818" s="11">
        <v>2223.1799999999998</v>
      </c>
      <c r="H818" s="11">
        <v>50.44</v>
      </c>
      <c r="I818" s="9" t="b">
        <f>TRUE()</f>
        <v>1</v>
      </c>
      <c r="J818" s="9" t="s">
        <v>1361</v>
      </c>
      <c r="K818" s="11">
        <v>50.44</v>
      </c>
      <c r="L818" s="9" t="s">
        <v>22</v>
      </c>
      <c r="M818" s="9" t="str">
        <f>IFERROR(INDEX(T_CleanCustomers[Sales_Rep_ID],MATCH(B818,T_CleanCustomers[Customer_ID],0)),"Unmatched")</f>
        <v>REP006</v>
      </c>
      <c r="N818" s="9" t="str">
        <f>IFERROR(INDEX(T_CleanCustomers[Channel],MATCH(B818,T_CleanCustomers[Customer_ID],0)),"Unmatched")</f>
        <v>Direct Sales</v>
      </c>
      <c r="O818" s="9" t="str">
        <f>IFERROR(INDEX(T_CleanCustomers[Product],MATCH(B818,T_CleanCustomers[Customer_ID],0)),"Unmatched")</f>
        <v>Fuel Card</v>
      </c>
      <c r="P818" s="9" t="str">
        <f>IFERROR(INDEX(T_CleanCustomers[Customer_Segment],MATCH(B818,T_CleanCustomers[Customer_ID],0)),"Unmatched")</f>
        <v>SME</v>
      </c>
    </row>
    <row r="819" spans="1:16" ht="15" customHeight="1" x14ac:dyDescent="0.2">
      <c r="A819" s="9" t="s">
        <v>2165</v>
      </c>
      <c r="B819" s="9" t="s">
        <v>1244</v>
      </c>
      <c r="C819" s="9" t="b">
        <f>TRUE()</f>
        <v>1</v>
      </c>
      <c r="D819" s="10">
        <v>46009</v>
      </c>
      <c r="E819" s="10">
        <v>45992</v>
      </c>
      <c r="F819" s="9" t="s">
        <v>1360</v>
      </c>
      <c r="G819" s="11">
        <v>4636.34</v>
      </c>
      <c r="H819" s="11">
        <v>123.2</v>
      </c>
      <c r="I819" s="9" t="b">
        <f>TRUE()</f>
        <v>1</v>
      </c>
      <c r="J819" s="9" t="s">
        <v>1361</v>
      </c>
      <c r="K819" s="11">
        <v>123.2</v>
      </c>
      <c r="L819" s="9" t="s">
        <v>22</v>
      </c>
      <c r="M819" s="9" t="str">
        <f>IFERROR(INDEX(T_CleanCustomers[Sales_Rep_ID],MATCH(B819,T_CleanCustomers[Customer_ID],0)),"Unmatched")</f>
        <v>REP006</v>
      </c>
      <c r="N819" s="9" t="str">
        <f>IFERROR(INDEX(T_CleanCustomers[Channel],MATCH(B819,T_CleanCustomers[Customer_ID],0)),"Unmatched")</f>
        <v>Direct Sales</v>
      </c>
      <c r="O819" s="9" t="str">
        <f>IFERROR(INDEX(T_CleanCustomers[Product],MATCH(B819,T_CleanCustomers[Customer_ID],0)),"Unmatched")</f>
        <v>Fuel Card</v>
      </c>
      <c r="P819" s="9" t="str">
        <f>IFERROR(INDEX(T_CleanCustomers[Customer_Segment],MATCH(B819,T_CleanCustomers[Customer_ID],0)),"Unmatched")</f>
        <v>SME</v>
      </c>
    </row>
    <row r="820" spans="1:16" ht="15" customHeight="1" x14ac:dyDescent="0.2">
      <c r="A820" s="9" t="s">
        <v>2166</v>
      </c>
      <c r="B820" s="9" t="s">
        <v>103</v>
      </c>
      <c r="C820" s="9" t="b">
        <f>TRUE()</f>
        <v>1</v>
      </c>
      <c r="D820" s="10">
        <v>45803</v>
      </c>
      <c r="E820" s="10">
        <v>45778</v>
      </c>
      <c r="F820" s="9" t="s">
        <v>1373</v>
      </c>
      <c r="G820" s="11">
        <v>4402.32</v>
      </c>
      <c r="H820" s="11">
        <v>84.91</v>
      </c>
      <c r="I820" s="9" t="b">
        <f>TRUE()</f>
        <v>1</v>
      </c>
      <c r="J820" s="9" t="s">
        <v>1361</v>
      </c>
      <c r="K820" s="11">
        <v>84.91</v>
      </c>
      <c r="L820" s="9" t="s">
        <v>18</v>
      </c>
      <c r="M820" s="9" t="str">
        <f>IFERROR(INDEX(T_CleanCustomers[Sales_Rep_ID],MATCH(B820,T_CleanCustomers[Customer_ID],0)),"Unmatched")</f>
        <v>REP011</v>
      </c>
      <c r="N820" s="9" t="str">
        <f>IFERROR(INDEX(T_CleanCustomers[Channel],MATCH(B820,T_CleanCustomers[Customer_ID],0)),"Unmatched")</f>
        <v>Referral</v>
      </c>
      <c r="O820" s="9" t="str">
        <f>IFERROR(INDEX(T_CleanCustomers[Product],MATCH(B820,T_CleanCustomers[Customer_ID],0)),"Unmatched")</f>
        <v>Toll Solution</v>
      </c>
      <c r="P820" s="9" t="str">
        <f>IFERROR(INDEX(T_CleanCustomers[Customer_Segment],MATCH(B820,T_CleanCustomers[Customer_ID],0)),"Unmatched")</f>
        <v>SME</v>
      </c>
    </row>
    <row r="821" spans="1:16" ht="15" customHeight="1" x14ac:dyDescent="0.2">
      <c r="A821" s="9" t="s">
        <v>2167</v>
      </c>
      <c r="B821" s="9" t="s">
        <v>103</v>
      </c>
      <c r="C821" s="9" t="b">
        <f>TRUE()</f>
        <v>1</v>
      </c>
      <c r="D821" s="10">
        <v>45810</v>
      </c>
      <c r="E821" s="10">
        <v>45809</v>
      </c>
      <c r="F821" s="9" t="s">
        <v>1373</v>
      </c>
      <c r="G821" s="11">
        <v>3109.87</v>
      </c>
      <c r="H821" s="11">
        <v>54.09</v>
      </c>
      <c r="I821" s="9" t="b">
        <f>TRUE()</f>
        <v>1</v>
      </c>
      <c r="J821" s="9" t="s">
        <v>1361</v>
      </c>
      <c r="K821" s="11">
        <v>54.09</v>
      </c>
      <c r="L821" s="9" t="s">
        <v>18</v>
      </c>
      <c r="M821" s="9" t="str">
        <f>IFERROR(INDEX(T_CleanCustomers[Sales_Rep_ID],MATCH(B821,T_CleanCustomers[Customer_ID],0)),"Unmatched")</f>
        <v>REP011</v>
      </c>
      <c r="N821" s="9" t="str">
        <f>IFERROR(INDEX(T_CleanCustomers[Channel],MATCH(B821,T_CleanCustomers[Customer_ID],0)),"Unmatched")</f>
        <v>Referral</v>
      </c>
      <c r="O821" s="9" t="str">
        <f>IFERROR(INDEX(T_CleanCustomers[Product],MATCH(B821,T_CleanCustomers[Customer_ID],0)),"Unmatched")</f>
        <v>Toll Solution</v>
      </c>
      <c r="P821" s="9" t="str">
        <f>IFERROR(INDEX(T_CleanCustomers[Customer_Segment],MATCH(B821,T_CleanCustomers[Customer_ID],0)),"Unmatched")</f>
        <v>SME</v>
      </c>
    </row>
    <row r="822" spans="1:16" ht="15" customHeight="1" x14ac:dyDescent="0.2">
      <c r="A822" s="9" t="s">
        <v>2168</v>
      </c>
      <c r="B822" s="9" t="s">
        <v>103</v>
      </c>
      <c r="C822" s="9" t="b">
        <f>TRUE()</f>
        <v>1</v>
      </c>
      <c r="D822" s="10">
        <v>45845</v>
      </c>
      <c r="E822" s="10">
        <v>45839</v>
      </c>
      <c r="F822" s="9" t="s">
        <v>1373</v>
      </c>
      <c r="G822" s="11">
        <v>3213.97</v>
      </c>
      <c r="H822" s="11">
        <v>56.56</v>
      </c>
      <c r="I822" s="9" t="b">
        <f>TRUE()</f>
        <v>1</v>
      </c>
      <c r="J822" s="9" t="s">
        <v>1361</v>
      </c>
      <c r="K822" s="11">
        <v>56.56</v>
      </c>
      <c r="L822" s="9" t="s">
        <v>18</v>
      </c>
      <c r="M822" s="9" t="str">
        <f>IFERROR(INDEX(T_CleanCustomers[Sales_Rep_ID],MATCH(B822,T_CleanCustomers[Customer_ID],0)),"Unmatched")</f>
        <v>REP011</v>
      </c>
      <c r="N822" s="9" t="str">
        <f>IFERROR(INDEX(T_CleanCustomers[Channel],MATCH(B822,T_CleanCustomers[Customer_ID],0)),"Unmatched")</f>
        <v>Referral</v>
      </c>
      <c r="O822" s="9" t="str">
        <f>IFERROR(INDEX(T_CleanCustomers[Product],MATCH(B822,T_CleanCustomers[Customer_ID],0)),"Unmatched")</f>
        <v>Toll Solution</v>
      </c>
      <c r="P822" s="9" t="str">
        <f>IFERROR(INDEX(T_CleanCustomers[Customer_Segment],MATCH(B822,T_CleanCustomers[Customer_ID],0)),"Unmatched")</f>
        <v>SME</v>
      </c>
    </row>
    <row r="823" spans="1:16" ht="15" customHeight="1" x14ac:dyDescent="0.2">
      <c r="A823" s="9" t="s">
        <v>2169</v>
      </c>
      <c r="B823" s="9" t="s">
        <v>103</v>
      </c>
      <c r="C823" s="9" t="b">
        <f>TRUE()</f>
        <v>1</v>
      </c>
      <c r="D823" s="10">
        <v>45889</v>
      </c>
      <c r="E823" s="10">
        <v>45870</v>
      </c>
      <c r="F823" s="9" t="s">
        <v>1373</v>
      </c>
      <c r="G823" s="11">
        <v>3253.34</v>
      </c>
      <c r="H823" s="11">
        <v>51.92</v>
      </c>
      <c r="I823" s="9" t="b">
        <f>TRUE()</f>
        <v>1</v>
      </c>
      <c r="J823" s="9" t="s">
        <v>1361</v>
      </c>
      <c r="K823" s="11">
        <v>51.92</v>
      </c>
      <c r="L823" s="9" t="s">
        <v>18</v>
      </c>
      <c r="M823" s="9" t="str">
        <f>IFERROR(INDEX(T_CleanCustomers[Sales_Rep_ID],MATCH(B823,T_CleanCustomers[Customer_ID],0)),"Unmatched")</f>
        <v>REP011</v>
      </c>
      <c r="N823" s="9" t="str">
        <f>IFERROR(INDEX(T_CleanCustomers[Channel],MATCH(B823,T_CleanCustomers[Customer_ID],0)),"Unmatched")</f>
        <v>Referral</v>
      </c>
      <c r="O823" s="9" t="str">
        <f>IFERROR(INDEX(T_CleanCustomers[Product],MATCH(B823,T_CleanCustomers[Customer_ID],0)),"Unmatched")</f>
        <v>Toll Solution</v>
      </c>
      <c r="P823" s="9" t="str">
        <f>IFERROR(INDEX(T_CleanCustomers[Customer_Segment],MATCH(B823,T_CleanCustomers[Customer_ID],0)),"Unmatched")</f>
        <v>SME</v>
      </c>
    </row>
    <row r="824" spans="1:16" ht="15" customHeight="1" x14ac:dyDescent="0.2">
      <c r="A824" s="9" t="s">
        <v>2170</v>
      </c>
      <c r="B824" s="9" t="s">
        <v>103</v>
      </c>
      <c r="C824" s="9" t="b">
        <f>TRUE()</f>
        <v>1</v>
      </c>
      <c r="D824" s="10">
        <v>45894</v>
      </c>
      <c r="E824" s="10">
        <v>45870</v>
      </c>
      <c r="F824" s="9" t="s">
        <v>1373</v>
      </c>
      <c r="G824" s="11">
        <v>4264.87</v>
      </c>
      <c r="H824" s="11">
        <v>69.55</v>
      </c>
      <c r="I824" s="9" t="b">
        <f>TRUE()</f>
        <v>1</v>
      </c>
      <c r="J824" s="9" t="s">
        <v>1361</v>
      </c>
      <c r="K824" s="11">
        <v>69.55</v>
      </c>
      <c r="L824" s="9" t="s">
        <v>18</v>
      </c>
      <c r="M824" s="9" t="str">
        <f>IFERROR(INDEX(T_CleanCustomers[Sales_Rep_ID],MATCH(B824,T_CleanCustomers[Customer_ID],0)),"Unmatched")</f>
        <v>REP011</v>
      </c>
      <c r="N824" s="9" t="str">
        <f>IFERROR(INDEX(T_CleanCustomers[Channel],MATCH(B824,T_CleanCustomers[Customer_ID],0)),"Unmatched")</f>
        <v>Referral</v>
      </c>
      <c r="O824" s="9" t="str">
        <f>IFERROR(INDEX(T_CleanCustomers[Product],MATCH(B824,T_CleanCustomers[Customer_ID],0)),"Unmatched")</f>
        <v>Toll Solution</v>
      </c>
      <c r="P824" s="9" t="str">
        <f>IFERROR(INDEX(T_CleanCustomers[Customer_Segment],MATCH(B824,T_CleanCustomers[Customer_ID],0)),"Unmatched")</f>
        <v>SME</v>
      </c>
    </row>
    <row r="825" spans="1:16" ht="15" customHeight="1" x14ac:dyDescent="0.2">
      <c r="A825" s="9" t="s">
        <v>2171</v>
      </c>
      <c r="B825" s="9" t="s">
        <v>103</v>
      </c>
      <c r="C825" s="9" t="b">
        <f>TRUE()</f>
        <v>1</v>
      </c>
      <c r="D825" s="10">
        <v>45873</v>
      </c>
      <c r="E825" s="10">
        <v>45870</v>
      </c>
      <c r="F825" s="9" t="s">
        <v>1373</v>
      </c>
      <c r="G825" s="11">
        <v>3160.01</v>
      </c>
      <c r="H825" s="11">
        <v>52.1</v>
      </c>
      <c r="I825" s="9" t="b">
        <f>TRUE()</f>
        <v>1</v>
      </c>
      <c r="J825" s="9" t="s">
        <v>1361</v>
      </c>
      <c r="K825" s="11">
        <v>52.1</v>
      </c>
      <c r="L825" s="9" t="s">
        <v>18</v>
      </c>
      <c r="M825" s="9" t="str">
        <f>IFERROR(INDEX(T_CleanCustomers[Sales_Rep_ID],MATCH(B825,T_CleanCustomers[Customer_ID],0)),"Unmatched")</f>
        <v>REP011</v>
      </c>
      <c r="N825" s="9" t="str">
        <f>IFERROR(INDEX(T_CleanCustomers[Channel],MATCH(B825,T_CleanCustomers[Customer_ID],0)),"Unmatched")</f>
        <v>Referral</v>
      </c>
      <c r="O825" s="9" t="str">
        <f>IFERROR(INDEX(T_CleanCustomers[Product],MATCH(B825,T_CleanCustomers[Customer_ID],0)),"Unmatched")</f>
        <v>Toll Solution</v>
      </c>
      <c r="P825" s="9" t="str">
        <f>IFERROR(INDEX(T_CleanCustomers[Customer_Segment],MATCH(B825,T_CleanCustomers[Customer_ID],0)),"Unmatched")</f>
        <v>SME</v>
      </c>
    </row>
    <row r="826" spans="1:16" ht="15" customHeight="1" x14ac:dyDescent="0.2">
      <c r="A826" s="9" t="s">
        <v>2172</v>
      </c>
      <c r="B826" s="9" t="s">
        <v>103</v>
      </c>
      <c r="C826" s="9" t="b">
        <f>TRUE()</f>
        <v>1</v>
      </c>
      <c r="D826" s="10">
        <v>45919</v>
      </c>
      <c r="E826" s="10">
        <v>45901</v>
      </c>
      <c r="F826" s="9" t="s">
        <v>1373</v>
      </c>
      <c r="G826" s="11">
        <v>4736.12</v>
      </c>
      <c r="H826" s="11">
        <v>73.02</v>
      </c>
      <c r="I826" s="9" t="b">
        <f>TRUE()</f>
        <v>1</v>
      </c>
      <c r="J826" s="9" t="s">
        <v>1361</v>
      </c>
      <c r="K826" s="11">
        <v>73.02</v>
      </c>
      <c r="L826" s="9" t="s">
        <v>18</v>
      </c>
      <c r="M826" s="9" t="str">
        <f>IFERROR(INDEX(T_CleanCustomers[Sales_Rep_ID],MATCH(B826,T_CleanCustomers[Customer_ID],0)),"Unmatched")</f>
        <v>REP011</v>
      </c>
      <c r="N826" s="9" t="str">
        <f>IFERROR(INDEX(T_CleanCustomers[Channel],MATCH(B826,T_CleanCustomers[Customer_ID],0)),"Unmatched")</f>
        <v>Referral</v>
      </c>
      <c r="O826" s="9" t="str">
        <f>IFERROR(INDEX(T_CleanCustomers[Product],MATCH(B826,T_CleanCustomers[Customer_ID],0)),"Unmatched")</f>
        <v>Toll Solution</v>
      </c>
      <c r="P826" s="9" t="str">
        <f>IFERROR(INDEX(T_CleanCustomers[Customer_Segment],MATCH(B826,T_CleanCustomers[Customer_ID],0)),"Unmatched")</f>
        <v>SME</v>
      </c>
    </row>
    <row r="827" spans="1:16" ht="15" customHeight="1" x14ac:dyDescent="0.2">
      <c r="A827" s="9" t="s">
        <v>2173</v>
      </c>
      <c r="B827" s="9" t="s">
        <v>103</v>
      </c>
      <c r="C827" s="9" t="b">
        <f>TRUE()</f>
        <v>1</v>
      </c>
      <c r="D827" s="10">
        <v>45936</v>
      </c>
      <c r="E827" s="10">
        <v>45931</v>
      </c>
      <c r="F827" s="9" t="s">
        <v>1373</v>
      </c>
      <c r="G827" s="11">
        <v>1989.03</v>
      </c>
      <c r="H827" s="11">
        <v>35.049999999999997</v>
      </c>
      <c r="I827" s="9" t="b">
        <f>TRUE()</f>
        <v>1</v>
      </c>
      <c r="J827" s="9" t="s">
        <v>1361</v>
      </c>
      <c r="K827" s="11">
        <v>35.049999999999997</v>
      </c>
      <c r="L827" s="9" t="s">
        <v>18</v>
      </c>
      <c r="M827" s="9" t="str">
        <f>IFERROR(INDEX(T_CleanCustomers[Sales_Rep_ID],MATCH(B827,T_CleanCustomers[Customer_ID],0)),"Unmatched")</f>
        <v>REP011</v>
      </c>
      <c r="N827" s="9" t="str">
        <f>IFERROR(INDEX(T_CleanCustomers[Channel],MATCH(B827,T_CleanCustomers[Customer_ID],0)),"Unmatched")</f>
        <v>Referral</v>
      </c>
      <c r="O827" s="9" t="str">
        <f>IFERROR(INDEX(T_CleanCustomers[Product],MATCH(B827,T_CleanCustomers[Customer_ID],0)),"Unmatched")</f>
        <v>Toll Solution</v>
      </c>
      <c r="P827" s="9" t="str">
        <f>IFERROR(INDEX(T_CleanCustomers[Customer_Segment],MATCH(B827,T_CleanCustomers[Customer_ID],0)),"Unmatched")</f>
        <v>SME</v>
      </c>
    </row>
    <row r="828" spans="1:16" ht="15" customHeight="1" x14ac:dyDescent="0.2">
      <c r="A828" s="9" t="s">
        <v>2174</v>
      </c>
      <c r="B828" s="9" t="s">
        <v>103</v>
      </c>
      <c r="C828" s="9" t="b">
        <f>TRUE()</f>
        <v>1</v>
      </c>
      <c r="D828" s="10">
        <v>45936</v>
      </c>
      <c r="E828" s="10">
        <v>45931</v>
      </c>
      <c r="F828" s="9" t="s">
        <v>1373</v>
      </c>
      <c r="G828" s="11">
        <v>4551.6899999999996</v>
      </c>
      <c r="H828" s="11">
        <v>87.99</v>
      </c>
      <c r="I828" s="9" t="b">
        <f>TRUE()</f>
        <v>1</v>
      </c>
      <c r="J828" s="9" t="s">
        <v>1361</v>
      </c>
      <c r="K828" s="11">
        <v>87.99</v>
      </c>
      <c r="L828" s="9" t="s">
        <v>18</v>
      </c>
      <c r="M828" s="9" t="str">
        <f>IFERROR(INDEX(T_CleanCustomers[Sales_Rep_ID],MATCH(B828,T_CleanCustomers[Customer_ID],0)),"Unmatched")</f>
        <v>REP011</v>
      </c>
      <c r="N828" s="9" t="str">
        <f>IFERROR(INDEX(T_CleanCustomers[Channel],MATCH(B828,T_CleanCustomers[Customer_ID],0)),"Unmatched")</f>
        <v>Referral</v>
      </c>
      <c r="O828" s="9" t="str">
        <f>IFERROR(INDEX(T_CleanCustomers[Product],MATCH(B828,T_CleanCustomers[Customer_ID],0)),"Unmatched")</f>
        <v>Toll Solution</v>
      </c>
      <c r="P828" s="9" t="str">
        <f>IFERROR(INDEX(T_CleanCustomers[Customer_Segment],MATCH(B828,T_CleanCustomers[Customer_ID],0)),"Unmatched")</f>
        <v>SME</v>
      </c>
    </row>
    <row r="829" spans="1:16" ht="15" customHeight="1" x14ac:dyDescent="0.2">
      <c r="A829" s="9" t="s">
        <v>2175</v>
      </c>
      <c r="B829" s="9" t="s">
        <v>103</v>
      </c>
      <c r="C829" s="9" t="b">
        <f>TRUE()</f>
        <v>1</v>
      </c>
      <c r="D829" s="10">
        <v>45957</v>
      </c>
      <c r="E829" s="10">
        <v>45931</v>
      </c>
      <c r="F829" s="9" t="s">
        <v>1373</v>
      </c>
      <c r="G829" s="11">
        <v>5016.01</v>
      </c>
      <c r="H829" s="11">
        <v>83.04</v>
      </c>
      <c r="I829" s="9" t="b">
        <f>TRUE()</f>
        <v>1</v>
      </c>
      <c r="J829" s="9" t="s">
        <v>1361</v>
      </c>
      <c r="K829" s="11">
        <v>83.04</v>
      </c>
      <c r="L829" s="9" t="s">
        <v>18</v>
      </c>
      <c r="M829" s="9" t="str">
        <f>IFERROR(INDEX(T_CleanCustomers[Sales_Rep_ID],MATCH(B829,T_CleanCustomers[Customer_ID],0)),"Unmatched")</f>
        <v>REP011</v>
      </c>
      <c r="N829" s="9" t="str">
        <f>IFERROR(INDEX(T_CleanCustomers[Channel],MATCH(B829,T_CleanCustomers[Customer_ID],0)),"Unmatched")</f>
        <v>Referral</v>
      </c>
      <c r="O829" s="9" t="str">
        <f>IFERROR(INDEX(T_CleanCustomers[Product],MATCH(B829,T_CleanCustomers[Customer_ID],0)),"Unmatched")</f>
        <v>Toll Solution</v>
      </c>
      <c r="P829" s="9" t="str">
        <f>IFERROR(INDEX(T_CleanCustomers[Customer_Segment],MATCH(B829,T_CleanCustomers[Customer_ID],0)),"Unmatched")</f>
        <v>SME</v>
      </c>
    </row>
    <row r="830" spans="1:16" ht="15" customHeight="1" x14ac:dyDescent="0.2">
      <c r="A830" s="9" t="s">
        <v>2176</v>
      </c>
      <c r="B830" s="9" t="s">
        <v>103</v>
      </c>
      <c r="C830" s="9" t="b">
        <f>TRUE()</f>
        <v>1</v>
      </c>
      <c r="D830" s="10">
        <v>45964</v>
      </c>
      <c r="E830" s="10">
        <v>45962</v>
      </c>
      <c r="F830" s="9" t="s">
        <v>1373</v>
      </c>
      <c r="G830" s="11">
        <v>3758.57</v>
      </c>
      <c r="H830" s="11">
        <v>68.430000000000007</v>
      </c>
      <c r="I830" s="9" t="b">
        <f>TRUE()</f>
        <v>1</v>
      </c>
      <c r="J830" s="9" t="s">
        <v>1361</v>
      </c>
      <c r="K830" s="11">
        <v>68.430000000000007</v>
      </c>
      <c r="L830" s="9" t="s">
        <v>18</v>
      </c>
      <c r="M830" s="9" t="str">
        <f>IFERROR(INDEX(T_CleanCustomers[Sales_Rep_ID],MATCH(B830,T_CleanCustomers[Customer_ID],0)),"Unmatched")</f>
        <v>REP011</v>
      </c>
      <c r="N830" s="9" t="str">
        <f>IFERROR(INDEX(T_CleanCustomers[Channel],MATCH(B830,T_CleanCustomers[Customer_ID],0)),"Unmatched")</f>
        <v>Referral</v>
      </c>
      <c r="O830" s="9" t="str">
        <f>IFERROR(INDEX(T_CleanCustomers[Product],MATCH(B830,T_CleanCustomers[Customer_ID],0)),"Unmatched")</f>
        <v>Toll Solution</v>
      </c>
      <c r="P830" s="9" t="str">
        <f>IFERROR(INDEX(T_CleanCustomers[Customer_Segment],MATCH(B830,T_CleanCustomers[Customer_ID],0)),"Unmatched")</f>
        <v>SME</v>
      </c>
    </row>
    <row r="831" spans="1:16" ht="15" customHeight="1" x14ac:dyDescent="0.2">
      <c r="A831" s="9" t="s">
        <v>2177</v>
      </c>
      <c r="B831" s="9" t="s">
        <v>103</v>
      </c>
      <c r="C831" s="9" t="b">
        <f>TRUE()</f>
        <v>1</v>
      </c>
      <c r="D831" s="10">
        <v>45991</v>
      </c>
      <c r="E831" s="10">
        <v>45962</v>
      </c>
      <c r="F831" s="9" t="s">
        <v>1373</v>
      </c>
      <c r="G831" s="11">
        <v>2529.06</v>
      </c>
      <c r="H831" s="11">
        <v>40.770000000000003</v>
      </c>
      <c r="I831" s="9" t="b">
        <f>TRUE()</f>
        <v>1</v>
      </c>
      <c r="J831" s="9" t="s">
        <v>1361</v>
      </c>
      <c r="K831" s="11">
        <v>40.770000000000003</v>
      </c>
      <c r="L831" s="9" t="s">
        <v>18</v>
      </c>
      <c r="M831" s="9" t="str">
        <f>IFERROR(INDEX(T_CleanCustomers[Sales_Rep_ID],MATCH(B831,T_CleanCustomers[Customer_ID],0)),"Unmatched")</f>
        <v>REP011</v>
      </c>
      <c r="N831" s="9" t="str">
        <f>IFERROR(INDEX(T_CleanCustomers[Channel],MATCH(B831,T_CleanCustomers[Customer_ID],0)),"Unmatched")</f>
        <v>Referral</v>
      </c>
      <c r="O831" s="9" t="str">
        <f>IFERROR(INDEX(T_CleanCustomers[Product],MATCH(B831,T_CleanCustomers[Customer_ID],0)),"Unmatched")</f>
        <v>Toll Solution</v>
      </c>
      <c r="P831" s="9" t="str">
        <f>IFERROR(INDEX(T_CleanCustomers[Customer_Segment],MATCH(B831,T_CleanCustomers[Customer_ID],0)),"Unmatched")</f>
        <v>SME</v>
      </c>
    </row>
    <row r="832" spans="1:16" ht="15" customHeight="1" x14ac:dyDescent="0.2">
      <c r="A832" s="9" t="s">
        <v>2178</v>
      </c>
      <c r="B832" s="9" t="s">
        <v>103</v>
      </c>
      <c r="C832" s="9" t="b">
        <f>TRUE()</f>
        <v>1</v>
      </c>
      <c r="D832" s="10">
        <v>45964</v>
      </c>
      <c r="E832" s="10">
        <v>45962</v>
      </c>
      <c r="F832" s="9" t="s">
        <v>1373</v>
      </c>
      <c r="G832" s="11">
        <v>5074.5600000000004</v>
      </c>
      <c r="H832" s="11">
        <v>87.5</v>
      </c>
      <c r="I832" s="9" t="b">
        <f>TRUE()</f>
        <v>1</v>
      </c>
      <c r="J832" s="9" t="s">
        <v>1361</v>
      </c>
      <c r="K832" s="11">
        <v>87.5</v>
      </c>
      <c r="L832" s="9" t="s">
        <v>18</v>
      </c>
      <c r="M832" s="9" t="str">
        <f>IFERROR(INDEX(T_CleanCustomers[Sales_Rep_ID],MATCH(B832,T_CleanCustomers[Customer_ID],0)),"Unmatched")</f>
        <v>REP011</v>
      </c>
      <c r="N832" s="9" t="str">
        <f>IFERROR(INDEX(T_CleanCustomers[Channel],MATCH(B832,T_CleanCustomers[Customer_ID],0)),"Unmatched")</f>
        <v>Referral</v>
      </c>
      <c r="O832" s="9" t="str">
        <f>IFERROR(INDEX(T_CleanCustomers[Product],MATCH(B832,T_CleanCustomers[Customer_ID],0)),"Unmatched")</f>
        <v>Toll Solution</v>
      </c>
      <c r="P832" s="9" t="str">
        <f>IFERROR(INDEX(T_CleanCustomers[Customer_Segment],MATCH(B832,T_CleanCustomers[Customer_ID],0)),"Unmatched")</f>
        <v>SME</v>
      </c>
    </row>
    <row r="833" spans="1:16" ht="15" customHeight="1" x14ac:dyDescent="0.2">
      <c r="A833" s="9" t="s">
        <v>2179</v>
      </c>
      <c r="B833" s="9" t="s">
        <v>103</v>
      </c>
      <c r="C833" s="9" t="b">
        <f>TRUE()</f>
        <v>1</v>
      </c>
      <c r="D833" s="10">
        <v>45995</v>
      </c>
      <c r="E833" s="10">
        <v>45992</v>
      </c>
      <c r="F833" s="9" t="s">
        <v>1373</v>
      </c>
      <c r="G833" s="11">
        <v>3518.1</v>
      </c>
      <c r="H833" s="11">
        <v>71.22</v>
      </c>
      <c r="I833" s="9" t="b">
        <f>TRUE()</f>
        <v>1</v>
      </c>
      <c r="J833" s="9" t="s">
        <v>1361</v>
      </c>
      <c r="K833" s="11">
        <v>71.22</v>
      </c>
      <c r="L833" s="9" t="s">
        <v>18</v>
      </c>
      <c r="M833" s="9" t="str">
        <f>IFERROR(INDEX(T_CleanCustomers[Sales_Rep_ID],MATCH(B833,T_CleanCustomers[Customer_ID],0)),"Unmatched")</f>
        <v>REP011</v>
      </c>
      <c r="N833" s="9" t="str">
        <f>IFERROR(INDEX(T_CleanCustomers[Channel],MATCH(B833,T_CleanCustomers[Customer_ID],0)),"Unmatched")</f>
        <v>Referral</v>
      </c>
      <c r="O833" s="9" t="str">
        <f>IFERROR(INDEX(T_CleanCustomers[Product],MATCH(B833,T_CleanCustomers[Customer_ID],0)),"Unmatched")</f>
        <v>Toll Solution</v>
      </c>
      <c r="P833" s="9" t="str">
        <f>IFERROR(INDEX(T_CleanCustomers[Customer_Segment],MATCH(B833,T_CleanCustomers[Customer_ID],0)),"Unmatched")</f>
        <v>SME</v>
      </c>
    </row>
    <row r="834" spans="1:16" ht="15" customHeight="1" x14ac:dyDescent="0.2">
      <c r="A834" s="9" t="s">
        <v>2180</v>
      </c>
      <c r="B834" s="9" t="s">
        <v>1245</v>
      </c>
      <c r="C834" s="9" t="b">
        <f>TRUE()</f>
        <v>1</v>
      </c>
      <c r="D834" s="10">
        <v>45789</v>
      </c>
      <c r="E834" s="10">
        <v>45778</v>
      </c>
      <c r="F834" s="9" t="s">
        <v>1360</v>
      </c>
      <c r="G834" s="11">
        <v>1967.5</v>
      </c>
      <c r="H834" s="11">
        <v>43.57</v>
      </c>
      <c r="I834" s="9" t="b">
        <f>TRUE()</f>
        <v>1</v>
      </c>
      <c r="J834" s="9" t="s">
        <v>1361</v>
      </c>
      <c r="K834" s="11">
        <v>43.57</v>
      </c>
      <c r="L834" s="9" t="s">
        <v>21</v>
      </c>
      <c r="M834" s="9" t="str">
        <f>IFERROR(INDEX(T_CleanCustomers[Sales_Rep_ID],MATCH(B834,T_CleanCustomers[Customer_ID],0)),"Unmatched")</f>
        <v>REP008</v>
      </c>
      <c r="N834" s="9" t="str">
        <f>IFERROR(INDEX(T_CleanCustomers[Channel],MATCH(B834,T_CleanCustomers[Customer_ID],0)),"Unmatched")</f>
        <v>Digital</v>
      </c>
      <c r="O834" s="9" t="str">
        <f>IFERROR(INDEX(T_CleanCustomers[Product],MATCH(B834,T_CleanCustomers[Customer_ID],0)),"Unmatched")</f>
        <v>Fuel Card</v>
      </c>
      <c r="P834" s="9" t="str">
        <f>IFERROR(INDEX(T_CleanCustomers[Customer_Segment],MATCH(B834,T_CleanCustomers[Customer_ID],0)),"Unmatched")</f>
        <v>SME</v>
      </c>
    </row>
    <row r="835" spans="1:16" ht="15" customHeight="1" x14ac:dyDescent="0.2">
      <c r="A835" s="9" t="s">
        <v>2181</v>
      </c>
      <c r="B835" s="9" t="s">
        <v>1245</v>
      </c>
      <c r="C835" s="9" t="b">
        <f>TRUE()</f>
        <v>1</v>
      </c>
      <c r="D835" s="10">
        <v>45811</v>
      </c>
      <c r="E835" s="10">
        <v>45809</v>
      </c>
      <c r="F835" s="9" t="s">
        <v>1360</v>
      </c>
      <c r="G835" s="11">
        <v>3525.43</v>
      </c>
      <c r="H835" s="11">
        <v>93.07</v>
      </c>
      <c r="I835" s="9" t="b">
        <f>TRUE()</f>
        <v>1</v>
      </c>
      <c r="J835" s="9" t="s">
        <v>1361</v>
      </c>
      <c r="K835" s="11">
        <v>93.07</v>
      </c>
      <c r="L835" s="9" t="s">
        <v>21</v>
      </c>
      <c r="M835" s="9" t="str">
        <f>IFERROR(INDEX(T_CleanCustomers[Sales_Rep_ID],MATCH(B835,T_CleanCustomers[Customer_ID],0)),"Unmatched")</f>
        <v>REP008</v>
      </c>
      <c r="N835" s="9" t="str">
        <f>IFERROR(INDEX(T_CleanCustomers[Channel],MATCH(B835,T_CleanCustomers[Customer_ID],0)),"Unmatched")</f>
        <v>Digital</v>
      </c>
      <c r="O835" s="9" t="str">
        <f>IFERROR(INDEX(T_CleanCustomers[Product],MATCH(B835,T_CleanCustomers[Customer_ID],0)),"Unmatched")</f>
        <v>Fuel Card</v>
      </c>
      <c r="P835" s="9" t="str">
        <f>IFERROR(INDEX(T_CleanCustomers[Customer_Segment],MATCH(B835,T_CleanCustomers[Customer_ID],0)),"Unmatched")</f>
        <v>SME</v>
      </c>
    </row>
    <row r="836" spans="1:16" ht="15" customHeight="1" x14ac:dyDescent="0.2">
      <c r="A836" s="9" t="s">
        <v>2182</v>
      </c>
      <c r="B836" s="9" t="s">
        <v>1245</v>
      </c>
      <c r="C836" s="9" t="b">
        <f>TRUE()</f>
        <v>1</v>
      </c>
      <c r="D836" s="10">
        <v>45844</v>
      </c>
      <c r="E836" s="10">
        <v>45839</v>
      </c>
      <c r="F836" s="9" t="s">
        <v>1360</v>
      </c>
      <c r="G836" s="11">
        <v>3085.42</v>
      </c>
      <c r="H836" s="11">
        <v>87.8</v>
      </c>
      <c r="I836" s="9" t="b">
        <f>TRUE()</f>
        <v>1</v>
      </c>
      <c r="J836" s="9" t="s">
        <v>1361</v>
      </c>
      <c r="K836" s="11">
        <v>87.8</v>
      </c>
      <c r="L836" s="9" t="s">
        <v>21</v>
      </c>
      <c r="M836" s="9" t="str">
        <f>IFERROR(INDEX(T_CleanCustomers[Sales_Rep_ID],MATCH(B836,T_CleanCustomers[Customer_ID],0)),"Unmatched")</f>
        <v>REP008</v>
      </c>
      <c r="N836" s="9" t="str">
        <f>IFERROR(INDEX(T_CleanCustomers[Channel],MATCH(B836,T_CleanCustomers[Customer_ID],0)),"Unmatched")</f>
        <v>Digital</v>
      </c>
      <c r="O836" s="9" t="str">
        <f>IFERROR(INDEX(T_CleanCustomers[Product],MATCH(B836,T_CleanCustomers[Customer_ID],0)),"Unmatched")</f>
        <v>Fuel Card</v>
      </c>
      <c r="P836" s="9" t="str">
        <f>IFERROR(INDEX(T_CleanCustomers[Customer_Segment],MATCH(B836,T_CleanCustomers[Customer_ID],0)),"Unmatched")</f>
        <v>SME</v>
      </c>
    </row>
    <row r="837" spans="1:16" ht="15" customHeight="1" x14ac:dyDescent="0.2">
      <c r="A837" s="9" t="s">
        <v>2183</v>
      </c>
      <c r="B837" s="9" t="s">
        <v>1245</v>
      </c>
      <c r="C837" s="9" t="b">
        <f>TRUE()</f>
        <v>1</v>
      </c>
      <c r="D837" s="10">
        <v>45866</v>
      </c>
      <c r="E837" s="10">
        <v>45839</v>
      </c>
      <c r="F837" s="9" t="s">
        <v>1360</v>
      </c>
      <c r="G837" s="11">
        <v>2004.02</v>
      </c>
      <c r="H837" s="11">
        <v>56.63</v>
      </c>
      <c r="I837" s="9" t="b">
        <f>TRUE()</f>
        <v>1</v>
      </c>
      <c r="J837" s="9" t="s">
        <v>1361</v>
      </c>
      <c r="K837" s="11">
        <v>56.63</v>
      </c>
      <c r="L837" s="9" t="s">
        <v>21</v>
      </c>
      <c r="M837" s="9" t="str">
        <f>IFERROR(INDEX(T_CleanCustomers[Sales_Rep_ID],MATCH(B837,T_CleanCustomers[Customer_ID],0)),"Unmatched")</f>
        <v>REP008</v>
      </c>
      <c r="N837" s="9" t="str">
        <f>IFERROR(INDEX(T_CleanCustomers[Channel],MATCH(B837,T_CleanCustomers[Customer_ID],0)),"Unmatched")</f>
        <v>Digital</v>
      </c>
      <c r="O837" s="9" t="str">
        <f>IFERROR(INDEX(T_CleanCustomers[Product],MATCH(B837,T_CleanCustomers[Customer_ID],0)),"Unmatched")</f>
        <v>Fuel Card</v>
      </c>
      <c r="P837" s="9" t="str">
        <f>IFERROR(INDEX(T_CleanCustomers[Customer_Segment],MATCH(B837,T_CleanCustomers[Customer_ID],0)),"Unmatched")</f>
        <v>SME</v>
      </c>
    </row>
    <row r="838" spans="1:16" ht="15" customHeight="1" x14ac:dyDescent="0.2">
      <c r="A838" s="9" t="s">
        <v>2184</v>
      </c>
      <c r="B838" s="9" t="s">
        <v>1245</v>
      </c>
      <c r="C838" s="9" t="b">
        <f>TRUE()</f>
        <v>1</v>
      </c>
      <c r="D838" s="10">
        <v>45890</v>
      </c>
      <c r="E838" s="10">
        <v>45870</v>
      </c>
      <c r="F838" s="9" t="s">
        <v>1360</v>
      </c>
      <c r="G838" s="11">
        <v>2394.54</v>
      </c>
      <c r="H838" s="11">
        <v>62.67</v>
      </c>
      <c r="I838" s="9" t="b">
        <f>TRUE()</f>
        <v>1</v>
      </c>
      <c r="J838" s="9" t="s">
        <v>1361</v>
      </c>
      <c r="K838" s="11">
        <v>62.67</v>
      </c>
      <c r="L838" s="9" t="s">
        <v>21</v>
      </c>
      <c r="M838" s="9" t="str">
        <f>IFERROR(INDEX(T_CleanCustomers[Sales_Rep_ID],MATCH(B838,T_CleanCustomers[Customer_ID],0)),"Unmatched")</f>
        <v>REP008</v>
      </c>
      <c r="N838" s="9" t="str">
        <f>IFERROR(INDEX(T_CleanCustomers[Channel],MATCH(B838,T_CleanCustomers[Customer_ID],0)),"Unmatched")</f>
        <v>Digital</v>
      </c>
      <c r="O838" s="9" t="str">
        <f>IFERROR(INDEX(T_CleanCustomers[Product],MATCH(B838,T_CleanCustomers[Customer_ID],0)),"Unmatched")</f>
        <v>Fuel Card</v>
      </c>
      <c r="P838" s="9" t="str">
        <f>IFERROR(INDEX(T_CleanCustomers[Customer_Segment],MATCH(B838,T_CleanCustomers[Customer_ID],0)),"Unmatched")</f>
        <v>SME</v>
      </c>
    </row>
    <row r="839" spans="1:16" ht="15" customHeight="1" x14ac:dyDescent="0.2">
      <c r="A839" s="9" t="s">
        <v>2185</v>
      </c>
      <c r="B839" s="9" t="s">
        <v>1245</v>
      </c>
      <c r="C839" s="9" t="b">
        <f>TRUE()</f>
        <v>1</v>
      </c>
      <c r="D839" s="10">
        <v>45876</v>
      </c>
      <c r="E839" s="10">
        <v>45870</v>
      </c>
      <c r="F839" s="9" t="s">
        <v>1360</v>
      </c>
      <c r="G839" s="11">
        <v>4884.1899999999996</v>
      </c>
      <c r="H839" s="11">
        <v>104.62</v>
      </c>
      <c r="I839" s="9" t="b">
        <f>TRUE()</f>
        <v>1</v>
      </c>
      <c r="J839" s="9" t="s">
        <v>1361</v>
      </c>
      <c r="K839" s="11">
        <v>104.62</v>
      </c>
      <c r="L839" s="9" t="s">
        <v>21</v>
      </c>
      <c r="M839" s="9" t="str">
        <f>IFERROR(INDEX(T_CleanCustomers[Sales_Rep_ID],MATCH(B839,T_CleanCustomers[Customer_ID],0)),"Unmatched")</f>
        <v>REP008</v>
      </c>
      <c r="N839" s="9" t="str">
        <f>IFERROR(INDEX(T_CleanCustomers[Channel],MATCH(B839,T_CleanCustomers[Customer_ID],0)),"Unmatched")</f>
        <v>Digital</v>
      </c>
      <c r="O839" s="9" t="str">
        <f>IFERROR(INDEX(T_CleanCustomers[Product],MATCH(B839,T_CleanCustomers[Customer_ID],0)),"Unmatched")</f>
        <v>Fuel Card</v>
      </c>
      <c r="P839" s="9" t="str">
        <f>IFERROR(INDEX(T_CleanCustomers[Customer_Segment],MATCH(B839,T_CleanCustomers[Customer_ID],0)),"Unmatched")</f>
        <v>SME</v>
      </c>
    </row>
    <row r="840" spans="1:16" ht="15" customHeight="1" x14ac:dyDescent="0.2">
      <c r="A840" s="9" t="s">
        <v>2186</v>
      </c>
      <c r="B840" s="9" t="s">
        <v>1245</v>
      </c>
      <c r="C840" s="9" t="b">
        <f>TRUE()</f>
        <v>1</v>
      </c>
      <c r="D840" s="10">
        <v>45894</v>
      </c>
      <c r="E840" s="10">
        <v>45870</v>
      </c>
      <c r="F840" s="9" t="s">
        <v>1360</v>
      </c>
      <c r="G840" s="11">
        <v>2365.87</v>
      </c>
      <c r="H840" s="11">
        <v>59.97</v>
      </c>
      <c r="I840" s="9" t="b">
        <f>TRUE()</f>
        <v>1</v>
      </c>
      <c r="J840" s="9" t="s">
        <v>1361</v>
      </c>
      <c r="K840" s="11">
        <v>59.97</v>
      </c>
      <c r="L840" s="9" t="s">
        <v>21</v>
      </c>
      <c r="M840" s="9" t="str">
        <f>IFERROR(INDEX(T_CleanCustomers[Sales_Rep_ID],MATCH(B840,T_CleanCustomers[Customer_ID],0)),"Unmatched")</f>
        <v>REP008</v>
      </c>
      <c r="N840" s="9" t="str">
        <f>IFERROR(INDEX(T_CleanCustomers[Channel],MATCH(B840,T_CleanCustomers[Customer_ID],0)),"Unmatched")</f>
        <v>Digital</v>
      </c>
      <c r="O840" s="9" t="str">
        <f>IFERROR(INDEX(T_CleanCustomers[Product],MATCH(B840,T_CleanCustomers[Customer_ID],0)),"Unmatched")</f>
        <v>Fuel Card</v>
      </c>
      <c r="P840" s="9" t="str">
        <f>IFERROR(INDEX(T_CleanCustomers[Customer_Segment],MATCH(B840,T_CleanCustomers[Customer_ID],0)),"Unmatched")</f>
        <v>SME</v>
      </c>
    </row>
    <row r="841" spans="1:16" ht="15" customHeight="1" x14ac:dyDescent="0.2">
      <c r="A841" s="9" t="s">
        <v>2187</v>
      </c>
      <c r="B841" s="9" t="s">
        <v>1245</v>
      </c>
      <c r="C841" s="9" t="b">
        <f>TRUE()</f>
        <v>1</v>
      </c>
      <c r="D841" s="10">
        <v>45915</v>
      </c>
      <c r="E841" s="10">
        <v>45901</v>
      </c>
      <c r="F841" s="9" t="s">
        <v>1360</v>
      </c>
      <c r="G841" s="11">
        <v>2224.0100000000002</v>
      </c>
      <c r="H841" s="11">
        <v>56.25</v>
      </c>
      <c r="I841" s="9" t="b">
        <f>TRUE()</f>
        <v>1</v>
      </c>
      <c r="J841" s="9" t="s">
        <v>1361</v>
      </c>
      <c r="K841" s="11">
        <v>56.25</v>
      </c>
      <c r="L841" s="9" t="s">
        <v>21</v>
      </c>
      <c r="M841" s="9" t="str">
        <f>IFERROR(INDEX(T_CleanCustomers[Sales_Rep_ID],MATCH(B841,T_CleanCustomers[Customer_ID],0)),"Unmatched")</f>
        <v>REP008</v>
      </c>
      <c r="N841" s="9" t="str">
        <f>IFERROR(INDEX(T_CleanCustomers[Channel],MATCH(B841,T_CleanCustomers[Customer_ID],0)),"Unmatched")</f>
        <v>Digital</v>
      </c>
      <c r="O841" s="9" t="str">
        <f>IFERROR(INDEX(T_CleanCustomers[Product],MATCH(B841,T_CleanCustomers[Customer_ID],0)),"Unmatched")</f>
        <v>Fuel Card</v>
      </c>
      <c r="P841" s="9" t="str">
        <f>IFERROR(INDEX(T_CleanCustomers[Customer_Segment],MATCH(B841,T_CleanCustomers[Customer_ID],0)),"Unmatched")</f>
        <v>SME</v>
      </c>
    </row>
    <row r="842" spans="1:16" ht="15" customHeight="1" x14ac:dyDescent="0.2">
      <c r="A842" s="9" t="s">
        <v>2188</v>
      </c>
      <c r="B842" s="9" t="s">
        <v>1245</v>
      </c>
      <c r="C842" s="9" t="b">
        <f>TRUE()</f>
        <v>1</v>
      </c>
      <c r="D842" s="10">
        <v>45950</v>
      </c>
      <c r="E842" s="10">
        <v>45931</v>
      </c>
      <c r="F842" s="9" t="s">
        <v>1360</v>
      </c>
      <c r="G842" s="11">
        <v>5185.6499999999996</v>
      </c>
      <c r="H842" s="11">
        <v>125.62</v>
      </c>
      <c r="I842" s="9" t="b">
        <f>TRUE()</f>
        <v>1</v>
      </c>
      <c r="J842" s="9" t="s">
        <v>1361</v>
      </c>
      <c r="K842" s="11">
        <v>125.62</v>
      </c>
      <c r="L842" s="9" t="s">
        <v>21</v>
      </c>
      <c r="M842" s="9" t="str">
        <f>IFERROR(INDEX(T_CleanCustomers[Sales_Rep_ID],MATCH(B842,T_CleanCustomers[Customer_ID],0)),"Unmatched")</f>
        <v>REP008</v>
      </c>
      <c r="N842" s="9" t="str">
        <f>IFERROR(INDEX(T_CleanCustomers[Channel],MATCH(B842,T_CleanCustomers[Customer_ID],0)),"Unmatched")</f>
        <v>Digital</v>
      </c>
      <c r="O842" s="9" t="str">
        <f>IFERROR(INDEX(T_CleanCustomers[Product],MATCH(B842,T_CleanCustomers[Customer_ID],0)),"Unmatched")</f>
        <v>Fuel Card</v>
      </c>
      <c r="P842" s="9" t="str">
        <f>IFERROR(INDEX(T_CleanCustomers[Customer_Segment],MATCH(B842,T_CleanCustomers[Customer_ID],0)),"Unmatched")</f>
        <v>SME</v>
      </c>
    </row>
    <row r="843" spans="1:16" ht="15" customHeight="1" x14ac:dyDescent="0.2">
      <c r="A843" s="9" t="s">
        <v>2189</v>
      </c>
      <c r="B843" s="9" t="s">
        <v>1245</v>
      </c>
      <c r="C843" s="9" t="b">
        <f>TRUE()</f>
        <v>1</v>
      </c>
      <c r="D843" s="10">
        <v>45959</v>
      </c>
      <c r="E843" s="10">
        <v>45931</v>
      </c>
      <c r="F843" s="9" t="s">
        <v>1360</v>
      </c>
      <c r="G843" s="11">
        <v>2498.9299999999998</v>
      </c>
      <c r="H843" s="11">
        <v>64.59</v>
      </c>
      <c r="I843" s="9" t="b">
        <f>TRUE()</f>
        <v>1</v>
      </c>
      <c r="J843" s="9" t="s">
        <v>1361</v>
      </c>
      <c r="K843" s="11">
        <v>64.59</v>
      </c>
      <c r="L843" s="9" t="s">
        <v>21</v>
      </c>
      <c r="M843" s="9" t="str">
        <f>IFERROR(INDEX(T_CleanCustomers[Sales_Rep_ID],MATCH(B843,T_CleanCustomers[Customer_ID],0)),"Unmatched")</f>
        <v>REP008</v>
      </c>
      <c r="N843" s="9" t="str">
        <f>IFERROR(INDEX(T_CleanCustomers[Channel],MATCH(B843,T_CleanCustomers[Customer_ID],0)),"Unmatched")</f>
        <v>Digital</v>
      </c>
      <c r="O843" s="9" t="str">
        <f>IFERROR(INDEX(T_CleanCustomers[Product],MATCH(B843,T_CleanCustomers[Customer_ID],0)),"Unmatched")</f>
        <v>Fuel Card</v>
      </c>
      <c r="P843" s="9" t="str">
        <f>IFERROR(INDEX(T_CleanCustomers[Customer_Segment],MATCH(B843,T_CleanCustomers[Customer_ID],0)),"Unmatched")</f>
        <v>SME</v>
      </c>
    </row>
    <row r="844" spans="1:16" ht="15" customHeight="1" x14ac:dyDescent="0.2">
      <c r="A844" s="9" t="s">
        <v>2190</v>
      </c>
      <c r="B844" s="9" t="s">
        <v>1245</v>
      </c>
      <c r="C844" s="9" t="b">
        <f>TRUE()</f>
        <v>1</v>
      </c>
      <c r="D844" s="10">
        <v>45939</v>
      </c>
      <c r="E844" s="10">
        <v>45931</v>
      </c>
      <c r="F844" s="9" t="s">
        <v>1360</v>
      </c>
      <c r="G844" s="11">
        <v>2907.67</v>
      </c>
      <c r="H844" s="11">
        <v>62.52</v>
      </c>
      <c r="I844" s="9" t="b">
        <f>TRUE()</f>
        <v>1</v>
      </c>
      <c r="J844" s="9" t="s">
        <v>1361</v>
      </c>
      <c r="K844" s="11">
        <v>62.52</v>
      </c>
      <c r="L844" s="9" t="s">
        <v>21</v>
      </c>
      <c r="M844" s="9" t="str">
        <f>IFERROR(INDEX(T_CleanCustomers[Sales_Rep_ID],MATCH(B844,T_CleanCustomers[Customer_ID],0)),"Unmatched")</f>
        <v>REP008</v>
      </c>
      <c r="N844" s="9" t="str">
        <f>IFERROR(INDEX(T_CleanCustomers[Channel],MATCH(B844,T_CleanCustomers[Customer_ID],0)),"Unmatched")</f>
        <v>Digital</v>
      </c>
      <c r="O844" s="9" t="str">
        <f>IFERROR(INDEX(T_CleanCustomers[Product],MATCH(B844,T_CleanCustomers[Customer_ID],0)),"Unmatched")</f>
        <v>Fuel Card</v>
      </c>
      <c r="P844" s="9" t="str">
        <f>IFERROR(INDEX(T_CleanCustomers[Customer_Segment],MATCH(B844,T_CleanCustomers[Customer_ID],0)),"Unmatched")</f>
        <v>SME</v>
      </c>
    </row>
    <row r="845" spans="1:16" ht="15" customHeight="1" x14ac:dyDescent="0.2">
      <c r="A845" s="9" t="s">
        <v>2191</v>
      </c>
      <c r="B845" s="9" t="s">
        <v>1245</v>
      </c>
      <c r="C845" s="9" t="b">
        <f>TRUE()</f>
        <v>1</v>
      </c>
      <c r="D845" s="10">
        <v>45971</v>
      </c>
      <c r="E845" s="10">
        <v>45962</v>
      </c>
      <c r="F845" s="9" t="s">
        <v>1360</v>
      </c>
      <c r="G845" s="11">
        <v>3928.9</v>
      </c>
      <c r="H845" s="11">
        <v>97.9</v>
      </c>
      <c r="I845" s="9" t="b">
        <f>TRUE()</f>
        <v>1</v>
      </c>
      <c r="J845" s="9" t="s">
        <v>1361</v>
      </c>
      <c r="K845" s="11">
        <v>97.9</v>
      </c>
      <c r="L845" s="9" t="s">
        <v>21</v>
      </c>
      <c r="M845" s="9" t="str">
        <f>IFERROR(INDEX(T_CleanCustomers[Sales_Rep_ID],MATCH(B845,T_CleanCustomers[Customer_ID],0)),"Unmatched")</f>
        <v>REP008</v>
      </c>
      <c r="N845" s="9" t="str">
        <f>IFERROR(INDEX(T_CleanCustomers[Channel],MATCH(B845,T_CleanCustomers[Customer_ID],0)),"Unmatched")</f>
        <v>Digital</v>
      </c>
      <c r="O845" s="9" t="str">
        <f>IFERROR(INDEX(T_CleanCustomers[Product],MATCH(B845,T_CleanCustomers[Customer_ID],0)),"Unmatched")</f>
        <v>Fuel Card</v>
      </c>
      <c r="P845" s="9" t="str">
        <f>IFERROR(INDEX(T_CleanCustomers[Customer_Segment],MATCH(B845,T_CleanCustomers[Customer_ID],0)),"Unmatched")</f>
        <v>SME</v>
      </c>
    </row>
    <row r="846" spans="1:16" ht="15" customHeight="1" x14ac:dyDescent="0.2">
      <c r="A846" s="9" t="s">
        <v>2192</v>
      </c>
      <c r="B846" s="9" t="s">
        <v>1245</v>
      </c>
      <c r="C846" s="9" t="b">
        <f>TRUE()</f>
        <v>1</v>
      </c>
      <c r="D846" s="10">
        <v>45980</v>
      </c>
      <c r="E846" s="10">
        <v>45962</v>
      </c>
      <c r="F846" s="9" t="s">
        <v>1360</v>
      </c>
      <c r="G846" s="11">
        <v>5175.8100000000004</v>
      </c>
      <c r="H846" s="11">
        <v>111.8</v>
      </c>
      <c r="I846" s="9" t="b">
        <f>TRUE()</f>
        <v>1</v>
      </c>
      <c r="J846" s="9" t="s">
        <v>1361</v>
      </c>
      <c r="K846" s="11">
        <v>111.8</v>
      </c>
      <c r="L846" s="9" t="s">
        <v>21</v>
      </c>
      <c r="M846" s="9" t="str">
        <f>IFERROR(INDEX(T_CleanCustomers[Sales_Rep_ID],MATCH(B846,T_CleanCustomers[Customer_ID],0)),"Unmatched")</f>
        <v>REP008</v>
      </c>
      <c r="N846" s="9" t="str">
        <f>IFERROR(INDEX(T_CleanCustomers[Channel],MATCH(B846,T_CleanCustomers[Customer_ID],0)),"Unmatched")</f>
        <v>Digital</v>
      </c>
      <c r="O846" s="9" t="str">
        <f>IFERROR(INDEX(T_CleanCustomers[Product],MATCH(B846,T_CleanCustomers[Customer_ID],0)),"Unmatched")</f>
        <v>Fuel Card</v>
      </c>
      <c r="P846" s="9" t="str">
        <f>IFERROR(INDEX(T_CleanCustomers[Customer_Segment],MATCH(B846,T_CleanCustomers[Customer_ID],0)),"Unmatched")</f>
        <v>SME</v>
      </c>
    </row>
    <row r="847" spans="1:16" ht="15" customHeight="1" x14ac:dyDescent="0.2">
      <c r="A847" s="9" t="s">
        <v>2193</v>
      </c>
      <c r="B847" s="9" t="s">
        <v>1245</v>
      </c>
      <c r="C847" s="9" t="b">
        <f>TRUE()</f>
        <v>1</v>
      </c>
      <c r="D847" s="10">
        <v>46008</v>
      </c>
      <c r="E847" s="10">
        <v>45992</v>
      </c>
      <c r="F847" s="9" t="s">
        <v>1360</v>
      </c>
      <c r="G847" s="11">
        <v>4551.57</v>
      </c>
      <c r="H847" s="11">
        <v>130.83000000000001</v>
      </c>
      <c r="I847" s="9" t="b">
        <f>TRUE()</f>
        <v>1</v>
      </c>
      <c r="J847" s="9" t="s">
        <v>1361</v>
      </c>
      <c r="K847" s="11">
        <v>130.83000000000001</v>
      </c>
      <c r="L847" s="9" t="s">
        <v>21</v>
      </c>
      <c r="M847" s="9" t="str">
        <f>IFERROR(INDEX(T_CleanCustomers[Sales_Rep_ID],MATCH(B847,T_CleanCustomers[Customer_ID],0)),"Unmatched")</f>
        <v>REP008</v>
      </c>
      <c r="N847" s="9" t="str">
        <f>IFERROR(INDEX(T_CleanCustomers[Channel],MATCH(B847,T_CleanCustomers[Customer_ID],0)),"Unmatched")</f>
        <v>Digital</v>
      </c>
      <c r="O847" s="9" t="str">
        <f>IFERROR(INDEX(T_CleanCustomers[Product],MATCH(B847,T_CleanCustomers[Customer_ID],0)),"Unmatched")</f>
        <v>Fuel Card</v>
      </c>
      <c r="P847" s="9" t="str">
        <f>IFERROR(INDEX(T_CleanCustomers[Customer_Segment],MATCH(B847,T_CleanCustomers[Customer_ID],0)),"Unmatched")</f>
        <v>SME</v>
      </c>
    </row>
    <row r="848" spans="1:16" ht="15" customHeight="1" x14ac:dyDescent="0.2">
      <c r="A848" s="9" t="s">
        <v>2194</v>
      </c>
      <c r="B848" s="9" t="s">
        <v>1245</v>
      </c>
      <c r="C848" s="9" t="b">
        <f>TRUE()</f>
        <v>1</v>
      </c>
      <c r="D848" s="10">
        <v>45995</v>
      </c>
      <c r="E848" s="10">
        <v>45992</v>
      </c>
      <c r="F848" s="9" t="s">
        <v>1360</v>
      </c>
      <c r="G848" s="11">
        <v>3161.77</v>
      </c>
      <c r="H848" s="11">
        <v>78.19</v>
      </c>
      <c r="I848" s="9" t="b">
        <f>TRUE()</f>
        <v>1</v>
      </c>
      <c r="J848" s="9" t="s">
        <v>1361</v>
      </c>
      <c r="K848" s="11">
        <v>78.19</v>
      </c>
      <c r="L848" s="9" t="s">
        <v>21</v>
      </c>
      <c r="M848" s="9" t="str">
        <f>IFERROR(INDEX(T_CleanCustomers[Sales_Rep_ID],MATCH(B848,T_CleanCustomers[Customer_ID],0)),"Unmatched")</f>
        <v>REP008</v>
      </c>
      <c r="N848" s="9" t="str">
        <f>IFERROR(INDEX(T_CleanCustomers[Channel],MATCH(B848,T_CleanCustomers[Customer_ID],0)),"Unmatched")</f>
        <v>Digital</v>
      </c>
      <c r="O848" s="9" t="str">
        <f>IFERROR(INDEX(T_CleanCustomers[Product],MATCH(B848,T_CleanCustomers[Customer_ID],0)),"Unmatched")</f>
        <v>Fuel Card</v>
      </c>
      <c r="P848" s="9" t="str">
        <f>IFERROR(INDEX(T_CleanCustomers[Customer_Segment],MATCH(B848,T_CleanCustomers[Customer_ID],0)),"Unmatched")</f>
        <v>SME</v>
      </c>
    </row>
    <row r="849" spans="1:16" ht="15" customHeight="1" x14ac:dyDescent="0.2">
      <c r="A849" s="9" t="s">
        <v>2195</v>
      </c>
      <c r="B849" s="9" t="s">
        <v>1246</v>
      </c>
      <c r="C849" s="9" t="b">
        <f>TRUE()</f>
        <v>1</v>
      </c>
      <c r="D849" s="10">
        <v>45768</v>
      </c>
      <c r="E849" s="10">
        <v>45748</v>
      </c>
      <c r="F849" s="9" t="s">
        <v>1423</v>
      </c>
      <c r="G849" s="11">
        <v>4547.1400000000003</v>
      </c>
      <c r="H849" s="11">
        <v>130.25</v>
      </c>
      <c r="I849" s="9" t="b">
        <f>TRUE()</f>
        <v>1</v>
      </c>
      <c r="J849" s="9" t="s">
        <v>1361</v>
      </c>
      <c r="K849" s="11">
        <v>130.25</v>
      </c>
      <c r="L849" s="9" t="s">
        <v>22</v>
      </c>
      <c r="M849" s="9" t="str">
        <f>IFERROR(INDEX(T_CleanCustomers[Sales_Rep_ID],MATCH(B849,T_CleanCustomers[Customer_ID],0)),"Unmatched")</f>
        <v>REP006</v>
      </c>
      <c r="N849" s="9" t="str">
        <f>IFERROR(INDEX(T_CleanCustomers[Channel],MATCH(B849,T_CleanCustomers[Customer_ID],0)),"Unmatched")</f>
        <v>Referral</v>
      </c>
      <c r="O849" s="9" t="str">
        <f>IFERROR(INDEX(T_CleanCustomers[Product],MATCH(B849,T_CleanCustomers[Customer_ID],0)),"Unmatched")</f>
        <v>EV Charge Card</v>
      </c>
      <c r="P849" s="9" t="str">
        <f>IFERROR(INDEX(T_CleanCustomers[Customer_Segment],MATCH(B849,T_CleanCustomers[Customer_ID],0)),"Unmatched")</f>
        <v>SME</v>
      </c>
    </row>
    <row r="850" spans="1:16" ht="15" customHeight="1" x14ac:dyDescent="0.2">
      <c r="A850" s="9" t="s">
        <v>2196</v>
      </c>
      <c r="B850" s="9" t="s">
        <v>1246</v>
      </c>
      <c r="C850" s="9" t="b">
        <f>TRUE()</f>
        <v>1</v>
      </c>
      <c r="D850" s="10">
        <v>45768</v>
      </c>
      <c r="E850" s="10">
        <v>45748</v>
      </c>
      <c r="F850" s="9" t="s">
        <v>1423</v>
      </c>
      <c r="G850" s="11">
        <v>2009</v>
      </c>
      <c r="H850" s="11">
        <v>58.2</v>
      </c>
      <c r="I850" s="9" t="b">
        <f>TRUE()</f>
        <v>1</v>
      </c>
      <c r="J850" s="9" t="s">
        <v>1361</v>
      </c>
      <c r="K850" s="11">
        <v>58.2</v>
      </c>
      <c r="L850" s="9" t="s">
        <v>22</v>
      </c>
      <c r="M850" s="9" t="str">
        <f>IFERROR(INDEX(T_CleanCustomers[Sales_Rep_ID],MATCH(B850,T_CleanCustomers[Customer_ID],0)),"Unmatched")</f>
        <v>REP006</v>
      </c>
      <c r="N850" s="9" t="str">
        <f>IFERROR(INDEX(T_CleanCustomers[Channel],MATCH(B850,T_CleanCustomers[Customer_ID],0)),"Unmatched")</f>
        <v>Referral</v>
      </c>
      <c r="O850" s="9" t="str">
        <f>IFERROR(INDEX(T_CleanCustomers[Product],MATCH(B850,T_CleanCustomers[Customer_ID],0)),"Unmatched")</f>
        <v>EV Charge Card</v>
      </c>
      <c r="P850" s="9" t="str">
        <f>IFERROR(INDEX(T_CleanCustomers[Customer_Segment],MATCH(B850,T_CleanCustomers[Customer_ID],0)),"Unmatched")</f>
        <v>SME</v>
      </c>
    </row>
    <row r="851" spans="1:16" ht="15" customHeight="1" x14ac:dyDescent="0.2">
      <c r="A851" s="9" t="s">
        <v>2197</v>
      </c>
      <c r="B851" s="9" t="s">
        <v>1246</v>
      </c>
      <c r="C851" s="9" t="b">
        <f>TRUE()</f>
        <v>1</v>
      </c>
      <c r="D851" s="10">
        <v>45774</v>
      </c>
      <c r="E851" s="10">
        <v>45748</v>
      </c>
      <c r="F851" s="9" t="s">
        <v>1423</v>
      </c>
      <c r="G851" s="11">
        <v>3728.03</v>
      </c>
      <c r="H851" s="11">
        <v>113.39</v>
      </c>
      <c r="I851" s="9" t="b">
        <f>TRUE()</f>
        <v>1</v>
      </c>
      <c r="J851" s="9" t="s">
        <v>1361</v>
      </c>
      <c r="K851" s="11">
        <v>113.39</v>
      </c>
      <c r="L851" s="9" t="s">
        <v>22</v>
      </c>
      <c r="M851" s="9" t="str">
        <f>IFERROR(INDEX(T_CleanCustomers[Sales_Rep_ID],MATCH(B851,T_CleanCustomers[Customer_ID],0)),"Unmatched")</f>
        <v>REP006</v>
      </c>
      <c r="N851" s="9" t="str">
        <f>IFERROR(INDEX(T_CleanCustomers[Channel],MATCH(B851,T_CleanCustomers[Customer_ID],0)),"Unmatched")</f>
        <v>Referral</v>
      </c>
      <c r="O851" s="9" t="str">
        <f>IFERROR(INDEX(T_CleanCustomers[Product],MATCH(B851,T_CleanCustomers[Customer_ID],0)),"Unmatched")</f>
        <v>EV Charge Card</v>
      </c>
      <c r="P851" s="9" t="str">
        <f>IFERROR(INDEX(T_CleanCustomers[Customer_Segment],MATCH(B851,T_CleanCustomers[Customer_ID],0)),"Unmatched")</f>
        <v>SME</v>
      </c>
    </row>
    <row r="852" spans="1:16" ht="15" customHeight="1" x14ac:dyDescent="0.2">
      <c r="A852" s="9" t="s">
        <v>2198</v>
      </c>
      <c r="B852" s="9" t="s">
        <v>1246</v>
      </c>
      <c r="C852" s="9" t="b">
        <f>TRUE()</f>
        <v>1</v>
      </c>
      <c r="D852" s="10">
        <v>45786</v>
      </c>
      <c r="E852" s="10">
        <v>45778</v>
      </c>
      <c r="F852" s="9" t="s">
        <v>1423</v>
      </c>
      <c r="G852" s="11">
        <v>1869.5</v>
      </c>
      <c r="H852" s="11">
        <v>56.64</v>
      </c>
      <c r="I852" s="9" t="b">
        <f>TRUE()</f>
        <v>1</v>
      </c>
      <c r="J852" s="9" t="s">
        <v>1361</v>
      </c>
      <c r="K852" s="11">
        <v>56.64</v>
      </c>
      <c r="L852" s="9" t="s">
        <v>22</v>
      </c>
      <c r="M852" s="9" t="str">
        <f>IFERROR(INDEX(T_CleanCustomers[Sales_Rep_ID],MATCH(B852,T_CleanCustomers[Customer_ID],0)),"Unmatched")</f>
        <v>REP006</v>
      </c>
      <c r="N852" s="9" t="str">
        <f>IFERROR(INDEX(T_CleanCustomers[Channel],MATCH(B852,T_CleanCustomers[Customer_ID],0)),"Unmatched")</f>
        <v>Referral</v>
      </c>
      <c r="O852" s="9" t="str">
        <f>IFERROR(INDEX(T_CleanCustomers[Product],MATCH(B852,T_CleanCustomers[Customer_ID],0)),"Unmatched")</f>
        <v>EV Charge Card</v>
      </c>
      <c r="P852" s="9" t="str">
        <f>IFERROR(INDEX(T_CleanCustomers[Customer_Segment],MATCH(B852,T_CleanCustomers[Customer_ID],0)),"Unmatched")</f>
        <v>SME</v>
      </c>
    </row>
    <row r="853" spans="1:16" ht="15" customHeight="1" x14ac:dyDescent="0.2">
      <c r="A853" s="9" t="s">
        <v>2199</v>
      </c>
      <c r="B853" s="9" t="s">
        <v>1246</v>
      </c>
      <c r="C853" s="9" t="b">
        <f>TRUE()</f>
        <v>1</v>
      </c>
      <c r="D853" s="10">
        <v>45795</v>
      </c>
      <c r="E853" s="10">
        <v>45778</v>
      </c>
      <c r="F853" s="9" t="s">
        <v>1423</v>
      </c>
      <c r="G853" s="11">
        <v>4400.32</v>
      </c>
      <c r="H853" s="11">
        <v>124.2</v>
      </c>
      <c r="I853" s="9" t="b">
        <f>TRUE()</f>
        <v>1</v>
      </c>
      <c r="J853" s="9" t="s">
        <v>1361</v>
      </c>
      <c r="K853" s="11">
        <v>124.2</v>
      </c>
      <c r="L853" s="9" t="s">
        <v>22</v>
      </c>
      <c r="M853" s="9" t="str">
        <f>IFERROR(INDEX(T_CleanCustomers[Sales_Rep_ID],MATCH(B853,T_CleanCustomers[Customer_ID],0)),"Unmatched")</f>
        <v>REP006</v>
      </c>
      <c r="N853" s="9" t="str">
        <f>IFERROR(INDEX(T_CleanCustomers[Channel],MATCH(B853,T_CleanCustomers[Customer_ID],0)),"Unmatched")</f>
        <v>Referral</v>
      </c>
      <c r="O853" s="9" t="str">
        <f>IFERROR(INDEX(T_CleanCustomers[Product],MATCH(B853,T_CleanCustomers[Customer_ID],0)),"Unmatched")</f>
        <v>EV Charge Card</v>
      </c>
      <c r="P853" s="9" t="str">
        <f>IFERROR(INDEX(T_CleanCustomers[Customer_Segment],MATCH(B853,T_CleanCustomers[Customer_ID],0)),"Unmatched")</f>
        <v>SME</v>
      </c>
    </row>
    <row r="854" spans="1:16" ht="15" customHeight="1" x14ac:dyDescent="0.2">
      <c r="A854" s="9" t="s">
        <v>2200</v>
      </c>
      <c r="B854" s="9" t="s">
        <v>1246</v>
      </c>
      <c r="C854" s="9" t="b">
        <f>TRUE()</f>
        <v>1</v>
      </c>
      <c r="D854" s="10">
        <v>45795</v>
      </c>
      <c r="E854" s="10">
        <v>45778</v>
      </c>
      <c r="F854" s="9" t="s">
        <v>1423</v>
      </c>
      <c r="G854" s="11">
        <v>4637.26</v>
      </c>
      <c r="H854" s="11">
        <v>0</v>
      </c>
      <c r="I854" s="9" t="b">
        <f>TRUE()</f>
        <v>1</v>
      </c>
      <c r="J854" s="9" t="s">
        <v>1408</v>
      </c>
      <c r="K854" s="11">
        <v>0</v>
      </c>
      <c r="L854" s="9" t="s">
        <v>22</v>
      </c>
      <c r="M854" s="9" t="str">
        <f>IFERROR(INDEX(T_CleanCustomers[Sales_Rep_ID],MATCH(B854,T_CleanCustomers[Customer_ID],0)),"Unmatched")</f>
        <v>REP006</v>
      </c>
      <c r="N854" s="9" t="str">
        <f>IFERROR(INDEX(T_CleanCustomers[Channel],MATCH(B854,T_CleanCustomers[Customer_ID],0)),"Unmatched")</f>
        <v>Referral</v>
      </c>
      <c r="O854" s="9" t="str">
        <f>IFERROR(INDEX(T_CleanCustomers[Product],MATCH(B854,T_CleanCustomers[Customer_ID],0)),"Unmatched")</f>
        <v>EV Charge Card</v>
      </c>
      <c r="P854" s="9" t="str">
        <f>IFERROR(INDEX(T_CleanCustomers[Customer_Segment],MATCH(B854,T_CleanCustomers[Customer_ID],0)),"Unmatched")</f>
        <v>SME</v>
      </c>
    </row>
    <row r="855" spans="1:16" ht="15" customHeight="1" x14ac:dyDescent="0.2">
      <c r="A855" s="9" t="s">
        <v>2201</v>
      </c>
      <c r="B855" s="9" t="s">
        <v>1246</v>
      </c>
      <c r="C855" s="9" t="b">
        <f>TRUE()</f>
        <v>1</v>
      </c>
      <c r="D855" s="10">
        <v>45837</v>
      </c>
      <c r="E855" s="10">
        <v>45809</v>
      </c>
      <c r="F855" s="9" t="s">
        <v>1423</v>
      </c>
      <c r="G855" s="11">
        <v>2496.4499999999998</v>
      </c>
      <c r="H855" s="11">
        <v>68.33</v>
      </c>
      <c r="I855" s="9" t="b">
        <f>TRUE()</f>
        <v>1</v>
      </c>
      <c r="J855" s="9" t="s">
        <v>1361</v>
      </c>
      <c r="K855" s="11">
        <v>68.33</v>
      </c>
      <c r="L855" s="9" t="s">
        <v>22</v>
      </c>
      <c r="M855" s="9" t="str">
        <f>IFERROR(INDEX(T_CleanCustomers[Sales_Rep_ID],MATCH(B855,T_CleanCustomers[Customer_ID],0)),"Unmatched")</f>
        <v>REP006</v>
      </c>
      <c r="N855" s="9" t="str">
        <f>IFERROR(INDEX(T_CleanCustomers[Channel],MATCH(B855,T_CleanCustomers[Customer_ID],0)),"Unmatched")</f>
        <v>Referral</v>
      </c>
      <c r="O855" s="9" t="str">
        <f>IFERROR(INDEX(T_CleanCustomers[Product],MATCH(B855,T_CleanCustomers[Customer_ID],0)),"Unmatched")</f>
        <v>EV Charge Card</v>
      </c>
      <c r="P855" s="9" t="str">
        <f>IFERROR(INDEX(T_CleanCustomers[Customer_Segment],MATCH(B855,T_CleanCustomers[Customer_ID],0)),"Unmatched")</f>
        <v>SME</v>
      </c>
    </row>
    <row r="856" spans="1:16" ht="15" customHeight="1" x14ac:dyDescent="0.2">
      <c r="A856" s="9" t="s">
        <v>2202</v>
      </c>
      <c r="B856" s="9" t="s">
        <v>1246</v>
      </c>
      <c r="C856" s="9" t="b">
        <f>TRUE()</f>
        <v>1</v>
      </c>
      <c r="D856" s="10">
        <v>45863</v>
      </c>
      <c r="E856" s="10">
        <v>45839</v>
      </c>
      <c r="F856" s="9" t="s">
        <v>1423</v>
      </c>
      <c r="G856" s="11">
        <v>1780.7</v>
      </c>
      <c r="H856" s="11">
        <v>56.59</v>
      </c>
      <c r="I856" s="9" t="b">
        <f>TRUE()</f>
        <v>1</v>
      </c>
      <c r="J856" s="9" t="s">
        <v>1361</v>
      </c>
      <c r="K856" s="11">
        <v>56.59</v>
      </c>
      <c r="L856" s="9" t="s">
        <v>22</v>
      </c>
      <c r="M856" s="9" t="str">
        <f>IFERROR(INDEX(T_CleanCustomers[Sales_Rep_ID],MATCH(B856,T_CleanCustomers[Customer_ID],0)),"Unmatched")</f>
        <v>REP006</v>
      </c>
      <c r="N856" s="9" t="str">
        <f>IFERROR(INDEX(T_CleanCustomers[Channel],MATCH(B856,T_CleanCustomers[Customer_ID],0)),"Unmatched")</f>
        <v>Referral</v>
      </c>
      <c r="O856" s="9" t="str">
        <f>IFERROR(INDEX(T_CleanCustomers[Product],MATCH(B856,T_CleanCustomers[Customer_ID],0)),"Unmatched")</f>
        <v>EV Charge Card</v>
      </c>
      <c r="P856" s="9" t="str">
        <f>IFERROR(INDEX(T_CleanCustomers[Customer_Segment],MATCH(B856,T_CleanCustomers[Customer_ID],0)),"Unmatched")</f>
        <v>SME</v>
      </c>
    </row>
    <row r="857" spans="1:16" ht="15" customHeight="1" x14ac:dyDescent="0.2">
      <c r="A857" s="9" t="s">
        <v>2203</v>
      </c>
      <c r="B857" s="9" t="s">
        <v>1246</v>
      </c>
      <c r="C857" s="9" t="b">
        <f>TRUE()</f>
        <v>1</v>
      </c>
      <c r="D857" s="10">
        <v>45890</v>
      </c>
      <c r="E857" s="10">
        <v>45870</v>
      </c>
      <c r="F857" s="9" t="s">
        <v>1423</v>
      </c>
      <c r="G857" s="11">
        <v>2435.9299999999998</v>
      </c>
      <c r="H857" s="11">
        <v>81.66</v>
      </c>
      <c r="I857" s="9" t="b">
        <f>TRUE()</f>
        <v>1</v>
      </c>
      <c r="J857" s="9" t="s">
        <v>1361</v>
      </c>
      <c r="K857" s="11">
        <v>81.66</v>
      </c>
      <c r="L857" s="9" t="s">
        <v>22</v>
      </c>
      <c r="M857" s="9" t="str">
        <f>IFERROR(INDEX(T_CleanCustomers[Sales_Rep_ID],MATCH(B857,T_CleanCustomers[Customer_ID],0)),"Unmatched")</f>
        <v>REP006</v>
      </c>
      <c r="N857" s="9" t="str">
        <f>IFERROR(INDEX(T_CleanCustomers[Channel],MATCH(B857,T_CleanCustomers[Customer_ID],0)),"Unmatched")</f>
        <v>Referral</v>
      </c>
      <c r="O857" s="9" t="str">
        <f>IFERROR(INDEX(T_CleanCustomers[Product],MATCH(B857,T_CleanCustomers[Customer_ID],0)),"Unmatched")</f>
        <v>EV Charge Card</v>
      </c>
      <c r="P857" s="9" t="str">
        <f>IFERROR(INDEX(T_CleanCustomers[Customer_Segment],MATCH(B857,T_CleanCustomers[Customer_ID],0)),"Unmatched")</f>
        <v>SME</v>
      </c>
    </row>
    <row r="858" spans="1:16" ht="15" customHeight="1" x14ac:dyDescent="0.2">
      <c r="A858" s="9" t="s">
        <v>2204</v>
      </c>
      <c r="B858" s="9" t="s">
        <v>1246</v>
      </c>
      <c r="C858" s="9" t="b">
        <f>TRUE()</f>
        <v>1</v>
      </c>
      <c r="D858" s="10">
        <v>45875</v>
      </c>
      <c r="E858" s="10">
        <v>45870</v>
      </c>
      <c r="F858" s="9" t="s">
        <v>1423</v>
      </c>
      <c r="G858" s="11">
        <v>4937.67</v>
      </c>
      <c r="H858" s="11">
        <v>168.7</v>
      </c>
      <c r="I858" s="9" t="b">
        <f>TRUE()</f>
        <v>1</v>
      </c>
      <c r="J858" s="9" t="s">
        <v>1361</v>
      </c>
      <c r="K858" s="11">
        <v>168.7</v>
      </c>
      <c r="L858" s="9" t="s">
        <v>22</v>
      </c>
      <c r="M858" s="9" t="str">
        <f>IFERROR(INDEX(T_CleanCustomers[Sales_Rep_ID],MATCH(B858,T_CleanCustomers[Customer_ID],0)),"Unmatched")</f>
        <v>REP006</v>
      </c>
      <c r="N858" s="9" t="str">
        <f>IFERROR(INDEX(T_CleanCustomers[Channel],MATCH(B858,T_CleanCustomers[Customer_ID],0)),"Unmatched")</f>
        <v>Referral</v>
      </c>
      <c r="O858" s="9" t="str">
        <f>IFERROR(INDEX(T_CleanCustomers[Product],MATCH(B858,T_CleanCustomers[Customer_ID],0)),"Unmatched")</f>
        <v>EV Charge Card</v>
      </c>
      <c r="P858" s="9" t="str">
        <f>IFERROR(INDEX(T_CleanCustomers[Customer_Segment],MATCH(B858,T_CleanCustomers[Customer_ID],0)),"Unmatched")</f>
        <v>SME</v>
      </c>
    </row>
    <row r="859" spans="1:16" ht="15" customHeight="1" x14ac:dyDescent="0.2">
      <c r="A859" s="9" t="s">
        <v>2205</v>
      </c>
      <c r="B859" s="9" t="s">
        <v>1246</v>
      </c>
      <c r="C859" s="9" t="b">
        <f>TRUE()</f>
        <v>1</v>
      </c>
      <c r="D859" s="10">
        <v>45903</v>
      </c>
      <c r="E859" s="10">
        <v>45901</v>
      </c>
      <c r="F859" s="9" t="s">
        <v>1423</v>
      </c>
      <c r="G859" s="11">
        <v>1247.18</v>
      </c>
      <c r="H859" s="11">
        <v>0</v>
      </c>
      <c r="I859" s="9" t="b">
        <f>TRUE()</f>
        <v>1</v>
      </c>
      <c r="J859" s="9" t="s">
        <v>1408</v>
      </c>
      <c r="K859" s="11">
        <v>0</v>
      </c>
      <c r="L859" s="9" t="s">
        <v>22</v>
      </c>
      <c r="M859" s="9" t="str">
        <f>IFERROR(INDEX(T_CleanCustomers[Sales_Rep_ID],MATCH(B859,T_CleanCustomers[Customer_ID],0)),"Unmatched")</f>
        <v>REP006</v>
      </c>
      <c r="N859" s="9" t="str">
        <f>IFERROR(INDEX(T_CleanCustomers[Channel],MATCH(B859,T_CleanCustomers[Customer_ID],0)),"Unmatched")</f>
        <v>Referral</v>
      </c>
      <c r="O859" s="9" t="str">
        <f>IFERROR(INDEX(T_CleanCustomers[Product],MATCH(B859,T_CleanCustomers[Customer_ID],0)),"Unmatched")</f>
        <v>EV Charge Card</v>
      </c>
      <c r="P859" s="9" t="str">
        <f>IFERROR(INDEX(T_CleanCustomers[Customer_Segment],MATCH(B859,T_CleanCustomers[Customer_ID],0)),"Unmatched")</f>
        <v>SME</v>
      </c>
    </row>
    <row r="860" spans="1:16" ht="15" customHeight="1" x14ac:dyDescent="0.2">
      <c r="A860" s="9" t="s">
        <v>2206</v>
      </c>
      <c r="B860" s="9" t="s">
        <v>1246</v>
      </c>
      <c r="C860" s="9" t="b">
        <f>TRUE()</f>
        <v>1</v>
      </c>
      <c r="D860" s="10">
        <v>45930</v>
      </c>
      <c r="E860" s="10">
        <v>45901</v>
      </c>
      <c r="F860" s="9" t="s">
        <v>1423</v>
      </c>
      <c r="G860" s="11">
        <v>2752.63</v>
      </c>
      <c r="H860" s="11">
        <v>78.83</v>
      </c>
      <c r="I860" s="9" t="b">
        <f>TRUE()</f>
        <v>1</v>
      </c>
      <c r="J860" s="9" t="s">
        <v>1361</v>
      </c>
      <c r="K860" s="11">
        <v>78.83</v>
      </c>
      <c r="L860" s="9" t="s">
        <v>22</v>
      </c>
      <c r="M860" s="9" t="str">
        <f>IFERROR(INDEX(T_CleanCustomers[Sales_Rep_ID],MATCH(B860,T_CleanCustomers[Customer_ID],0)),"Unmatched")</f>
        <v>REP006</v>
      </c>
      <c r="N860" s="9" t="str">
        <f>IFERROR(INDEX(T_CleanCustomers[Channel],MATCH(B860,T_CleanCustomers[Customer_ID],0)),"Unmatched")</f>
        <v>Referral</v>
      </c>
      <c r="O860" s="9" t="str">
        <f>IFERROR(INDEX(T_CleanCustomers[Product],MATCH(B860,T_CleanCustomers[Customer_ID],0)),"Unmatched")</f>
        <v>EV Charge Card</v>
      </c>
      <c r="P860" s="9" t="str">
        <f>IFERROR(INDEX(T_CleanCustomers[Customer_Segment],MATCH(B860,T_CleanCustomers[Customer_ID],0)),"Unmatched")</f>
        <v>SME</v>
      </c>
    </row>
    <row r="861" spans="1:16" ht="15" customHeight="1" x14ac:dyDescent="0.2">
      <c r="A861" s="9" t="s">
        <v>2207</v>
      </c>
      <c r="B861" s="9" t="s">
        <v>1246</v>
      </c>
      <c r="C861" s="9" t="b">
        <f>TRUE()</f>
        <v>1</v>
      </c>
      <c r="D861" s="10">
        <v>45942</v>
      </c>
      <c r="E861" s="10">
        <v>45931</v>
      </c>
      <c r="F861" s="9" t="s">
        <v>1423</v>
      </c>
      <c r="G861" s="11">
        <v>1346.52</v>
      </c>
      <c r="H861" s="11">
        <v>45.21</v>
      </c>
      <c r="I861" s="9" t="b">
        <f>TRUE()</f>
        <v>1</v>
      </c>
      <c r="J861" s="9" t="s">
        <v>1361</v>
      </c>
      <c r="K861" s="11">
        <v>45.21</v>
      </c>
      <c r="L861" s="9" t="s">
        <v>22</v>
      </c>
      <c r="M861" s="9" t="str">
        <f>IFERROR(INDEX(T_CleanCustomers[Sales_Rep_ID],MATCH(B861,T_CleanCustomers[Customer_ID],0)),"Unmatched")</f>
        <v>REP006</v>
      </c>
      <c r="N861" s="9" t="str">
        <f>IFERROR(INDEX(T_CleanCustomers[Channel],MATCH(B861,T_CleanCustomers[Customer_ID],0)),"Unmatched")</f>
        <v>Referral</v>
      </c>
      <c r="O861" s="9" t="str">
        <f>IFERROR(INDEX(T_CleanCustomers[Product],MATCH(B861,T_CleanCustomers[Customer_ID],0)),"Unmatched")</f>
        <v>EV Charge Card</v>
      </c>
      <c r="P861" s="9" t="str">
        <f>IFERROR(INDEX(T_CleanCustomers[Customer_Segment],MATCH(B861,T_CleanCustomers[Customer_ID],0)),"Unmatched")</f>
        <v>SME</v>
      </c>
    </row>
    <row r="862" spans="1:16" ht="15" customHeight="1" x14ac:dyDescent="0.2">
      <c r="A862" s="9" t="s">
        <v>2208</v>
      </c>
      <c r="B862" s="9" t="s">
        <v>1246</v>
      </c>
      <c r="C862" s="9" t="b">
        <f>TRUE()</f>
        <v>1</v>
      </c>
      <c r="D862" s="10">
        <v>45975</v>
      </c>
      <c r="E862" s="10">
        <v>45962</v>
      </c>
      <c r="F862" s="9" t="s">
        <v>1423</v>
      </c>
      <c r="G862" s="11">
        <v>1369.59</v>
      </c>
      <c r="H862" s="11">
        <v>47.61</v>
      </c>
      <c r="I862" s="9" t="b">
        <f>TRUE()</f>
        <v>1</v>
      </c>
      <c r="J862" s="9" t="s">
        <v>1361</v>
      </c>
      <c r="K862" s="11">
        <v>47.61</v>
      </c>
      <c r="L862" s="9" t="s">
        <v>22</v>
      </c>
      <c r="M862" s="9" t="str">
        <f>IFERROR(INDEX(T_CleanCustomers[Sales_Rep_ID],MATCH(B862,T_CleanCustomers[Customer_ID],0)),"Unmatched")</f>
        <v>REP006</v>
      </c>
      <c r="N862" s="9" t="str">
        <f>IFERROR(INDEX(T_CleanCustomers[Channel],MATCH(B862,T_CleanCustomers[Customer_ID],0)),"Unmatched")</f>
        <v>Referral</v>
      </c>
      <c r="O862" s="9" t="str">
        <f>IFERROR(INDEX(T_CleanCustomers[Product],MATCH(B862,T_CleanCustomers[Customer_ID],0)),"Unmatched")</f>
        <v>EV Charge Card</v>
      </c>
      <c r="P862" s="9" t="str">
        <f>IFERROR(INDEX(T_CleanCustomers[Customer_Segment],MATCH(B862,T_CleanCustomers[Customer_ID],0)),"Unmatched")</f>
        <v>SME</v>
      </c>
    </row>
    <row r="863" spans="1:16" ht="15" customHeight="1" x14ac:dyDescent="0.2">
      <c r="A863" s="9" t="s">
        <v>2209</v>
      </c>
      <c r="B863" s="9" t="s">
        <v>1246</v>
      </c>
      <c r="C863" s="9" t="b">
        <f>TRUE()</f>
        <v>1</v>
      </c>
      <c r="D863" s="10">
        <v>45970</v>
      </c>
      <c r="E863" s="10">
        <v>45962</v>
      </c>
      <c r="F863" s="9" t="s">
        <v>1423</v>
      </c>
      <c r="G863" s="11">
        <v>2820.06</v>
      </c>
      <c r="H863" s="11">
        <v>94.7</v>
      </c>
      <c r="I863" s="9" t="b">
        <f>TRUE()</f>
        <v>1</v>
      </c>
      <c r="J863" s="9" t="s">
        <v>1361</v>
      </c>
      <c r="K863" s="11">
        <v>94.7</v>
      </c>
      <c r="L863" s="9" t="s">
        <v>22</v>
      </c>
      <c r="M863" s="9" t="str">
        <f>IFERROR(INDEX(T_CleanCustomers[Sales_Rep_ID],MATCH(B863,T_CleanCustomers[Customer_ID],0)),"Unmatched")</f>
        <v>REP006</v>
      </c>
      <c r="N863" s="9" t="str">
        <f>IFERROR(INDEX(T_CleanCustomers[Channel],MATCH(B863,T_CleanCustomers[Customer_ID],0)),"Unmatched")</f>
        <v>Referral</v>
      </c>
      <c r="O863" s="9" t="str">
        <f>IFERROR(INDEX(T_CleanCustomers[Product],MATCH(B863,T_CleanCustomers[Customer_ID],0)),"Unmatched")</f>
        <v>EV Charge Card</v>
      </c>
      <c r="P863" s="9" t="str">
        <f>IFERROR(INDEX(T_CleanCustomers[Customer_Segment],MATCH(B863,T_CleanCustomers[Customer_ID],0)),"Unmatched")</f>
        <v>SME</v>
      </c>
    </row>
    <row r="864" spans="1:16" ht="15" customHeight="1" x14ac:dyDescent="0.2">
      <c r="A864" s="9" t="s">
        <v>2210</v>
      </c>
      <c r="B864" s="9" t="s">
        <v>1246</v>
      </c>
      <c r="C864" s="9" t="b">
        <f>TRUE()</f>
        <v>1</v>
      </c>
      <c r="D864" s="10">
        <v>45983</v>
      </c>
      <c r="E864" s="10">
        <v>45962</v>
      </c>
      <c r="F864" s="9" t="s">
        <v>1423</v>
      </c>
      <c r="G864" s="11">
        <v>3161.89</v>
      </c>
      <c r="H864" s="11">
        <v>96.78</v>
      </c>
      <c r="I864" s="9" t="b">
        <f>TRUE()</f>
        <v>1</v>
      </c>
      <c r="J864" s="9" t="s">
        <v>1361</v>
      </c>
      <c r="K864" s="11">
        <v>96.78</v>
      </c>
      <c r="L864" s="9" t="s">
        <v>22</v>
      </c>
      <c r="M864" s="9" t="str">
        <f>IFERROR(INDEX(T_CleanCustomers[Sales_Rep_ID],MATCH(B864,T_CleanCustomers[Customer_ID],0)),"Unmatched")</f>
        <v>REP006</v>
      </c>
      <c r="N864" s="9" t="str">
        <f>IFERROR(INDEX(T_CleanCustomers[Channel],MATCH(B864,T_CleanCustomers[Customer_ID],0)),"Unmatched")</f>
        <v>Referral</v>
      </c>
      <c r="O864" s="9" t="str">
        <f>IFERROR(INDEX(T_CleanCustomers[Product],MATCH(B864,T_CleanCustomers[Customer_ID],0)),"Unmatched")</f>
        <v>EV Charge Card</v>
      </c>
      <c r="P864" s="9" t="str">
        <f>IFERROR(INDEX(T_CleanCustomers[Customer_Segment],MATCH(B864,T_CleanCustomers[Customer_ID],0)),"Unmatched")</f>
        <v>SME</v>
      </c>
    </row>
    <row r="865" spans="1:16" ht="15" customHeight="1" x14ac:dyDescent="0.2">
      <c r="A865" s="9" t="s">
        <v>2211</v>
      </c>
      <c r="B865" s="9" t="s">
        <v>1246</v>
      </c>
      <c r="C865" s="9" t="b">
        <f>TRUE()</f>
        <v>1</v>
      </c>
      <c r="D865" s="10">
        <v>46012</v>
      </c>
      <c r="E865" s="10">
        <v>45992</v>
      </c>
      <c r="F865" s="9" t="s">
        <v>1423</v>
      </c>
      <c r="G865" s="11">
        <v>3176.03</v>
      </c>
      <c r="H865" s="11">
        <v>106.38</v>
      </c>
      <c r="I865" s="9" t="b">
        <f>TRUE()</f>
        <v>1</v>
      </c>
      <c r="J865" s="9" t="s">
        <v>1361</v>
      </c>
      <c r="K865" s="11">
        <v>106.38</v>
      </c>
      <c r="L865" s="9" t="s">
        <v>22</v>
      </c>
      <c r="M865" s="9" t="str">
        <f>IFERROR(INDEX(T_CleanCustomers[Sales_Rep_ID],MATCH(B865,T_CleanCustomers[Customer_ID],0)),"Unmatched")</f>
        <v>REP006</v>
      </c>
      <c r="N865" s="9" t="str">
        <f>IFERROR(INDEX(T_CleanCustomers[Channel],MATCH(B865,T_CleanCustomers[Customer_ID],0)),"Unmatched")</f>
        <v>Referral</v>
      </c>
      <c r="O865" s="9" t="str">
        <f>IFERROR(INDEX(T_CleanCustomers[Product],MATCH(B865,T_CleanCustomers[Customer_ID],0)),"Unmatched")</f>
        <v>EV Charge Card</v>
      </c>
      <c r="P865" s="9" t="str">
        <f>IFERROR(INDEX(T_CleanCustomers[Customer_Segment],MATCH(B865,T_CleanCustomers[Customer_ID],0)),"Unmatched")</f>
        <v>SME</v>
      </c>
    </row>
    <row r="866" spans="1:16" ht="15" customHeight="1" x14ac:dyDescent="0.2">
      <c r="A866" s="9" t="s">
        <v>2212</v>
      </c>
      <c r="B866" s="9" t="s">
        <v>1246</v>
      </c>
      <c r="C866" s="9" t="b">
        <f>TRUE()</f>
        <v>1</v>
      </c>
      <c r="D866" s="10">
        <v>45994</v>
      </c>
      <c r="E866" s="10">
        <v>45992</v>
      </c>
      <c r="F866" s="9" t="s">
        <v>1423</v>
      </c>
      <c r="G866" s="11">
        <v>2364.88</v>
      </c>
      <c r="H866" s="11">
        <v>78.64</v>
      </c>
      <c r="I866" s="9" t="b">
        <f>TRUE()</f>
        <v>1</v>
      </c>
      <c r="J866" s="9" t="s">
        <v>1361</v>
      </c>
      <c r="K866" s="11">
        <v>78.64</v>
      </c>
      <c r="L866" s="9" t="s">
        <v>22</v>
      </c>
      <c r="M866" s="9" t="str">
        <f>IFERROR(INDEX(T_CleanCustomers[Sales_Rep_ID],MATCH(B866,T_CleanCustomers[Customer_ID],0)),"Unmatched")</f>
        <v>REP006</v>
      </c>
      <c r="N866" s="9" t="str">
        <f>IFERROR(INDEX(T_CleanCustomers[Channel],MATCH(B866,T_CleanCustomers[Customer_ID],0)),"Unmatched")</f>
        <v>Referral</v>
      </c>
      <c r="O866" s="9" t="str">
        <f>IFERROR(INDEX(T_CleanCustomers[Product],MATCH(B866,T_CleanCustomers[Customer_ID],0)),"Unmatched")</f>
        <v>EV Charge Card</v>
      </c>
      <c r="P866" s="9" t="str">
        <f>IFERROR(INDEX(T_CleanCustomers[Customer_Segment],MATCH(B866,T_CleanCustomers[Customer_ID],0)),"Unmatched")</f>
        <v>SME</v>
      </c>
    </row>
    <row r="867" spans="1:16" ht="15" customHeight="1" x14ac:dyDescent="0.2">
      <c r="A867" s="9" t="s">
        <v>2213</v>
      </c>
      <c r="B867" s="9" t="s">
        <v>1246</v>
      </c>
      <c r="C867" s="9" t="b">
        <f>TRUE()</f>
        <v>1</v>
      </c>
      <c r="D867" s="10">
        <v>46011</v>
      </c>
      <c r="E867" s="10">
        <v>45992</v>
      </c>
      <c r="F867" s="9" t="s">
        <v>1423</v>
      </c>
      <c r="G867" s="11">
        <v>1421.66</v>
      </c>
      <c r="H867" s="11">
        <v>41.73</v>
      </c>
      <c r="I867" s="9" t="b">
        <f>TRUE()</f>
        <v>1</v>
      </c>
      <c r="J867" s="9" t="s">
        <v>1361</v>
      </c>
      <c r="K867" s="11">
        <v>41.73</v>
      </c>
      <c r="L867" s="9" t="s">
        <v>22</v>
      </c>
      <c r="M867" s="9" t="str">
        <f>IFERROR(INDEX(T_CleanCustomers[Sales_Rep_ID],MATCH(B867,T_CleanCustomers[Customer_ID],0)),"Unmatched")</f>
        <v>REP006</v>
      </c>
      <c r="N867" s="9" t="str">
        <f>IFERROR(INDEX(T_CleanCustomers[Channel],MATCH(B867,T_CleanCustomers[Customer_ID],0)),"Unmatched")</f>
        <v>Referral</v>
      </c>
      <c r="O867" s="9" t="str">
        <f>IFERROR(INDEX(T_CleanCustomers[Product],MATCH(B867,T_CleanCustomers[Customer_ID],0)),"Unmatched")</f>
        <v>EV Charge Card</v>
      </c>
      <c r="P867" s="9" t="str">
        <f>IFERROR(INDEX(T_CleanCustomers[Customer_Segment],MATCH(B867,T_CleanCustomers[Customer_ID],0)),"Unmatched")</f>
        <v>SME</v>
      </c>
    </row>
    <row r="868" spans="1:16" ht="15" customHeight="1" x14ac:dyDescent="0.2">
      <c r="A868" s="9" t="s">
        <v>2214</v>
      </c>
      <c r="B868" s="9" t="s">
        <v>1247</v>
      </c>
      <c r="C868" s="9" t="b">
        <f>TRUE()</f>
        <v>1</v>
      </c>
      <c r="D868" s="10">
        <v>45865</v>
      </c>
      <c r="E868" s="10">
        <v>45839</v>
      </c>
      <c r="F868" s="9" t="s">
        <v>1360</v>
      </c>
      <c r="G868" s="11">
        <v>3938.66</v>
      </c>
      <c r="H868" s="11">
        <v>107.78</v>
      </c>
      <c r="I868" s="9" t="b">
        <f>TRUE()</f>
        <v>1</v>
      </c>
      <c r="J868" s="9" t="s">
        <v>1361</v>
      </c>
      <c r="K868" s="11">
        <v>107.78</v>
      </c>
      <c r="L868" s="9" t="s">
        <v>22</v>
      </c>
      <c r="M868" s="9" t="str">
        <f>IFERROR(INDEX(T_CleanCustomers[Sales_Rep_ID],MATCH(B868,T_CleanCustomers[Customer_ID],0)),"Unmatched")</f>
        <v>REP005</v>
      </c>
      <c r="N868" s="9" t="str">
        <f>IFERROR(INDEX(T_CleanCustomers[Channel],MATCH(B868,T_CleanCustomers[Customer_ID],0)),"Unmatched")</f>
        <v>Direct Sales</v>
      </c>
      <c r="O868" s="9" t="str">
        <f>IFERROR(INDEX(T_CleanCustomers[Product],MATCH(B868,T_CleanCustomers[Customer_ID],0)),"Unmatched")</f>
        <v>Fuel Card</v>
      </c>
      <c r="P868" s="9" t="str">
        <f>IFERROR(INDEX(T_CleanCustomers[Customer_Segment],MATCH(B868,T_CleanCustomers[Customer_ID],0)),"Unmatched")</f>
        <v>SME</v>
      </c>
    </row>
    <row r="869" spans="1:16" ht="15" customHeight="1" x14ac:dyDescent="0.2">
      <c r="A869" s="9" t="s">
        <v>2215</v>
      </c>
      <c r="B869" s="9" t="s">
        <v>1247</v>
      </c>
      <c r="C869" s="9" t="b">
        <f>TRUE()</f>
        <v>1</v>
      </c>
      <c r="D869" s="10">
        <v>45862</v>
      </c>
      <c r="E869" s="10">
        <v>45839</v>
      </c>
      <c r="F869" s="9" t="s">
        <v>1360</v>
      </c>
      <c r="G869" s="11">
        <v>3464.68</v>
      </c>
      <c r="H869" s="11">
        <v>85.81</v>
      </c>
      <c r="I869" s="9" t="b">
        <f>TRUE()</f>
        <v>1</v>
      </c>
      <c r="J869" s="9" t="s">
        <v>1361</v>
      </c>
      <c r="K869" s="11">
        <v>85.81</v>
      </c>
      <c r="L869" s="9" t="s">
        <v>22</v>
      </c>
      <c r="M869" s="9" t="str">
        <f>IFERROR(INDEX(T_CleanCustomers[Sales_Rep_ID],MATCH(B869,T_CleanCustomers[Customer_ID],0)),"Unmatched")</f>
        <v>REP005</v>
      </c>
      <c r="N869" s="9" t="str">
        <f>IFERROR(INDEX(T_CleanCustomers[Channel],MATCH(B869,T_CleanCustomers[Customer_ID],0)),"Unmatched")</f>
        <v>Direct Sales</v>
      </c>
      <c r="O869" s="9" t="str">
        <f>IFERROR(INDEX(T_CleanCustomers[Product],MATCH(B869,T_CleanCustomers[Customer_ID],0)),"Unmatched")</f>
        <v>Fuel Card</v>
      </c>
      <c r="P869" s="9" t="str">
        <f>IFERROR(INDEX(T_CleanCustomers[Customer_Segment],MATCH(B869,T_CleanCustomers[Customer_ID],0)),"Unmatched")</f>
        <v>SME</v>
      </c>
    </row>
    <row r="870" spans="1:16" ht="15" customHeight="1" x14ac:dyDescent="0.2">
      <c r="A870" s="9" t="s">
        <v>2216</v>
      </c>
      <c r="B870" s="9" t="s">
        <v>1247</v>
      </c>
      <c r="C870" s="9" t="b">
        <f>TRUE()</f>
        <v>1</v>
      </c>
      <c r="D870" s="10">
        <v>45871</v>
      </c>
      <c r="E870" s="10">
        <v>45870</v>
      </c>
      <c r="F870" s="9" t="s">
        <v>1360</v>
      </c>
      <c r="G870" s="11">
        <v>1960.07</v>
      </c>
      <c r="H870" s="11">
        <v>42.34</v>
      </c>
      <c r="I870" s="9" t="b">
        <f>TRUE()</f>
        <v>1</v>
      </c>
      <c r="J870" s="9" t="s">
        <v>1361</v>
      </c>
      <c r="K870" s="11">
        <v>42.34</v>
      </c>
      <c r="L870" s="9" t="s">
        <v>22</v>
      </c>
      <c r="M870" s="9" t="str">
        <f>IFERROR(INDEX(T_CleanCustomers[Sales_Rep_ID],MATCH(B870,T_CleanCustomers[Customer_ID],0)),"Unmatched")</f>
        <v>REP005</v>
      </c>
      <c r="N870" s="9" t="str">
        <f>IFERROR(INDEX(T_CleanCustomers[Channel],MATCH(B870,T_CleanCustomers[Customer_ID],0)),"Unmatched")</f>
        <v>Direct Sales</v>
      </c>
      <c r="O870" s="9" t="str">
        <f>IFERROR(INDEX(T_CleanCustomers[Product],MATCH(B870,T_CleanCustomers[Customer_ID],0)),"Unmatched")</f>
        <v>Fuel Card</v>
      </c>
      <c r="P870" s="9" t="str">
        <f>IFERROR(INDEX(T_CleanCustomers[Customer_Segment],MATCH(B870,T_CleanCustomers[Customer_ID],0)),"Unmatched")</f>
        <v>SME</v>
      </c>
    </row>
    <row r="871" spans="1:16" ht="15" customHeight="1" x14ac:dyDescent="0.2">
      <c r="A871" s="9" t="s">
        <v>2217</v>
      </c>
      <c r="B871" s="9" t="s">
        <v>1247</v>
      </c>
      <c r="C871" s="9" t="b">
        <f>TRUE()</f>
        <v>1</v>
      </c>
      <c r="D871" s="10">
        <v>45879</v>
      </c>
      <c r="E871" s="10">
        <v>45870</v>
      </c>
      <c r="F871" s="9" t="s">
        <v>1360</v>
      </c>
      <c r="G871" s="11">
        <v>2808.09</v>
      </c>
      <c r="H871" s="11">
        <v>66.67</v>
      </c>
      <c r="I871" s="9" t="b">
        <f>TRUE()</f>
        <v>1</v>
      </c>
      <c r="J871" s="9" t="s">
        <v>1361</v>
      </c>
      <c r="K871" s="11">
        <v>66.67</v>
      </c>
      <c r="L871" s="9" t="s">
        <v>22</v>
      </c>
      <c r="M871" s="9" t="str">
        <f>IFERROR(INDEX(T_CleanCustomers[Sales_Rep_ID],MATCH(B871,T_CleanCustomers[Customer_ID],0)),"Unmatched")</f>
        <v>REP005</v>
      </c>
      <c r="N871" s="9" t="str">
        <f>IFERROR(INDEX(T_CleanCustomers[Channel],MATCH(B871,T_CleanCustomers[Customer_ID],0)),"Unmatched")</f>
        <v>Direct Sales</v>
      </c>
      <c r="O871" s="9" t="str">
        <f>IFERROR(INDEX(T_CleanCustomers[Product],MATCH(B871,T_CleanCustomers[Customer_ID],0)),"Unmatched")</f>
        <v>Fuel Card</v>
      </c>
      <c r="P871" s="9" t="str">
        <f>IFERROR(INDEX(T_CleanCustomers[Customer_Segment],MATCH(B871,T_CleanCustomers[Customer_ID],0)),"Unmatched")</f>
        <v>SME</v>
      </c>
    </row>
    <row r="872" spans="1:16" ht="15" customHeight="1" x14ac:dyDescent="0.2">
      <c r="A872" s="9" t="s">
        <v>2218</v>
      </c>
      <c r="B872" s="9" t="s">
        <v>1247</v>
      </c>
      <c r="C872" s="9" t="b">
        <f>TRUE()</f>
        <v>1</v>
      </c>
      <c r="D872" s="10">
        <v>45905</v>
      </c>
      <c r="E872" s="10">
        <v>45901</v>
      </c>
      <c r="F872" s="9" t="s">
        <v>1360</v>
      </c>
      <c r="G872" s="11">
        <v>3907.95</v>
      </c>
      <c r="H872" s="11">
        <v>110.15</v>
      </c>
      <c r="I872" s="9" t="b">
        <f>TRUE()</f>
        <v>1</v>
      </c>
      <c r="J872" s="9" t="s">
        <v>1361</v>
      </c>
      <c r="K872" s="11">
        <v>110.15</v>
      </c>
      <c r="L872" s="9" t="s">
        <v>22</v>
      </c>
      <c r="M872" s="9" t="str">
        <f>IFERROR(INDEX(T_CleanCustomers[Sales_Rep_ID],MATCH(B872,T_CleanCustomers[Customer_ID],0)),"Unmatched")</f>
        <v>REP005</v>
      </c>
      <c r="N872" s="9" t="str">
        <f>IFERROR(INDEX(T_CleanCustomers[Channel],MATCH(B872,T_CleanCustomers[Customer_ID],0)),"Unmatched")</f>
        <v>Direct Sales</v>
      </c>
      <c r="O872" s="9" t="str">
        <f>IFERROR(INDEX(T_CleanCustomers[Product],MATCH(B872,T_CleanCustomers[Customer_ID],0)),"Unmatched")</f>
        <v>Fuel Card</v>
      </c>
      <c r="P872" s="9" t="str">
        <f>IFERROR(INDEX(T_CleanCustomers[Customer_Segment],MATCH(B872,T_CleanCustomers[Customer_ID],0)),"Unmatched")</f>
        <v>SME</v>
      </c>
    </row>
    <row r="873" spans="1:16" ht="15" customHeight="1" x14ac:dyDescent="0.2">
      <c r="A873" s="9" t="s">
        <v>2219</v>
      </c>
      <c r="B873" s="9" t="s">
        <v>1247</v>
      </c>
      <c r="C873" s="9" t="b">
        <f>TRUE()</f>
        <v>1</v>
      </c>
      <c r="D873" s="10">
        <v>45950</v>
      </c>
      <c r="E873" s="10">
        <v>45931</v>
      </c>
      <c r="F873" s="9" t="s">
        <v>1360</v>
      </c>
      <c r="G873" s="11">
        <v>2405.9699999999998</v>
      </c>
      <c r="H873" s="11">
        <v>51.92</v>
      </c>
      <c r="I873" s="9" t="b">
        <f>TRUE()</f>
        <v>1</v>
      </c>
      <c r="J873" s="9" t="s">
        <v>1361</v>
      </c>
      <c r="K873" s="11">
        <v>51.92</v>
      </c>
      <c r="L873" s="9" t="s">
        <v>22</v>
      </c>
      <c r="M873" s="9" t="str">
        <f>IFERROR(INDEX(T_CleanCustomers[Sales_Rep_ID],MATCH(B873,T_CleanCustomers[Customer_ID],0)),"Unmatched")</f>
        <v>REP005</v>
      </c>
      <c r="N873" s="9" t="str">
        <f>IFERROR(INDEX(T_CleanCustomers[Channel],MATCH(B873,T_CleanCustomers[Customer_ID],0)),"Unmatched")</f>
        <v>Direct Sales</v>
      </c>
      <c r="O873" s="9" t="str">
        <f>IFERROR(INDEX(T_CleanCustomers[Product],MATCH(B873,T_CleanCustomers[Customer_ID],0)),"Unmatched")</f>
        <v>Fuel Card</v>
      </c>
      <c r="P873" s="9" t="str">
        <f>IFERROR(INDEX(T_CleanCustomers[Customer_Segment],MATCH(B873,T_CleanCustomers[Customer_ID],0)),"Unmatched")</f>
        <v>SME</v>
      </c>
    </row>
    <row r="874" spans="1:16" ht="15" customHeight="1" x14ac:dyDescent="0.2">
      <c r="A874" s="9" t="s">
        <v>2220</v>
      </c>
      <c r="B874" s="9" t="s">
        <v>1247</v>
      </c>
      <c r="C874" s="9" t="b">
        <f>TRUE()</f>
        <v>1</v>
      </c>
      <c r="D874" s="10">
        <v>45934</v>
      </c>
      <c r="E874" s="10">
        <v>45931</v>
      </c>
      <c r="F874" s="9" t="s">
        <v>1360</v>
      </c>
      <c r="G874" s="11">
        <v>4196.8100000000004</v>
      </c>
      <c r="H874" s="11">
        <v>118.8</v>
      </c>
      <c r="I874" s="9" t="b">
        <f>TRUE()</f>
        <v>1</v>
      </c>
      <c r="J874" s="9" t="s">
        <v>1361</v>
      </c>
      <c r="K874" s="11">
        <v>118.8</v>
      </c>
      <c r="L874" s="9" t="s">
        <v>22</v>
      </c>
      <c r="M874" s="9" t="str">
        <f>IFERROR(INDEX(T_CleanCustomers[Sales_Rep_ID],MATCH(B874,T_CleanCustomers[Customer_ID],0)),"Unmatched")</f>
        <v>REP005</v>
      </c>
      <c r="N874" s="9" t="str">
        <f>IFERROR(INDEX(T_CleanCustomers[Channel],MATCH(B874,T_CleanCustomers[Customer_ID],0)),"Unmatched")</f>
        <v>Direct Sales</v>
      </c>
      <c r="O874" s="9" t="str">
        <f>IFERROR(INDEX(T_CleanCustomers[Product],MATCH(B874,T_CleanCustomers[Customer_ID],0)),"Unmatched")</f>
        <v>Fuel Card</v>
      </c>
      <c r="P874" s="9" t="str">
        <f>IFERROR(INDEX(T_CleanCustomers[Customer_Segment],MATCH(B874,T_CleanCustomers[Customer_ID],0)),"Unmatched")</f>
        <v>SME</v>
      </c>
    </row>
    <row r="875" spans="1:16" ht="15" customHeight="1" x14ac:dyDescent="0.2">
      <c r="A875" s="9" t="s">
        <v>2221</v>
      </c>
      <c r="B875" s="9" t="s">
        <v>1247</v>
      </c>
      <c r="C875" s="9" t="b">
        <f>TRUE()</f>
        <v>1</v>
      </c>
      <c r="D875" s="10">
        <v>45967</v>
      </c>
      <c r="E875" s="10">
        <v>45962</v>
      </c>
      <c r="F875" s="9" t="s">
        <v>1360</v>
      </c>
      <c r="G875" s="11">
        <v>3786.59</v>
      </c>
      <c r="H875" s="11">
        <v>94.47</v>
      </c>
      <c r="I875" s="9" t="b">
        <f>TRUE()</f>
        <v>1</v>
      </c>
      <c r="J875" s="9" t="s">
        <v>1361</v>
      </c>
      <c r="K875" s="11">
        <v>94.47</v>
      </c>
      <c r="L875" s="9" t="s">
        <v>22</v>
      </c>
      <c r="M875" s="9" t="str">
        <f>IFERROR(INDEX(T_CleanCustomers[Sales_Rep_ID],MATCH(B875,T_CleanCustomers[Customer_ID],0)),"Unmatched")</f>
        <v>REP005</v>
      </c>
      <c r="N875" s="9" t="str">
        <f>IFERROR(INDEX(T_CleanCustomers[Channel],MATCH(B875,T_CleanCustomers[Customer_ID],0)),"Unmatched")</f>
        <v>Direct Sales</v>
      </c>
      <c r="O875" s="9" t="str">
        <f>IFERROR(INDEX(T_CleanCustomers[Product],MATCH(B875,T_CleanCustomers[Customer_ID],0)),"Unmatched")</f>
        <v>Fuel Card</v>
      </c>
      <c r="P875" s="9" t="str">
        <f>IFERROR(INDEX(T_CleanCustomers[Customer_Segment],MATCH(B875,T_CleanCustomers[Customer_ID],0)),"Unmatched")</f>
        <v>SME</v>
      </c>
    </row>
    <row r="876" spans="1:16" ht="15" customHeight="1" x14ac:dyDescent="0.2">
      <c r="A876" s="9" t="s">
        <v>2222</v>
      </c>
      <c r="B876" s="9" t="s">
        <v>1247</v>
      </c>
      <c r="C876" s="9" t="b">
        <f>TRUE()</f>
        <v>1</v>
      </c>
      <c r="D876" s="10">
        <v>46002</v>
      </c>
      <c r="E876" s="10">
        <v>45992</v>
      </c>
      <c r="F876" s="9" t="s">
        <v>1360</v>
      </c>
      <c r="G876" s="11">
        <v>2944.23</v>
      </c>
      <c r="H876" s="11">
        <v>78.400000000000006</v>
      </c>
      <c r="I876" s="9" t="b">
        <f>TRUE()</f>
        <v>1</v>
      </c>
      <c r="J876" s="9" t="s">
        <v>1361</v>
      </c>
      <c r="K876" s="11">
        <v>78.400000000000006</v>
      </c>
      <c r="L876" s="9" t="s">
        <v>22</v>
      </c>
      <c r="M876" s="9" t="str">
        <f>IFERROR(INDEX(T_CleanCustomers[Sales_Rep_ID],MATCH(B876,T_CleanCustomers[Customer_ID],0)),"Unmatched")</f>
        <v>REP005</v>
      </c>
      <c r="N876" s="9" t="str">
        <f>IFERROR(INDEX(T_CleanCustomers[Channel],MATCH(B876,T_CleanCustomers[Customer_ID],0)),"Unmatched")</f>
        <v>Direct Sales</v>
      </c>
      <c r="O876" s="9" t="str">
        <f>IFERROR(INDEX(T_CleanCustomers[Product],MATCH(B876,T_CleanCustomers[Customer_ID],0)),"Unmatched")</f>
        <v>Fuel Card</v>
      </c>
      <c r="P876" s="9" t="str">
        <f>IFERROR(INDEX(T_CleanCustomers[Customer_Segment],MATCH(B876,T_CleanCustomers[Customer_ID],0)),"Unmatched")</f>
        <v>SME</v>
      </c>
    </row>
    <row r="877" spans="1:16" ht="15" customHeight="1" x14ac:dyDescent="0.2">
      <c r="A877" s="9" t="s">
        <v>2223</v>
      </c>
      <c r="B877" s="9" t="s">
        <v>1247</v>
      </c>
      <c r="C877" s="9" t="b">
        <f>TRUE()</f>
        <v>1</v>
      </c>
      <c r="D877" s="10">
        <v>46005</v>
      </c>
      <c r="E877" s="10">
        <v>45992</v>
      </c>
      <c r="F877" s="9" t="s">
        <v>1360</v>
      </c>
      <c r="G877" s="11">
        <v>1280.45</v>
      </c>
      <c r="H877" s="11">
        <v>31.78</v>
      </c>
      <c r="I877" s="9" t="b">
        <f>TRUE()</f>
        <v>1</v>
      </c>
      <c r="J877" s="9" t="s">
        <v>1361</v>
      </c>
      <c r="K877" s="11">
        <v>31.78</v>
      </c>
      <c r="L877" s="9" t="s">
        <v>22</v>
      </c>
      <c r="M877" s="9" t="str">
        <f>IFERROR(INDEX(T_CleanCustomers[Sales_Rep_ID],MATCH(B877,T_CleanCustomers[Customer_ID],0)),"Unmatched")</f>
        <v>REP005</v>
      </c>
      <c r="N877" s="9" t="str">
        <f>IFERROR(INDEX(T_CleanCustomers[Channel],MATCH(B877,T_CleanCustomers[Customer_ID],0)),"Unmatched")</f>
        <v>Direct Sales</v>
      </c>
      <c r="O877" s="9" t="str">
        <f>IFERROR(INDEX(T_CleanCustomers[Product],MATCH(B877,T_CleanCustomers[Customer_ID],0)),"Unmatched")</f>
        <v>Fuel Card</v>
      </c>
      <c r="P877" s="9" t="str">
        <f>IFERROR(INDEX(T_CleanCustomers[Customer_Segment],MATCH(B877,T_CleanCustomers[Customer_ID],0)),"Unmatched")</f>
        <v>SME</v>
      </c>
    </row>
    <row r="878" spans="1:16" ht="15" customHeight="1" x14ac:dyDescent="0.2">
      <c r="A878" s="9" t="s">
        <v>2224</v>
      </c>
      <c r="B878" s="9" t="s">
        <v>1248</v>
      </c>
      <c r="C878" s="9" t="b">
        <f>TRUE()</f>
        <v>1</v>
      </c>
      <c r="D878" s="10">
        <v>45801</v>
      </c>
      <c r="E878" s="10">
        <v>45778</v>
      </c>
      <c r="F878" s="9" t="s">
        <v>1360</v>
      </c>
      <c r="G878" s="11">
        <v>10888.04</v>
      </c>
      <c r="H878" s="11">
        <v>299.45999999999998</v>
      </c>
      <c r="I878" s="9" t="b">
        <f>TRUE()</f>
        <v>1</v>
      </c>
      <c r="J878" s="9" t="s">
        <v>1361</v>
      </c>
      <c r="K878" s="11">
        <v>299.45999999999998</v>
      </c>
      <c r="L878" s="9" t="s">
        <v>21</v>
      </c>
      <c r="M878" s="9" t="str">
        <f>IFERROR(INDEX(T_CleanCustomers[Sales_Rep_ID],MATCH(B878,T_CleanCustomers[Customer_ID],0)),"Unmatched")</f>
        <v>REP009</v>
      </c>
      <c r="N878" s="9" t="str">
        <f>IFERROR(INDEX(T_CleanCustomers[Channel],MATCH(B878,T_CleanCustomers[Customer_ID],0)),"Unmatched")</f>
        <v>Partner</v>
      </c>
      <c r="O878" s="9" t="str">
        <f>IFERROR(INDEX(T_CleanCustomers[Product],MATCH(B878,T_CleanCustomers[Customer_ID],0)),"Unmatched")</f>
        <v>Fuel Card</v>
      </c>
      <c r="P878" s="9" t="str">
        <f>IFERROR(INDEX(T_CleanCustomers[Customer_Segment],MATCH(B878,T_CleanCustomers[Customer_ID],0)),"Unmatched")</f>
        <v>Mid-Market</v>
      </c>
    </row>
    <row r="879" spans="1:16" ht="15" customHeight="1" x14ac:dyDescent="0.2">
      <c r="A879" s="9" t="s">
        <v>2225</v>
      </c>
      <c r="B879" s="9" t="s">
        <v>1248</v>
      </c>
      <c r="C879" s="9" t="b">
        <f>TRUE()</f>
        <v>1</v>
      </c>
      <c r="D879" s="10">
        <v>45799</v>
      </c>
      <c r="E879" s="10">
        <v>45778</v>
      </c>
      <c r="F879" s="9" t="s">
        <v>1360</v>
      </c>
      <c r="G879" s="11">
        <v>11908.22</v>
      </c>
      <c r="H879" s="11">
        <v>283.57</v>
      </c>
      <c r="I879" s="9" t="b">
        <f>TRUE()</f>
        <v>1</v>
      </c>
      <c r="J879" s="9" t="s">
        <v>1361</v>
      </c>
      <c r="K879" s="11">
        <v>283.57</v>
      </c>
      <c r="L879" s="9" t="s">
        <v>21</v>
      </c>
      <c r="M879" s="9" t="str">
        <f>IFERROR(INDEX(T_CleanCustomers[Sales_Rep_ID],MATCH(B879,T_CleanCustomers[Customer_ID],0)),"Unmatched")</f>
        <v>REP009</v>
      </c>
      <c r="N879" s="9" t="str">
        <f>IFERROR(INDEX(T_CleanCustomers[Channel],MATCH(B879,T_CleanCustomers[Customer_ID],0)),"Unmatched")</f>
        <v>Partner</v>
      </c>
      <c r="O879" s="9" t="str">
        <f>IFERROR(INDEX(T_CleanCustomers[Product],MATCH(B879,T_CleanCustomers[Customer_ID],0)),"Unmatched")</f>
        <v>Fuel Card</v>
      </c>
      <c r="P879" s="9" t="str">
        <f>IFERROR(INDEX(T_CleanCustomers[Customer_Segment],MATCH(B879,T_CleanCustomers[Customer_ID],0)),"Unmatched")</f>
        <v>Mid-Market</v>
      </c>
    </row>
    <row r="880" spans="1:16" ht="15" customHeight="1" x14ac:dyDescent="0.2">
      <c r="A880" s="9" t="s">
        <v>2226</v>
      </c>
      <c r="B880" s="9" t="s">
        <v>1248</v>
      </c>
      <c r="C880" s="9" t="b">
        <f>TRUE()</f>
        <v>1</v>
      </c>
      <c r="D880" s="10">
        <v>45834</v>
      </c>
      <c r="E880" s="10">
        <v>45809</v>
      </c>
      <c r="F880" s="9" t="s">
        <v>1360</v>
      </c>
      <c r="G880" s="11">
        <v>10000.879999999999</v>
      </c>
      <c r="H880" s="11">
        <v>286.77</v>
      </c>
      <c r="I880" s="9" t="b">
        <f>TRUE()</f>
        <v>1</v>
      </c>
      <c r="J880" s="9" t="s">
        <v>1361</v>
      </c>
      <c r="K880" s="11">
        <v>286.77</v>
      </c>
      <c r="L880" s="9" t="s">
        <v>21</v>
      </c>
      <c r="M880" s="9" t="str">
        <f>IFERROR(INDEX(T_CleanCustomers[Sales_Rep_ID],MATCH(B880,T_CleanCustomers[Customer_ID],0)),"Unmatched")</f>
        <v>REP009</v>
      </c>
      <c r="N880" s="9" t="str">
        <f>IFERROR(INDEX(T_CleanCustomers[Channel],MATCH(B880,T_CleanCustomers[Customer_ID],0)),"Unmatched")</f>
        <v>Partner</v>
      </c>
      <c r="O880" s="9" t="str">
        <f>IFERROR(INDEX(T_CleanCustomers[Product],MATCH(B880,T_CleanCustomers[Customer_ID],0)),"Unmatched")</f>
        <v>Fuel Card</v>
      </c>
      <c r="P880" s="9" t="str">
        <f>IFERROR(INDEX(T_CleanCustomers[Customer_Segment],MATCH(B880,T_CleanCustomers[Customer_ID],0)),"Unmatched")</f>
        <v>Mid-Market</v>
      </c>
    </row>
    <row r="881" spans="1:16" ht="15" customHeight="1" x14ac:dyDescent="0.2">
      <c r="A881" s="9" t="s">
        <v>2227</v>
      </c>
      <c r="B881" s="9" t="s">
        <v>1248</v>
      </c>
      <c r="C881" s="9" t="b">
        <f>TRUE()</f>
        <v>1</v>
      </c>
      <c r="D881" s="10">
        <v>45809</v>
      </c>
      <c r="E881" s="10">
        <v>45809</v>
      </c>
      <c r="F881" s="9" t="s">
        <v>1360</v>
      </c>
      <c r="G881" s="11">
        <v>17582.7</v>
      </c>
      <c r="H881" s="11">
        <v>468.32</v>
      </c>
      <c r="I881" s="9" t="b">
        <f>TRUE()</f>
        <v>1</v>
      </c>
      <c r="J881" s="9" t="s">
        <v>1361</v>
      </c>
      <c r="K881" s="11">
        <v>468.32</v>
      </c>
      <c r="L881" s="9" t="s">
        <v>21</v>
      </c>
      <c r="M881" s="9" t="str">
        <f>IFERROR(INDEX(T_CleanCustomers[Sales_Rep_ID],MATCH(B881,T_CleanCustomers[Customer_ID],0)),"Unmatched")</f>
        <v>REP009</v>
      </c>
      <c r="N881" s="9" t="str">
        <f>IFERROR(INDEX(T_CleanCustomers[Channel],MATCH(B881,T_CleanCustomers[Customer_ID],0)),"Unmatched")</f>
        <v>Partner</v>
      </c>
      <c r="O881" s="9" t="str">
        <f>IFERROR(INDEX(T_CleanCustomers[Product],MATCH(B881,T_CleanCustomers[Customer_ID],0)),"Unmatched")</f>
        <v>Fuel Card</v>
      </c>
      <c r="P881" s="9" t="str">
        <f>IFERROR(INDEX(T_CleanCustomers[Customer_Segment],MATCH(B881,T_CleanCustomers[Customer_ID],0)),"Unmatched")</f>
        <v>Mid-Market</v>
      </c>
    </row>
    <row r="882" spans="1:16" ht="15" customHeight="1" x14ac:dyDescent="0.2">
      <c r="A882" s="9" t="s">
        <v>2228</v>
      </c>
      <c r="B882" s="9" t="s">
        <v>1248</v>
      </c>
      <c r="C882" s="9" t="b">
        <f>TRUE()</f>
        <v>1</v>
      </c>
      <c r="D882" s="10">
        <v>45812</v>
      </c>
      <c r="E882" s="10">
        <v>45809</v>
      </c>
      <c r="F882" s="9" t="s">
        <v>1360</v>
      </c>
      <c r="G882" s="11">
        <v>5190.3100000000004</v>
      </c>
      <c r="H882" s="11">
        <v>121.02</v>
      </c>
      <c r="I882" s="9" t="b">
        <f>TRUE()</f>
        <v>1</v>
      </c>
      <c r="J882" s="9" t="s">
        <v>1361</v>
      </c>
      <c r="K882" s="11">
        <v>121.02</v>
      </c>
      <c r="L882" s="9" t="s">
        <v>21</v>
      </c>
      <c r="M882" s="9" t="str">
        <f>IFERROR(INDEX(T_CleanCustomers[Sales_Rep_ID],MATCH(B882,T_CleanCustomers[Customer_ID],0)),"Unmatched")</f>
        <v>REP009</v>
      </c>
      <c r="N882" s="9" t="str">
        <f>IFERROR(INDEX(T_CleanCustomers[Channel],MATCH(B882,T_CleanCustomers[Customer_ID],0)),"Unmatched")</f>
        <v>Partner</v>
      </c>
      <c r="O882" s="9" t="str">
        <f>IFERROR(INDEX(T_CleanCustomers[Product],MATCH(B882,T_CleanCustomers[Customer_ID],0)),"Unmatched")</f>
        <v>Fuel Card</v>
      </c>
      <c r="P882" s="9" t="str">
        <f>IFERROR(INDEX(T_CleanCustomers[Customer_Segment],MATCH(B882,T_CleanCustomers[Customer_ID],0)),"Unmatched")</f>
        <v>Mid-Market</v>
      </c>
    </row>
    <row r="883" spans="1:16" ht="15" customHeight="1" x14ac:dyDescent="0.2">
      <c r="A883" s="9" t="s">
        <v>2229</v>
      </c>
      <c r="B883" s="9" t="s">
        <v>1248</v>
      </c>
      <c r="C883" s="9" t="b">
        <f>TRUE()</f>
        <v>1</v>
      </c>
      <c r="D883" s="10">
        <v>45845</v>
      </c>
      <c r="E883" s="10">
        <v>45839</v>
      </c>
      <c r="F883" s="9" t="s">
        <v>1360</v>
      </c>
      <c r="G883" s="11">
        <v>16368.88</v>
      </c>
      <c r="H883" s="11">
        <v>368.44</v>
      </c>
      <c r="I883" s="9" t="b">
        <f>TRUE()</f>
        <v>1</v>
      </c>
      <c r="J883" s="9" t="s">
        <v>1361</v>
      </c>
      <c r="K883" s="11">
        <v>368.44</v>
      </c>
      <c r="L883" s="9" t="s">
        <v>21</v>
      </c>
      <c r="M883" s="9" t="str">
        <f>IFERROR(INDEX(T_CleanCustomers[Sales_Rep_ID],MATCH(B883,T_CleanCustomers[Customer_ID],0)),"Unmatched")</f>
        <v>REP009</v>
      </c>
      <c r="N883" s="9" t="str">
        <f>IFERROR(INDEX(T_CleanCustomers[Channel],MATCH(B883,T_CleanCustomers[Customer_ID],0)),"Unmatched")</f>
        <v>Partner</v>
      </c>
      <c r="O883" s="9" t="str">
        <f>IFERROR(INDEX(T_CleanCustomers[Product],MATCH(B883,T_CleanCustomers[Customer_ID],0)),"Unmatched")</f>
        <v>Fuel Card</v>
      </c>
      <c r="P883" s="9" t="str">
        <f>IFERROR(INDEX(T_CleanCustomers[Customer_Segment],MATCH(B883,T_CleanCustomers[Customer_ID],0)),"Unmatched")</f>
        <v>Mid-Market</v>
      </c>
    </row>
    <row r="884" spans="1:16" ht="15" customHeight="1" x14ac:dyDescent="0.2">
      <c r="A884" s="9" t="s">
        <v>2230</v>
      </c>
      <c r="B884" s="9" t="s">
        <v>1248</v>
      </c>
      <c r="C884" s="9" t="b">
        <f>TRUE()</f>
        <v>1</v>
      </c>
      <c r="D884" s="10">
        <v>45875</v>
      </c>
      <c r="E884" s="10">
        <v>45870</v>
      </c>
      <c r="F884" s="9" t="s">
        <v>1360</v>
      </c>
      <c r="G884" s="11">
        <v>14468.85</v>
      </c>
      <c r="H884" s="11">
        <v>325.14</v>
      </c>
      <c r="I884" s="9" t="b">
        <f>TRUE()</f>
        <v>1</v>
      </c>
      <c r="J884" s="9" t="s">
        <v>1361</v>
      </c>
      <c r="K884" s="11">
        <v>325.14</v>
      </c>
      <c r="L884" s="9" t="s">
        <v>21</v>
      </c>
      <c r="M884" s="9" t="str">
        <f>IFERROR(INDEX(T_CleanCustomers[Sales_Rep_ID],MATCH(B884,T_CleanCustomers[Customer_ID],0)),"Unmatched")</f>
        <v>REP009</v>
      </c>
      <c r="N884" s="9" t="str">
        <f>IFERROR(INDEX(T_CleanCustomers[Channel],MATCH(B884,T_CleanCustomers[Customer_ID],0)),"Unmatched")</f>
        <v>Partner</v>
      </c>
      <c r="O884" s="9" t="str">
        <f>IFERROR(INDEX(T_CleanCustomers[Product],MATCH(B884,T_CleanCustomers[Customer_ID],0)),"Unmatched")</f>
        <v>Fuel Card</v>
      </c>
      <c r="P884" s="9" t="str">
        <f>IFERROR(INDEX(T_CleanCustomers[Customer_Segment],MATCH(B884,T_CleanCustomers[Customer_ID],0)),"Unmatched")</f>
        <v>Mid-Market</v>
      </c>
    </row>
    <row r="885" spans="1:16" ht="15" customHeight="1" x14ac:dyDescent="0.2">
      <c r="A885" s="9" t="s">
        <v>2231</v>
      </c>
      <c r="B885" s="9" t="s">
        <v>1248</v>
      </c>
      <c r="C885" s="9" t="b">
        <f>TRUE()</f>
        <v>1</v>
      </c>
      <c r="D885" s="10">
        <v>45880</v>
      </c>
      <c r="E885" s="10">
        <v>45870</v>
      </c>
      <c r="F885" s="9" t="s">
        <v>1360</v>
      </c>
      <c r="G885" s="11">
        <v>4785.8599999999997</v>
      </c>
      <c r="H885" s="11">
        <v>132.69</v>
      </c>
      <c r="I885" s="9" t="b">
        <f>TRUE()</f>
        <v>1</v>
      </c>
      <c r="J885" s="9" t="s">
        <v>1361</v>
      </c>
      <c r="K885" s="11">
        <v>132.69</v>
      </c>
      <c r="L885" s="9" t="s">
        <v>21</v>
      </c>
      <c r="M885" s="9" t="str">
        <f>IFERROR(INDEX(T_CleanCustomers[Sales_Rep_ID],MATCH(B885,T_CleanCustomers[Customer_ID],0)),"Unmatched")</f>
        <v>REP009</v>
      </c>
      <c r="N885" s="9" t="str">
        <f>IFERROR(INDEX(T_CleanCustomers[Channel],MATCH(B885,T_CleanCustomers[Customer_ID],0)),"Unmatched")</f>
        <v>Partner</v>
      </c>
      <c r="O885" s="9" t="str">
        <f>IFERROR(INDEX(T_CleanCustomers[Product],MATCH(B885,T_CleanCustomers[Customer_ID],0)),"Unmatched")</f>
        <v>Fuel Card</v>
      </c>
      <c r="P885" s="9" t="str">
        <f>IFERROR(INDEX(T_CleanCustomers[Customer_Segment],MATCH(B885,T_CleanCustomers[Customer_ID],0)),"Unmatched")</f>
        <v>Mid-Market</v>
      </c>
    </row>
    <row r="886" spans="1:16" ht="15" customHeight="1" x14ac:dyDescent="0.2">
      <c r="A886" s="9" t="s">
        <v>2232</v>
      </c>
      <c r="B886" s="9" t="s">
        <v>1248</v>
      </c>
      <c r="C886" s="9" t="b">
        <f>TRUE()</f>
        <v>1</v>
      </c>
      <c r="D886" s="10">
        <v>45897</v>
      </c>
      <c r="E886" s="10">
        <v>45870</v>
      </c>
      <c r="F886" s="9" t="s">
        <v>1360</v>
      </c>
      <c r="G886" s="11">
        <v>13888.04</v>
      </c>
      <c r="H886" s="11">
        <v>297.94</v>
      </c>
      <c r="I886" s="9" t="b">
        <f>TRUE()</f>
        <v>1</v>
      </c>
      <c r="J886" s="9" t="s">
        <v>1361</v>
      </c>
      <c r="K886" s="11">
        <v>297.94</v>
      </c>
      <c r="L886" s="9" t="s">
        <v>21</v>
      </c>
      <c r="M886" s="9" t="str">
        <f>IFERROR(INDEX(T_CleanCustomers[Sales_Rep_ID],MATCH(B886,T_CleanCustomers[Customer_ID],0)),"Unmatched")</f>
        <v>REP009</v>
      </c>
      <c r="N886" s="9" t="str">
        <f>IFERROR(INDEX(T_CleanCustomers[Channel],MATCH(B886,T_CleanCustomers[Customer_ID],0)),"Unmatched")</f>
        <v>Partner</v>
      </c>
      <c r="O886" s="9" t="str">
        <f>IFERROR(INDEX(T_CleanCustomers[Product],MATCH(B886,T_CleanCustomers[Customer_ID],0)),"Unmatched")</f>
        <v>Fuel Card</v>
      </c>
      <c r="P886" s="9" t="str">
        <f>IFERROR(INDEX(T_CleanCustomers[Customer_Segment],MATCH(B886,T_CleanCustomers[Customer_ID],0)),"Unmatched")</f>
        <v>Mid-Market</v>
      </c>
    </row>
    <row r="887" spans="1:16" ht="15" customHeight="1" x14ac:dyDescent="0.2">
      <c r="A887" s="9" t="s">
        <v>2233</v>
      </c>
      <c r="B887" s="9" t="s">
        <v>1248</v>
      </c>
      <c r="C887" s="9" t="b">
        <f>TRUE()</f>
        <v>1</v>
      </c>
      <c r="D887" s="10">
        <v>45911</v>
      </c>
      <c r="E887" s="10">
        <v>45901</v>
      </c>
      <c r="F887" s="9" t="s">
        <v>1360</v>
      </c>
      <c r="G887" s="11">
        <v>17375.07</v>
      </c>
      <c r="H887" s="11">
        <v>410.53</v>
      </c>
      <c r="I887" s="9" t="b">
        <f>TRUE()</f>
        <v>1</v>
      </c>
      <c r="J887" s="9" t="s">
        <v>1361</v>
      </c>
      <c r="K887" s="11">
        <v>410.53</v>
      </c>
      <c r="L887" s="9" t="s">
        <v>21</v>
      </c>
      <c r="M887" s="9" t="str">
        <f>IFERROR(INDEX(T_CleanCustomers[Sales_Rep_ID],MATCH(B887,T_CleanCustomers[Customer_ID],0)),"Unmatched")</f>
        <v>REP009</v>
      </c>
      <c r="N887" s="9" t="str">
        <f>IFERROR(INDEX(T_CleanCustomers[Channel],MATCH(B887,T_CleanCustomers[Customer_ID],0)),"Unmatched")</f>
        <v>Partner</v>
      </c>
      <c r="O887" s="9" t="str">
        <f>IFERROR(INDEX(T_CleanCustomers[Product],MATCH(B887,T_CleanCustomers[Customer_ID],0)),"Unmatched")</f>
        <v>Fuel Card</v>
      </c>
      <c r="P887" s="9" t="str">
        <f>IFERROR(INDEX(T_CleanCustomers[Customer_Segment],MATCH(B887,T_CleanCustomers[Customer_ID],0)),"Unmatched")</f>
        <v>Mid-Market</v>
      </c>
    </row>
    <row r="888" spans="1:16" ht="15" customHeight="1" x14ac:dyDescent="0.2">
      <c r="A888" s="9" t="s">
        <v>2234</v>
      </c>
      <c r="B888" s="9" t="s">
        <v>1248</v>
      </c>
      <c r="C888" s="9" t="b">
        <f>TRUE()</f>
        <v>1</v>
      </c>
      <c r="D888" s="10">
        <v>45902</v>
      </c>
      <c r="E888" s="10">
        <v>45901</v>
      </c>
      <c r="F888" s="9" t="s">
        <v>1360</v>
      </c>
      <c r="G888" s="11">
        <v>9506.11</v>
      </c>
      <c r="H888" s="11">
        <v>217.91</v>
      </c>
      <c r="I888" s="9" t="b">
        <f>TRUE()</f>
        <v>1</v>
      </c>
      <c r="J888" s="9" t="s">
        <v>1361</v>
      </c>
      <c r="K888" s="11">
        <v>217.91</v>
      </c>
      <c r="L888" s="9" t="s">
        <v>21</v>
      </c>
      <c r="M888" s="9" t="str">
        <f>IFERROR(INDEX(T_CleanCustomers[Sales_Rep_ID],MATCH(B888,T_CleanCustomers[Customer_ID],0)),"Unmatched")</f>
        <v>REP009</v>
      </c>
      <c r="N888" s="9" t="str">
        <f>IFERROR(INDEX(T_CleanCustomers[Channel],MATCH(B888,T_CleanCustomers[Customer_ID],0)),"Unmatched")</f>
        <v>Partner</v>
      </c>
      <c r="O888" s="9" t="str">
        <f>IFERROR(INDEX(T_CleanCustomers[Product],MATCH(B888,T_CleanCustomers[Customer_ID],0)),"Unmatched")</f>
        <v>Fuel Card</v>
      </c>
      <c r="P888" s="9" t="str">
        <f>IFERROR(INDEX(T_CleanCustomers[Customer_Segment],MATCH(B888,T_CleanCustomers[Customer_ID],0)),"Unmatched")</f>
        <v>Mid-Market</v>
      </c>
    </row>
    <row r="889" spans="1:16" ht="15" customHeight="1" x14ac:dyDescent="0.2">
      <c r="A889" s="9" t="s">
        <v>2235</v>
      </c>
      <c r="B889" s="9" t="s">
        <v>1248</v>
      </c>
      <c r="C889" s="9" t="b">
        <f>TRUE()</f>
        <v>1</v>
      </c>
      <c r="D889" s="10">
        <v>45941</v>
      </c>
      <c r="E889" s="10">
        <v>45931</v>
      </c>
      <c r="F889" s="9" t="s">
        <v>1360</v>
      </c>
      <c r="G889" s="11">
        <v>16113.94</v>
      </c>
      <c r="H889" s="11">
        <v>461.53</v>
      </c>
      <c r="I889" s="9" t="b">
        <f>TRUE()</f>
        <v>1</v>
      </c>
      <c r="J889" s="9" t="s">
        <v>1361</v>
      </c>
      <c r="K889" s="11">
        <v>461.53</v>
      </c>
      <c r="L889" s="9" t="s">
        <v>21</v>
      </c>
      <c r="M889" s="9" t="str">
        <f>IFERROR(INDEX(T_CleanCustomers[Sales_Rep_ID],MATCH(B889,T_CleanCustomers[Customer_ID],0)),"Unmatched")</f>
        <v>REP009</v>
      </c>
      <c r="N889" s="9" t="str">
        <f>IFERROR(INDEX(T_CleanCustomers[Channel],MATCH(B889,T_CleanCustomers[Customer_ID],0)),"Unmatched")</f>
        <v>Partner</v>
      </c>
      <c r="O889" s="9" t="str">
        <f>IFERROR(INDEX(T_CleanCustomers[Product],MATCH(B889,T_CleanCustomers[Customer_ID],0)),"Unmatched")</f>
        <v>Fuel Card</v>
      </c>
      <c r="P889" s="9" t="str">
        <f>IFERROR(INDEX(T_CleanCustomers[Customer_Segment],MATCH(B889,T_CleanCustomers[Customer_ID],0)),"Unmatched")</f>
        <v>Mid-Market</v>
      </c>
    </row>
    <row r="890" spans="1:16" ht="15" customHeight="1" x14ac:dyDescent="0.2">
      <c r="A890" s="9" t="s">
        <v>2236</v>
      </c>
      <c r="B890" s="9" t="s">
        <v>1250</v>
      </c>
      <c r="C890" s="9" t="b">
        <f>TRUE()</f>
        <v>1</v>
      </c>
      <c r="D890" s="10">
        <v>45958</v>
      </c>
      <c r="E890" s="10">
        <v>45931</v>
      </c>
      <c r="F890" s="9" t="s">
        <v>1423</v>
      </c>
      <c r="G890" s="11">
        <v>4043.54</v>
      </c>
      <c r="H890" s="11">
        <v>132.30000000000001</v>
      </c>
      <c r="I890" s="9" t="b">
        <f>TRUE()</f>
        <v>1</v>
      </c>
      <c r="J890" s="9" t="s">
        <v>1361</v>
      </c>
      <c r="K890" s="11">
        <v>132.30000000000001</v>
      </c>
      <c r="L890" s="9" t="s">
        <v>22</v>
      </c>
      <c r="M890" s="9" t="str">
        <f>IFERROR(INDEX(T_CleanCustomers[Sales_Rep_ID],MATCH(B890,T_CleanCustomers[Customer_ID],0)),"Unmatched")</f>
        <v>REP005</v>
      </c>
      <c r="N890" s="9" t="str">
        <f>IFERROR(INDEX(T_CleanCustomers[Channel],MATCH(B890,T_CleanCustomers[Customer_ID],0)),"Unmatched")</f>
        <v>Direct Sales</v>
      </c>
      <c r="O890" s="9" t="str">
        <f>IFERROR(INDEX(T_CleanCustomers[Product],MATCH(B890,T_CleanCustomers[Customer_ID],0)),"Unmatched")</f>
        <v>EV Charge Card</v>
      </c>
      <c r="P890" s="9" t="str">
        <f>IFERROR(INDEX(T_CleanCustomers[Customer_Segment],MATCH(B890,T_CleanCustomers[Customer_ID],0)),"Unmatched")</f>
        <v>SME</v>
      </c>
    </row>
    <row r="891" spans="1:16" ht="15" customHeight="1" x14ac:dyDescent="0.2">
      <c r="A891" s="9" t="s">
        <v>2237</v>
      </c>
      <c r="B891" s="9" t="s">
        <v>1250</v>
      </c>
      <c r="C891" s="9" t="b">
        <f>TRUE()</f>
        <v>1</v>
      </c>
      <c r="D891" s="10">
        <v>45984</v>
      </c>
      <c r="E891" s="10">
        <v>45962</v>
      </c>
      <c r="F891" s="9" t="s">
        <v>1423</v>
      </c>
      <c r="G891" s="11">
        <v>5209.42</v>
      </c>
      <c r="H891" s="11">
        <v>162.13</v>
      </c>
      <c r="I891" s="9" t="b">
        <f>TRUE()</f>
        <v>1</v>
      </c>
      <c r="J891" s="9" t="s">
        <v>1361</v>
      </c>
      <c r="K891" s="11">
        <v>162.13</v>
      </c>
      <c r="L891" s="9" t="s">
        <v>22</v>
      </c>
      <c r="M891" s="9" t="str">
        <f>IFERROR(INDEX(T_CleanCustomers[Sales_Rep_ID],MATCH(B891,T_CleanCustomers[Customer_ID],0)),"Unmatched")</f>
        <v>REP005</v>
      </c>
      <c r="N891" s="9" t="str">
        <f>IFERROR(INDEX(T_CleanCustomers[Channel],MATCH(B891,T_CleanCustomers[Customer_ID],0)),"Unmatched")</f>
        <v>Direct Sales</v>
      </c>
      <c r="O891" s="9" t="str">
        <f>IFERROR(INDEX(T_CleanCustomers[Product],MATCH(B891,T_CleanCustomers[Customer_ID],0)),"Unmatched")</f>
        <v>EV Charge Card</v>
      </c>
      <c r="P891" s="9" t="str">
        <f>IFERROR(INDEX(T_CleanCustomers[Customer_Segment],MATCH(B891,T_CleanCustomers[Customer_ID],0)),"Unmatched")</f>
        <v>SME</v>
      </c>
    </row>
    <row r="892" spans="1:16" ht="15" customHeight="1" x14ac:dyDescent="0.2">
      <c r="A892" s="9" t="s">
        <v>2238</v>
      </c>
      <c r="B892" s="9" t="s">
        <v>1250</v>
      </c>
      <c r="C892" s="9" t="b">
        <f>TRUE()</f>
        <v>1</v>
      </c>
      <c r="D892" s="10">
        <v>45968</v>
      </c>
      <c r="E892" s="10">
        <v>45962</v>
      </c>
      <c r="F892" s="9" t="s">
        <v>1423</v>
      </c>
      <c r="G892" s="11">
        <v>2450.9899999999998</v>
      </c>
      <c r="H892" s="11">
        <v>71.069999999999993</v>
      </c>
      <c r="I892" s="9" t="b">
        <f>TRUE()</f>
        <v>1</v>
      </c>
      <c r="J892" s="9" t="s">
        <v>1361</v>
      </c>
      <c r="K892" s="11">
        <v>71.069999999999993</v>
      </c>
      <c r="L892" s="9" t="s">
        <v>22</v>
      </c>
      <c r="M892" s="9" t="str">
        <f>IFERROR(INDEX(T_CleanCustomers[Sales_Rep_ID],MATCH(B892,T_CleanCustomers[Customer_ID],0)),"Unmatched")</f>
        <v>REP005</v>
      </c>
      <c r="N892" s="9" t="str">
        <f>IFERROR(INDEX(T_CleanCustomers[Channel],MATCH(B892,T_CleanCustomers[Customer_ID],0)),"Unmatched")</f>
        <v>Direct Sales</v>
      </c>
      <c r="O892" s="9" t="str">
        <f>IFERROR(INDEX(T_CleanCustomers[Product],MATCH(B892,T_CleanCustomers[Customer_ID],0)),"Unmatched")</f>
        <v>EV Charge Card</v>
      </c>
      <c r="P892" s="9" t="str">
        <f>IFERROR(INDEX(T_CleanCustomers[Customer_Segment],MATCH(B892,T_CleanCustomers[Customer_ID],0)),"Unmatched")</f>
        <v>SME</v>
      </c>
    </row>
    <row r="893" spans="1:16" ht="15" customHeight="1" x14ac:dyDescent="0.2">
      <c r="A893" s="9" t="s">
        <v>2239</v>
      </c>
      <c r="B893" s="9" t="s">
        <v>1250</v>
      </c>
      <c r="C893" s="9" t="b">
        <f>TRUE()</f>
        <v>1</v>
      </c>
      <c r="D893" s="10">
        <v>46013</v>
      </c>
      <c r="E893" s="10">
        <v>45992</v>
      </c>
      <c r="F893" s="9" t="s">
        <v>1423</v>
      </c>
      <c r="G893" s="11">
        <v>2806.06</v>
      </c>
      <c r="H893" s="11">
        <v>79.14</v>
      </c>
      <c r="I893" s="9" t="b">
        <f>TRUE()</f>
        <v>1</v>
      </c>
      <c r="J893" s="9" t="s">
        <v>1361</v>
      </c>
      <c r="K893" s="11">
        <v>79.14</v>
      </c>
      <c r="L893" s="9" t="s">
        <v>22</v>
      </c>
      <c r="M893" s="9" t="str">
        <f>IFERROR(INDEX(T_CleanCustomers[Sales_Rep_ID],MATCH(B893,T_CleanCustomers[Customer_ID],0)),"Unmatched")</f>
        <v>REP005</v>
      </c>
      <c r="N893" s="9" t="str">
        <f>IFERROR(INDEX(T_CleanCustomers[Channel],MATCH(B893,T_CleanCustomers[Customer_ID],0)),"Unmatched")</f>
        <v>Direct Sales</v>
      </c>
      <c r="O893" s="9" t="str">
        <f>IFERROR(INDEX(T_CleanCustomers[Product],MATCH(B893,T_CleanCustomers[Customer_ID],0)),"Unmatched")</f>
        <v>EV Charge Card</v>
      </c>
      <c r="P893" s="9" t="str">
        <f>IFERROR(INDEX(T_CleanCustomers[Customer_Segment],MATCH(B893,T_CleanCustomers[Customer_ID],0)),"Unmatched")</f>
        <v>SME</v>
      </c>
    </row>
    <row r="894" spans="1:16" ht="15" customHeight="1" x14ac:dyDescent="0.2">
      <c r="A894" s="9" t="s">
        <v>2240</v>
      </c>
      <c r="B894" s="9" t="s">
        <v>1250</v>
      </c>
      <c r="C894" s="9" t="b">
        <f>TRUE()</f>
        <v>1</v>
      </c>
      <c r="D894" s="10">
        <v>46020</v>
      </c>
      <c r="E894" s="10">
        <v>45992</v>
      </c>
      <c r="F894" s="9" t="s">
        <v>1423</v>
      </c>
      <c r="G894" s="11">
        <v>4870.43</v>
      </c>
      <c r="H894" s="11">
        <v>137.77000000000001</v>
      </c>
      <c r="I894" s="9" t="b">
        <f>TRUE()</f>
        <v>1</v>
      </c>
      <c r="J894" s="9" t="s">
        <v>1361</v>
      </c>
      <c r="K894" s="11">
        <v>137.77000000000001</v>
      </c>
      <c r="L894" s="9" t="s">
        <v>22</v>
      </c>
      <c r="M894" s="9" t="str">
        <f>IFERROR(INDEX(T_CleanCustomers[Sales_Rep_ID],MATCH(B894,T_CleanCustomers[Customer_ID],0)),"Unmatched")</f>
        <v>REP005</v>
      </c>
      <c r="N894" s="9" t="str">
        <f>IFERROR(INDEX(T_CleanCustomers[Channel],MATCH(B894,T_CleanCustomers[Customer_ID],0)),"Unmatched")</f>
        <v>Direct Sales</v>
      </c>
      <c r="O894" s="9" t="str">
        <f>IFERROR(INDEX(T_CleanCustomers[Product],MATCH(B894,T_CleanCustomers[Customer_ID],0)),"Unmatched")</f>
        <v>EV Charge Card</v>
      </c>
      <c r="P894" s="9" t="str">
        <f>IFERROR(INDEX(T_CleanCustomers[Customer_Segment],MATCH(B894,T_CleanCustomers[Customer_ID],0)),"Unmatched")</f>
        <v>SME</v>
      </c>
    </row>
    <row r="895" spans="1:16" ht="15" customHeight="1" x14ac:dyDescent="0.2">
      <c r="A895" s="9" t="s">
        <v>2241</v>
      </c>
      <c r="B895" s="9" t="s">
        <v>1252</v>
      </c>
      <c r="C895" s="9" t="b">
        <f>TRUE()</f>
        <v>1</v>
      </c>
      <c r="D895" s="10">
        <v>46022</v>
      </c>
      <c r="E895" s="10">
        <v>45992</v>
      </c>
      <c r="F895" s="9" t="s">
        <v>1423</v>
      </c>
      <c r="G895" s="11">
        <v>5091.6899999999996</v>
      </c>
      <c r="H895" s="11">
        <v>156.88</v>
      </c>
      <c r="I895" s="9" t="b">
        <f>TRUE()</f>
        <v>1</v>
      </c>
      <c r="J895" s="9" t="s">
        <v>1361</v>
      </c>
      <c r="K895" s="11">
        <v>156.88</v>
      </c>
      <c r="L895" s="9" t="s">
        <v>19</v>
      </c>
      <c r="M895" s="9" t="str">
        <f>IFERROR(INDEX(T_CleanCustomers[Sales_Rep_ID],MATCH(B895,T_CleanCustomers[Customer_ID],0)),"Unmatched")</f>
        <v>REP014</v>
      </c>
      <c r="N895" s="9" t="str">
        <f>IFERROR(INDEX(T_CleanCustomers[Channel],MATCH(B895,T_CleanCustomers[Customer_ID],0)),"Unmatched")</f>
        <v>Partner</v>
      </c>
      <c r="O895" s="9" t="str">
        <f>IFERROR(INDEX(T_CleanCustomers[Product],MATCH(B895,T_CleanCustomers[Customer_ID],0)),"Unmatched")</f>
        <v>EV Charge Card</v>
      </c>
      <c r="P895" s="9" t="str">
        <f>IFERROR(INDEX(T_CleanCustomers[Customer_Segment],MATCH(B895,T_CleanCustomers[Customer_ID],0)),"Unmatched")</f>
        <v>SME</v>
      </c>
    </row>
    <row r="896" spans="1:16" ht="15" customHeight="1" x14ac:dyDescent="0.2">
      <c r="A896" s="9" t="s">
        <v>2242</v>
      </c>
      <c r="B896" s="9" t="s">
        <v>1252</v>
      </c>
      <c r="C896" s="9" t="b">
        <f>TRUE()</f>
        <v>1</v>
      </c>
      <c r="D896" s="10">
        <v>46015</v>
      </c>
      <c r="E896" s="10">
        <v>45992</v>
      </c>
      <c r="F896" s="9" t="s">
        <v>1423</v>
      </c>
      <c r="G896" s="11">
        <v>2074.27</v>
      </c>
      <c r="H896" s="11">
        <v>61.94</v>
      </c>
      <c r="I896" s="9" t="b">
        <f>TRUE()</f>
        <v>1</v>
      </c>
      <c r="J896" s="9" t="s">
        <v>1361</v>
      </c>
      <c r="K896" s="11">
        <v>61.94</v>
      </c>
      <c r="L896" s="9" t="s">
        <v>19</v>
      </c>
      <c r="M896" s="9" t="str">
        <f>IFERROR(INDEX(T_CleanCustomers[Sales_Rep_ID],MATCH(B896,T_CleanCustomers[Customer_ID],0)),"Unmatched")</f>
        <v>REP014</v>
      </c>
      <c r="N896" s="9" t="str">
        <f>IFERROR(INDEX(T_CleanCustomers[Channel],MATCH(B896,T_CleanCustomers[Customer_ID],0)),"Unmatched")</f>
        <v>Partner</v>
      </c>
      <c r="O896" s="9" t="str">
        <f>IFERROR(INDEX(T_CleanCustomers[Product],MATCH(B896,T_CleanCustomers[Customer_ID],0)),"Unmatched")</f>
        <v>EV Charge Card</v>
      </c>
      <c r="P896" s="9" t="str">
        <f>IFERROR(INDEX(T_CleanCustomers[Customer_Segment],MATCH(B896,T_CleanCustomers[Customer_ID],0)),"Unmatched")</f>
        <v>SME</v>
      </c>
    </row>
    <row r="897" spans="1:16" ht="15" customHeight="1" x14ac:dyDescent="0.2">
      <c r="A897" s="9" t="s">
        <v>2243</v>
      </c>
      <c r="B897" s="9" t="s">
        <v>1252</v>
      </c>
      <c r="C897" s="9" t="b">
        <f>TRUE()</f>
        <v>1</v>
      </c>
      <c r="D897" s="10">
        <v>46014</v>
      </c>
      <c r="E897" s="10">
        <v>45992</v>
      </c>
      <c r="F897" s="9" t="s">
        <v>1423</v>
      </c>
      <c r="G897" s="11">
        <v>1270.51</v>
      </c>
      <c r="H897" s="11">
        <v>0</v>
      </c>
      <c r="I897" s="9" t="b">
        <f>TRUE()</f>
        <v>1</v>
      </c>
      <c r="J897" s="9" t="s">
        <v>1408</v>
      </c>
      <c r="K897" s="11">
        <v>0</v>
      </c>
      <c r="L897" s="9" t="s">
        <v>19</v>
      </c>
      <c r="M897" s="9" t="str">
        <f>IFERROR(INDEX(T_CleanCustomers[Sales_Rep_ID],MATCH(B897,T_CleanCustomers[Customer_ID],0)),"Unmatched")</f>
        <v>REP014</v>
      </c>
      <c r="N897" s="9" t="str">
        <f>IFERROR(INDEX(T_CleanCustomers[Channel],MATCH(B897,T_CleanCustomers[Customer_ID],0)),"Unmatched")</f>
        <v>Partner</v>
      </c>
      <c r="O897" s="9" t="str">
        <f>IFERROR(INDEX(T_CleanCustomers[Product],MATCH(B897,T_CleanCustomers[Customer_ID],0)),"Unmatched")</f>
        <v>EV Charge Card</v>
      </c>
      <c r="P897" s="9" t="str">
        <f>IFERROR(INDEX(T_CleanCustomers[Customer_Segment],MATCH(B897,T_CleanCustomers[Customer_ID],0)),"Unmatched")</f>
        <v>SME</v>
      </c>
    </row>
    <row r="898" spans="1:16" ht="15" customHeight="1" x14ac:dyDescent="0.2">
      <c r="A898" s="9" t="s">
        <v>2244</v>
      </c>
      <c r="B898" s="9" t="s">
        <v>1253</v>
      </c>
      <c r="C898" s="9" t="b">
        <f>TRUE()</f>
        <v>1</v>
      </c>
      <c r="D898" s="10">
        <v>45741</v>
      </c>
      <c r="E898" s="10">
        <v>45717</v>
      </c>
      <c r="F898" s="9" t="s">
        <v>1373</v>
      </c>
      <c r="G898" s="11">
        <v>5061.5600000000004</v>
      </c>
      <c r="H898" s="11">
        <v>91.65</v>
      </c>
      <c r="I898" s="9" t="b">
        <f>TRUE()</f>
        <v>1</v>
      </c>
      <c r="J898" s="9" t="s">
        <v>1361</v>
      </c>
      <c r="K898" s="11">
        <v>91.65</v>
      </c>
      <c r="L898" s="9" t="s">
        <v>20</v>
      </c>
      <c r="M898" s="9" t="str">
        <f>IFERROR(INDEX(T_CleanCustomers[Sales_Rep_ID],MATCH(B898,T_CleanCustomers[Customer_ID],0)),"Unmatched")</f>
        <v>REP003</v>
      </c>
      <c r="N898" s="9" t="str">
        <f>IFERROR(INDEX(T_CleanCustomers[Channel],MATCH(B898,T_CleanCustomers[Customer_ID],0)),"Unmatched")</f>
        <v>Direct Sales</v>
      </c>
      <c r="O898" s="9" t="str">
        <f>IFERROR(INDEX(T_CleanCustomers[Product],MATCH(B898,T_CleanCustomers[Customer_ID],0)),"Unmatched")</f>
        <v>Toll Solution</v>
      </c>
      <c r="P898" s="9" t="str">
        <f>IFERROR(INDEX(T_CleanCustomers[Customer_Segment],MATCH(B898,T_CleanCustomers[Customer_ID],0)),"Unmatched")</f>
        <v>SME</v>
      </c>
    </row>
    <row r="899" spans="1:16" ht="15" customHeight="1" x14ac:dyDescent="0.2">
      <c r="A899" s="9" t="s">
        <v>2245</v>
      </c>
      <c r="B899" s="9" t="s">
        <v>1253</v>
      </c>
      <c r="C899" s="9" t="b">
        <f>TRUE()</f>
        <v>1</v>
      </c>
      <c r="D899" s="10">
        <v>45734</v>
      </c>
      <c r="E899" s="10">
        <v>45717</v>
      </c>
      <c r="F899" s="9" t="s">
        <v>1373</v>
      </c>
      <c r="G899" s="11">
        <v>4464.7</v>
      </c>
      <c r="H899" s="11">
        <v>88.41</v>
      </c>
      <c r="I899" s="9" t="b">
        <f>TRUE()</f>
        <v>1</v>
      </c>
      <c r="J899" s="9" t="s">
        <v>1361</v>
      </c>
      <c r="K899" s="11">
        <v>88.41</v>
      </c>
      <c r="L899" s="9" t="s">
        <v>20</v>
      </c>
      <c r="M899" s="9" t="str">
        <f>IFERROR(INDEX(T_CleanCustomers[Sales_Rep_ID],MATCH(B899,T_CleanCustomers[Customer_ID],0)),"Unmatched")</f>
        <v>REP003</v>
      </c>
      <c r="N899" s="9" t="str">
        <f>IFERROR(INDEX(T_CleanCustomers[Channel],MATCH(B899,T_CleanCustomers[Customer_ID],0)),"Unmatched")</f>
        <v>Direct Sales</v>
      </c>
      <c r="O899" s="9" t="str">
        <f>IFERROR(INDEX(T_CleanCustomers[Product],MATCH(B899,T_CleanCustomers[Customer_ID],0)),"Unmatched")</f>
        <v>Toll Solution</v>
      </c>
      <c r="P899" s="9" t="str">
        <f>IFERROR(INDEX(T_CleanCustomers[Customer_Segment],MATCH(B899,T_CleanCustomers[Customer_ID],0)),"Unmatched")</f>
        <v>SME</v>
      </c>
    </row>
    <row r="900" spans="1:16" ht="15" customHeight="1" x14ac:dyDescent="0.2">
      <c r="A900" s="9" t="s">
        <v>2246</v>
      </c>
      <c r="B900" s="9" t="s">
        <v>1253</v>
      </c>
      <c r="C900" s="9" t="b">
        <f>TRUE()</f>
        <v>1</v>
      </c>
      <c r="D900" s="10">
        <v>45750</v>
      </c>
      <c r="E900" s="10">
        <v>45748</v>
      </c>
      <c r="F900" s="9" t="s">
        <v>1373</v>
      </c>
      <c r="G900" s="11">
        <v>3535.05</v>
      </c>
      <c r="H900" s="11">
        <v>59.09</v>
      </c>
      <c r="I900" s="9" t="b">
        <f>TRUE()</f>
        <v>1</v>
      </c>
      <c r="J900" s="9" t="s">
        <v>1361</v>
      </c>
      <c r="K900" s="11">
        <v>59.09</v>
      </c>
      <c r="L900" s="9" t="s">
        <v>20</v>
      </c>
      <c r="M900" s="9" t="str">
        <f>IFERROR(INDEX(T_CleanCustomers[Sales_Rep_ID],MATCH(B900,T_CleanCustomers[Customer_ID],0)),"Unmatched")</f>
        <v>REP003</v>
      </c>
      <c r="N900" s="9" t="str">
        <f>IFERROR(INDEX(T_CleanCustomers[Channel],MATCH(B900,T_CleanCustomers[Customer_ID],0)),"Unmatched")</f>
        <v>Direct Sales</v>
      </c>
      <c r="O900" s="9" t="str">
        <f>IFERROR(INDEX(T_CleanCustomers[Product],MATCH(B900,T_CleanCustomers[Customer_ID],0)),"Unmatched")</f>
        <v>Toll Solution</v>
      </c>
      <c r="P900" s="9" t="str">
        <f>IFERROR(INDEX(T_CleanCustomers[Customer_Segment],MATCH(B900,T_CleanCustomers[Customer_ID],0)),"Unmatched")</f>
        <v>SME</v>
      </c>
    </row>
    <row r="901" spans="1:16" ht="15" customHeight="1" x14ac:dyDescent="0.2">
      <c r="A901" s="9" t="s">
        <v>2247</v>
      </c>
      <c r="B901" s="9" t="s">
        <v>1253</v>
      </c>
      <c r="C901" s="9" t="b">
        <f>TRUE()</f>
        <v>1</v>
      </c>
      <c r="D901" s="10">
        <v>45806</v>
      </c>
      <c r="E901" s="10">
        <v>45778</v>
      </c>
      <c r="F901" s="9" t="s">
        <v>1373</v>
      </c>
      <c r="G901" s="11">
        <v>4338.2299999999996</v>
      </c>
      <c r="H901" s="11">
        <v>67.19</v>
      </c>
      <c r="I901" s="9" t="b">
        <f>TRUE()</f>
        <v>1</v>
      </c>
      <c r="J901" s="9" t="s">
        <v>1361</v>
      </c>
      <c r="K901" s="11">
        <v>67.19</v>
      </c>
      <c r="L901" s="9" t="s">
        <v>20</v>
      </c>
      <c r="M901" s="9" t="str">
        <f>IFERROR(INDEX(T_CleanCustomers[Sales_Rep_ID],MATCH(B901,T_CleanCustomers[Customer_ID],0)),"Unmatched")</f>
        <v>REP003</v>
      </c>
      <c r="N901" s="9" t="str">
        <f>IFERROR(INDEX(T_CleanCustomers[Channel],MATCH(B901,T_CleanCustomers[Customer_ID],0)),"Unmatched")</f>
        <v>Direct Sales</v>
      </c>
      <c r="O901" s="9" t="str">
        <f>IFERROR(INDEX(T_CleanCustomers[Product],MATCH(B901,T_CleanCustomers[Customer_ID],0)),"Unmatched")</f>
        <v>Toll Solution</v>
      </c>
      <c r="P901" s="9" t="str">
        <f>IFERROR(INDEX(T_CleanCustomers[Customer_Segment],MATCH(B901,T_CleanCustomers[Customer_ID],0)),"Unmatched")</f>
        <v>SME</v>
      </c>
    </row>
    <row r="902" spans="1:16" ht="15" customHeight="1" x14ac:dyDescent="0.2">
      <c r="A902" s="9" t="s">
        <v>2248</v>
      </c>
      <c r="B902" s="9" t="s">
        <v>1253</v>
      </c>
      <c r="C902" s="9" t="b">
        <f>TRUE()</f>
        <v>1</v>
      </c>
      <c r="D902" s="10">
        <v>45821</v>
      </c>
      <c r="E902" s="10">
        <v>45809</v>
      </c>
      <c r="F902" s="9" t="s">
        <v>1373</v>
      </c>
      <c r="G902" s="11">
        <v>5249.07</v>
      </c>
      <c r="H902" s="11">
        <v>80.52</v>
      </c>
      <c r="I902" s="9" t="b">
        <f>TRUE()</f>
        <v>1</v>
      </c>
      <c r="J902" s="9" t="s">
        <v>1361</v>
      </c>
      <c r="K902" s="11">
        <v>80.52</v>
      </c>
      <c r="L902" s="9" t="s">
        <v>20</v>
      </c>
      <c r="M902" s="9" t="str">
        <f>IFERROR(INDEX(T_CleanCustomers[Sales_Rep_ID],MATCH(B902,T_CleanCustomers[Customer_ID],0)),"Unmatched")</f>
        <v>REP003</v>
      </c>
      <c r="N902" s="9" t="str">
        <f>IFERROR(INDEX(T_CleanCustomers[Channel],MATCH(B902,T_CleanCustomers[Customer_ID],0)),"Unmatched")</f>
        <v>Direct Sales</v>
      </c>
      <c r="O902" s="9" t="str">
        <f>IFERROR(INDEX(T_CleanCustomers[Product],MATCH(B902,T_CleanCustomers[Customer_ID],0)),"Unmatched")</f>
        <v>Toll Solution</v>
      </c>
      <c r="P902" s="9" t="str">
        <f>IFERROR(INDEX(T_CleanCustomers[Customer_Segment],MATCH(B902,T_CleanCustomers[Customer_ID],0)),"Unmatched")</f>
        <v>SME</v>
      </c>
    </row>
    <row r="903" spans="1:16" ht="15" customHeight="1" x14ac:dyDescent="0.2">
      <c r="A903" s="9" t="s">
        <v>2249</v>
      </c>
      <c r="B903" s="9" t="s">
        <v>1253</v>
      </c>
      <c r="C903" s="9" t="b">
        <f>TRUE()</f>
        <v>1</v>
      </c>
      <c r="D903" s="10">
        <v>45846</v>
      </c>
      <c r="E903" s="10">
        <v>45839</v>
      </c>
      <c r="F903" s="9" t="s">
        <v>1373</v>
      </c>
      <c r="G903" s="11">
        <v>1979.66</v>
      </c>
      <c r="H903" s="11">
        <v>33.51</v>
      </c>
      <c r="I903" s="9" t="b">
        <f>TRUE()</f>
        <v>1</v>
      </c>
      <c r="J903" s="9" t="s">
        <v>1361</v>
      </c>
      <c r="K903" s="11">
        <v>33.51</v>
      </c>
      <c r="L903" s="9" t="s">
        <v>20</v>
      </c>
      <c r="M903" s="9" t="str">
        <f>IFERROR(INDEX(T_CleanCustomers[Sales_Rep_ID],MATCH(B903,T_CleanCustomers[Customer_ID],0)),"Unmatched")</f>
        <v>REP003</v>
      </c>
      <c r="N903" s="9" t="str">
        <f>IFERROR(INDEX(T_CleanCustomers[Channel],MATCH(B903,T_CleanCustomers[Customer_ID],0)),"Unmatched")</f>
        <v>Direct Sales</v>
      </c>
      <c r="O903" s="9" t="str">
        <f>IFERROR(INDEX(T_CleanCustomers[Product],MATCH(B903,T_CleanCustomers[Customer_ID],0)),"Unmatched")</f>
        <v>Toll Solution</v>
      </c>
      <c r="P903" s="9" t="str">
        <f>IFERROR(INDEX(T_CleanCustomers[Customer_Segment],MATCH(B903,T_CleanCustomers[Customer_ID],0)),"Unmatched")</f>
        <v>SME</v>
      </c>
    </row>
    <row r="904" spans="1:16" ht="15" customHeight="1" x14ac:dyDescent="0.2">
      <c r="A904" s="9" t="s">
        <v>2250</v>
      </c>
      <c r="B904" s="9" t="s">
        <v>1253</v>
      </c>
      <c r="C904" s="9" t="b">
        <f>TRUE()</f>
        <v>1</v>
      </c>
      <c r="D904" s="10">
        <v>45859</v>
      </c>
      <c r="E904" s="10">
        <v>45839</v>
      </c>
      <c r="F904" s="9" t="s">
        <v>1373</v>
      </c>
      <c r="G904" s="11">
        <v>4237.92</v>
      </c>
      <c r="H904" s="11">
        <v>66.680000000000007</v>
      </c>
      <c r="I904" s="9" t="b">
        <f>TRUE()</f>
        <v>1</v>
      </c>
      <c r="J904" s="9" t="s">
        <v>1361</v>
      </c>
      <c r="K904" s="11">
        <v>66.680000000000007</v>
      </c>
      <c r="L904" s="9" t="s">
        <v>20</v>
      </c>
      <c r="M904" s="9" t="str">
        <f>IFERROR(INDEX(T_CleanCustomers[Sales_Rep_ID],MATCH(B904,T_CleanCustomers[Customer_ID],0)),"Unmatched")</f>
        <v>REP003</v>
      </c>
      <c r="N904" s="9" t="str">
        <f>IFERROR(INDEX(T_CleanCustomers[Channel],MATCH(B904,T_CleanCustomers[Customer_ID],0)),"Unmatched")</f>
        <v>Direct Sales</v>
      </c>
      <c r="O904" s="9" t="str">
        <f>IFERROR(INDEX(T_CleanCustomers[Product],MATCH(B904,T_CleanCustomers[Customer_ID],0)),"Unmatched")</f>
        <v>Toll Solution</v>
      </c>
      <c r="P904" s="9" t="str">
        <f>IFERROR(INDEX(T_CleanCustomers[Customer_Segment],MATCH(B904,T_CleanCustomers[Customer_ID],0)),"Unmatched")</f>
        <v>SME</v>
      </c>
    </row>
    <row r="905" spans="1:16" ht="15" customHeight="1" x14ac:dyDescent="0.2">
      <c r="A905" s="9" t="s">
        <v>2251</v>
      </c>
      <c r="B905" s="9" t="s">
        <v>1253</v>
      </c>
      <c r="C905" s="9" t="b">
        <f>TRUE()</f>
        <v>1</v>
      </c>
      <c r="D905" s="10">
        <v>45879</v>
      </c>
      <c r="E905" s="10">
        <v>45870</v>
      </c>
      <c r="F905" s="9" t="s">
        <v>1373</v>
      </c>
      <c r="G905" s="11">
        <v>2403.29</v>
      </c>
      <c r="H905" s="11">
        <v>46.49</v>
      </c>
      <c r="I905" s="9" t="b">
        <f>TRUE()</f>
        <v>1</v>
      </c>
      <c r="J905" s="9" t="s">
        <v>1361</v>
      </c>
      <c r="K905" s="11">
        <v>46.49</v>
      </c>
      <c r="L905" s="9" t="s">
        <v>20</v>
      </c>
      <c r="M905" s="9" t="str">
        <f>IFERROR(INDEX(T_CleanCustomers[Sales_Rep_ID],MATCH(B905,T_CleanCustomers[Customer_ID],0)),"Unmatched")</f>
        <v>REP003</v>
      </c>
      <c r="N905" s="9" t="str">
        <f>IFERROR(INDEX(T_CleanCustomers[Channel],MATCH(B905,T_CleanCustomers[Customer_ID],0)),"Unmatched")</f>
        <v>Direct Sales</v>
      </c>
      <c r="O905" s="9" t="str">
        <f>IFERROR(INDEX(T_CleanCustomers[Product],MATCH(B905,T_CleanCustomers[Customer_ID],0)),"Unmatched")</f>
        <v>Toll Solution</v>
      </c>
      <c r="P905" s="9" t="str">
        <f>IFERROR(INDEX(T_CleanCustomers[Customer_Segment],MATCH(B905,T_CleanCustomers[Customer_ID],0)),"Unmatched")</f>
        <v>SME</v>
      </c>
    </row>
    <row r="906" spans="1:16" ht="15" customHeight="1" x14ac:dyDescent="0.2">
      <c r="A906" s="9" t="s">
        <v>2252</v>
      </c>
      <c r="B906" s="9" t="s">
        <v>1253</v>
      </c>
      <c r="C906" s="9" t="b">
        <f>TRUE()</f>
        <v>1</v>
      </c>
      <c r="D906" s="10">
        <v>45887</v>
      </c>
      <c r="E906" s="10">
        <v>45870</v>
      </c>
      <c r="F906" s="9" t="s">
        <v>1373</v>
      </c>
      <c r="G906" s="11">
        <v>1387.41</v>
      </c>
      <c r="H906" s="11">
        <v>24.04</v>
      </c>
      <c r="I906" s="9" t="b">
        <f>TRUE()</f>
        <v>1</v>
      </c>
      <c r="J906" s="9" t="s">
        <v>1361</v>
      </c>
      <c r="K906" s="11">
        <v>24.04</v>
      </c>
      <c r="L906" s="9" t="s">
        <v>20</v>
      </c>
      <c r="M906" s="9" t="str">
        <f>IFERROR(INDEX(T_CleanCustomers[Sales_Rep_ID],MATCH(B906,T_CleanCustomers[Customer_ID],0)),"Unmatched")</f>
        <v>REP003</v>
      </c>
      <c r="N906" s="9" t="str">
        <f>IFERROR(INDEX(T_CleanCustomers[Channel],MATCH(B906,T_CleanCustomers[Customer_ID],0)),"Unmatched")</f>
        <v>Direct Sales</v>
      </c>
      <c r="O906" s="9" t="str">
        <f>IFERROR(INDEX(T_CleanCustomers[Product],MATCH(B906,T_CleanCustomers[Customer_ID],0)),"Unmatched")</f>
        <v>Toll Solution</v>
      </c>
      <c r="P906" s="9" t="str">
        <f>IFERROR(INDEX(T_CleanCustomers[Customer_Segment],MATCH(B906,T_CleanCustomers[Customer_ID],0)),"Unmatched")</f>
        <v>SME</v>
      </c>
    </row>
    <row r="907" spans="1:16" ht="15" customHeight="1" x14ac:dyDescent="0.2">
      <c r="A907" s="9" t="s">
        <v>2253</v>
      </c>
      <c r="B907" s="9" t="s">
        <v>1253</v>
      </c>
      <c r="C907" s="9" t="b">
        <f>TRUE()</f>
        <v>1</v>
      </c>
      <c r="D907" s="10">
        <v>45880</v>
      </c>
      <c r="E907" s="10">
        <v>45870</v>
      </c>
      <c r="F907" s="9" t="s">
        <v>1373</v>
      </c>
      <c r="G907" s="11">
        <v>4261.88</v>
      </c>
      <c r="H907" s="11">
        <v>69.010000000000005</v>
      </c>
      <c r="I907" s="9" t="b">
        <f>TRUE()</f>
        <v>1</v>
      </c>
      <c r="J907" s="9" t="s">
        <v>1361</v>
      </c>
      <c r="K907" s="11">
        <v>69.010000000000005</v>
      </c>
      <c r="L907" s="9" t="s">
        <v>20</v>
      </c>
      <c r="M907" s="9" t="str">
        <f>IFERROR(INDEX(T_CleanCustomers[Sales_Rep_ID],MATCH(B907,T_CleanCustomers[Customer_ID],0)),"Unmatched")</f>
        <v>REP003</v>
      </c>
      <c r="N907" s="9" t="str">
        <f>IFERROR(INDEX(T_CleanCustomers[Channel],MATCH(B907,T_CleanCustomers[Customer_ID],0)),"Unmatched")</f>
        <v>Direct Sales</v>
      </c>
      <c r="O907" s="9" t="str">
        <f>IFERROR(INDEX(T_CleanCustomers[Product],MATCH(B907,T_CleanCustomers[Customer_ID],0)),"Unmatched")</f>
        <v>Toll Solution</v>
      </c>
      <c r="P907" s="9" t="str">
        <f>IFERROR(INDEX(T_CleanCustomers[Customer_Segment],MATCH(B907,T_CleanCustomers[Customer_ID],0)),"Unmatched")</f>
        <v>SME</v>
      </c>
    </row>
    <row r="908" spans="1:16" ht="15" customHeight="1" x14ac:dyDescent="0.2">
      <c r="A908" s="9" t="s">
        <v>2254</v>
      </c>
      <c r="B908" s="9" t="s">
        <v>1253</v>
      </c>
      <c r="C908" s="9" t="b">
        <f>TRUE()</f>
        <v>1</v>
      </c>
      <c r="D908" s="10">
        <v>45923</v>
      </c>
      <c r="E908" s="10">
        <v>45901</v>
      </c>
      <c r="F908" s="9" t="s">
        <v>1373</v>
      </c>
      <c r="G908" s="11">
        <v>1776.65</v>
      </c>
      <c r="H908" s="11">
        <v>28.45</v>
      </c>
      <c r="I908" s="9" t="b">
        <f>TRUE()</f>
        <v>1</v>
      </c>
      <c r="J908" s="9" t="s">
        <v>1361</v>
      </c>
      <c r="K908" s="11">
        <v>28.45</v>
      </c>
      <c r="L908" s="9" t="s">
        <v>20</v>
      </c>
      <c r="M908" s="9" t="str">
        <f>IFERROR(INDEX(T_CleanCustomers[Sales_Rep_ID],MATCH(B908,T_CleanCustomers[Customer_ID],0)),"Unmatched")</f>
        <v>REP003</v>
      </c>
      <c r="N908" s="9" t="str">
        <f>IFERROR(INDEX(T_CleanCustomers[Channel],MATCH(B908,T_CleanCustomers[Customer_ID],0)),"Unmatched")</f>
        <v>Direct Sales</v>
      </c>
      <c r="O908" s="9" t="str">
        <f>IFERROR(INDEX(T_CleanCustomers[Product],MATCH(B908,T_CleanCustomers[Customer_ID],0)),"Unmatched")</f>
        <v>Toll Solution</v>
      </c>
      <c r="P908" s="9" t="str">
        <f>IFERROR(INDEX(T_CleanCustomers[Customer_Segment],MATCH(B908,T_CleanCustomers[Customer_ID],0)),"Unmatched")</f>
        <v>SME</v>
      </c>
    </row>
    <row r="909" spans="1:16" ht="15" customHeight="1" x14ac:dyDescent="0.2">
      <c r="A909" s="9" t="s">
        <v>2255</v>
      </c>
      <c r="B909" s="9" t="s">
        <v>1253</v>
      </c>
      <c r="C909" s="9" t="b">
        <f>TRUE()</f>
        <v>1</v>
      </c>
      <c r="D909" s="10">
        <v>45908</v>
      </c>
      <c r="E909" s="10">
        <v>45901</v>
      </c>
      <c r="F909" s="9" t="s">
        <v>1373</v>
      </c>
      <c r="G909" s="11">
        <v>2238.62</v>
      </c>
      <c r="H909" s="11">
        <v>36.630000000000003</v>
      </c>
      <c r="I909" s="9" t="b">
        <f>TRUE()</f>
        <v>1</v>
      </c>
      <c r="J909" s="9" t="s">
        <v>1361</v>
      </c>
      <c r="K909" s="11">
        <v>36.630000000000003</v>
      </c>
      <c r="L909" s="9" t="s">
        <v>20</v>
      </c>
      <c r="M909" s="9" t="str">
        <f>IFERROR(INDEX(T_CleanCustomers[Sales_Rep_ID],MATCH(B909,T_CleanCustomers[Customer_ID],0)),"Unmatched")</f>
        <v>REP003</v>
      </c>
      <c r="N909" s="9" t="str">
        <f>IFERROR(INDEX(T_CleanCustomers[Channel],MATCH(B909,T_CleanCustomers[Customer_ID],0)),"Unmatched")</f>
        <v>Direct Sales</v>
      </c>
      <c r="O909" s="9" t="str">
        <f>IFERROR(INDEX(T_CleanCustomers[Product],MATCH(B909,T_CleanCustomers[Customer_ID],0)),"Unmatched")</f>
        <v>Toll Solution</v>
      </c>
      <c r="P909" s="9" t="str">
        <f>IFERROR(INDEX(T_CleanCustomers[Customer_Segment],MATCH(B909,T_CleanCustomers[Customer_ID],0)),"Unmatched")</f>
        <v>SME</v>
      </c>
    </row>
    <row r="910" spans="1:16" ht="15" customHeight="1" x14ac:dyDescent="0.2">
      <c r="A910" s="9" t="s">
        <v>2256</v>
      </c>
      <c r="B910" s="9" t="s">
        <v>1253</v>
      </c>
      <c r="C910" s="9" t="b">
        <f>TRUE()</f>
        <v>1</v>
      </c>
      <c r="D910" s="10">
        <v>45959</v>
      </c>
      <c r="E910" s="10">
        <v>45931</v>
      </c>
      <c r="F910" s="9" t="s">
        <v>1373</v>
      </c>
      <c r="G910" s="11">
        <v>2419.61</v>
      </c>
      <c r="H910" s="11">
        <v>47.11</v>
      </c>
      <c r="I910" s="9" t="b">
        <f>TRUE()</f>
        <v>1</v>
      </c>
      <c r="J910" s="9" t="s">
        <v>1361</v>
      </c>
      <c r="K910" s="11">
        <v>47.11</v>
      </c>
      <c r="L910" s="9" t="s">
        <v>20</v>
      </c>
      <c r="M910" s="9" t="str">
        <f>IFERROR(INDEX(T_CleanCustomers[Sales_Rep_ID],MATCH(B910,T_CleanCustomers[Customer_ID],0)),"Unmatched")</f>
        <v>REP003</v>
      </c>
      <c r="N910" s="9" t="str">
        <f>IFERROR(INDEX(T_CleanCustomers[Channel],MATCH(B910,T_CleanCustomers[Customer_ID],0)),"Unmatched")</f>
        <v>Direct Sales</v>
      </c>
      <c r="O910" s="9" t="str">
        <f>IFERROR(INDEX(T_CleanCustomers[Product],MATCH(B910,T_CleanCustomers[Customer_ID],0)),"Unmatched")</f>
        <v>Toll Solution</v>
      </c>
      <c r="P910" s="9" t="str">
        <f>IFERROR(INDEX(T_CleanCustomers[Customer_Segment],MATCH(B910,T_CleanCustomers[Customer_ID],0)),"Unmatched")</f>
        <v>SME</v>
      </c>
    </row>
    <row r="911" spans="1:16" ht="15" customHeight="1" x14ac:dyDescent="0.2">
      <c r="A911" s="9" t="s">
        <v>2257</v>
      </c>
      <c r="B911" s="9" t="s">
        <v>1253</v>
      </c>
      <c r="C911" s="9" t="b">
        <f>TRUE()</f>
        <v>1</v>
      </c>
      <c r="D911" s="10">
        <v>45940</v>
      </c>
      <c r="E911" s="10">
        <v>45931</v>
      </c>
      <c r="F911" s="9" t="s">
        <v>1373</v>
      </c>
      <c r="G911" s="11">
        <v>2670.28</v>
      </c>
      <c r="H911" s="11">
        <v>45.05</v>
      </c>
      <c r="I911" s="9" t="b">
        <f>TRUE()</f>
        <v>1</v>
      </c>
      <c r="J911" s="9" t="s">
        <v>1361</v>
      </c>
      <c r="K911" s="11">
        <v>45.05</v>
      </c>
      <c r="L911" s="9" t="s">
        <v>20</v>
      </c>
      <c r="M911" s="9" t="str">
        <f>IFERROR(INDEX(T_CleanCustomers[Sales_Rep_ID],MATCH(B911,T_CleanCustomers[Customer_ID],0)),"Unmatched")</f>
        <v>REP003</v>
      </c>
      <c r="N911" s="9" t="str">
        <f>IFERROR(INDEX(T_CleanCustomers[Channel],MATCH(B911,T_CleanCustomers[Customer_ID],0)),"Unmatched")</f>
        <v>Direct Sales</v>
      </c>
      <c r="O911" s="9" t="str">
        <f>IFERROR(INDEX(T_CleanCustomers[Product],MATCH(B911,T_CleanCustomers[Customer_ID],0)),"Unmatched")</f>
        <v>Toll Solution</v>
      </c>
      <c r="P911" s="9" t="str">
        <f>IFERROR(INDEX(T_CleanCustomers[Customer_Segment],MATCH(B911,T_CleanCustomers[Customer_ID],0)),"Unmatched")</f>
        <v>SME</v>
      </c>
    </row>
    <row r="912" spans="1:16" ht="15" customHeight="1" x14ac:dyDescent="0.2">
      <c r="A912" s="9" t="s">
        <v>2258</v>
      </c>
      <c r="B912" s="9" t="s">
        <v>1253</v>
      </c>
      <c r="C912" s="9" t="b">
        <f>TRUE()</f>
        <v>1</v>
      </c>
      <c r="D912" s="10">
        <v>45968</v>
      </c>
      <c r="E912" s="10">
        <v>45962</v>
      </c>
      <c r="F912" s="9" t="s">
        <v>1373</v>
      </c>
      <c r="G912" s="11">
        <v>4340.25</v>
      </c>
      <c r="H912" s="11">
        <v>70.489999999999995</v>
      </c>
      <c r="I912" s="9" t="b">
        <f>TRUE()</f>
        <v>1</v>
      </c>
      <c r="J912" s="9" t="s">
        <v>1361</v>
      </c>
      <c r="K912" s="11">
        <v>70.489999999999995</v>
      </c>
      <c r="L912" s="9" t="s">
        <v>20</v>
      </c>
      <c r="M912" s="9" t="str">
        <f>IFERROR(INDEX(T_CleanCustomers[Sales_Rep_ID],MATCH(B912,T_CleanCustomers[Customer_ID],0)),"Unmatched")</f>
        <v>REP003</v>
      </c>
      <c r="N912" s="9" t="str">
        <f>IFERROR(INDEX(T_CleanCustomers[Channel],MATCH(B912,T_CleanCustomers[Customer_ID],0)),"Unmatched")</f>
        <v>Direct Sales</v>
      </c>
      <c r="O912" s="9" t="str">
        <f>IFERROR(INDEX(T_CleanCustomers[Product],MATCH(B912,T_CleanCustomers[Customer_ID],0)),"Unmatched")</f>
        <v>Toll Solution</v>
      </c>
      <c r="P912" s="9" t="str">
        <f>IFERROR(INDEX(T_CleanCustomers[Customer_Segment],MATCH(B912,T_CleanCustomers[Customer_ID],0)),"Unmatched")</f>
        <v>SME</v>
      </c>
    </row>
    <row r="913" spans="1:16" ht="15" customHeight="1" x14ac:dyDescent="0.2">
      <c r="A913" s="9" t="s">
        <v>2259</v>
      </c>
      <c r="B913" s="9" t="s">
        <v>1253</v>
      </c>
      <c r="C913" s="9" t="b">
        <f>TRUE()</f>
        <v>1</v>
      </c>
      <c r="D913" s="10">
        <v>46014</v>
      </c>
      <c r="E913" s="10">
        <v>45992</v>
      </c>
      <c r="F913" s="9" t="s">
        <v>1373</v>
      </c>
      <c r="G913" s="11">
        <v>4623.72</v>
      </c>
      <c r="H913" s="11">
        <v>72.2</v>
      </c>
      <c r="I913" s="9" t="b">
        <f>TRUE()</f>
        <v>1</v>
      </c>
      <c r="J913" s="9" t="s">
        <v>1361</v>
      </c>
      <c r="K913" s="11">
        <v>72.2</v>
      </c>
      <c r="L913" s="9" t="s">
        <v>20</v>
      </c>
      <c r="M913" s="9" t="str">
        <f>IFERROR(INDEX(T_CleanCustomers[Sales_Rep_ID],MATCH(B913,T_CleanCustomers[Customer_ID],0)),"Unmatched")</f>
        <v>REP003</v>
      </c>
      <c r="N913" s="9" t="str">
        <f>IFERROR(INDEX(T_CleanCustomers[Channel],MATCH(B913,T_CleanCustomers[Customer_ID],0)),"Unmatched")</f>
        <v>Direct Sales</v>
      </c>
      <c r="O913" s="9" t="str">
        <f>IFERROR(INDEX(T_CleanCustomers[Product],MATCH(B913,T_CleanCustomers[Customer_ID],0)),"Unmatched")</f>
        <v>Toll Solution</v>
      </c>
      <c r="P913" s="9" t="str">
        <f>IFERROR(INDEX(T_CleanCustomers[Customer_Segment],MATCH(B913,T_CleanCustomers[Customer_ID],0)),"Unmatched")</f>
        <v>SME</v>
      </c>
    </row>
    <row r="914" spans="1:16" ht="15" customHeight="1" x14ac:dyDescent="0.2">
      <c r="A914" s="9" t="s">
        <v>2260</v>
      </c>
      <c r="B914" s="9" t="s">
        <v>1253</v>
      </c>
      <c r="C914" s="9" t="b">
        <f>TRUE()</f>
        <v>1</v>
      </c>
      <c r="D914" s="10">
        <v>46010</v>
      </c>
      <c r="E914" s="10">
        <v>45992</v>
      </c>
      <c r="F914" s="9" t="s">
        <v>1373</v>
      </c>
      <c r="G914" s="11">
        <v>2873.71</v>
      </c>
      <c r="H914" s="11">
        <v>51.87</v>
      </c>
      <c r="I914" s="9" t="b">
        <f>TRUE()</f>
        <v>1</v>
      </c>
      <c r="J914" s="9" t="s">
        <v>1361</v>
      </c>
      <c r="K914" s="11">
        <v>51.87</v>
      </c>
      <c r="L914" s="9" t="s">
        <v>20</v>
      </c>
      <c r="M914" s="9" t="str">
        <f>IFERROR(INDEX(T_CleanCustomers[Sales_Rep_ID],MATCH(B914,T_CleanCustomers[Customer_ID],0)),"Unmatched")</f>
        <v>REP003</v>
      </c>
      <c r="N914" s="9" t="str">
        <f>IFERROR(INDEX(T_CleanCustomers[Channel],MATCH(B914,T_CleanCustomers[Customer_ID],0)),"Unmatched")</f>
        <v>Direct Sales</v>
      </c>
      <c r="O914" s="9" t="str">
        <f>IFERROR(INDEX(T_CleanCustomers[Product],MATCH(B914,T_CleanCustomers[Customer_ID],0)),"Unmatched")</f>
        <v>Toll Solution</v>
      </c>
      <c r="P914" s="9" t="str">
        <f>IFERROR(INDEX(T_CleanCustomers[Customer_Segment],MATCH(B914,T_CleanCustomers[Customer_ID],0)),"Unmatched")</f>
        <v>SME</v>
      </c>
    </row>
    <row r="915" spans="1:16" ht="15" customHeight="1" x14ac:dyDescent="0.2">
      <c r="A915" s="9" t="s">
        <v>2261</v>
      </c>
      <c r="B915" s="9" t="s">
        <v>1253</v>
      </c>
      <c r="C915" s="9" t="b">
        <f>TRUE()</f>
        <v>1</v>
      </c>
      <c r="D915" s="10">
        <v>46003</v>
      </c>
      <c r="E915" s="10">
        <v>45992</v>
      </c>
      <c r="F915" s="9" t="s">
        <v>1373</v>
      </c>
      <c r="G915" s="11">
        <v>4727.71</v>
      </c>
      <c r="H915" s="11">
        <v>86.74</v>
      </c>
      <c r="I915" s="9" t="b">
        <f>TRUE()</f>
        <v>1</v>
      </c>
      <c r="J915" s="9" t="s">
        <v>1361</v>
      </c>
      <c r="K915" s="11">
        <v>86.74</v>
      </c>
      <c r="L915" s="9" t="s">
        <v>20</v>
      </c>
      <c r="M915" s="9" t="str">
        <f>IFERROR(INDEX(T_CleanCustomers[Sales_Rep_ID],MATCH(B915,T_CleanCustomers[Customer_ID],0)),"Unmatched")</f>
        <v>REP003</v>
      </c>
      <c r="N915" s="9" t="str">
        <f>IFERROR(INDEX(T_CleanCustomers[Channel],MATCH(B915,T_CleanCustomers[Customer_ID],0)),"Unmatched")</f>
        <v>Direct Sales</v>
      </c>
      <c r="O915" s="9" t="str">
        <f>IFERROR(INDEX(T_CleanCustomers[Product],MATCH(B915,T_CleanCustomers[Customer_ID],0)),"Unmatched")</f>
        <v>Toll Solution</v>
      </c>
      <c r="P915" s="9" t="str">
        <f>IFERROR(INDEX(T_CleanCustomers[Customer_Segment],MATCH(B915,T_CleanCustomers[Customer_ID],0)),"Unmatched")</f>
        <v>SME</v>
      </c>
    </row>
    <row r="916" spans="1:16" ht="15" customHeight="1" x14ac:dyDescent="0.2">
      <c r="A916" s="9" t="s">
        <v>2262</v>
      </c>
      <c r="B916" s="9" t="s">
        <v>1256</v>
      </c>
      <c r="C916" s="9" t="b">
        <f>TRUE()</f>
        <v>1</v>
      </c>
      <c r="D916" s="10">
        <v>45764</v>
      </c>
      <c r="E916" s="10">
        <v>45748</v>
      </c>
      <c r="F916" s="9" t="s">
        <v>1360</v>
      </c>
      <c r="G916" s="11">
        <v>21341.26</v>
      </c>
      <c r="H916" s="11">
        <v>552.01</v>
      </c>
      <c r="I916" s="9" t="b">
        <f>TRUE()</f>
        <v>1</v>
      </c>
      <c r="J916" s="9" t="s">
        <v>1361</v>
      </c>
      <c r="K916" s="11">
        <v>552.01</v>
      </c>
      <c r="L916" s="9" t="s">
        <v>20</v>
      </c>
      <c r="M916" s="9" t="str">
        <f>IFERROR(INDEX(T_CleanCustomers[Sales_Rep_ID],MATCH(B916,T_CleanCustomers[Customer_ID],0)),"Unmatched")</f>
        <v>REP003</v>
      </c>
      <c r="N916" s="9" t="str">
        <f>IFERROR(INDEX(T_CleanCustomers[Channel],MATCH(B916,T_CleanCustomers[Customer_ID],0)),"Unmatched")</f>
        <v>Digital</v>
      </c>
      <c r="O916" s="9" t="str">
        <f>IFERROR(INDEX(T_CleanCustomers[Product],MATCH(B916,T_CleanCustomers[Customer_ID],0)),"Unmatched")</f>
        <v>Fuel Card</v>
      </c>
      <c r="P916" s="9" t="str">
        <f>IFERROR(INDEX(T_CleanCustomers[Customer_Segment],MATCH(B916,T_CleanCustomers[Customer_ID],0)),"Unmatched")</f>
        <v>Enterprise</v>
      </c>
    </row>
    <row r="917" spans="1:16" ht="15" customHeight="1" x14ac:dyDescent="0.2">
      <c r="A917" s="9" t="s">
        <v>2263</v>
      </c>
      <c r="B917" s="9" t="s">
        <v>1256</v>
      </c>
      <c r="C917" s="9" t="b">
        <f>TRUE()</f>
        <v>1</v>
      </c>
      <c r="D917" s="10">
        <v>45766</v>
      </c>
      <c r="E917" s="10">
        <v>45748</v>
      </c>
      <c r="F917" s="9" t="s">
        <v>1360</v>
      </c>
      <c r="G917" s="11">
        <v>45246.11</v>
      </c>
      <c r="H917" s="11">
        <v>1280.3</v>
      </c>
      <c r="I917" s="9" t="b">
        <f>TRUE()</f>
        <v>1</v>
      </c>
      <c r="J917" s="9" t="s">
        <v>1361</v>
      </c>
      <c r="K917" s="11">
        <v>1280.3</v>
      </c>
      <c r="L917" s="9" t="s">
        <v>20</v>
      </c>
      <c r="M917" s="9" t="str">
        <f>IFERROR(INDEX(T_CleanCustomers[Sales_Rep_ID],MATCH(B917,T_CleanCustomers[Customer_ID],0)),"Unmatched")</f>
        <v>REP003</v>
      </c>
      <c r="N917" s="9" t="str">
        <f>IFERROR(INDEX(T_CleanCustomers[Channel],MATCH(B917,T_CleanCustomers[Customer_ID],0)),"Unmatched")</f>
        <v>Digital</v>
      </c>
      <c r="O917" s="9" t="str">
        <f>IFERROR(INDEX(T_CleanCustomers[Product],MATCH(B917,T_CleanCustomers[Customer_ID],0)),"Unmatched")</f>
        <v>Fuel Card</v>
      </c>
      <c r="P917" s="9" t="str">
        <f>IFERROR(INDEX(T_CleanCustomers[Customer_Segment],MATCH(B917,T_CleanCustomers[Customer_ID],0)),"Unmatched")</f>
        <v>Enterprise</v>
      </c>
    </row>
    <row r="918" spans="1:16" ht="15" customHeight="1" x14ac:dyDescent="0.2">
      <c r="A918" s="9" t="s">
        <v>2264</v>
      </c>
      <c r="B918" s="9" t="s">
        <v>1256</v>
      </c>
      <c r="C918" s="9" t="b">
        <f>TRUE()</f>
        <v>1</v>
      </c>
      <c r="D918" s="10">
        <v>45795</v>
      </c>
      <c r="E918" s="10">
        <v>45778</v>
      </c>
      <c r="F918" s="9" t="s">
        <v>1360</v>
      </c>
      <c r="G918" s="11">
        <v>31522.46</v>
      </c>
      <c r="H918" s="11">
        <v>903.97</v>
      </c>
      <c r="I918" s="9" t="b">
        <f>TRUE()</f>
        <v>1</v>
      </c>
      <c r="J918" s="9" t="s">
        <v>1361</v>
      </c>
      <c r="K918" s="11">
        <v>903.97</v>
      </c>
      <c r="L918" s="9" t="s">
        <v>20</v>
      </c>
      <c r="M918" s="9" t="str">
        <f>IFERROR(INDEX(T_CleanCustomers[Sales_Rep_ID],MATCH(B918,T_CleanCustomers[Customer_ID],0)),"Unmatched")</f>
        <v>REP003</v>
      </c>
      <c r="N918" s="9" t="str">
        <f>IFERROR(INDEX(T_CleanCustomers[Channel],MATCH(B918,T_CleanCustomers[Customer_ID],0)),"Unmatched")</f>
        <v>Digital</v>
      </c>
      <c r="O918" s="9" t="str">
        <f>IFERROR(INDEX(T_CleanCustomers[Product],MATCH(B918,T_CleanCustomers[Customer_ID],0)),"Unmatched")</f>
        <v>Fuel Card</v>
      </c>
      <c r="P918" s="9" t="str">
        <f>IFERROR(INDEX(T_CleanCustomers[Customer_Segment],MATCH(B918,T_CleanCustomers[Customer_ID],0)),"Unmatched")</f>
        <v>Enterprise</v>
      </c>
    </row>
    <row r="919" spans="1:16" ht="15" customHeight="1" x14ac:dyDescent="0.2">
      <c r="A919" s="9" t="s">
        <v>2265</v>
      </c>
      <c r="B919" s="9" t="s">
        <v>1256</v>
      </c>
      <c r="C919" s="9" t="b">
        <f>TRUE()</f>
        <v>1</v>
      </c>
      <c r="D919" s="10">
        <v>45798</v>
      </c>
      <c r="E919" s="10">
        <v>45778</v>
      </c>
      <c r="F919" s="9" t="s">
        <v>1360</v>
      </c>
      <c r="G919" s="11">
        <v>27058.81</v>
      </c>
      <c r="H919" s="11">
        <v>665.44</v>
      </c>
      <c r="I919" s="9" t="b">
        <f>TRUE()</f>
        <v>1</v>
      </c>
      <c r="J919" s="9" t="s">
        <v>1361</v>
      </c>
      <c r="K919" s="11">
        <v>665.44</v>
      </c>
      <c r="L919" s="9" t="s">
        <v>20</v>
      </c>
      <c r="M919" s="9" t="str">
        <f>IFERROR(INDEX(T_CleanCustomers[Sales_Rep_ID],MATCH(B919,T_CleanCustomers[Customer_ID],0)),"Unmatched")</f>
        <v>REP003</v>
      </c>
      <c r="N919" s="9" t="str">
        <f>IFERROR(INDEX(T_CleanCustomers[Channel],MATCH(B919,T_CleanCustomers[Customer_ID],0)),"Unmatched")</f>
        <v>Digital</v>
      </c>
      <c r="O919" s="9" t="str">
        <f>IFERROR(INDEX(T_CleanCustomers[Product],MATCH(B919,T_CleanCustomers[Customer_ID],0)),"Unmatched")</f>
        <v>Fuel Card</v>
      </c>
      <c r="P919" s="9" t="str">
        <f>IFERROR(INDEX(T_CleanCustomers[Customer_Segment],MATCH(B919,T_CleanCustomers[Customer_ID],0)),"Unmatched")</f>
        <v>Enterprise</v>
      </c>
    </row>
    <row r="920" spans="1:16" ht="15" customHeight="1" x14ac:dyDescent="0.2">
      <c r="A920" s="9" t="s">
        <v>2266</v>
      </c>
      <c r="B920" s="9" t="s">
        <v>1256</v>
      </c>
      <c r="C920" s="9" t="b">
        <f>TRUE()</f>
        <v>1</v>
      </c>
      <c r="D920" s="10">
        <v>45838</v>
      </c>
      <c r="E920" s="10">
        <v>45809</v>
      </c>
      <c r="F920" s="9" t="s">
        <v>1360</v>
      </c>
      <c r="G920" s="11">
        <v>32321.07</v>
      </c>
      <c r="H920" s="11">
        <v>886.95</v>
      </c>
      <c r="I920" s="9" t="b">
        <f>TRUE()</f>
        <v>1</v>
      </c>
      <c r="J920" s="9" t="s">
        <v>1361</v>
      </c>
      <c r="K920" s="11">
        <v>886.95</v>
      </c>
      <c r="L920" s="9" t="s">
        <v>20</v>
      </c>
      <c r="M920" s="9" t="str">
        <f>IFERROR(INDEX(T_CleanCustomers[Sales_Rep_ID],MATCH(B920,T_CleanCustomers[Customer_ID],0)),"Unmatched")</f>
        <v>REP003</v>
      </c>
      <c r="N920" s="9" t="str">
        <f>IFERROR(INDEX(T_CleanCustomers[Channel],MATCH(B920,T_CleanCustomers[Customer_ID],0)),"Unmatched")</f>
        <v>Digital</v>
      </c>
      <c r="O920" s="9" t="str">
        <f>IFERROR(INDEX(T_CleanCustomers[Product],MATCH(B920,T_CleanCustomers[Customer_ID],0)),"Unmatched")</f>
        <v>Fuel Card</v>
      </c>
      <c r="P920" s="9" t="str">
        <f>IFERROR(INDEX(T_CleanCustomers[Customer_Segment],MATCH(B920,T_CleanCustomers[Customer_ID],0)),"Unmatched")</f>
        <v>Enterprise</v>
      </c>
    </row>
    <row r="921" spans="1:16" ht="15" customHeight="1" x14ac:dyDescent="0.2">
      <c r="A921" s="9" t="s">
        <v>2267</v>
      </c>
      <c r="B921" s="9" t="s">
        <v>1256</v>
      </c>
      <c r="C921" s="9" t="b">
        <f>TRUE()</f>
        <v>1</v>
      </c>
      <c r="D921" s="10">
        <v>45833</v>
      </c>
      <c r="E921" s="10">
        <v>45809</v>
      </c>
      <c r="F921" s="9" t="s">
        <v>1360</v>
      </c>
      <c r="G921" s="11">
        <v>54712.84</v>
      </c>
      <c r="H921" s="11">
        <v>1256.3399999999999</v>
      </c>
      <c r="I921" s="9" t="b">
        <f>TRUE()</f>
        <v>1</v>
      </c>
      <c r="J921" s="9" t="s">
        <v>1361</v>
      </c>
      <c r="K921" s="11">
        <v>1256.3399999999999</v>
      </c>
      <c r="L921" s="9" t="s">
        <v>20</v>
      </c>
      <c r="M921" s="9" t="str">
        <f>IFERROR(INDEX(T_CleanCustomers[Sales_Rep_ID],MATCH(B921,T_CleanCustomers[Customer_ID],0)),"Unmatched")</f>
        <v>REP003</v>
      </c>
      <c r="N921" s="9" t="str">
        <f>IFERROR(INDEX(T_CleanCustomers[Channel],MATCH(B921,T_CleanCustomers[Customer_ID],0)),"Unmatched")</f>
        <v>Digital</v>
      </c>
      <c r="O921" s="9" t="str">
        <f>IFERROR(INDEX(T_CleanCustomers[Product],MATCH(B921,T_CleanCustomers[Customer_ID],0)),"Unmatched")</f>
        <v>Fuel Card</v>
      </c>
      <c r="P921" s="9" t="str">
        <f>IFERROR(INDEX(T_CleanCustomers[Customer_Segment],MATCH(B921,T_CleanCustomers[Customer_ID],0)),"Unmatched")</f>
        <v>Enterprise</v>
      </c>
    </row>
    <row r="922" spans="1:16" ht="15" customHeight="1" x14ac:dyDescent="0.2">
      <c r="A922" s="9" t="s">
        <v>2268</v>
      </c>
      <c r="B922" s="9" t="s">
        <v>1256</v>
      </c>
      <c r="C922" s="9" t="b">
        <f>TRUE()</f>
        <v>1</v>
      </c>
      <c r="D922" s="10">
        <v>45834</v>
      </c>
      <c r="E922" s="10">
        <v>45809</v>
      </c>
      <c r="F922" s="9" t="s">
        <v>1360</v>
      </c>
      <c r="G922" s="11">
        <v>15335.37</v>
      </c>
      <c r="H922" s="11">
        <v>346.08</v>
      </c>
      <c r="I922" s="9" t="b">
        <f>TRUE()</f>
        <v>1</v>
      </c>
      <c r="J922" s="9" t="s">
        <v>1361</v>
      </c>
      <c r="K922" s="11">
        <v>346.08</v>
      </c>
      <c r="L922" s="9" t="s">
        <v>20</v>
      </c>
      <c r="M922" s="9" t="str">
        <f>IFERROR(INDEX(T_CleanCustomers[Sales_Rep_ID],MATCH(B922,T_CleanCustomers[Customer_ID],0)),"Unmatched")</f>
        <v>REP003</v>
      </c>
      <c r="N922" s="9" t="str">
        <f>IFERROR(INDEX(T_CleanCustomers[Channel],MATCH(B922,T_CleanCustomers[Customer_ID],0)),"Unmatched")</f>
        <v>Digital</v>
      </c>
      <c r="O922" s="9" t="str">
        <f>IFERROR(INDEX(T_CleanCustomers[Product],MATCH(B922,T_CleanCustomers[Customer_ID],0)),"Unmatched")</f>
        <v>Fuel Card</v>
      </c>
      <c r="P922" s="9" t="str">
        <f>IFERROR(INDEX(T_CleanCustomers[Customer_Segment],MATCH(B922,T_CleanCustomers[Customer_ID],0)),"Unmatched")</f>
        <v>Enterprise</v>
      </c>
    </row>
    <row r="923" spans="1:16" ht="15" customHeight="1" x14ac:dyDescent="0.2">
      <c r="A923" s="9" t="s">
        <v>2269</v>
      </c>
      <c r="B923" s="9" t="s">
        <v>1256</v>
      </c>
      <c r="C923" s="9" t="b">
        <f>TRUE()</f>
        <v>1</v>
      </c>
      <c r="D923" s="10">
        <v>45841</v>
      </c>
      <c r="E923" s="10">
        <v>45839</v>
      </c>
      <c r="F923" s="9" t="s">
        <v>1360</v>
      </c>
      <c r="G923" s="11">
        <v>50722.17</v>
      </c>
      <c r="H923" s="11">
        <v>1154.95</v>
      </c>
      <c r="I923" s="9" t="b">
        <f>TRUE()</f>
        <v>1</v>
      </c>
      <c r="J923" s="9" t="s">
        <v>1361</v>
      </c>
      <c r="K923" s="11">
        <v>1154.95</v>
      </c>
      <c r="L923" s="9" t="s">
        <v>20</v>
      </c>
      <c r="M923" s="9" t="str">
        <f>IFERROR(INDEX(T_CleanCustomers[Sales_Rep_ID],MATCH(B923,T_CleanCustomers[Customer_ID],0)),"Unmatched")</f>
        <v>REP003</v>
      </c>
      <c r="N923" s="9" t="str">
        <f>IFERROR(INDEX(T_CleanCustomers[Channel],MATCH(B923,T_CleanCustomers[Customer_ID],0)),"Unmatched")</f>
        <v>Digital</v>
      </c>
      <c r="O923" s="9" t="str">
        <f>IFERROR(INDEX(T_CleanCustomers[Product],MATCH(B923,T_CleanCustomers[Customer_ID],0)),"Unmatched")</f>
        <v>Fuel Card</v>
      </c>
      <c r="P923" s="9" t="str">
        <f>IFERROR(INDEX(T_CleanCustomers[Customer_Segment],MATCH(B923,T_CleanCustomers[Customer_ID],0)),"Unmatched")</f>
        <v>Enterprise</v>
      </c>
    </row>
    <row r="924" spans="1:16" ht="15" customHeight="1" x14ac:dyDescent="0.2">
      <c r="A924" s="9" t="s">
        <v>2270</v>
      </c>
      <c r="B924" s="9" t="s">
        <v>1256</v>
      </c>
      <c r="C924" s="9" t="b">
        <f>TRUE()</f>
        <v>1</v>
      </c>
      <c r="D924" s="10">
        <v>45894</v>
      </c>
      <c r="E924" s="10">
        <v>45870</v>
      </c>
      <c r="F924" s="9" t="s">
        <v>1360</v>
      </c>
      <c r="G924" s="11">
        <v>62562.23</v>
      </c>
      <c r="H924" s="11">
        <v>1689.29</v>
      </c>
      <c r="I924" s="9" t="b">
        <f>TRUE()</f>
        <v>1</v>
      </c>
      <c r="J924" s="9" t="s">
        <v>1361</v>
      </c>
      <c r="K924" s="11">
        <v>1689.29</v>
      </c>
      <c r="L924" s="9" t="s">
        <v>20</v>
      </c>
      <c r="M924" s="9" t="str">
        <f>IFERROR(INDEX(T_CleanCustomers[Sales_Rep_ID],MATCH(B924,T_CleanCustomers[Customer_ID],0)),"Unmatched")</f>
        <v>REP003</v>
      </c>
      <c r="N924" s="9" t="str">
        <f>IFERROR(INDEX(T_CleanCustomers[Channel],MATCH(B924,T_CleanCustomers[Customer_ID],0)),"Unmatched")</f>
        <v>Digital</v>
      </c>
      <c r="O924" s="9" t="str">
        <f>IFERROR(INDEX(T_CleanCustomers[Product],MATCH(B924,T_CleanCustomers[Customer_ID],0)),"Unmatched")</f>
        <v>Fuel Card</v>
      </c>
      <c r="P924" s="9" t="str">
        <f>IFERROR(INDEX(T_CleanCustomers[Customer_Segment],MATCH(B924,T_CleanCustomers[Customer_ID],0)),"Unmatched")</f>
        <v>Enterprise</v>
      </c>
    </row>
    <row r="925" spans="1:16" ht="15" customHeight="1" x14ac:dyDescent="0.2">
      <c r="A925" s="9" t="s">
        <v>2271</v>
      </c>
      <c r="B925" s="9" t="s">
        <v>1256</v>
      </c>
      <c r="C925" s="9" t="b">
        <f>TRUE()</f>
        <v>1</v>
      </c>
      <c r="D925" s="10">
        <v>45890</v>
      </c>
      <c r="E925" s="10">
        <v>45870</v>
      </c>
      <c r="F925" s="9" t="s">
        <v>1360</v>
      </c>
      <c r="G925" s="11">
        <v>57370.52</v>
      </c>
      <c r="H925" s="11">
        <v>1330.47</v>
      </c>
      <c r="I925" s="9" t="b">
        <f>TRUE()</f>
        <v>1</v>
      </c>
      <c r="J925" s="9" t="s">
        <v>1361</v>
      </c>
      <c r="K925" s="11">
        <v>1330.47</v>
      </c>
      <c r="L925" s="9" t="s">
        <v>20</v>
      </c>
      <c r="M925" s="9" t="str">
        <f>IFERROR(INDEX(T_CleanCustomers[Sales_Rep_ID],MATCH(B925,T_CleanCustomers[Customer_ID],0)),"Unmatched")</f>
        <v>REP003</v>
      </c>
      <c r="N925" s="9" t="str">
        <f>IFERROR(INDEX(T_CleanCustomers[Channel],MATCH(B925,T_CleanCustomers[Customer_ID],0)),"Unmatched")</f>
        <v>Digital</v>
      </c>
      <c r="O925" s="9" t="str">
        <f>IFERROR(INDEX(T_CleanCustomers[Product],MATCH(B925,T_CleanCustomers[Customer_ID],0)),"Unmatched")</f>
        <v>Fuel Card</v>
      </c>
      <c r="P925" s="9" t="str">
        <f>IFERROR(INDEX(T_CleanCustomers[Customer_Segment],MATCH(B925,T_CleanCustomers[Customer_ID],0)),"Unmatched")</f>
        <v>Enterprise</v>
      </c>
    </row>
    <row r="926" spans="1:16" ht="15" customHeight="1" x14ac:dyDescent="0.2">
      <c r="A926" s="9" t="s">
        <v>137</v>
      </c>
      <c r="B926" s="9" t="s">
        <v>1256</v>
      </c>
      <c r="C926" s="9" t="b">
        <f>TRUE()</f>
        <v>1</v>
      </c>
      <c r="D926" s="10">
        <v>45925</v>
      </c>
      <c r="E926" s="10">
        <v>45901</v>
      </c>
      <c r="F926" s="9" t="s">
        <v>1360</v>
      </c>
      <c r="G926" s="11"/>
      <c r="H926" s="11">
        <v>796.3</v>
      </c>
      <c r="I926" s="9" t="b">
        <f>TRUE()</f>
        <v>1</v>
      </c>
      <c r="J926" s="9" t="s">
        <v>1361</v>
      </c>
      <c r="K926" s="11">
        <v>796.3</v>
      </c>
      <c r="L926" s="9" t="s">
        <v>20</v>
      </c>
      <c r="M926" s="9" t="str">
        <f>IFERROR(INDEX(T_CleanCustomers[Sales_Rep_ID],MATCH(B926,T_CleanCustomers[Customer_ID],0)),"Unmatched")</f>
        <v>REP003</v>
      </c>
      <c r="N926" s="9" t="str">
        <f>IFERROR(INDEX(T_CleanCustomers[Channel],MATCH(B926,T_CleanCustomers[Customer_ID],0)),"Unmatched")</f>
        <v>Digital</v>
      </c>
      <c r="O926" s="9" t="str">
        <f>IFERROR(INDEX(T_CleanCustomers[Product],MATCH(B926,T_CleanCustomers[Customer_ID],0)),"Unmatched")</f>
        <v>Fuel Card</v>
      </c>
      <c r="P926" s="9" t="str">
        <f>IFERROR(INDEX(T_CleanCustomers[Customer_Segment],MATCH(B926,T_CleanCustomers[Customer_ID],0)),"Unmatched")</f>
        <v>Enterprise</v>
      </c>
    </row>
    <row r="927" spans="1:16" ht="15" customHeight="1" x14ac:dyDescent="0.2">
      <c r="A927" s="9" t="s">
        <v>2272</v>
      </c>
      <c r="B927" s="9" t="s">
        <v>1256</v>
      </c>
      <c r="C927" s="9" t="b">
        <f>TRUE()</f>
        <v>1</v>
      </c>
      <c r="D927" s="10">
        <v>45930</v>
      </c>
      <c r="E927" s="10">
        <v>45901</v>
      </c>
      <c r="F927" s="9" t="s">
        <v>1360</v>
      </c>
      <c r="G927" s="11">
        <v>53587.73</v>
      </c>
      <c r="H927" s="11">
        <v>1161.8699999999999</v>
      </c>
      <c r="I927" s="9" t="b">
        <f>TRUE()</f>
        <v>1</v>
      </c>
      <c r="J927" s="9" t="s">
        <v>1361</v>
      </c>
      <c r="K927" s="11">
        <v>1161.8699999999999</v>
      </c>
      <c r="L927" s="9" t="s">
        <v>20</v>
      </c>
      <c r="M927" s="9" t="str">
        <f>IFERROR(INDEX(T_CleanCustomers[Sales_Rep_ID],MATCH(B927,T_CleanCustomers[Customer_ID],0)),"Unmatched")</f>
        <v>REP003</v>
      </c>
      <c r="N927" s="9" t="str">
        <f>IFERROR(INDEX(T_CleanCustomers[Channel],MATCH(B927,T_CleanCustomers[Customer_ID],0)),"Unmatched")</f>
        <v>Digital</v>
      </c>
      <c r="O927" s="9" t="str">
        <f>IFERROR(INDEX(T_CleanCustomers[Product],MATCH(B927,T_CleanCustomers[Customer_ID],0)),"Unmatched")</f>
        <v>Fuel Card</v>
      </c>
      <c r="P927" s="9" t="str">
        <f>IFERROR(INDEX(T_CleanCustomers[Customer_Segment],MATCH(B927,T_CleanCustomers[Customer_ID],0)),"Unmatched")</f>
        <v>Enterprise</v>
      </c>
    </row>
    <row r="928" spans="1:16" ht="15" customHeight="1" x14ac:dyDescent="0.2">
      <c r="A928" s="9" t="s">
        <v>2273</v>
      </c>
      <c r="B928" s="9" t="s">
        <v>1256</v>
      </c>
      <c r="C928" s="9" t="b">
        <f>TRUE()</f>
        <v>1</v>
      </c>
      <c r="D928" s="10">
        <v>45953</v>
      </c>
      <c r="E928" s="10">
        <v>45931</v>
      </c>
      <c r="F928" s="9" t="s">
        <v>1360</v>
      </c>
      <c r="G928" s="11">
        <v>18517.189999999999</v>
      </c>
      <c r="H928" s="11">
        <v>0</v>
      </c>
      <c r="I928" s="9" t="b">
        <f>TRUE()</f>
        <v>1</v>
      </c>
      <c r="J928" s="9" t="s">
        <v>1408</v>
      </c>
      <c r="K928" s="11">
        <v>0</v>
      </c>
      <c r="L928" s="9" t="s">
        <v>20</v>
      </c>
      <c r="M928" s="9" t="str">
        <f>IFERROR(INDEX(T_CleanCustomers[Sales_Rep_ID],MATCH(B928,T_CleanCustomers[Customer_ID],0)),"Unmatched")</f>
        <v>REP003</v>
      </c>
      <c r="N928" s="9" t="str">
        <f>IFERROR(INDEX(T_CleanCustomers[Channel],MATCH(B928,T_CleanCustomers[Customer_ID],0)),"Unmatched")</f>
        <v>Digital</v>
      </c>
      <c r="O928" s="9" t="str">
        <f>IFERROR(INDEX(T_CleanCustomers[Product],MATCH(B928,T_CleanCustomers[Customer_ID],0)),"Unmatched")</f>
        <v>Fuel Card</v>
      </c>
      <c r="P928" s="9" t="str">
        <f>IFERROR(INDEX(T_CleanCustomers[Customer_Segment],MATCH(B928,T_CleanCustomers[Customer_ID],0)),"Unmatched")</f>
        <v>Enterprise</v>
      </c>
    </row>
    <row r="929" spans="1:16" ht="15" customHeight="1" x14ac:dyDescent="0.2">
      <c r="A929" s="9" t="s">
        <v>2274</v>
      </c>
      <c r="B929" s="9" t="s">
        <v>1256</v>
      </c>
      <c r="C929" s="9" t="b">
        <f>TRUE()</f>
        <v>1</v>
      </c>
      <c r="D929" s="10">
        <v>45981</v>
      </c>
      <c r="E929" s="10">
        <v>45962</v>
      </c>
      <c r="F929" s="9" t="s">
        <v>1360</v>
      </c>
      <c r="G929" s="11">
        <v>41628.36</v>
      </c>
      <c r="H929" s="11">
        <v>1033.6199999999999</v>
      </c>
      <c r="I929" s="9" t="b">
        <f>TRUE()</f>
        <v>1</v>
      </c>
      <c r="J929" s="9" t="s">
        <v>1361</v>
      </c>
      <c r="K929" s="11">
        <v>1033.6199999999999</v>
      </c>
      <c r="L929" s="9" t="s">
        <v>20</v>
      </c>
      <c r="M929" s="9" t="str">
        <f>IFERROR(INDEX(T_CleanCustomers[Sales_Rep_ID],MATCH(B929,T_CleanCustomers[Customer_ID],0)),"Unmatched")</f>
        <v>REP003</v>
      </c>
      <c r="N929" s="9" t="str">
        <f>IFERROR(INDEX(T_CleanCustomers[Channel],MATCH(B929,T_CleanCustomers[Customer_ID],0)),"Unmatched")</f>
        <v>Digital</v>
      </c>
      <c r="O929" s="9" t="str">
        <f>IFERROR(INDEX(T_CleanCustomers[Product],MATCH(B929,T_CleanCustomers[Customer_ID],0)),"Unmatched")</f>
        <v>Fuel Card</v>
      </c>
      <c r="P929" s="9" t="str">
        <f>IFERROR(INDEX(T_CleanCustomers[Customer_Segment],MATCH(B929,T_CleanCustomers[Customer_ID],0)),"Unmatched")</f>
        <v>Enterprise</v>
      </c>
    </row>
    <row r="930" spans="1:16" ht="15" customHeight="1" x14ac:dyDescent="0.2">
      <c r="A930" s="9" t="s">
        <v>132</v>
      </c>
      <c r="B930" s="9" t="s">
        <v>1256</v>
      </c>
      <c r="C930" s="9" t="b">
        <f>TRUE()</f>
        <v>1</v>
      </c>
      <c r="D930" s="10">
        <v>45977</v>
      </c>
      <c r="E930" s="10">
        <v>45962</v>
      </c>
      <c r="F930" s="9" t="s">
        <v>1360</v>
      </c>
      <c r="G930" s="11">
        <v>19113.95</v>
      </c>
      <c r="H930" s="11">
        <v>455.03</v>
      </c>
      <c r="I930" s="9" t="b">
        <f>TRUE()</f>
        <v>1</v>
      </c>
      <c r="J930" s="9" t="s">
        <v>1408</v>
      </c>
      <c r="K930" s="11">
        <v>0</v>
      </c>
      <c r="L930" s="9" t="s">
        <v>20</v>
      </c>
      <c r="M930" s="9" t="str">
        <f>IFERROR(INDEX(T_CleanCustomers[Sales_Rep_ID],MATCH(B930,T_CleanCustomers[Customer_ID],0)),"Unmatched")</f>
        <v>REP003</v>
      </c>
      <c r="N930" s="9" t="str">
        <f>IFERROR(INDEX(T_CleanCustomers[Channel],MATCH(B930,T_CleanCustomers[Customer_ID],0)),"Unmatched")</f>
        <v>Digital</v>
      </c>
      <c r="O930" s="9" t="str">
        <f>IFERROR(INDEX(T_CleanCustomers[Product],MATCH(B930,T_CleanCustomers[Customer_ID],0)),"Unmatched")</f>
        <v>Fuel Card</v>
      </c>
      <c r="P930" s="9" t="str">
        <f>IFERROR(INDEX(T_CleanCustomers[Customer_Segment],MATCH(B930,T_CleanCustomers[Customer_ID],0)),"Unmatched")</f>
        <v>Enterprise</v>
      </c>
    </row>
    <row r="931" spans="1:16" ht="15" customHeight="1" x14ac:dyDescent="0.2">
      <c r="A931" s="9" t="s">
        <v>2275</v>
      </c>
      <c r="B931" s="9" t="s">
        <v>1256</v>
      </c>
      <c r="C931" s="9" t="b">
        <f>TRUE()</f>
        <v>1</v>
      </c>
      <c r="D931" s="10">
        <v>46004</v>
      </c>
      <c r="E931" s="10">
        <v>45992</v>
      </c>
      <c r="F931" s="9" t="s">
        <v>1360</v>
      </c>
      <c r="G931" s="11">
        <v>57048.62</v>
      </c>
      <c r="H931" s="11">
        <v>1372.48</v>
      </c>
      <c r="I931" s="9" t="b">
        <f>TRUE()</f>
        <v>1</v>
      </c>
      <c r="J931" s="9" t="s">
        <v>1361</v>
      </c>
      <c r="K931" s="11">
        <v>1372.48</v>
      </c>
      <c r="L931" s="9" t="s">
        <v>20</v>
      </c>
      <c r="M931" s="9" t="str">
        <f>IFERROR(INDEX(T_CleanCustomers[Sales_Rep_ID],MATCH(B931,T_CleanCustomers[Customer_ID],0)),"Unmatched")</f>
        <v>REP003</v>
      </c>
      <c r="N931" s="9" t="str">
        <f>IFERROR(INDEX(T_CleanCustomers[Channel],MATCH(B931,T_CleanCustomers[Customer_ID],0)),"Unmatched")</f>
        <v>Digital</v>
      </c>
      <c r="O931" s="9" t="str">
        <f>IFERROR(INDEX(T_CleanCustomers[Product],MATCH(B931,T_CleanCustomers[Customer_ID],0)),"Unmatched")</f>
        <v>Fuel Card</v>
      </c>
      <c r="P931" s="9" t="str">
        <f>IFERROR(INDEX(T_CleanCustomers[Customer_Segment],MATCH(B931,T_CleanCustomers[Customer_ID],0)),"Unmatched")</f>
        <v>Enterprise</v>
      </c>
    </row>
    <row r="932" spans="1:16" ht="15" customHeight="1" x14ac:dyDescent="0.2">
      <c r="A932" s="9" t="s">
        <v>2276</v>
      </c>
      <c r="B932" s="9" t="s">
        <v>1257</v>
      </c>
      <c r="C932" s="9" t="b">
        <f>TRUE()</f>
        <v>1</v>
      </c>
      <c r="D932" s="10">
        <v>45896</v>
      </c>
      <c r="E932" s="10">
        <v>45870</v>
      </c>
      <c r="F932" s="9" t="s">
        <v>1373</v>
      </c>
      <c r="G932" s="11">
        <v>4467.12</v>
      </c>
      <c r="H932" s="11">
        <v>84.45</v>
      </c>
      <c r="I932" s="9" t="b">
        <f>TRUE()</f>
        <v>1</v>
      </c>
      <c r="J932" s="9" t="s">
        <v>1361</v>
      </c>
      <c r="K932" s="11">
        <v>84.45</v>
      </c>
      <c r="L932" s="9" t="s">
        <v>20</v>
      </c>
      <c r="M932" s="9" t="str">
        <f>IFERROR(INDEX(T_CleanCustomers[Sales_Rep_ID],MATCH(B932,T_CleanCustomers[Customer_ID],0)),"Unmatched")</f>
        <v>REP002</v>
      </c>
      <c r="N932" s="9" t="str">
        <f>IFERROR(INDEX(T_CleanCustomers[Channel],MATCH(B932,T_CleanCustomers[Customer_ID],0)),"Unmatched")</f>
        <v>Direct Sales</v>
      </c>
      <c r="O932" s="9" t="str">
        <f>IFERROR(INDEX(T_CleanCustomers[Product],MATCH(B932,T_CleanCustomers[Customer_ID],0)),"Unmatched")</f>
        <v>Toll Solution</v>
      </c>
      <c r="P932" s="9" t="str">
        <f>IFERROR(INDEX(T_CleanCustomers[Customer_Segment],MATCH(B932,T_CleanCustomers[Customer_ID],0)),"Unmatched")</f>
        <v>SME</v>
      </c>
    </row>
    <row r="933" spans="1:16" ht="15" customHeight="1" x14ac:dyDescent="0.2">
      <c r="A933" s="9" t="s">
        <v>2277</v>
      </c>
      <c r="B933" s="9" t="s">
        <v>1257</v>
      </c>
      <c r="C933" s="9" t="b">
        <f>TRUE()</f>
        <v>1</v>
      </c>
      <c r="D933" s="10">
        <v>45891</v>
      </c>
      <c r="E933" s="10">
        <v>45870</v>
      </c>
      <c r="F933" s="9" t="s">
        <v>1373</v>
      </c>
      <c r="G933" s="11">
        <v>4537.49</v>
      </c>
      <c r="H933" s="11">
        <v>78.400000000000006</v>
      </c>
      <c r="I933" s="9" t="b">
        <f>TRUE()</f>
        <v>1</v>
      </c>
      <c r="J933" s="9" t="s">
        <v>1361</v>
      </c>
      <c r="K933" s="11">
        <v>78.400000000000006</v>
      </c>
      <c r="L933" s="9" t="s">
        <v>20</v>
      </c>
      <c r="M933" s="9" t="str">
        <f>IFERROR(INDEX(T_CleanCustomers[Sales_Rep_ID],MATCH(B933,T_CleanCustomers[Customer_ID],0)),"Unmatched")</f>
        <v>REP002</v>
      </c>
      <c r="N933" s="9" t="str">
        <f>IFERROR(INDEX(T_CleanCustomers[Channel],MATCH(B933,T_CleanCustomers[Customer_ID],0)),"Unmatched")</f>
        <v>Direct Sales</v>
      </c>
      <c r="O933" s="9" t="str">
        <f>IFERROR(INDEX(T_CleanCustomers[Product],MATCH(B933,T_CleanCustomers[Customer_ID],0)),"Unmatched")</f>
        <v>Toll Solution</v>
      </c>
      <c r="P933" s="9" t="str">
        <f>IFERROR(INDEX(T_CleanCustomers[Customer_Segment],MATCH(B933,T_CleanCustomers[Customer_ID],0)),"Unmatched")</f>
        <v>SME</v>
      </c>
    </row>
    <row r="934" spans="1:16" ht="15" customHeight="1" x14ac:dyDescent="0.2">
      <c r="A934" s="9" t="s">
        <v>2278</v>
      </c>
      <c r="B934" s="9" t="s">
        <v>1257</v>
      </c>
      <c r="C934" s="9" t="b">
        <f>TRUE()</f>
        <v>1</v>
      </c>
      <c r="D934" s="10">
        <v>45893</v>
      </c>
      <c r="E934" s="10">
        <v>45870</v>
      </c>
      <c r="F934" s="9" t="s">
        <v>1373</v>
      </c>
      <c r="G934" s="11">
        <v>4127.07</v>
      </c>
      <c r="H934" s="11">
        <v>64.81</v>
      </c>
      <c r="I934" s="9" t="b">
        <f>TRUE()</f>
        <v>1</v>
      </c>
      <c r="J934" s="9" t="s">
        <v>1361</v>
      </c>
      <c r="K934" s="11">
        <v>64.81</v>
      </c>
      <c r="L934" s="9" t="s">
        <v>20</v>
      </c>
      <c r="M934" s="9" t="str">
        <f>IFERROR(INDEX(T_CleanCustomers[Sales_Rep_ID],MATCH(B934,T_CleanCustomers[Customer_ID],0)),"Unmatched")</f>
        <v>REP002</v>
      </c>
      <c r="N934" s="9" t="str">
        <f>IFERROR(INDEX(T_CleanCustomers[Channel],MATCH(B934,T_CleanCustomers[Customer_ID],0)),"Unmatched")</f>
        <v>Direct Sales</v>
      </c>
      <c r="O934" s="9" t="str">
        <f>IFERROR(INDEX(T_CleanCustomers[Product],MATCH(B934,T_CleanCustomers[Customer_ID],0)),"Unmatched")</f>
        <v>Toll Solution</v>
      </c>
      <c r="P934" s="9" t="str">
        <f>IFERROR(INDEX(T_CleanCustomers[Customer_Segment],MATCH(B934,T_CleanCustomers[Customer_ID],0)),"Unmatched")</f>
        <v>SME</v>
      </c>
    </row>
    <row r="935" spans="1:16" ht="15" customHeight="1" x14ac:dyDescent="0.2">
      <c r="A935" s="9" t="s">
        <v>2279</v>
      </c>
      <c r="B935" s="9" t="s">
        <v>1257</v>
      </c>
      <c r="C935" s="9" t="b">
        <f>TRUE()</f>
        <v>1</v>
      </c>
      <c r="D935" s="10">
        <v>45925</v>
      </c>
      <c r="E935" s="10">
        <v>45901</v>
      </c>
      <c r="F935" s="9" t="s">
        <v>1373</v>
      </c>
      <c r="G935" s="11">
        <v>3718.93</v>
      </c>
      <c r="H935" s="11">
        <v>75.14</v>
      </c>
      <c r="I935" s="9" t="b">
        <f>TRUE()</f>
        <v>1</v>
      </c>
      <c r="J935" s="9" t="s">
        <v>1361</v>
      </c>
      <c r="K935" s="11">
        <v>75.14</v>
      </c>
      <c r="L935" s="9" t="s">
        <v>20</v>
      </c>
      <c r="M935" s="9" t="str">
        <f>IFERROR(INDEX(T_CleanCustomers[Sales_Rep_ID],MATCH(B935,T_CleanCustomers[Customer_ID],0)),"Unmatched")</f>
        <v>REP002</v>
      </c>
      <c r="N935" s="9" t="str">
        <f>IFERROR(INDEX(T_CleanCustomers[Channel],MATCH(B935,T_CleanCustomers[Customer_ID],0)),"Unmatched")</f>
        <v>Direct Sales</v>
      </c>
      <c r="O935" s="9" t="str">
        <f>IFERROR(INDEX(T_CleanCustomers[Product],MATCH(B935,T_CleanCustomers[Customer_ID],0)),"Unmatched")</f>
        <v>Toll Solution</v>
      </c>
      <c r="P935" s="9" t="str">
        <f>IFERROR(INDEX(T_CleanCustomers[Customer_Segment],MATCH(B935,T_CleanCustomers[Customer_ID],0)),"Unmatched")</f>
        <v>SME</v>
      </c>
    </row>
    <row r="936" spans="1:16" ht="15" customHeight="1" x14ac:dyDescent="0.2">
      <c r="A936" s="9" t="s">
        <v>2280</v>
      </c>
      <c r="B936" s="9" t="s">
        <v>1257</v>
      </c>
      <c r="C936" s="9" t="b">
        <f>TRUE()</f>
        <v>1</v>
      </c>
      <c r="D936" s="10">
        <v>45909</v>
      </c>
      <c r="E936" s="10">
        <v>45901</v>
      </c>
      <c r="F936" s="9" t="s">
        <v>1373</v>
      </c>
      <c r="G936" s="11">
        <v>1384.95</v>
      </c>
      <c r="H936" s="11">
        <v>25.29</v>
      </c>
      <c r="I936" s="9" t="b">
        <f>TRUE()</f>
        <v>1</v>
      </c>
      <c r="J936" s="9" t="s">
        <v>1361</v>
      </c>
      <c r="K936" s="11">
        <v>25.29</v>
      </c>
      <c r="L936" s="9" t="s">
        <v>20</v>
      </c>
      <c r="M936" s="9" t="str">
        <f>IFERROR(INDEX(T_CleanCustomers[Sales_Rep_ID],MATCH(B936,T_CleanCustomers[Customer_ID],0)),"Unmatched")</f>
        <v>REP002</v>
      </c>
      <c r="N936" s="9" t="str">
        <f>IFERROR(INDEX(T_CleanCustomers[Channel],MATCH(B936,T_CleanCustomers[Customer_ID],0)),"Unmatched")</f>
        <v>Direct Sales</v>
      </c>
      <c r="O936" s="9" t="str">
        <f>IFERROR(INDEX(T_CleanCustomers[Product],MATCH(B936,T_CleanCustomers[Customer_ID],0)),"Unmatched")</f>
        <v>Toll Solution</v>
      </c>
      <c r="P936" s="9" t="str">
        <f>IFERROR(INDEX(T_CleanCustomers[Customer_Segment],MATCH(B936,T_CleanCustomers[Customer_ID],0)),"Unmatched")</f>
        <v>SME</v>
      </c>
    </row>
    <row r="937" spans="1:16" ht="15" customHeight="1" x14ac:dyDescent="0.2">
      <c r="A937" s="9" t="s">
        <v>2281</v>
      </c>
      <c r="B937" s="9" t="s">
        <v>1257</v>
      </c>
      <c r="C937" s="9" t="b">
        <f>TRUE()</f>
        <v>1</v>
      </c>
      <c r="D937" s="10">
        <v>45937</v>
      </c>
      <c r="E937" s="10">
        <v>45931</v>
      </c>
      <c r="F937" s="9" t="s">
        <v>1373</v>
      </c>
      <c r="G937" s="11">
        <v>4514.05</v>
      </c>
      <c r="H937" s="11">
        <v>91.94</v>
      </c>
      <c r="I937" s="9" t="b">
        <f>TRUE()</f>
        <v>1</v>
      </c>
      <c r="J937" s="9" t="s">
        <v>1361</v>
      </c>
      <c r="K937" s="11">
        <v>91.94</v>
      </c>
      <c r="L937" s="9" t="s">
        <v>20</v>
      </c>
      <c r="M937" s="9" t="str">
        <f>IFERROR(INDEX(T_CleanCustomers[Sales_Rep_ID],MATCH(B937,T_CleanCustomers[Customer_ID],0)),"Unmatched")</f>
        <v>REP002</v>
      </c>
      <c r="N937" s="9" t="str">
        <f>IFERROR(INDEX(T_CleanCustomers[Channel],MATCH(B937,T_CleanCustomers[Customer_ID],0)),"Unmatched")</f>
        <v>Direct Sales</v>
      </c>
      <c r="O937" s="9" t="str">
        <f>IFERROR(INDEX(T_CleanCustomers[Product],MATCH(B937,T_CleanCustomers[Customer_ID],0)),"Unmatched")</f>
        <v>Toll Solution</v>
      </c>
      <c r="P937" s="9" t="str">
        <f>IFERROR(INDEX(T_CleanCustomers[Customer_Segment],MATCH(B937,T_CleanCustomers[Customer_ID],0)),"Unmatched")</f>
        <v>SME</v>
      </c>
    </row>
    <row r="938" spans="1:16" ht="15" customHeight="1" x14ac:dyDescent="0.2">
      <c r="A938" s="9" t="s">
        <v>2282</v>
      </c>
      <c r="B938" s="9" t="s">
        <v>1257</v>
      </c>
      <c r="C938" s="9" t="b">
        <f>TRUE()</f>
        <v>1</v>
      </c>
      <c r="D938" s="10">
        <v>45980</v>
      </c>
      <c r="E938" s="10">
        <v>45962</v>
      </c>
      <c r="F938" s="9" t="s">
        <v>1373</v>
      </c>
      <c r="G938" s="11">
        <v>3815.79</v>
      </c>
      <c r="H938" s="11">
        <v>73.599999999999994</v>
      </c>
      <c r="I938" s="9" t="b">
        <f>TRUE()</f>
        <v>1</v>
      </c>
      <c r="J938" s="9" t="s">
        <v>1361</v>
      </c>
      <c r="K938" s="11">
        <v>73.599999999999994</v>
      </c>
      <c r="L938" s="9" t="s">
        <v>20</v>
      </c>
      <c r="M938" s="9" t="str">
        <f>IFERROR(INDEX(T_CleanCustomers[Sales_Rep_ID],MATCH(B938,T_CleanCustomers[Customer_ID],0)),"Unmatched")</f>
        <v>REP002</v>
      </c>
      <c r="N938" s="9" t="str">
        <f>IFERROR(INDEX(T_CleanCustomers[Channel],MATCH(B938,T_CleanCustomers[Customer_ID],0)),"Unmatched")</f>
        <v>Direct Sales</v>
      </c>
      <c r="O938" s="9" t="str">
        <f>IFERROR(INDEX(T_CleanCustomers[Product],MATCH(B938,T_CleanCustomers[Customer_ID],0)),"Unmatched")</f>
        <v>Toll Solution</v>
      </c>
      <c r="P938" s="9" t="str">
        <f>IFERROR(INDEX(T_CleanCustomers[Customer_Segment],MATCH(B938,T_CleanCustomers[Customer_ID],0)),"Unmatched")</f>
        <v>SME</v>
      </c>
    </row>
    <row r="939" spans="1:16" ht="15" customHeight="1" x14ac:dyDescent="0.2">
      <c r="A939" s="9" t="s">
        <v>2283</v>
      </c>
      <c r="B939" s="9" t="s">
        <v>1257</v>
      </c>
      <c r="C939" s="9" t="b">
        <f>TRUE()</f>
        <v>1</v>
      </c>
      <c r="D939" s="10">
        <v>45991</v>
      </c>
      <c r="E939" s="10">
        <v>45962</v>
      </c>
      <c r="F939" s="9" t="s">
        <v>1373</v>
      </c>
      <c r="G939" s="11">
        <v>1260.46</v>
      </c>
      <c r="H939" s="11">
        <v>0</v>
      </c>
      <c r="I939" s="9" t="b">
        <f>TRUE()</f>
        <v>1</v>
      </c>
      <c r="J939" s="9" t="s">
        <v>1408</v>
      </c>
      <c r="K939" s="11">
        <v>0</v>
      </c>
      <c r="L939" s="9" t="s">
        <v>20</v>
      </c>
      <c r="M939" s="9" t="str">
        <f>IFERROR(INDEX(T_CleanCustomers[Sales_Rep_ID],MATCH(B939,T_CleanCustomers[Customer_ID],0)),"Unmatched")</f>
        <v>REP002</v>
      </c>
      <c r="N939" s="9" t="str">
        <f>IFERROR(INDEX(T_CleanCustomers[Channel],MATCH(B939,T_CleanCustomers[Customer_ID],0)),"Unmatched")</f>
        <v>Direct Sales</v>
      </c>
      <c r="O939" s="9" t="str">
        <f>IFERROR(INDEX(T_CleanCustomers[Product],MATCH(B939,T_CleanCustomers[Customer_ID],0)),"Unmatched")</f>
        <v>Toll Solution</v>
      </c>
      <c r="P939" s="9" t="str">
        <f>IFERROR(INDEX(T_CleanCustomers[Customer_Segment],MATCH(B939,T_CleanCustomers[Customer_ID],0)),"Unmatched")</f>
        <v>SME</v>
      </c>
    </row>
    <row r="940" spans="1:16" ht="15" customHeight="1" x14ac:dyDescent="0.2">
      <c r="A940" s="9" t="s">
        <v>2284</v>
      </c>
      <c r="B940" s="9" t="s">
        <v>1257</v>
      </c>
      <c r="C940" s="9" t="b">
        <f>TRUE()</f>
        <v>1</v>
      </c>
      <c r="D940" s="10">
        <v>46018</v>
      </c>
      <c r="E940" s="10">
        <v>45992</v>
      </c>
      <c r="F940" s="9" t="s">
        <v>1373</v>
      </c>
      <c r="G940" s="11">
        <v>2607.4699999999998</v>
      </c>
      <c r="H940" s="11">
        <v>41.78</v>
      </c>
      <c r="I940" s="9" t="b">
        <f>TRUE()</f>
        <v>1</v>
      </c>
      <c r="J940" s="9" t="s">
        <v>1361</v>
      </c>
      <c r="K940" s="11">
        <v>41.78</v>
      </c>
      <c r="L940" s="9" t="s">
        <v>20</v>
      </c>
      <c r="M940" s="9" t="str">
        <f>IFERROR(INDEX(T_CleanCustomers[Sales_Rep_ID],MATCH(B940,T_CleanCustomers[Customer_ID],0)),"Unmatched")</f>
        <v>REP002</v>
      </c>
      <c r="N940" s="9" t="str">
        <f>IFERROR(INDEX(T_CleanCustomers[Channel],MATCH(B940,T_CleanCustomers[Customer_ID],0)),"Unmatched")</f>
        <v>Direct Sales</v>
      </c>
      <c r="O940" s="9" t="str">
        <f>IFERROR(INDEX(T_CleanCustomers[Product],MATCH(B940,T_CleanCustomers[Customer_ID],0)),"Unmatched")</f>
        <v>Toll Solution</v>
      </c>
      <c r="P940" s="9" t="str">
        <f>IFERROR(INDEX(T_CleanCustomers[Customer_Segment],MATCH(B940,T_CleanCustomers[Customer_ID],0)),"Unmatched")</f>
        <v>SME</v>
      </c>
    </row>
    <row r="941" spans="1:16" ht="15" customHeight="1" x14ac:dyDescent="0.2">
      <c r="A941" s="9" t="s">
        <v>2285</v>
      </c>
      <c r="B941" s="9" t="s">
        <v>1257</v>
      </c>
      <c r="C941" s="9" t="b">
        <f>TRUE()</f>
        <v>1</v>
      </c>
      <c r="D941" s="10">
        <v>46012</v>
      </c>
      <c r="E941" s="10">
        <v>45992</v>
      </c>
      <c r="F941" s="9" t="s">
        <v>1373</v>
      </c>
      <c r="G941" s="11">
        <v>2928.31</v>
      </c>
      <c r="H941" s="11">
        <v>52.41</v>
      </c>
      <c r="I941" s="9" t="b">
        <f>TRUE()</f>
        <v>1</v>
      </c>
      <c r="J941" s="9" t="s">
        <v>1361</v>
      </c>
      <c r="K941" s="11">
        <v>52.41</v>
      </c>
      <c r="L941" s="9" t="s">
        <v>20</v>
      </c>
      <c r="M941" s="9" t="str">
        <f>IFERROR(INDEX(T_CleanCustomers[Sales_Rep_ID],MATCH(B941,T_CleanCustomers[Customer_ID],0)),"Unmatched")</f>
        <v>REP002</v>
      </c>
      <c r="N941" s="9" t="str">
        <f>IFERROR(INDEX(T_CleanCustomers[Channel],MATCH(B941,T_CleanCustomers[Customer_ID],0)),"Unmatched")</f>
        <v>Direct Sales</v>
      </c>
      <c r="O941" s="9" t="str">
        <f>IFERROR(INDEX(T_CleanCustomers[Product],MATCH(B941,T_CleanCustomers[Customer_ID],0)),"Unmatched")</f>
        <v>Toll Solution</v>
      </c>
      <c r="P941" s="9" t="str">
        <f>IFERROR(INDEX(T_CleanCustomers[Customer_Segment],MATCH(B941,T_CleanCustomers[Customer_ID],0)),"Unmatched")</f>
        <v>SME</v>
      </c>
    </row>
    <row r="942" spans="1:16" ht="15" customHeight="1" x14ac:dyDescent="0.2">
      <c r="A942" s="9" t="s">
        <v>2286</v>
      </c>
      <c r="B942" s="9" t="s">
        <v>1258</v>
      </c>
      <c r="C942" s="9" t="b">
        <f>TRUE()</f>
        <v>1</v>
      </c>
      <c r="D942" s="10">
        <v>45714</v>
      </c>
      <c r="E942" s="10">
        <v>45689</v>
      </c>
      <c r="F942" s="9" t="s">
        <v>1360</v>
      </c>
      <c r="G942" s="11">
        <v>8131.28</v>
      </c>
      <c r="H942" s="11">
        <v>174.1</v>
      </c>
      <c r="I942" s="9" t="b">
        <f>TRUE()</f>
        <v>1</v>
      </c>
      <c r="J942" s="9" t="s">
        <v>1361</v>
      </c>
      <c r="K942" s="11">
        <v>174.1</v>
      </c>
      <c r="L942" s="9" t="s">
        <v>18</v>
      </c>
      <c r="M942" s="9" t="str">
        <f>IFERROR(INDEX(T_CleanCustomers[Sales_Rep_ID],MATCH(B942,T_CleanCustomers[Customer_ID],0)),"Unmatched")</f>
        <v>REP010</v>
      </c>
      <c r="N942" s="9" t="str">
        <f>IFERROR(INDEX(T_CleanCustomers[Channel],MATCH(B942,T_CleanCustomers[Customer_ID],0)),"Unmatched")</f>
        <v>Digital</v>
      </c>
      <c r="O942" s="9" t="str">
        <f>IFERROR(INDEX(T_CleanCustomers[Product],MATCH(B942,T_CleanCustomers[Customer_ID],0)),"Unmatched")</f>
        <v>Fuel Card</v>
      </c>
      <c r="P942" s="9" t="str">
        <f>IFERROR(INDEX(T_CleanCustomers[Customer_Segment],MATCH(B942,T_CleanCustomers[Customer_ID],0)),"Unmatched")</f>
        <v>Mid-Market</v>
      </c>
    </row>
    <row r="943" spans="1:16" ht="15" customHeight="1" x14ac:dyDescent="0.2">
      <c r="A943" s="9" t="s">
        <v>2287</v>
      </c>
      <c r="B943" s="9" t="s">
        <v>1258</v>
      </c>
      <c r="C943" s="9" t="b">
        <f>TRUE()</f>
        <v>1</v>
      </c>
      <c r="D943" s="10">
        <v>45725</v>
      </c>
      <c r="E943" s="10">
        <v>45717</v>
      </c>
      <c r="F943" s="9" t="s">
        <v>1360</v>
      </c>
      <c r="G943" s="11">
        <v>15614.67</v>
      </c>
      <c r="H943" s="11">
        <v>361.99</v>
      </c>
      <c r="I943" s="9" t="b">
        <f>TRUE()</f>
        <v>1</v>
      </c>
      <c r="J943" s="9" t="s">
        <v>1361</v>
      </c>
      <c r="K943" s="11">
        <v>361.99</v>
      </c>
      <c r="L943" s="9" t="s">
        <v>18</v>
      </c>
      <c r="M943" s="9" t="str">
        <f>IFERROR(INDEX(T_CleanCustomers[Sales_Rep_ID],MATCH(B943,T_CleanCustomers[Customer_ID],0)),"Unmatched")</f>
        <v>REP010</v>
      </c>
      <c r="N943" s="9" t="str">
        <f>IFERROR(INDEX(T_CleanCustomers[Channel],MATCH(B943,T_CleanCustomers[Customer_ID],0)),"Unmatched")</f>
        <v>Digital</v>
      </c>
      <c r="O943" s="9" t="str">
        <f>IFERROR(INDEX(T_CleanCustomers[Product],MATCH(B943,T_CleanCustomers[Customer_ID],0)),"Unmatched")</f>
        <v>Fuel Card</v>
      </c>
      <c r="P943" s="9" t="str">
        <f>IFERROR(INDEX(T_CleanCustomers[Customer_Segment],MATCH(B943,T_CleanCustomers[Customer_ID],0)),"Unmatched")</f>
        <v>Mid-Market</v>
      </c>
    </row>
    <row r="944" spans="1:16" ht="15" customHeight="1" x14ac:dyDescent="0.2">
      <c r="A944" s="9" t="s">
        <v>2288</v>
      </c>
      <c r="B944" s="9" t="s">
        <v>1258</v>
      </c>
      <c r="C944" s="9" t="b">
        <f>TRUE()</f>
        <v>1</v>
      </c>
      <c r="D944" s="10">
        <v>45717</v>
      </c>
      <c r="E944" s="10">
        <v>45717</v>
      </c>
      <c r="F944" s="9" t="s">
        <v>1360</v>
      </c>
      <c r="G944" s="11">
        <v>17438.34</v>
      </c>
      <c r="H944" s="11">
        <v>457.15</v>
      </c>
      <c r="I944" s="9" t="b">
        <f>TRUE()</f>
        <v>1</v>
      </c>
      <c r="J944" s="9" t="s">
        <v>1361</v>
      </c>
      <c r="K944" s="11">
        <v>457.15</v>
      </c>
      <c r="L944" s="9" t="s">
        <v>18</v>
      </c>
      <c r="M944" s="9" t="str">
        <f>IFERROR(INDEX(T_CleanCustomers[Sales_Rep_ID],MATCH(B944,T_CleanCustomers[Customer_ID],0)),"Unmatched")</f>
        <v>REP010</v>
      </c>
      <c r="N944" s="9" t="str">
        <f>IFERROR(INDEX(T_CleanCustomers[Channel],MATCH(B944,T_CleanCustomers[Customer_ID],0)),"Unmatched")</f>
        <v>Digital</v>
      </c>
      <c r="O944" s="9" t="str">
        <f>IFERROR(INDEX(T_CleanCustomers[Product],MATCH(B944,T_CleanCustomers[Customer_ID],0)),"Unmatched")</f>
        <v>Fuel Card</v>
      </c>
      <c r="P944" s="9" t="str">
        <f>IFERROR(INDEX(T_CleanCustomers[Customer_Segment],MATCH(B944,T_CleanCustomers[Customer_ID],0)),"Unmatched")</f>
        <v>Mid-Market</v>
      </c>
    </row>
    <row r="945" spans="1:16" ht="15" customHeight="1" x14ac:dyDescent="0.2">
      <c r="A945" s="9" t="s">
        <v>2289</v>
      </c>
      <c r="B945" s="9" t="s">
        <v>1258</v>
      </c>
      <c r="C945" s="9" t="b">
        <f>TRUE()</f>
        <v>1</v>
      </c>
      <c r="D945" s="10">
        <v>45768</v>
      </c>
      <c r="E945" s="10">
        <v>45748</v>
      </c>
      <c r="F945" s="9" t="s">
        <v>1360</v>
      </c>
      <c r="G945" s="11">
        <v>17725.54</v>
      </c>
      <c r="H945" s="11">
        <v>431.69</v>
      </c>
      <c r="I945" s="9" t="b">
        <f>TRUE()</f>
        <v>1</v>
      </c>
      <c r="J945" s="9" t="s">
        <v>1361</v>
      </c>
      <c r="K945" s="11">
        <v>431.69</v>
      </c>
      <c r="L945" s="9" t="s">
        <v>18</v>
      </c>
      <c r="M945" s="9" t="str">
        <f>IFERROR(INDEX(T_CleanCustomers[Sales_Rep_ID],MATCH(B945,T_CleanCustomers[Customer_ID],0)),"Unmatched")</f>
        <v>REP010</v>
      </c>
      <c r="N945" s="9" t="str">
        <f>IFERROR(INDEX(T_CleanCustomers[Channel],MATCH(B945,T_CleanCustomers[Customer_ID],0)),"Unmatched")</f>
        <v>Digital</v>
      </c>
      <c r="O945" s="9" t="str">
        <f>IFERROR(INDEX(T_CleanCustomers[Product],MATCH(B945,T_CleanCustomers[Customer_ID],0)),"Unmatched")</f>
        <v>Fuel Card</v>
      </c>
      <c r="P945" s="9" t="str">
        <f>IFERROR(INDEX(T_CleanCustomers[Customer_Segment],MATCH(B945,T_CleanCustomers[Customer_ID],0)),"Unmatched")</f>
        <v>Mid-Market</v>
      </c>
    </row>
    <row r="946" spans="1:16" ht="15" customHeight="1" x14ac:dyDescent="0.2">
      <c r="A946" s="9" t="s">
        <v>2290</v>
      </c>
      <c r="B946" s="9" t="s">
        <v>1258</v>
      </c>
      <c r="C946" s="9" t="b">
        <f>TRUE()</f>
        <v>1</v>
      </c>
      <c r="D946" s="10">
        <v>45771</v>
      </c>
      <c r="E946" s="10">
        <v>45748</v>
      </c>
      <c r="F946" s="9" t="s">
        <v>1360</v>
      </c>
      <c r="G946" s="11">
        <v>8822.5</v>
      </c>
      <c r="H946" s="11">
        <v>191.92</v>
      </c>
      <c r="I946" s="9" t="b">
        <f>TRUE()</f>
        <v>1</v>
      </c>
      <c r="J946" s="9" t="s">
        <v>1361</v>
      </c>
      <c r="K946" s="11">
        <v>191.92</v>
      </c>
      <c r="L946" s="9" t="s">
        <v>18</v>
      </c>
      <c r="M946" s="9" t="str">
        <f>IFERROR(INDEX(T_CleanCustomers[Sales_Rep_ID],MATCH(B946,T_CleanCustomers[Customer_ID],0)),"Unmatched")</f>
        <v>REP010</v>
      </c>
      <c r="N946" s="9" t="str">
        <f>IFERROR(INDEX(T_CleanCustomers[Channel],MATCH(B946,T_CleanCustomers[Customer_ID],0)),"Unmatched")</f>
        <v>Digital</v>
      </c>
      <c r="O946" s="9" t="str">
        <f>IFERROR(INDEX(T_CleanCustomers[Product],MATCH(B946,T_CleanCustomers[Customer_ID],0)),"Unmatched")</f>
        <v>Fuel Card</v>
      </c>
      <c r="P946" s="9" t="str">
        <f>IFERROR(INDEX(T_CleanCustomers[Customer_Segment],MATCH(B946,T_CleanCustomers[Customer_ID],0)),"Unmatched")</f>
        <v>Mid-Market</v>
      </c>
    </row>
    <row r="947" spans="1:16" ht="15" customHeight="1" x14ac:dyDescent="0.2">
      <c r="A947" s="9" t="s">
        <v>2291</v>
      </c>
      <c r="B947" s="9" t="s">
        <v>1258</v>
      </c>
      <c r="C947" s="9" t="b">
        <f>TRUE()</f>
        <v>1</v>
      </c>
      <c r="D947" s="10">
        <v>45785</v>
      </c>
      <c r="E947" s="10">
        <v>45778</v>
      </c>
      <c r="F947" s="9" t="s">
        <v>1360</v>
      </c>
      <c r="G947" s="11">
        <v>17146.09</v>
      </c>
      <c r="H947" s="11">
        <v>379.49</v>
      </c>
      <c r="I947" s="9" t="b">
        <f>TRUE()</f>
        <v>1</v>
      </c>
      <c r="J947" s="9" t="s">
        <v>1361</v>
      </c>
      <c r="K947" s="11">
        <v>379.49</v>
      </c>
      <c r="L947" s="9" t="s">
        <v>18</v>
      </c>
      <c r="M947" s="9" t="str">
        <f>IFERROR(INDEX(T_CleanCustomers[Sales_Rep_ID],MATCH(B947,T_CleanCustomers[Customer_ID],0)),"Unmatched")</f>
        <v>REP010</v>
      </c>
      <c r="N947" s="9" t="str">
        <f>IFERROR(INDEX(T_CleanCustomers[Channel],MATCH(B947,T_CleanCustomers[Customer_ID],0)),"Unmatched")</f>
        <v>Digital</v>
      </c>
      <c r="O947" s="9" t="str">
        <f>IFERROR(INDEX(T_CleanCustomers[Product],MATCH(B947,T_CleanCustomers[Customer_ID],0)),"Unmatched")</f>
        <v>Fuel Card</v>
      </c>
      <c r="P947" s="9" t="str">
        <f>IFERROR(INDEX(T_CleanCustomers[Customer_Segment],MATCH(B947,T_CleanCustomers[Customer_ID],0)),"Unmatched")</f>
        <v>Mid-Market</v>
      </c>
    </row>
    <row r="948" spans="1:16" ht="15" customHeight="1" x14ac:dyDescent="0.2">
      <c r="A948" s="9" t="s">
        <v>2292</v>
      </c>
      <c r="B948" s="9" t="s">
        <v>1258</v>
      </c>
      <c r="C948" s="9" t="b">
        <f>TRUE()</f>
        <v>1</v>
      </c>
      <c r="D948" s="10">
        <v>45798</v>
      </c>
      <c r="E948" s="10">
        <v>45778</v>
      </c>
      <c r="F948" s="9" t="s">
        <v>1360</v>
      </c>
      <c r="G948" s="11">
        <v>11717.63</v>
      </c>
      <c r="H948" s="11">
        <v>302.93</v>
      </c>
      <c r="I948" s="9" t="b">
        <f>TRUE()</f>
        <v>1</v>
      </c>
      <c r="J948" s="9" t="s">
        <v>1361</v>
      </c>
      <c r="K948" s="11">
        <v>302.93</v>
      </c>
      <c r="L948" s="9" t="s">
        <v>18</v>
      </c>
      <c r="M948" s="9" t="str">
        <f>IFERROR(INDEX(T_CleanCustomers[Sales_Rep_ID],MATCH(B948,T_CleanCustomers[Customer_ID],0)),"Unmatched")</f>
        <v>REP010</v>
      </c>
      <c r="N948" s="9" t="str">
        <f>IFERROR(INDEX(T_CleanCustomers[Channel],MATCH(B948,T_CleanCustomers[Customer_ID],0)),"Unmatched")</f>
        <v>Digital</v>
      </c>
      <c r="O948" s="9" t="str">
        <f>IFERROR(INDEX(T_CleanCustomers[Product],MATCH(B948,T_CleanCustomers[Customer_ID],0)),"Unmatched")</f>
        <v>Fuel Card</v>
      </c>
      <c r="P948" s="9" t="str">
        <f>IFERROR(INDEX(T_CleanCustomers[Customer_Segment],MATCH(B948,T_CleanCustomers[Customer_ID],0)),"Unmatched")</f>
        <v>Mid-Market</v>
      </c>
    </row>
    <row r="949" spans="1:16" ht="15" customHeight="1" x14ac:dyDescent="0.2">
      <c r="A949" s="9" t="s">
        <v>2293</v>
      </c>
      <c r="B949" s="9" t="s">
        <v>1258</v>
      </c>
      <c r="C949" s="9" t="b">
        <f>TRUE()</f>
        <v>1</v>
      </c>
      <c r="D949" s="10">
        <v>45792</v>
      </c>
      <c r="E949" s="10">
        <v>45778</v>
      </c>
      <c r="F949" s="9" t="s">
        <v>1360</v>
      </c>
      <c r="G949" s="11">
        <v>6828.52</v>
      </c>
      <c r="H949" s="11">
        <v>160.16999999999999</v>
      </c>
      <c r="I949" s="9" t="b">
        <f>TRUE()</f>
        <v>1</v>
      </c>
      <c r="J949" s="9" t="s">
        <v>1361</v>
      </c>
      <c r="K949" s="11">
        <v>160.16999999999999</v>
      </c>
      <c r="L949" s="9" t="s">
        <v>18</v>
      </c>
      <c r="M949" s="9" t="str">
        <f>IFERROR(INDEX(T_CleanCustomers[Sales_Rep_ID],MATCH(B949,T_CleanCustomers[Customer_ID],0)),"Unmatched")</f>
        <v>REP010</v>
      </c>
      <c r="N949" s="9" t="str">
        <f>IFERROR(INDEX(T_CleanCustomers[Channel],MATCH(B949,T_CleanCustomers[Customer_ID],0)),"Unmatched")</f>
        <v>Digital</v>
      </c>
      <c r="O949" s="9" t="str">
        <f>IFERROR(INDEX(T_CleanCustomers[Product],MATCH(B949,T_CleanCustomers[Customer_ID],0)),"Unmatched")</f>
        <v>Fuel Card</v>
      </c>
      <c r="P949" s="9" t="str">
        <f>IFERROR(INDEX(T_CleanCustomers[Customer_Segment],MATCH(B949,T_CleanCustomers[Customer_ID],0)),"Unmatched")</f>
        <v>Mid-Market</v>
      </c>
    </row>
    <row r="950" spans="1:16" ht="15" customHeight="1" x14ac:dyDescent="0.2">
      <c r="A950" s="9" t="s">
        <v>2294</v>
      </c>
      <c r="B950" s="9" t="s">
        <v>1258</v>
      </c>
      <c r="C950" s="9" t="b">
        <f>TRUE()</f>
        <v>1</v>
      </c>
      <c r="D950" s="10">
        <v>45818</v>
      </c>
      <c r="E950" s="10">
        <v>45809</v>
      </c>
      <c r="F950" s="9" t="s">
        <v>1360</v>
      </c>
      <c r="G950" s="11">
        <v>12663.03</v>
      </c>
      <c r="H950" s="11">
        <v>302.8</v>
      </c>
      <c r="I950" s="9" t="b">
        <f>TRUE()</f>
        <v>1</v>
      </c>
      <c r="J950" s="9" t="s">
        <v>1361</v>
      </c>
      <c r="K950" s="11">
        <v>302.8</v>
      </c>
      <c r="L950" s="9" t="s">
        <v>18</v>
      </c>
      <c r="M950" s="9" t="str">
        <f>IFERROR(INDEX(T_CleanCustomers[Sales_Rep_ID],MATCH(B950,T_CleanCustomers[Customer_ID],0)),"Unmatched")</f>
        <v>REP010</v>
      </c>
      <c r="N950" s="9" t="str">
        <f>IFERROR(INDEX(T_CleanCustomers[Channel],MATCH(B950,T_CleanCustomers[Customer_ID],0)),"Unmatched")</f>
        <v>Digital</v>
      </c>
      <c r="O950" s="9" t="str">
        <f>IFERROR(INDEX(T_CleanCustomers[Product],MATCH(B950,T_CleanCustomers[Customer_ID],0)),"Unmatched")</f>
        <v>Fuel Card</v>
      </c>
      <c r="P950" s="9" t="str">
        <f>IFERROR(INDEX(T_CleanCustomers[Customer_Segment],MATCH(B950,T_CleanCustomers[Customer_ID],0)),"Unmatched")</f>
        <v>Mid-Market</v>
      </c>
    </row>
    <row r="951" spans="1:16" ht="15" customHeight="1" x14ac:dyDescent="0.2">
      <c r="A951" s="9" t="s">
        <v>2295</v>
      </c>
      <c r="B951" s="9" t="s">
        <v>1258</v>
      </c>
      <c r="C951" s="9" t="b">
        <f>TRUE()</f>
        <v>1</v>
      </c>
      <c r="D951" s="10">
        <v>45835</v>
      </c>
      <c r="E951" s="10">
        <v>45809</v>
      </c>
      <c r="F951" s="9" t="s">
        <v>1360</v>
      </c>
      <c r="G951" s="11">
        <v>4974.28</v>
      </c>
      <c r="H951" s="11">
        <v>117.17</v>
      </c>
      <c r="I951" s="9" t="b">
        <f>TRUE()</f>
        <v>1</v>
      </c>
      <c r="J951" s="9" t="s">
        <v>1361</v>
      </c>
      <c r="K951" s="11">
        <v>117.17</v>
      </c>
      <c r="L951" s="9" t="s">
        <v>18</v>
      </c>
      <c r="M951" s="9" t="str">
        <f>IFERROR(INDEX(T_CleanCustomers[Sales_Rep_ID],MATCH(B951,T_CleanCustomers[Customer_ID],0)),"Unmatched")</f>
        <v>REP010</v>
      </c>
      <c r="N951" s="9" t="str">
        <f>IFERROR(INDEX(T_CleanCustomers[Channel],MATCH(B951,T_CleanCustomers[Customer_ID],0)),"Unmatched")</f>
        <v>Digital</v>
      </c>
      <c r="O951" s="9" t="str">
        <f>IFERROR(INDEX(T_CleanCustomers[Product],MATCH(B951,T_CleanCustomers[Customer_ID],0)),"Unmatched")</f>
        <v>Fuel Card</v>
      </c>
      <c r="P951" s="9" t="str">
        <f>IFERROR(INDEX(T_CleanCustomers[Customer_Segment],MATCH(B951,T_CleanCustomers[Customer_ID],0)),"Unmatched")</f>
        <v>Mid-Market</v>
      </c>
    </row>
    <row r="952" spans="1:16" ht="15" customHeight="1" x14ac:dyDescent="0.2">
      <c r="A952" s="9" t="s">
        <v>2296</v>
      </c>
      <c r="B952" s="9" t="s">
        <v>1258</v>
      </c>
      <c r="C952" s="9" t="b">
        <f>TRUE()</f>
        <v>1</v>
      </c>
      <c r="D952" s="10">
        <v>45841</v>
      </c>
      <c r="E952" s="10">
        <v>45839</v>
      </c>
      <c r="F952" s="9" t="s">
        <v>1360</v>
      </c>
      <c r="G952" s="11">
        <v>11973.7</v>
      </c>
      <c r="H952" s="11">
        <v>268.43</v>
      </c>
      <c r="I952" s="9" t="b">
        <f>TRUE()</f>
        <v>1</v>
      </c>
      <c r="J952" s="9" t="s">
        <v>1361</v>
      </c>
      <c r="K952" s="11">
        <v>268.43</v>
      </c>
      <c r="L952" s="9" t="s">
        <v>18</v>
      </c>
      <c r="M952" s="9" t="str">
        <f>IFERROR(INDEX(T_CleanCustomers[Sales_Rep_ID],MATCH(B952,T_CleanCustomers[Customer_ID],0)),"Unmatched")</f>
        <v>REP010</v>
      </c>
      <c r="N952" s="9" t="str">
        <f>IFERROR(INDEX(T_CleanCustomers[Channel],MATCH(B952,T_CleanCustomers[Customer_ID],0)),"Unmatched")</f>
        <v>Digital</v>
      </c>
      <c r="O952" s="9" t="str">
        <f>IFERROR(INDEX(T_CleanCustomers[Product],MATCH(B952,T_CleanCustomers[Customer_ID],0)),"Unmatched")</f>
        <v>Fuel Card</v>
      </c>
      <c r="P952" s="9" t="str">
        <f>IFERROR(INDEX(T_CleanCustomers[Customer_Segment],MATCH(B952,T_CleanCustomers[Customer_ID],0)),"Unmatched")</f>
        <v>Mid-Market</v>
      </c>
    </row>
    <row r="953" spans="1:16" ht="15" customHeight="1" x14ac:dyDescent="0.2">
      <c r="A953" s="9" t="s">
        <v>2297</v>
      </c>
      <c r="B953" s="9" t="s">
        <v>1258</v>
      </c>
      <c r="C953" s="9" t="b">
        <f>TRUE()</f>
        <v>1</v>
      </c>
      <c r="D953" s="10">
        <v>45871</v>
      </c>
      <c r="E953" s="10">
        <v>45870</v>
      </c>
      <c r="F953" s="9" t="s">
        <v>1360</v>
      </c>
      <c r="G953" s="11">
        <v>9954.61</v>
      </c>
      <c r="H953" s="11">
        <v>272.22000000000003</v>
      </c>
      <c r="I953" s="9" t="b">
        <f>TRUE()</f>
        <v>1</v>
      </c>
      <c r="J953" s="9" t="s">
        <v>1361</v>
      </c>
      <c r="K953" s="11">
        <v>272.22000000000003</v>
      </c>
      <c r="L953" s="9" t="s">
        <v>18</v>
      </c>
      <c r="M953" s="9" t="str">
        <f>IFERROR(INDEX(T_CleanCustomers[Sales_Rep_ID],MATCH(B953,T_CleanCustomers[Customer_ID],0)),"Unmatched")</f>
        <v>REP010</v>
      </c>
      <c r="N953" s="9" t="str">
        <f>IFERROR(INDEX(T_CleanCustomers[Channel],MATCH(B953,T_CleanCustomers[Customer_ID],0)),"Unmatched")</f>
        <v>Digital</v>
      </c>
      <c r="O953" s="9" t="str">
        <f>IFERROR(INDEX(T_CleanCustomers[Product],MATCH(B953,T_CleanCustomers[Customer_ID],0)),"Unmatched")</f>
        <v>Fuel Card</v>
      </c>
      <c r="P953" s="9" t="str">
        <f>IFERROR(INDEX(T_CleanCustomers[Customer_Segment],MATCH(B953,T_CleanCustomers[Customer_ID],0)),"Unmatched")</f>
        <v>Mid-Market</v>
      </c>
    </row>
    <row r="954" spans="1:16" ht="15" customHeight="1" x14ac:dyDescent="0.2">
      <c r="A954" s="9" t="s">
        <v>2298</v>
      </c>
      <c r="B954" s="9" t="s">
        <v>1258</v>
      </c>
      <c r="C954" s="9" t="b">
        <f>TRUE()</f>
        <v>1</v>
      </c>
      <c r="D954" s="10">
        <v>45895</v>
      </c>
      <c r="E954" s="10">
        <v>45870</v>
      </c>
      <c r="F954" s="9" t="s">
        <v>1360</v>
      </c>
      <c r="G954" s="11">
        <v>10025.200000000001</v>
      </c>
      <c r="H954" s="11">
        <v>281.47000000000003</v>
      </c>
      <c r="I954" s="9" t="b">
        <f>TRUE()</f>
        <v>1</v>
      </c>
      <c r="J954" s="9" t="s">
        <v>1361</v>
      </c>
      <c r="K954" s="11">
        <v>281.47000000000003</v>
      </c>
      <c r="L954" s="9" t="s">
        <v>18</v>
      </c>
      <c r="M954" s="9" t="str">
        <f>IFERROR(INDEX(T_CleanCustomers[Sales_Rep_ID],MATCH(B954,T_CleanCustomers[Customer_ID],0)),"Unmatched")</f>
        <v>REP010</v>
      </c>
      <c r="N954" s="9" t="str">
        <f>IFERROR(INDEX(T_CleanCustomers[Channel],MATCH(B954,T_CleanCustomers[Customer_ID],0)),"Unmatched")</f>
        <v>Digital</v>
      </c>
      <c r="O954" s="9" t="str">
        <f>IFERROR(INDEX(T_CleanCustomers[Product],MATCH(B954,T_CleanCustomers[Customer_ID],0)),"Unmatched")</f>
        <v>Fuel Card</v>
      </c>
      <c r="P954" s="9" t="str">
        <f>IFERROR(INDEX(T_CleanCustomers[Customer_Segment],MATCH(B954,T_CleanCustomers[Customer_ID],0)),"Unmatched")</f>
        <v>Mid-Market</v>
      </c>
    </row>
    <row r="955" spans="1:16" ht="15" customHeight="1" x14ac:dyDescent="0.2">
      <c r="A955" s="9" t="s">
        <v>2299</v>
      </c>
      <c r="B955" s="9" t="s">
        <v>1258</v>
      </c>
      <c r="C955" s="9" t="b">
        <f>TRUE()</f>
        <v>1</v>
      </c>
      <c r="D955" s="10">
        <v>45910</v>
      </c>
      <c r="E955" s="10">
        <v>45901</v>
      </c>
      <c r="F955" s="9" t="s">
        <v>1360</v>
      </c>
      <c r="G955" s="11">
        <v>7605.23</v>
      </c>
      <c r="H955" s="11">
        <v>207.46</v>
      </c>
      <c r="I955" s="9" t="b">
        <f>TRUE()</f>
        <v>1</v>
      </c>
      <c r="J955" s="9" t="s">
        <v>1361</v>
      </c>
      <c r="K955" s="11">
        <v>207.46</v>
      </c>
      <c r="L955" s="9" t="s">
        <v>18</v>
      </c>
      <c r="M955" s="9" t="str">
        <f>IFERROR(INDEX(T_CleanCustomers[Sales_Rep_ID],MATCH(B955,T_CleanCustomers[Customer_ID],0)),"Unmatched")</f>
        <v>REP010</v>
      </c>
      <c r="N955" s="9" t="str">
        <f>IFERROR(INDEX(T_CleanCustomers[Channel],MATCH(B955,T_CleanCustomers[Customer_ID],0)),"Unmatched")</f>
        <v>Digital</v>
      </c>
      <c r="O955" s="9" t="str">
        <f>IFERROR(INDEX(T_CleanCustomers[Product],MATCH(B955,T_CleanCustomers[Customer_ID],0)),"Unmatched")</f>
        <v>Fuel Card</v>
      </c>
      <c r="P955" s="9" t="str">
        <f>IFERROR(INDEX(T_CleanCustomers[Customer_Segment],MATCH(B955,T_CleanCustomers[Customer_ID],0)),"Unmatched")</f>
        <v>Mid-Market</v>
      </c>
    </row>
    <row r="956" spans="1:16" ht="15" customHeight="1" x14ac:dyDescent="0.2">
      <c r="A956" s="9" t="s">
        <v>2300</v>
      </c>
      <c r="B956" s="9" t="s">
        <v>1258</v>
      </c>
      <c r="C956" s="9" t="b">
        <f>TRUE()</f>
        <v>1</v>
      </c>
      <c r="D956" s="10">
        <v>45911</v>
      </c>
      <c r="E956" s="10">
        <v>45901</v>
      </c>
      <c r="F956" s="9" t="s">
        <v>1360</v>
      </c>
      <c r="G956" s="11">
        <v>10985.31</v>
      </c>
      <c r="H956" s="11">
        <v>306.36</v>
      </c>
      <c r="I956" s="9" t="b">
        <f>TRUE()</f>
        <v>1</v>
      </c>
      <c r="J956" s="9" t="s">
        <v>1361</v>
      </c>
      <c r="K956" s="11">
        <v>306.36</v>
      </c>
      <c r="L956" s="9" t="s">
        <v>18</v>
      </c>
      <c r="M956" s="9" t="str">
        <f>IFERROR(INDEX(T_CleanCustomers[Sales_Rep_ID],MATCH(B956,T_CleanCustomers[Customer_ID],0)),"Unmatched")</f>
        <v>REP010</v>
      </c>
      <c r="N956" s="9" t="str">
        <f>IFERROR(INDEX(T_CleanCustomers[Channel],MATCH(B956,T_CleanCustomers[Customer_ID],0)),"Unmatched")</f>
        <v>Digital</v>
      </c>
      <c r="O956" s="9" t="str">
        <f>IFERROR(INDEX(T_CleanCustomers[Product],MATCH(B956,T_CleanCustomers[Customer_ID],0)),"Unmatched")</f>
        <v>Fuel Card</v>
      </c>
      <c r="P956" s="9" t="str">
        <f>IFERROR(INDEX(T_CleanCustomers[Customer_Segment],MATCH(B956,T_CleanCustomers[Customer_ID],0)),"Unmatched")</f>
        <v>Mid-Market</v>
      </c>
    </row>
    <row r="957" spans="1:16" ht="15" customHeight="1" x14ac:dyDescent="0.2">
      <c r="A957" s="9" t="s">
        <v>2301</v>
      </c>
      <c r="B957" s="9" t="s">
        <v>1258</v>
      </c>
      <c r="C957" s="9" t="b">
        <f>TRUE()</f>
        <v>1</v>
      </c>
      <c r="D957" s="10">
        <v>45949</v>
      </c>
      <c r="E957" s="10">
        <v>45931</v>
      </c>
      <c r="F957" s="9" t="s">
        <v>1360</v>
      </c>
      <c r="G957" s="11">
        <v>8418.18</v>
      </c>
      <c r="H957" s="11">
        <v>232.49</v>
      </c>
      <c r="I957" s="9" t="b">
        <f>TRUE()</f>
        <v>1</v>
      </c>
      <c r="J957" s="9" t="s">
        <v>1361</v>
      </c>
      <c r="K957" s="11">
        <v>232.49</v>
      </c>
      <c r="L957" s="9" t="s">
        <v>18</v>
      </c>
      <c r="M957" s="9" t="str">
        <f>IFERROR(INDEX(T_CleanCustomers[Sales_Rep_ID],MATCH(B957,T_CleanCustomers[Customer_ID],0)),"Unmatched")</f>
        <v>REP010</v>
      </c>
      <c r="N957" s="9" t="str">
        <f>IFERROR(INDEX(T_CleanCustomers[Channel],MATCH(B957,T_CleanCustomers[Customer_ID],0)),"Unmatched")</f>
        <v>Digital</v>
      </c>
      <c r="O957" s="9" t="str">
        <f>IFERROR(INDEX(T_CleanCustomers[Product],MATCH(B957,T_CleanCustomers[Customer_ID],0)),"Unmatched")</f>
        <v>Fuel Card</v>
      </c>
      <c r="P957" s="9" t="str">
        <f>IFERROR(INDEX(T_CleanCustomers[Customer_Segment],MATCH(B957,T_CleanCustomers[Customer_ID],0)),"Unmatched")</f>
        <v>Mid-Market</v>
      </c>
    </row>
    <row r="958" spans="1:16" ht="15" customHeight="1" x14ac:dyDescent="0.2">
      <c r="A958" s="9" t="s">
        <v>2302</v>
      </c>
      <c r="B958" s="9" t="s">
        <v>1258</v>
      </c>
      <c r="C958" s="9" t="b">
        <f>TRUE()</f>
        <v>1</v>
      </c>
      <c r="D958" s="10">
        <v>45934</v>
      </c>
      <c r="E958" s="10">
        <v>45931</v>
      </c>
      <c r="F958" s="9" t="s">
        <v>1360</v>
      </c>
      <c r="G958" s="11">
        <v>16516.32</v>
      </c>
      <c r="H958" s="11">
        <v>467.18</v>
      </c>
      <c r="I958" s="9" t="b">
        <f>TRUE()</f>
        <v>1</v>
      </c>
      <c r="J958" s="9" t="s">
        <v>1361</v>
      </c>
      <c r="K958" s="11">
        <v>467.18</v>
      </c>
      <c r="L958" s="9" t="s">
        <v>18</v>
      </c>
      <c r="M958" s="9" t="str">
        <f>IFERROR(INDEX(T_CleanCustomers[Sales_Rep_ID],MATCH(B958,T_CleanCustomers[Customer_ID],0)),"Unmatched")</f>
        <v>REP010</v>
      </c>
      <c r="N958" s="9" t="str">
        <f>IFERROR(INDEX(T_CleanCustomers[Channel],MATCH(B958,T_CleanCustomers[Customer_ID],0)),"Unmatched")</f>
        <v>Digital</v>
      </c>
      <c r="O958" s="9" t="str">
        <f>IFERROR(INDEX(T_CleanCustomers[Product],MATCH(B958,T_CleanCustomers[Customer_ID],0)),"Unmatched")</f>
        <v>Fuel Card</v>
      </c>
      <c r="P958" s="9" t="str">
        <f>IFERROR(INDEX(T_CleanCustomers[Customer_Segment],MATCH(B958,T_CleanCustomers[Customer_ID],0)),"Unmatched")</f>
        <v>Mid-Market</v>
      </c>
    </row>
    <row r="959" spans="1:16" ht="15" customHeight="1" x14ac:dyDescent="0.2">
      <c r="A959" s="9" t="s">
        <v>2303</v>
      </c>
      <c r="B959" s="9" t="s">
        <v>1258</v>
      </c>
      <c r="C959" s="9" t="b">
        <f>TRUE()</f>
        <v>1</v>
      </c>
      <c r="D959" s="10">
        <v>45935</v>
      </c>
      <c r="E959" s="10">
        <v>45931</v>
      </c>
      <c r="F959" s="9" t="s">
        <v>1360</v>
      </c>
      <c r="G959" s="11">
        <v>16552.240000000002</v>
      </c>
      <c r="H959" s="11">
        <v>355.4</v>
      </c>
      <c r="I959" s="9" t="b">
        <f>TRUE()</f>
        <v>1</v>
      </c>
      <c r="J959" s="9" t="s">
        <v>1361</v>
      </c>
      <c r="K959" s="11">
        <v>355.4</v>
      </c>
      <c r="L959" s="9" t="s">
        <v>18</v>
      </c>
      <c r="M959" s="9" t="str">
        <f>IFERROR(INDEX(T_CleanCustomers[Sales_Rep_ID],MATCH(B959,T_CleanCustomers[Customer_ID],0)),"Unmatched")</f>
        <v>REP010</v>
      </c>
      <c r="N959" s="9" t="str">
        <f>IFERROR(INDEX(T_CleanCustomers[Channel],MATCH(B959,T_CleanCustomers[Customer_ID],0)),"Unmatched")</f>
        <v>Digital</v>
      </c>
      <c r="O959" s="9" t="str">
        <f>IFERROR(INDEX(T_CleanCustomers[Product],MATCH(B959,T_CleanCustomers[Customer_ID],0)),"Unmatched")</f>
        <v>Fuel Card</v>
      </c>
      <c r="P959" s="9" t="str">
        <f>IFERROR(INDEX(T_CleanCustomers[Customer_Segment],MATCH(B959,T_CleanCustomers[Customer_ID],0)),"Unmatched")</f>
        <v>Mid-Market</v>
      </c>
    </row>
    <row r="960" spans="1:16" ht="15" customHeight="1" x14ac:dyDescent="0.2">
      <c r="A960" s="9" t="s">
        <v>2304</v>
      </c>
      <c r="B960" s="9" t="s">
        <v>1258</v>
      </c>
      <c r="C960" s="9" t="b">
        <f>TRUE()</f>
        <v>1</v>
      </c>
      <c r="D960" s="10">
        <v>45985</v>
      </c>
      <c r="E960" s="10">
        <v>45962</v>
      </c>
      <c r="F960" s="9" t="s">
        <v>1360</v>
      </c>
      <c r="G960" s="11">
        <v>12767.35</v>
      </c>
      <c r="H960" s="11">
        <v>348.39</v>
      </c>
      <c r="I960" s="9" t="b">
        <f>TRUE()</f>
        <v>1</v>
      </c>
      <c r="J960" s="9" t="s">
        <v>1361</v>
      </c>
      <c r="K960" s="11">
        <v>348.39</v>
      </c>
      <c r="L960" s="9" t="s">
        <v>18</v>
      </c>
      <c r="M960" s="9" t="str">
        <f>IFERROR(INDEX(T_CleanCustomers[Sales_Rep_ID],MATCH(B960,T_CleanCustomers[Customer_ID],0)),"Unmatched")</f>
        <v>REP010</v>
      </c>
      <c r="N960" s="9" t="str">
        <f>IFERROR(INDEX(T_CleanCustomers[Channel],MATCH(B960,T_CleanCustomers[Customer_ID],0)),"Unmatched")</f>
        <v>Digital</v>
      </c>
      <c r="O960" s="9" t="str">
        <f>IFERROR(INDEX(T_CleanCustomers[Product],MATCH(B960,T_CleanCustomers[Customer_ID],0)),"Unmatched")</f>
        <v>Fuel Card</v>
      </c>
      <c r="P960" s="9" t="str">
        <f>IFERROR(INDEX(T_CleanCustomers[Customer_Segment],MATCH(B960,T_CleanCustomers[Customer_ID],0)),"Unmatched")</f>
        <v>Mid-Market</v>
      </c>
    </row>
    <row r="961" spans="1:16" ht="15" customHeight="1" x14ac:dyDescent="0.2">
      <c r="A961" s="9" t="s">
        <v>2305</v>
      </c>
      <c r="B961" s="9" t="s">
        <v>1258</v>
      </c>
      <c r="C961" s="9" t="b">
        <f>TRUE()</f>
        <v>1</v>
      </c>
      <c r="D961" s="10">
        <v>45991</v>
      </c>
      <c r="E961" s="10">
        <v>45962</v>
      </c>
      <c r="F961" s="9" t="s">
        <v>1360</v>
      </c>
      <c r="G961" s="11">
        <v>5916.72</v>
      </c>
      <c r="H961" s="11">
        <v>153.47</v>
      </c>
      <c r="I961" s="9" t="b">
        <f>TRUE()</f>
        <v>1</v>
      </c>
      <c r="J961" s="9" t="s">
        <v>1361</v>
      </c>
      <c r="K961" s="11">
        <v>153.47</v>
      </c>
      <c r="L961" s="9" t="s">
        <v>18</v>
      </c>
      <c r="M961" s="9" t="str">
        <f>IFERROR(INDEX(T_CleanCustomers[Sales_Rep_ID],MATCH(B961,T_CleanCustomers[Customer_ID],0)),"Unmatched")</f>
        <v>REP010</v>
      </c>
      <c r="N961" s="9" t="str">
        <f>IFERROR(INDEX(T_CleanCustomers[Channel],MATCH(B961,T_CleanCustomers[Customer_ID],0)),"Unmatched")</f>
        <v>Digital</v>
      </c>
      <c r="O961" s="9" t="str">
        <f>IFERROR(INDEX(T_CleanCustomers[Product],MATCH(B961,T_CleanCustomers[Customer_ID],0)),"Unmatched")</f>
        <v>Fuel Card</v>
      </c>
      <c r="P961" s="9" t="str">
        <f>IFERROR(INDEX(T_CleanCustomers[Customer_Segment],MATCH(B961,T_CleanCustomers[Customer_ID],0)),"Unmatched")</f>
        <v>Mid-Market</v>
      </c>
    </row>
    <row r="962" spans="1:16" ht="15" customHeight="1" x14ac:dyDescent="0.2">
      <c r="A962" s="9" t="s">
        <v>2306</v>
      </c>
      <c r="B962" s="9" t="s">
        <v>1258</v>
      </c>
      <c r="C962" s="9" t="b">
        <f>TRUE()</f>
        <v>1</v>
      </c>
      <c r="D962" s="10">
        <v>45704</v>
      </c>
      <c r="E962" s="10">
        <v>45689</v>
      </c>
      <c r="F962" s="9" t="s">
        <v>1360</v>
      </c>
      <c r="G962" s="11">
        <v>16711</v>
      </c>
      <c r="H962" s="11">
        <v>419.24</v>
      </c>
      <c r="I962" s="9" t="b">
        <f>TRUE()</f>
        <v>1</v>
      </c>
      <c r="J962" s="9" t="s">
        <v>1361</v>
      </c>
      <c r="K962" s="11">
        <v>419.24</v>
      </c>
      <c r="L962" s="9" t="s">
        <v>18</v>
      </c>
      <c r="M962" s="9" t="str">
        <f>IFERROR(INDEX(T_CleanCustomers[Sales_Rep_ID],MATCH(B962,T_CleanCustomers[Customer_ID],0)),"Unmatched")</f>
        <v>REP010</v>
      </c>
      <c r="N962" s="9" t="str">
        <f>IFERROR(INDEX(T_CleanCustomers[Channel],MATCH(B962,T_CleanCustomers[Customer_ID],0)),"Unmatched")</f>
        <v>Digital</v>
      </c>
      <c r="O962" s="9" t="str">
        <f>IFERROR(INDEX(T_CleanCustomers[Product],MATCH(B962,T_CleanCustomers[Customer_ID],0)),"Unmatched")</f>
        <v>Fuel Card</v>
      </c>
      <c r="P962" s="9" t="str">
        <f>IFERROR(INDEX(T_CleanCustomers[Customer_Segment],MATCH(B962,T_CleanCustomers[Customer_ID],0)),"Unmatched")</f>
        <v>Mid-Market</v>
      </c>
    </row>
    <row r="963" spans="1:16" ht="15" customHeight="1" x14ac:dyDescent="0.2">
      <c r="A963" s="9" t="s">
        <v>2307</v>
      </c>
      <c r="B963" s="9" t="s">
        <v>1258</v>
      </c>
      <c r="C963" s="9" t="b">
        <f>TRUE()</f>
        <v>1</v>
      </c>
      <c r="D963" s="10">
        <v>46008</v>
      </c>
      <c r="E963" s="10">
        <v>45992</v>
      </c>
      <c r="F963" s="9" t="s">
        <v>1360</v>
      </c>
      <c r="G963" s="11">
        <v>12829.6</v>
      </c>
      <c r="H963" s="11">
        <v>349.02</v>
      </c>
      <c r="I963" s="9" t="b">
        <f>TRUE()</f>
        <v>1</v>
      </c>
      <c r="J963" s="9" t="s">
        <v>1361</v>
      </c>
      <c r="K963" s="11">
        <v>349.02</v>
      </c>
      <c r="L963" s="9" t="s">
        <v>18</v>
      </c>
      <c r="M963" s="9" t="str">
        <f>IFERROR(INDEX(T_CleanCustomers[Sales_Rep_ID],MATCH(B963,T_CleanCustomers[Customer_ID],0)),"Unmatched")</f>
        <v>REP010</v>
      </c>
      <c r="N963" s="9" t="str">
        <f>IFERROR(INDEX(T_CleanCustomers[Channel],MATCH(B963,T_CleanCustomers[Customer_ID],0)),"Unmatched")</f>
        <v>Digital</v>
      </c>
      <c r="O963" s="9" t="str">
        <f>IFERROR(INDEX(T_CleanCustomers[Product],MATCH(B963,T_CleanCustomers[Customer_ID],0)),"Unmatched")</f>
        <v>Fuel Card</v>
      </c>
      <c r="P963" s="9" t="str">
        <f>IFERROR(INDEX(T_CleanCustomers[Customer_Segment],MATCH(B963,T_CleanCustomers[Customer_ID],0)),"Unmatched")</f>
        <v>Mid-Market</v>
      </c>
    </row>
    <row r="964" spans="1:16" ht="15" customHeight="1" x14ac:dyDescent="0.2">
      <c r="A964" s="9" t="s">
        <v>2308</v>
      </c>
      <c r="B964" s="9" t="s">
        <v>1258</v>
      </c>
      <c r="C964" s="9" t="b">
        <f>TRUE()</f>
        <v>1</v>
      </c>
      <c r="D964" s="10">
        <v>46007</v>
      </c>
      <c r="E964" s="10">
        <v>45992</v>
      </c>
      <c r="F964" s="9" t="s">
        <v>1360</v>
      </c>
      <c r="G964" s="11">
        <v>13645.22</v>
      </c>
      <c r="H964" s="11">
        <v>369.25</v>
      </c>
      <c r="I964" s="9" t="b">
        <f>TRUE()</f>
        <v>1</v>
      </c>
      <c r="J964" s="9" t="s">
        <v>1361</v>
      </c>
      <c r="K964" s="11">
        <v>369.25</v>
      </c>
      <c r="L964" s="9" t="s">
        <v>18</v>
      </c>
      <c r="M964" s="9" t="str">
        <f>IFERROR(INDEX(T_CleanCustomers[Sales_Rep_ID],MATCH(B964,T_CleanCustomers[Customer_ID],0)),"Unmatched")</f>
        <v>REP010</v>
      </c>
      <c r="N964" s="9" t="str">
        <f>IFERROR(INDEX(T_CleanCustomers[Channel],MATCH(B964,T_CleanCustomers[Customer_ID],0)),"Unmatched")</f>
        <v>Digital</v>
      </c>
      <c r="O964" s="9" t="str">
        <f>IFERROR(INDEX(T_CleanCustomers[Product],MATCH(B964,T_CleanCustomers[Customer_ID],0)),"Unmatched")</f>
        <v>Fuel Card</v>
      </c>
      <c r="P964" s="9" t="str">
        <f>IFERROR(INDEX(T_CleanCustomers[Customer_Segment],MATCH(B964,T_CleanCustomers[Customer_ID],0)),"Unmatched")</f>
        <v>Mid-Market</v>
      </c>
    </row>
    <row r="965" spans="1:16" ht="15" customHeight="1" x14ac:dyDescent="0.2">
      <c r="A965" s="9" t="s">
        <v>120</v>
      </c>
      <c r="B965" s="9" t="s">
        <v>1437</v>
      </c>
      <c r="C965" s="9" t="b">
        <f>FALSE()</f>
        <v>0</v>
      </c>
      <c r="D965" s="10">
        <v>46015</v>
      </c>
      <c r="E965" s="10">
        <v>45992</v>
      </c>
      <c r="F965" s="9" t="s">
        <v>1360</v>
      </c>
      <c r="G965" s="11">
        <v>17923.32</v>
      </c>
      <c r="H965" s="11">
        <v>420.2</v>
      </c>
      <c r="I965" s="9" t="b">
        <f>TRUE()</f>
        <v>1</v>
      </c>
      <c r="J965" s="9" t="s">
        <v>1361</v>
      </c>
      <c r="K965" s="11">
        <v>0</v>
      </c>
      <c r="L965" s="9" t="s">
        <v>18</v>
      </c>
      <c r="M965" s="9" t="str">
        <f>IFERROR(INDEX(T_CleanCustomers[Sales_Rep_ID],MATCH(B965,T_CleanCustomers[Customer_ID],0)),"Unmatched")</f>
        <v>Unmatched</v>
      </c>
      <c r="N965" s="9" t="str">
        <f>IFERROR(INDEX(T_CleanCustomers[Channel],MATCH(B965,T_CleanCustomers[Customer_ID],0)),"Unmatched")</f>
        <v>Unmatched</v>
      </c>
      <c r="O965" s="9" t="str">
        <f>IFERROR(INDEX(T_CleanCustomers[Product],MATCH(B965,T_CleanCustomers[Customer_ID],0)),"Unmatched")</f>
        <v>Unmatched</v>
      </c>
      <c r="P965" s="9" t="str">
        <f>IFERROR(INDEX(T_CleanCustomers[Customer_Segment],MATCH(B965,T_CleanCustomers[Customer_ID],0)),"Unmatched")</f>
        <v>Unmatched</v>
      </c>
    </row>
    <row r="966" spans="1:16" ht="15" customHeight="1" x14ac:dyDescent="0.2">
      <c r="A966" s="9" t="s">
        <v>2309</v>
      </c>
      <c r="B966" s="9" t="s">
        <v>1259</v>
      </c>
      <c r="C966" s="9" t="b">
        <f>TRUE()</f>
        <v>1</v>
      </c>
      <c r="D966" s="10">
        <v>45959</v>
      </c>
      <c r="E966" s="10">
        <v>45931</v>
      </c>
      <c r="F966" s="9" t="s">
        <v>1360</v>
      </c>
      <c r="G966" s="11">
        <v>4971.62</v>
      </c>
      <c r="H966" s="11">
        <v>129.38999999999999</v>
      </c>
      <c r="I966" s="9" t="b">
        <f>TRUE()</f>
        <v>1</v>
      </c>
      <c r="J966" s="9" t="s">
        <v>1361</v>
      </c>
      <c r="K966" s="11">
        <v>129.38999999999999</v>
      </c>
      <c r="L966" s="9" t="s">
        <v>22</v>
      </c>
      <c r="M966" s="9" t="str">
        <f>IFERROR(INDEX(T_CleanCustomers[Sales_Rep_ID],MATCH(B966,T_CleanCustomers[Customer_ID],0)),"Unmatched")</f>
        <v>REP006</v>
      </c>
      <c r="N966" s="9" t="str">
        <f>IFERROR(INDEX(T_CleanCustomers[Channel],MATCH(B966,T_CleanCustomers[Customer_ID],0)),"Unmatched")</f>
        <v>Digital</v>
      </c>
      <c r="O966" s="9" t="str">
        <f>IFERROR(INDEX(T_CleanCustomers[Product],MATCH(B966,T_CleanCustomers[Customer_ID],0)),"Unmatched")</f>
        <v>Fuel Card</v>
      </c>
      <c r="P966" s="9" t="str">
        <f>IFERROR(INDEX(T_CleanCustomers[Customer_Segment],MATCH(B966,T_CleanCustomers[Customer_ID],0)),"Unmatched")</f>
        <v>Mid-Market</v>
      </c>
    </row>
    <row r="967" spans="1:16" ht="15" customHeight="1" x14ac:dyDescent="0.2">
      <c r="A967" s="9" t="s">
        <v>2310</v>
      </c>
      <c r="B967" s="9" t="s">
        <v>1259</v>
      </c>
      <c r="C967" s="9" t="b">
        <f>TRUE()</f>
        <v>1</v>
      </c>
      <c r="D967" s="10">
        <v>45947</v>
      </c>
      <c r="E967" s="10">
        <v>45931</v>
      </c>
      <c r="F967" s="9" t="s">
        <v>1360</v>
      </c>
      <c r="G967" s="11">
        <v>10322.84</v>
      </c>
      <c r="H967" s="11">
        <v>238</v>
      </c>
      <c r="I967" s="9" t="b">
        <f>TRUE()</f>
        <v>1</v>
      </c>
      <c r="J967" s="9" t="s">
        <v>1361</v>
      </c>
      <c r="K967" s="11">
        <v>238</v>
      </c>
      <c r="L967" s="9" t="s">
        <v>22</v>
      </c>
      <c r="M967" s="9" t="str">
        <f>IFERROR(INDEX(T_CleanCustomers[Sales_Rep_ID],MATCH(B967,T_CleanCustomers[Customer_ID],0)),"Unmatched")</f>
        <v>REP006</v>
      </c>
      <c r="N967" s="9" t="str">
        <f>IFERROR(INDEX(T_CleanCustomers[Channel],MATCH(B967,T_CleanCustomers[Customer_ID],0)),"Unmatched")</f>
        <v>Digital</v>
      </c>
      <c r="O967" s="9" t="str">
        <f>IFERROR(INDEX(T_CleanCustomers[Product],MATCH(B967,T_CleanCustomers[Customer_ID],0)),"Unmatched")</f>
        <v>Fuel Card</v>
      </c>
      <c r="P967" s="9" t="str">
        <f>IFERROR(INDEX(T_CleanCustomers[Customer_Segment],MATCH(B967,T_CleanCustomers[Customer_ID],0)),"Unmatched")</f>
        <v>Mid-Market</v>
      </c>
    </row>
    <row r="968" spans="1:16" ht="15" customHeight="1" x14ac:dyDescent="0.2">
      <c r="A968" s="9" t="s">
        <v>2311</v>
      </c>
      <c r="B968" s="9" t="s">
        <v>1259</v>
      </c>
      <c r="C968" s="9" t="b">
        <f>TRUE()</f>
        <v>1</v>
      </c>
      <c r="D968" s="10">
        <v>45943</v>
      </c>
      <c r="E968" s="10">
        <v>45931</v>
      </c>
      <c r="F968" s="9" t="s">
        <v>1360</v>
      </c>
      <c r="G968" s="11">
        <v>5697.29</v>
      </c>
      <c r="H968" s="11">
        <v>144.69999999999999</v>
      </c>
      <c r="I968" s="9" t="b">
        <f>TRUE()</f>
        <v>1</v>
      </c>
      <c r="J968" s="9" t="s">
        <v>1361</v>
      </c>
      <c r="K968" s="11">
        <v>144.69999999999999</v>
      </c>
      <c r="L968" s="9" t="s">
        <v>22</v>
      </c>
      <c r="M968" s="9" t="str">
        <f>IFERROR(INDEX(T_CleanCustomers[Sales_Rep_ID],MATCH(B968,T_CleanCustomers[Customer_ID],0)),"Unmatched")</f>
        <v>REP006</v>
      </c>
      <c r="N968" s="9" t="str">
        <f>IFERROR(INDEX(T_CleanCustomers[Channel],MATCH(B968,T_CleanCustomers[Customer_ID],0)),"Unmatched")</f>
        <v>Digital</v>
      </c>
      <c r="O968" s="9" t="str">
        <f>IFERROR(INDEX(T_CleanCustomers[Product],MATCH(B968,T_CleanCustomers[Customer_ID],0)),"Unmatched")</f>
        <v>Fuel Card</v>
      </c>
      <c r="P968" s="9" t="str">
        <f>IFERROR(INDEX(T_CleanCustomers[Customer_Segment],MATCH(B968,T_CleanCustomers[Customer_ID],0)),"Unmatched")</f>
        <v>Mid-Market</v>
      </c>
    </row>
    <row r="969" spans="1:16" ht="15" customHeight="1" x14ac:dyDescent="0.2">
      <c r="A969" s="9" t="s">
        <v>2312</v>
      </c>
      <c r="B969" s="9" t="s">
        <v>1259</v>
      </c>
      <c r="C969" s="9" t="b">
        <f>TRUE()</f>
        <v>1</v>
      </c>
      <c r="D969" s="10">
        <v>45967</v>
      </c>
      <c r="E969" s="10">
        <v>45962</v>
      </c>
      <c r="F969" s="9" t="s">
        <v>1360</v>
      </c>
      <c r="G969" s="11">
        <v>8002.18</v>
      </c>
      <c r="H969" s="11">
        <v>191.48</v>
      </c>
      <c r="I969" s="9" t="b">
        <f>TRUE()</f>
        <v>1</v>
      </c>
      <c r="J969" s="9" t="s">
        <v>1361</v>
      </c>
      <c r="K969" s="11">
        <v>191.48</v>
      </c>
      <c r="L969" s="9" t="s">
        <v>22</v>
      </c>
      <c r="M969" s="9" t="str">
        <f>IFERROR(INDEX(T_CleanCustomers[Sales_Rep_ID],MATCH(B969,T_CleanCustomers[Customer_ID],0)),"Unmatched")</f>
        <v>REP006</v>
      </c>
      <c r="N969" s="9" t="str">
        <f>IFERROR(INDEX(T_CleanCustomers[Channel],MATCH(B969,T_CleanCustomers[Customer_ID],0)),"Unmatched")</f>
        <v>Digital</v>
      </c>
      <c r="O969" s="9" t="str">
        <f>IFERROR(INDEX(T_CleanCustomers[Product],MATCH(B969,T_CleanCustomers[Customer_ID],0)),"Unmatched")</f>
        <v>Fuel Card</v>
      </c>
      <c r="P969" s="9" t="str">
        <f>IFERROR(INDEX(T_CleanCustomers[Customer_Segment],MATCH(B969,T_CleanCustomers[Customer_ID],0)),"Unmatched")</f>
        <v>Mid-Market</v>
      </c>
    </row>
    <row r="970" spans="1:16" ht="15" customHeight="1" x14ac:dyDescent="0.2">
      <c r="A970" s="9" t="s">
        <v>2313</v>
      </c>
      <c r="B970" s="9" t="s">
        <v>1259</v>
      </c>
      <c r="C970" s="9" t="b">
        <f>TRUE()</f>
        <v>1</v>
      </c>
      <c r="D970" s="10">
        <v>46000</v>
      </c>
      <c r="E970" s="10">
        <v>45992</v>
      </c>
      <c r="F970" s="9" t="s">
        <v>1360</v>
      </c>
      <c r="G970" s="11">
        <v>14385.13</v>
      </c>
      <c r="H970" s="11">
        <v>387.15</v>
      </c>
      <c r="I970" s="9" t="b">
        <f>TRUE()</f>
        <v>1</v>
      </c>
      <c r="J970" s="9" t="s">
        <v>1361</v>
      </c>
      <c r="K970" s="11">
        <v>387.15</v>
      </c>
      <c r="L970" s="9" t="s">
        <v>22</v>
      </c>
      <c r="M970" s="9" t="str">
        <f>IFERROR(INDEX(T_CleanCustomers[Sales_Rep_ID],MATCH(B970,T_CleanCustomers[Customer_ID],0)),"Unmatched")</f>
        <v>REP006</v>
      </c>
      <c r="N970" s="9" t="str">
        <f>IFERROR(INDEX(T_CleanCustomers[Channel],MATCH(B970,T_CleanCustomers[Customer_ID],0)),"Unmatched")</f>
        <v>Digital</v>
      </c>
      <c r="O970" s="9" t="str">
        <f>IFERROR(INDEX(T_CleanCustomers[Product],MATCH(B970,T_CleanCustomers[Customer_ID],0)),"Unmatched")</f>
        <v>Fuel Card</v>
      </c>
      <c r="P970" s="9" t="str">
        <f>IFERROR(INDEX(T_CleanCustomers[Customer_Segment],MATCH(B970,T_CleanCustomers[Customer_ID],0)),"Unmatched")</f>
        <v>Mid-Market</v>
      </c>
    </row>
    <row r="971" spans="1:16" ht="15" customHeight="1" x14ac:dyDescent="0.2">
      <c r="A971" s="9" t="s">
        <v>2314</v>
      </c>
      <c r="B971" s="9" t="s">
        <v>1260</v>
      </c>
      <c r="C971" s="9" t="b">
        <f>TRUE()</f>
        <v>1</v>
      </c>
      <c r="D971" s="10">
        <v>45900</v>
      </c>
      <c r="E971" s="10">
        <v>45870</v>
      </c>
      <c r="F971" s="9" t="s">
        <v>1360</v>
      </c>
      <c r="G971" s="11">
        <v>2543.37</v>
      </c>
      <c r="H971" s="11">
        <v>78.56</v>
      </c>
      <c r="I971" s="9" t="b">
        <f>TRUE()</f>
        <v>1</v>
      </c>
      <c r="J971" s="9" t="s">
        <v>1361</v>
      </c>
      <c r="K971" s="11">
        <v>78.56</v>
      </c>
      <c r="L971" s="9" t="s">
        <v>22</v>
      </c>
      <c r="M971" s="9" t="str">
        <f>IFERROR(INDEX(T_CleanCustomers[Sales_Rep_ID],MATCH(B971,T_CleanCustomers[Customer_ID],0)),"Unmatched")</f>
        <v>REP004</v>
      </c>
      <c r="N971" s="9" t="str">
        <f>IFERROR(INDEX(T_CleanCustomers[Channel],MATCH(B971,T_CleanCustomers[Customer_ID],0)),"Unmatched")</f>
        <v>Partner</v>
      </c>
      <c r="O971" s="9" t="str">
        <f>IFERROR(INDEX(T_CleanCustomers[Product],MATCH(B971,T_CleanCustomers[Customer_ID],0)),"Unmatched")</f>
        <v>Fleet Expense Card</v>
      </c>
      <c r="P971" s="9" t="str">
        <f>IFERROR(INDEX(T_CleanCustomers[Customer_Segment],MATCH(B971,T_CleanCustomers[Customer_ID],0)),"Unmatched")</f>
        <v>SME</v>
      </c>
    </row>
    <row r="972" spans="1:16" ht="15" customHeight="1" x14ac:dyDescent="0.2">
      <c r="A972" s="9" t="s">
        <v>2315</v>
      </c>
      <c r="B972" s="9" t="s">
        <v>1260</v>
      </c>
      <c r="C972" s="9" t="b">
        <f>TRUE()</f>
        <v>1</v>
      </c>
      <c r="D972" s="10">
        <v>45900</v>
      </c>
      <c r="E972" s="10">
        <v>45870</v>
      </c>
      <c r="F972" s="9" t="s">
        <v>1481</v>
      </c>
      <c r="G972" s="11">
        <v>2749.26</v>
      </c>
      <c r="H972" s="11">
        <v>84.64</v>
      </c>
      <c r="I972" s="9" t="b">
        <f>TRUE()</f>
        <v>1</v>
      </c>
      <c r="J972" s="9" t="s">
        <v>1361</v>
      </c>
      <c r="K972" s="11">
        <v>84.64</v>
      </c>
      <c r="L972" s="9" t="s">
        <v>22</v>
      </c>
      <c r="M972" s="9" t="str">
        <f>IFERROR(INDEX(T_CleanCustomers[Sales_Rep_ID],MATCH(B972,T_CleanCustomers[Customer_ID],0)),"Unmatched")</f>
        <v>REP004</v>
      </c>
      <c r="N972" s="9" t="str">
        <f>IFERROR(INDEX(T_CleanCustomers[Channel],MATCH(B972,T_CleanCustomers[Customer_ID],0)),"Unmatched")</f>
        <v>Partner</v>
      </c>
      <c r="O972" s="9" t="str">
        <f>IFERROR(INDEX(T_CleanCustomers[Product],MATCH(B972,T_CleanCustomers[Customer_ID],0)),"Unmatched")</f>
        <v>Fleet Expense Card</v>
      </c>
      <c r="P972" s="9" t="str">
        <f>IFERROR(INDEX(T_CleanCustomers[Customer_Segment],MATCH(B972,T_CleanCustomers[Customer_ID],0)),"Unmatched")</f>
        <v>SME</v>
      </c>
    </row>
    <row r="973" spans="1:16" ht="15" customHeight="1" x14ac:dyDescent="0.2">
      <c r="A973" s="9" t="s">
        <v>2316</v>
      </c>
      <c r="B973" s="9" t="s">
        <v>1260</v>
      </c>
      <c r="C973" s="9" t="b">
        <f>TRUE()</f>
        <v>1</v>
      </c>
      <c r="D973" s="10">
        <v>45920</v>
      </c>
      <c r="E973" s="10">
        <v>45901</v>
      </c>
      <c r="F973" s="9" t="s">
        <v>1481</v>
      </c>
      <c r="G973" s="11">
        <v>1795.72</v>
      </c>
      <c r="H973" s="11">
        <v>45.02</v>
      </c>
      <c r="I973" s="9" t="b">
        <f>TRUE()</f>
        <v>1</v>
      </c>
      <c r="J973" s="9" t="s">
        <v>1361</v>
      </c>
      <c r="K973" s="11">
        <v>45.02</v>
      </c>
      <c r="L973" s="9" t="s">
        <v>22</v>
      </c>
      <c r="M973" s="9" t="str">
        <f>IFERROR(INDEX(T_CleanCustomers[Sales_Rep_ID],MATCH(B973,T_CleanCustomers[Customer_ID],0)),"Unmatched")</f>
        <v>REP004</v>
      </c>
      <c r="N973" s="9" t="str">
        <f>IFERROR(INDEX(T_CleanCustomers[Channel],MATCH(B973,T_CleanCustomers[Customer_ID],0)),"Unmatched")</f>
        <v>Partner</v>
      </c>
      <c r="O973" s="9" t="str">
        <f>IFERROR(INDEX(T_CleanCustomers[Product],MATCH(B973,T_CleanCustomers[Customer_ID],0)),"Unmatched")</f>
        <v>Fleet Expense Card</v>
      </c>
      <c r="P973" s="9" t="str">
        <f>IFERROR(INDEX(T_CleanCustomers[Customer_Segment],MATCH(B973,T_CleanCustomers[Customer_ID],0)),"Unmatched")</f>
        <v>SME</v>
      </c>
    </row>
    <row r="974" spans="1:16" ht="15" customHeight="1" x14ac:dyDescent="0.2">
      <c r="A974" s="9" t="s">
        <v>2317</v>
      </c>
      <c r="B974" s="9" t="s">
        <v>1260</v>
      </c>
      <c r="C974" s="9" t="b">
        <f>TRUE()</f>
        <v>1</v>
      </c>
      <c r="D974" s="10">
        <v>45901</v>
      </c>
      <c r="E974" s="10">
        <v>45901</v>
      </c>
      <c r="F974" s="9" t="s">
        <v>1481</v>
      </c>
      <c r="G974" s="11">
        <v>1231.8699999999999</v>
      </c>
      <c r="H974" s="11">
        <v>34.1</v>
      </c>
      <c r="I974" s="9" t="b">
        <f>TRUE()</f>
        <v>1</v>
      </c>
      <c r="J974" s="9" t="s">
        <v>1361</v>
      </c>
      <c r="K974" s="11">
        <v>34.1</v>
      </c>
      <c r="L974" s="9" t="s">
        <v>22</v>
      </c>
      <c r="M974" s="9" t="str">
        <f>IFERROR(INDEX(T_CleanCustomers[Sales_Rep_ID],MATCH(B974,T_CleanCustomers[Customer_ID],0)),"Unmatched")</f>
        <v>REP004</v>
      </c>
      <c r="N974" s="9" t="str">
        <f>IFERROR(INDEX(T_CleanCustomers[Channel],MATCH(B974,T_CleanCustomers[Customer_ID],0)),"Unmatched")</f>
        <v>Partner</v>
      </c>
      <c r="O974" s="9" t="str">
        <f>IFERROR(INDEX(T_CleanCustomers[Product],MATCH(B974,T_CleanCustomers[Customer_ID],0)),"Unmatched")</f>
        <v>Fleet Expense Card</v>
      </c>
      <c r="P974" s="9" t="str">
        <f>IFERROR(INDEX(T_CleanCustomers[Customer_Segment],MATCH(B974,T_CleanCustomers[Customer_ID],0)),"Unmatched")</f>
        <v>SME</v>
      </c>
    </row>
    <row r="975" spans="1:16" ht="15" customHeight="1" x14ac:dyDescent="0.2">
      <c r="A975" s="9" t="s">
        <v>2318</v>
      </c>
      <c r="B975" s="9" t="s">
        <v>1260</v>
      </c>
      <c r="C975" s="9" t="b">
        <f>TRUE()</f>
        <v>1</v>
      </c>
      <c r="D975" s="10">
        <v>45945</v>
      </c>
      <c r="E975" s="10">
        <v>45931</v>
      </c>
      <c r="F975" s="9" t="s">
        <v>1481</v>
      </c>
      <c r="G975" s="11">
        <v>4758.3100000000004</v>
      </c>
      <c r="H975" s="11">
        <v>129.80000000000001</v>
      </c>
      <c r="I975" s="9" t="b">
        <f>TRUE()</f>
        <v>1</v>
      </c>
      <c r="J975" s="9" t="s">
        <v>1361</v>
      </c>
      <c r="K975" s="11">
        <v>129.80000000000001</v>
      </c>
      <c r="L975" s="9" t="s">
        <v>22</v>
      </c>
      <c r="M975" s="9" t="str">
        <f>IFERROR(INDEX(T_CleanCustomers[Sales_Rep_ID],MATCH(B975,T_CleanCustomers[Customer_ID],0)),"Unmatched")</f>
        <v>REP004</v>
      </c>
      <c r="N975" s="9" t="str">
        <f>IFERROR(INDEX(T_CleanCustomers[Channel],MATCH(B975,T_CleanCustomers[Customer_ID],0)),"Unmatched")</f>
        <v>Partner</v>
      </c>
      <c r="O975" s="9" t="str">
        <f>IFERROR(INDEX(T_CleanCustomers[Product],MATCH(B975,T_CleanCustomers[Customer_ID],0)),"Unmatched")</f>
        <v>Fleet Expense Card</v>
      </c>
      <c r="P975" s="9" t="str">
        <f>IFERROR(INDEX(T_CleanCustomers[Customer_Segment],MATCH(B975,T_CleanCustomers[Customer_ID],0)),"Unmatched")</f>
        <v>SME</v>
      </c>
    </row>
    <row r="976" spans="1:16" ht="15" customHeight="1" x14ac:dyDescent="0.2">
      <c r="A976" s="9" t="s">
        <v>2319</v>
      </c>
      <c r="B976" s="9" t="s">
        <v>1260</v>
      </c>
      <c r="C976" s="9" t="b">
        <f>TRUE()</f>
        <v>1</v>
      </c>
      <c r="D976" s="10">
        <v>45957</v>
      </c>
      <c r="E976" s="10">
        <v>45931</v>
      </c>
      <c r="F976" s="9" t="s">
        <v>1360</v>
      </c>
      <c r="G976" s="11">
        <v>1447.73</v>
      </c>
      <c r="H976" s="11">
        <v>43.23</v>
      </c>
      <c r="I976" s="9" t="b">
        <f>TRUE()</f>
        <v>1</v>
      </c>
      <c r="J976" s="9" t="s">
        <v>1361</v>
      </c>
      <c r="K976" s="11">
        <v>43.23</v>
      </c>
      <c r="L976" s="9" t="s">
        <v>22</v>
      </c>
      <c r="M976" s="9" t="str">
        <f>IFERROR(INDEX(T_CleanCustomers[Sales_Rep_ID],MATCH(B976,T_CleanCustomers[Customer_ID],0)),"Unmatched")</f>
        <v>REP004</v>
      </c>
      <c r="N976" s="9" t="str">
        <f>IFERROR(INDEX(T_CleanCustomers[Channel],MATCH(B976,T_CleanCustomers[Customer_ID],0)),"Unmatched")</f>
        <v>Partner</v>
      </c>
      <c r="O976" s="9" t="str">
        <f>IFERROR(INDEX(T_CleanCustomers[Product],MATCH(B976,T_CleanCustomers[Customer_ID],0)),"Unmatched")</f>
        <v>Fleet Expense Card</v>
      </c>
      <c r="P976" s="9" t="str">
        <f>IFERROR(INDEX(T_CleanCustomers[Customer_Segment],MATCH(B976,T_CleanCustomers[Customer_ID],0)),"Unmatched")</f>
        <v>SME</v>
      </c>
    </row>
    <row r="977" spans="1:16" ht="15" customHeight="1" x14ac:dyDescent="0.2">
      <c r="A977" s="9" t="s">
        <v>2320</v>
      </c>
      <c r="B977" s="9" t="s">
        <v>1260</v>
      </c>
      <c r="C977" s="9" t="b">
        <f>TRUE()</f>
        <v>1</v>
      </c>
      <c r="D977" s="10">
        <v>45977</v>
      </c>
      <c r="E977" s="10">
        <v>45962</v>
      </c>
      <c r="F977" s="9" t="s">
        <v>1479</v>
      </c>
      <c r="G977" s="11">
        <v>3221.54</v>
      </c>
      <c r="H977" s="11">
        <v>84.74</v>
      </c>
      <c r="I977" s="9" t="b">
        <f>TRUE()</f>
        <v>1</v>
      </c>
      <c r="J977" s="9" t="s">
        <v>1361</v>
      </c>
      <c r="K977" s="11">
        <v>84.74</v>
      </c>
      <c r="L977" s="9" t="s">
        <v>22</v>
      </c>
      <c r="M977" s="9" t="str">
        <f>IFERROR(INDEX(T_CleanCustomers[Sales_Rep_ID],MATCH(B977,T_CleanCustomers[Customer_ID],0)),"Unmatched")</f>
        <v>REP004</v>
      </c>
      <c r="N977" s="9" t="str">
        <f>IFERROR(INDEX(T_CleanCustomers[Channel],MATCH(B977,T_CleanCustomers[Customer_ID],0)),"Unmatched")</f>
        <v>Partner</v>
      </c>
      <c r="O977" s="9" t="str">
        <f>IFERROR(INDEX(T_CleanCustomers[Product],MATCH(B977,T_CleanCustomers[Customer_ID],0)),"Unmatched")</f>
        <v>Fleet Expense Card</v>
      </c>
      <c r="P977" s="9" t="str">
        <f>IFERROR(INDEX(T_CleanCustomers[Customer_Segment],MATCH(B977,T_CleanCustomers[Customer_ID],0)),"Unmatched")</f>
        <v>SME</v>
      </c>
    </row>
    <row r="978" spans="1:16" ht="15" customHeight="1" x14ac:dyDescent="0.2">
      <c r="A978" s="9" t="s">
        <v>2321</v>
      </c>
      <c r="B978" s="9" t="s">
        <v>1260</v>
      </c>
      <c r="C978" s="9" t="b">
        <f>TRUE()</f>
        <v>1</v>
      </c>
      <c r="D978" s="10">
        <v>45986</v>
      </c>
      <c r="E978" s="10">
        <v>45962</v>
      </c>
      <c r="F978" s="9" t="s">
        <v>1481</v>
      </c>
      <c r="G978" s="11">
        <v>1352.37</v>
      </c>
      <c r="H978" s="11">
        <v>35.200000000000003</v>
      </c>
      <c r="I978" s="9" t="b">
        <f>TRUE()</f>
        <v>1</v>
      </c>
      <c r="J978" s="9" t="s">
        <v>1361</v>
      </c>
      <c r="K978" s="11">
        <v>35.200000000000003</v>
      </c>
      <c r="L978" s="9" t="s">
        <v>22</v>
      </c>
      <c r="M978" s="9" t="str">
        <f>IFERROR(INDEX(T_CleanCustomers[Sales_Rep_ID],MATCH(B978,T_CleanCustomers[Customer_ID],0)),"Unmatched")</f>
        <v>REP004</v>
      </c>
      <c r="N978" s="9" t="str">
        <f>IFERROR(INDEX(T_CleanCustomers[Channel],MATCH(B978,T_CleanCustomers[Customer_ID],0)),"Unmatched")</f>
        <v>Partner</v>
      </c>
      <c r="O978" s="9" t="str">
        <f>IFERROR(INDEX(T_CleanCustomers[Product],MATCH(B978,T_CleanCustomers[Customer_ID],0)),"Unmatched")</f>
        <v>Fleet Expense Card</v>
      </c>
      <c r="P978" s="9" t="str">
        <f>IFERROR(INDEX(T_CleanCustomers[Customer_Segment],MATCH(B978,T_CleanCustomers[Customer_ID],0)),"Unmatched")</f>
        <v>SME</v>
      </c>
    </row>
    <row r="979" spans="1:16" ht="15" customHeight="1" x14ac:dyDescent="0.2">
      <c r="A979" s="9" t="s">
        <v>2322</v>
      </c>
      <c r="B979" s="9" t="s">
        <v>1260</v>
      </c>
      <c r="C979" s="9" t="b">
        <f>TRUE()</f>
        <v>1</v>
      </c>
      <c r="D979" s="10">
        <v>45966</v>
      </c>
      <c r="E979" s="10">
        <v>45962</v>
      </c>
      <c r="F979" s="9" t="s">
        <v>1479</v>
      </c>
      <c r="G979" s="11">
        <v>2213.6999999999998</v>
      </c>
      <c r="H979" s="11">
        <v>64.95</v>
      </c>
      <c r="I979" s="9" t="b">
        <f>TRUE()</f>
        <v>1</v>
      </c>
      <c r="J979" s="9" t="s">
        <v>1361</v>
      </c>
      <c r="K979" s="11">
        <v>64.95</v>
      </c>
      <c r="L979" s="9" t="s">
        <v>22</v>
      </c>
      <c r="M979" s="9" t="str">
        <f>IFERROR(INDEX(T_CleanCustomers[Sales_Rep_ID],MATCH(B979,T_CleanCustomers[Customer_ID],0)),"Unmatched")</f>
        <v>REP004</v>
      </c>
      <c r="N979" s="9" t="str">
        <f>IFERROR(INDEX(T_CleanCustomers[Channel],MATCH(B979,T_CleanCustomers[Customer_ID],0)),"Unmatched")</f>
        <v>Partner</v>
      </c>
      <c r="O979" s="9" t="str">
        <f>IFERROR(INDEX(T_CleanCustomers[Product],MATCH(B979,T_CleanCustomers[Customer_ID],0)),"Unmatched")</f>
        <v>Fleet Expense Card</v>
      </c>
      <c r="P979" s="9" t="str">
        <f>IFERROR(INDEX(T_CleanCustomers[Customer_Segment],MATCH(B979,T_CleanCustomers[Customer_ID],0)),"Unmatched")</f>
        <v>SME</v>
      </c>
    </row>
    <row r="980" spans="1:16" ht="15" customHeight="1" x14ac:dyDescent="0.2">
      <c r="A980" s="9" t="s">
        <v>2323</v>
      </c>
      <c r="B980" s="9" t="s">
        <v>1260</v>
      </c>
      <c r="C980" s="9" t="b">
        <f>TRUE()</f>
        <v>1</v>
      </c>
      <c r="D980" s="10">
        <v>45994</v>
      </c>
      <c r="E980" s="10">
        <v>45992</v>
      </c>
      <c r="F980" s="9" t="s">
        <v>1481</v>
      </c>
      <c r="G980" s="11">
        <v>3919.48</v>
      </c>
      <c r="H980" s="11">
        <v>95.59</v>
      </c>
      <c r="I980" s="9" t="b">
        <f>TRUE()</f>
        <v>1</v>
      </c>
      <c r="J980" s="9" t="s">
        <v>1361</v>
      </c>
      <c r="K980" s="11">
        <v>95.59</v>
      </c>
      <c r="L980" s="9" t="s">
        <v>22</v>
      </c>
      <c r="M980" s="9" t="str">
        <f>IFERROR(INDEX(T_CleanCustomers[Sales_Rep_ID],MATCH(B980,T_CleanCustomers[Customer_ID],0)),"Unmatched")</f>
        <v>REP004</v>
      </c>
      <c r="N980" s="9" t="str">
        <f>IFERROR(INDEX(T_CleanCustomers[Channel],MATCH(B980,T_CleanCustomers[Customer_ID],0)),"Unmatched")</f>
        <v>Partner</v>
      </c>
      <c r="O980" s="9" t="str">
        <f>IFERROR(INDEX(T_CleanCustomers[Product],MATCH(B980,T_CleanCustomers[Customer_ID],0)),"Unmatched")</f>
        <v>Fleet Expense Card</v>
      </c>
      <c r="P980" s="9" t="str">
        <f>IFERROR(INDEX(T_CleanCustomers[Customer_Segment],MATCH(B980,T_CleanCustomers[Customer_ID],0)),"Unmatched")</f>
        <v>SME</v>
      </c>
    </row>
    <row r="981" spans="1:16" ht="15" customHeight="1" x14ac:dyDescent="0.2">
      <c r="A981" s="9" t="s">
        <v>2324</v>
      </c>
      <c r="B981" s="9" t="s">
        <v>1261</v>
      </c>
      <c r="C981" s="9" t="b">
        <f>TRUE()</f>
        <v>1</v>
      </c>
      <c r="D981" s="10">
        <v>45744</v>
      </c>
      <c r="E981" s="10">
        <v>45717</v>
      </c>
      <c r="F981" s="9" t="s">
        <v>1360</v>
      </c>
      <c r="G981" s="11">
        <v>3402.93</v>
      </c>
      <c r="H981" s="11">
        <v>78.39</v>
      </c>
      <c r="I981" s="9" t="b">
        <f>TRUE()</f>
        <v>1</v>
      </c>
      <c r="J981" s="9" t="s">
        <v>1361</v>
      </c>
      <c r="K981" s="11">
        <v>78.39</v>
      </c>
      <c r="L981" s="9" t="s">
        <v>22</v>
      </c>
      <c r="M981" s="9" t="str">
        <f>IFERROR(INDEX(T_CleanCustomers[Sales_Rep_ID],MATCH(B981,T_CleanCustomers[Customer_ID],0)),"Unmatched")</f>
        <v>REP005</v>
      </c>
      <c r="N981" s="9" t="str">
        <f>IFERROR(INDEX(T_CleanCustomers[Channel],MATCH(B981,T_CleanCustomers[Customer_ID],0)),"Unmatched")</f>
        <v>Referral</v>
      </c>
      <c r="O981" s="9" t="str">
        <f>IFERROR(INDEX(T_CleanCustomers[Product],MATCH(B981,T_CleanCustomers[Customer_ID],0)),"Unmatched")</f>
        <v>Fleet Expense Card</v>
      </c>
      <c r="P981" s="9" t="str">
        <f>IFERROR(INDEX(T_CleanCustomers[Customer_Segment],MATCH(B981,T_CleanCustomers[Customer_ID],0)),"Unmatched")</f>
        <v>SME</v>
      </c>
    </row>
    <row r="982" spans="1:16" ht="15" customHeight="1" x14ac:dyDescent="0.2">
      <c r="A982" s="9" t="s">
        <v>2325</v>
      </c>
      <c r="B982" s="9" t="s">
        <v>1261</v>
      </c>
      <c r="C982" s="9" t="b">
        <f>TRUE()</f>
        <v>1</v>
      </c>
      <c r="D982" s="10">
        <v>45745</v>
      </c>
      <c r="E982" s="10">
        <v>45717</v>
      </c>
      <c r="F982" s="9" t="s">
        <v>1479</v>
      </c>
      <c r="G982" s="11">
        <v>4938.33</v>
      </c>
      <c r="H982" s="11">
        <v>134.38999999999999</v>
      </c>
      <c r="I982" s="9" t="b">
        <f>TRUE()</f>
        <v>1</v>
      </c>
      <c r="J982" s="9" t="s">
        <v>1361</v>
      </c>
      <c r="K982" s="11">
        <v>134.38999999999999</v>
      </c>
      <c r="L982" s="9" t="s">
        <v>22</v>
      </c>
      <c r="M982" s="9" t="str">
        <f>IFERROR(INDEX(T_CleanCustomers[Sales_Rep_ID],MATCH(B982,T_CleanCustomers[Customer_ID],0)),"Unmatched")</f>
        <v>REP005</v>
      </c>
      <c r="N982" s="9" t="str">
        <f>IFERROR(INDEX(T_CleanCustomers[Channel],MATCH(B982,T_CleanCustomers[Customer_ID],0)),"Unmatched")</f>
        <v>Referral</v>
      </c>
      <c r="O982" s="9" t="str">
        <f>IFERROR(INDEX(T_CleanCustomers[Product],MATCH(B982,T_CleanCustomers[Customer_ID],0)),"Unmatched")</f>
        <v>Fleet Expense Card</v>
      </c>
      <c r="P982" s="9" t="str">
        <f>IFERROR(INDEX(T_CleanCustomers[Customer_Segment],MATCH(B982,T_CleanCustomers[Customer_ID],0)),"Unmatched")</f>
        <v>SME</v>
      </c>
    </row>
    <row r="983" spans="1:16" ht="15" customHeight="1" x14ac:dyDescent="0.2">
      <c r="A983" s="9" t="s">
        <v>2326</v>
      </c>
      <c r="B983" s="9" t="s">
        <v>1261</v>
      </c>
      <c r="C983" s="9" t="b">
        <f>TRUE()</f>
        <v>1</v>
      </c>
      <c r="D983" s="10">
        <v>45768</v>
      </c>
      <c r="E983" s="10">
        <v>45748</v>
      </c>
      <c r="F983" s="9" t="s">
        <v>1360</v>
      </c>
      <c r="G983" s="11">
        <v>4761.26</v>
      </c>
      <c r="H983" s="11">
        <v>0</v>
      </c>
      <c r="I983" s="9" t="b">
        <f>TRUE()</f>
        <v>1</v>
      </c>
      <c r="J983" s="9" t="s">
        <v>1408</v>
      </c>
      <c r="K983" s="11">
        <v>0</v>
      </c>
      <c r="L983" s="9" t="s">
        <v>22</v>
      </c>
      <c r="M983" s="9" t="str">
        <f>IFERROR(INDEX(T_CleanCustomers[Sales_Rep_ID],MATCH(B983,T_CleanCustomers[Customer_ID],0)),"Unmatched")</f>
        <v>REP005</v>
      </c>
      <c r="N983" s="9" t="str">
        <f>IFERROR(INDEX(T_CleanCustomers[Channel],MATCH(B983,T_CleanCustomers[Customer_ID],0)),"Unmatched")</f>
        <v>Referral</v>
      </c>
      <c r="O983" s="9" t="str">
        <f>IFERROR(INDEX(T_CleanCustomers[Product],MATCH(B983,T_CleanCustomers[Customer_ID],0)),"Unmatched")</f>
        <v>Fleet Expense Card</v>
      </c>
      <c r="P983" s="9" t="str">
        <f>IFERROR(INDEX(T_CleanCustomers[Customer_Segment],MATCH(B983,T_CleanCustomers[Customer_ID],0)),"Unmatched")</f>
        <v>SME</v>
      </c>
    </row>
    <row r="984" spans="1:16" ht="15" customHeight="1" x14ac:dyDescent="0.2">
      <c r="A984" s="9" t="s">
        <v>2327</v>
      </c>
      <c r="B984" s="9" t="s">
        <v>1261</v>
      </c>
      <c r="C984" s="9" t="b">
        <f>TRUE()</f>
        <v>1</v>
      </c>
      <c r="D984" s="10">
        <v>45772</v>
      </c>
      <c r="E984" s="10">
        <v>45748</v>
      </c>
      <c r="F984" s="9" t="s">
        <v>1360</v>
      </c>
      <c r="G984" s="11">
        <v>3103.44</v>
      </c>
      <c r="H984" s="11">
        <v>95.7</v>
      </c>
      <c r="I984" s="9" t="b">
        <f>TRUE()</f>
        <v>1</v>
      </c>
      <c r="J984" s="9" t="s">
        <v>1361</v>
      </c>
      <c r="K984" s="11">
        <v>95.7</v>
      </c>
      <c r="L984" s="9" t="s">
        <v>22</v>
      </c>
      <c r="M984" s="9" t="str">
        <f>IFERROR(INDEX(T_CleanCustomers[Sales_Rep_ID],MATCH(B984,T_CleanCustomers[Customer_ID],0)),"Unmatched")</f>
        <v>REP005</v>
      </c>
      <c r="N984" s="9" t="str">
        <f>IFERROR(INDEX(T_CleanCustomers[Channel],MATCH(B984,T_CleanCustomers[Customer_ID],0)),"Unmatched")</f>
        <v>Referral</v>
      </c>
      <c r="O984" s="9" t="str">
        <f>IFERROR(INDEX(T_CleanCustomers[Product],MATCH(B984,T_CleanCustomers[Customer_ID],0)),"Unmatched")</f>
        <v>Fleet Expense Card</v>
      </c>
      <c r="P984" s="9" t="str">
        <f>IFERROR(INDEX(T_CleanCustomers[Customer_Segment],MATCH(B984,T_CleanCustomers[Customer_ID],0)),"Unmatched")</f>
        <v>SME</v>
      </c>
    </row>
    <row r="985" spans="1:16" ht="15" customHeight="1" x14ac:dyDescent="0.2">
      <c r="A985" s="9" t="s">
        <v>2328</v>
      </c>
      <c r="B985" s="9" t="s">
        <v>1261</v>
      </c>
      <c r="C985" s="9" t="b">
        <f>TRUE()</f>
        <v>1</v>
      </c>
      <c r="D985" s="10">
        <v>45792</v>
      </c>
      <c r="E985" s="10">
        <v>45778</v>
      </c>
      <c r="F985" s="9" t="s">
        <v>1360</v>
      </c>
      <c r="G985" s="11">
        <v>2427.27</v>
      </c>
      <c r="H985" s="11">
        <v>74.48</v>
      </c>
      <c r="I985" s="9" t="b">
        <f>TRUE()</f>
        <v>1</v>
      </c>
      <c r="J985" s="9" t="s">
        <v>1361</v>
      </c>
      <c r="K985" s="11">
        <v>74.48</v>
      </c>
      <c r="L985" s="9" t="s">
        <v>22</v>
      </c>
      <c r="M985" s="9" t="str">
        <f>IFERROR(INDEX(T_CleanCustomers[Sales_Rep_ID],MATCH(B985,T_CleanCustomers[Customer_ID],0)),"Unmatched")</f>
        <v>REP005</v>
      </c>
      <c r="N985" s="9" t="str">
        <f>IFERROR(INDEX(T_CleanCustomers[Channel],MATCH(B985,T_CleanCustomers[Customer_ID],0)),"Unmatched")</f>
        <v>Referral</v>
      </c>
      <c r="O985" s="9" t="str">
        <f>IFERROR(INDEX(T_CleanCustomers[Product],MATCH(B985,T_CleanCustomers[Customer_ID],0)),"Unmatched")</f>
        <v>Fleet Expense Card</v>
      </c>
      <c r="P985" s="9" t="str">
        <f>IFERROR(INDEX(T_CleanCustomers[Customer_Segment],MATCH(B985,T_CleanCustomers[Customer_ID],0)),"Unmatched")</f>
        <v>SME</v>
      </c>
    </row>
    <row r="986" spans="1:16" ht="15" customHeight="1" x14ac:dyDescent="0.2">
      <c r="A986" s="9" t="s">
        <v>2329</v>
      </c>
      <c r="B986" s="9" t="s">
        <v>1261</v>
      </c>
      <c r="C986" s="9" t="b">
        <f>TRUE()</f>
        <v>1</v>
      </c>
      <c r="D986" s="10">
        <v>45829</v>
      </c>
      <c r="E986" s="10">
        <v>45809</v>
      </c>
      <c r="F986" s="9" t="s">
        <v>1360</v>
      </c>
      <c r="G986" s="11">
        <v>3240.39</v>
      </c>
      <c r="H986" s="11">
        <v>91.81</v>
      </c>
      <c r="I986" s="9" t="b">
        <f>TRUE()</f>
        <v>1</v>
      </c>
      <c r="J986" s="9" t="s">
        <v>1361</v>
      </c>
      <c r="K986" s="11">
        <v>91.81</v>
      </c>
      <c r="L986" s="9" t="s">
        <v>22</v>
      </c>
      <c r="M986" s="9" t="str">
        <f>IFERROR(INDEX(T_CleanCustomers[Sales_Rep_ID],MATCH(B986,T_CleanCustomers[Customer_ID],0)),"Unmatched")</f>
        <v>REP005</v>
      </c>
      <c r="N986" s="9" t="str">
        <f>IFERROR(INDEX(T_CleanCustomers[Channel],MATCH(B986,T_CleanCustomers[Customer_ID],0)),"Unmatched")</f>
        <v>Referral</v>
      </c>
      <c r="O986" s="9" t="str">
        <f>IFERROR(INDEX(T_CleanCustomers[Product],MATCH(B986,T_CleanCustomers[Customer_ID],0)),"Unmatched")</f>
        <v>Fleet Expense Card</v>
      </c>
      <c r="P986" s="9" t="str">
        <f>IFERROR(INDEX(T_CleanCustomers[Customer_Segment],MATCH(B986,T_CleanCustomers[Customer_ID],0)),"Unmatched")</f>
        <v>SME</v>
      </c>
    </row>
    <row r="987" spans="1:16" ht="15" customHeight="1" x14ac:dyDescent="0.2">
      <c r="A987" s="9" t="s">
        <v>2330</v>
      </c>
      <c r="B987" s="9" t="s">
        <v>1261</v>
      </c>
      <c r="C987" s="9" t="b">
        <f>TRUE()</f>
        <v>1</v>
      </c>
      <c r="D987" s="10">
        <v>45813</v>
      </c>
      <c r="E987" s="10">
        <v>45809</v>
      </c>
      <c r="F987" s="9" t="s">
        <v>1481</v>
      </c>
      <c r="G987" s="11">
        <v>5200.46</v>
      </c>
      <c r="H987" s="11">
        <v>147.85</v>
      </c>
      <c r="I987" s="9" t="b">
        <f>TRUE()</f>
        <v>1</v>
      </c>
      <c r="J987" s="9" t="s">
        <v>1361</v>
      </c>
      <c r="K987" s="11">
        <v>147.85</v>
      </c>
      <c r="L987" s="9" t="s">
        <v>22</v>
      </c>
      <c r="M987" s="9" t="str">
        <f>IFERROR(INDEX(T_CleanCustomers[Sales_Rep_ID],MATCH(B987,T_CleanCustomers[Customer_ID],0)),"Unmatched")</f>
        <v>REP005</v>
      </c>
      <c r="N987" s="9" t="str">
        <f>IFERROR(INDEX(T_CleanCustomers[Channel],MATCH(B987,T_CleanCustomers[Customer_ID],0)),"Unmatched")</f>
        <v>Referral</v>
      </c>
      <c r="O987" s="9" t="str">
        <f>IFERROR(INDEX(T_CleanCustomers[Product],MATCH(B987,T_CleanCustomers[Customer_ID],0)),"Unmatched")</f>
        <v>Fleet Expense Card</v>
      </c>
      <c r="P987" s="9" t="str">
        <f>IFERROR(INDEX(T_CleanCustomers[Customer_Segment],MATCH(B987,T_CleanCustomers[Customer_ID],0)),"Unmatched")</f>
        <v>SME</v>
      </c>
    </row>
    <row r="988" spans="1:16" ht="15" customHeight="1" x14ac:dyDescent="0.2">
      <c r="A988" s="9" t="s">
        <v>2331</v>
      </c>
      <c r="B988" s="9" t="s">
        <v>1261</v>
      </c>
      <c r="C988" s="9" t="b">
        <f>TRUE()</f>
        <v>1</v>
      </c>
      <c r="D988" s="10">
        <v>45815</v>
      </c>
      <c r="E988" s="10">
        <v>45809</v>
      </c>
      <c r="F988" s="9" t="s">
        <v>1360</v>
      </c>
      <c r="G988" s="11">
        <v>2335.35</v>
      </c>
      <c r="H988" s="11">
        <v>67.819999999999993</v>
      </c>
      <c r="I988" s="9" t="b">
        <f>TRUE()</f>
        <v>1</v>
      </c>
      <c r="J988" s="9" t="s">
        <v>1361</v>
      </c>
      <c r="K988" s="11">
        <v>67.819999999999993</v>
      </c>
      <c r="L988" s="9" t="s">
        <v>22</v>
      </c>
      <c r="M988" s="9" t="str">
        <f>IFERROR(INDEX(T_CleanCustomers[Sales_Rep_ID],MATCH(B988,T_CleanCustomers[Customer_ID],0)),"Unmatched")</f>
        <v>REP005</v>
      </c>
      <c r="N988" s="9" t="str">
        <f>IFERROR(INDEX(T_CleanCustomers[Channel],MATCH(B988,T_CleanCustomers[Customer_ID],0)),"Unmatched")</f>
        <v>Referral</v>
      </c>
      <c r="O988" s="9" t="str">
        <f>IFERROR(INDEX(T_CleanCustomers[Product],MATCH(B988,T_CleanCustomers[Customer_ID],0)),"Unmatched")</f>
        <v>Fleet Expense Card</v>
      </c>
      <c r="P988" s="9" t="str">
        <f>IFERROR(INDEX(T_CleanCustomers[Customer_Segment],MATCH(B988,T_CleanCustomers[Customer_ID],0)),"Unmatched")</f>
        <v>SME</v>
      </c>
    </row>
    <row r="989" spans="1:16" ht="15" customHeight="1" x14ac:dyDescent="0.2">
      <c r="A989" s="9" t="s">
        <v>2332</v>
      </c>
      <c r="B989" s="9" t="s">
        <v>1261</v>
      </c>
      <c r="C989" s="9" t="b">
        <f>TRUE()</f>
        <v>1</v>
      </c>
      <c r="D989" s="10">
        <v>45845</v>
      </c>
      <c r="E989" s="10">
        <v>45839</v>
      </c>
      <c r="F989" s="9" t="s">
        <v>1360</v>
      </c>
      <c r="G989" s="11">
        <v>3264.53</v>
      </c>
      <c r="H989" s="11">
        <v>90.99</v>
      </c>
      <c r="I989" s="9" t="b">
        <f>TRUE()</f>
        <v>1</v>
      </c>
      <c r="J989" s="9" t="s">
        <v>1361</v>
      </c>
      <c r="K989" s="11">
        <v>90.99</v>
      </c>
      <c r="L989" s="9" t="s">
        <v>22</v>
      </c>
      <c r="M989" s="9" t="str">
        <f>IFERROR(INDEX(T_CleanCustomers[Sales_Rep_ID],MATCH(B989,T_CleanCustomers[Customer_ID],0)),"Unmatched")</f>
        <v>REP005</v>
      </c>
      <c r="N989" s="9" t="str">
        <f>IFERROR(INDEX(T_CleanCustomers[Channel],MATCH(B989,T_CleanCustomers[Customer_ID],0)),"Unmatched")</f>
        <v>Referral</v>
      </c>
      <c r="O989" s="9" t="str">
        <f>IFERROR(INDEX(T_CleanCustomers[Product],MATCH(B989,T_CleanCustomers[Customer_ID],0)),"Unmatched")</f>
        <v>Fleet Expense Card</v>
      </c>
      <c r="P989" s="9" t="str">
        <f>IFERROR(INDEX(T_CleanCustomers[Customer_Segment],MATCH(B989,T_CleanCustomers[Customer_ID],0)),"Unmatched")</f>
        <v>SME</v>
      </c>
    </row>
    <row r="990" spans="1:16" ht="15" customHeight="1" x14ac:dyDescent="0.2">
      <c r="A990" s="9" t="s">
        <v>2333</v>
      </c>
      <c r="B990" s="9" t="s">
        <v>1261</v>
      </c>
      <c r="C990" s="9" t="b">
        <f>TRUE()</f>
        <v>1</v>
      </c>
      <c r="D990" s="10">
        <v>45895</v>
      </c>
      <c r="E990" s="10">
        <v>45870</v>
      </c>
      <c r="F990" s="9" t="s">
        <v>1481</v>
      </c>
      <c r="G990" s="11">
        <v>4329.92</v>
      </c>
      <c r="H990" s="11">
        <v>102.09</v>
      </c>
      <c r="I990" s="9" t="b">
        <f>TRUE()</f>
        <v>1</v>
      </c>
      <c r="J990" s="9" t="s">
        <v>1361</v>
      </c>
      <c r="K990" s="11">
        <v>102.09</v>
      </c>
      <c r="L990" s="9" t="s">
        <v>22</v>
      </c>
      <c r="M990" s="9" t="str">
        <f>IFERROR(INDEX(T_CleanCustomers[Sales_Rep_ID],MATCH(B990,T_CleanCustomers[Customer_ID],0)),"Unmatched")</f>
        <v>REP005</v>
      </c>
      <c r="N990" s="9" t="str">
        <f>IFERROR(INDEX(T_CleanCustomers[Channel],MATCH(B990,T_CleanCustomers[Customer_ID],0)),"Unmatched")</f>
        <v>Referral</v>
      </c>
      <c r="O990" s="9" t="str">
        <f>IFERROR(INDEX(T_CleanCustomers[Product],MATCH(B990,T_CleanCustomers[Customer_ID],0)),"Unmatched")</f>
        <v>Fleet Expense Card</v>
      </c>
      <c r="P990" s="9" t="str">
        <f>IFERROR(INDEX(T_CleanCustomers[Customer_Segment],MATCH(B990,T_CleanCustomers[Customer_ID],0)),"Unmatched")</f>
        <v>SME</v>
      </c>
    </row>
    <row r="991" spans="1:16" ht="15" customHeight="1" x14ac:dyDescent="0.2">
      <c r="A991" s="9" t="s">
        <v>2334</v>
      </c>
      <c r="B991" s="9" t="s">
        <v>1261</v>
      </c>
      <c r="C991" s="9" t="b">
        <f>TRUE()</f>
        <v>1</v>
      </c>
      <c r="D991" s="10">
        <v>45884</v>
      </c>
      <c r="E991" s="10">
        <v>45870</v>
      </c>
      <c r="F991" s="9" t="s">
        <v>1360</v>
      </c>
      <c r="G991" s="11">
        <v>5237.22</v>
      </c>
      <c r="H991" s="11">
        <v>133.27000000000001</v>
      </c>
      <c r="I991" s="9" t="b">
        <f>TRUE()</f>
        <v>1</v>
      </c>
      <c r="J991" s="9" t="s">
        <v>1361</v>
      </c>
      <c r="K991" s="11">
        <v>133.27000000000001</v>
      </c>
      <c r="L991" s="9" t="s">
        <v>22</v>
      </c>
      <c r="M991" s="9" t="str">
        <f>IFERROR(INDEX(T_CleanCustomers[Sales_Rep_ID],MATCH(B991,T_CleanCustomers[Customer_ID],0)),"Unmatched")</f>
        <v>REP005</v>
      </c>
      <c r="N991" s="9" t="str">
        <f>IFERROR(INDEX(T_CleanCustomers[Channel],MATCH(B991,T_CleanCustomers[Customer_ID],0)),"Unmatched")</f>
        <v>Referral</v>
      </c>
      <c r="O991" s="9" t="str">
        <f>IFERROR(INDEX(T_CleanCustomers[Product],MATCH(B991,T_CleanCustomers[Customer_ID],0)),"Unmatched")</f>
        <v>Fleet Expense Card</v>
      </c>
      <c r="P991" s="9" t="str">
        <f>IFERROR(INDEX(T_CleanCustomers[Customer_Segment],MATCH(B991,T_CleanCustomers[Customer_ID],0)),"Unmatched")</f>
        <v>SME</v>
      </c>
    </row>
    <row r="992" spans="1:16" ht="15" customHeight="1" x14ac:dyDescent="0.2">
      <c r="A992" s="9" t="s">
        <v>2335</v>
      </c>
      <c r="B992" s="9" t="s">
        <v>1261</v>
      </c>
      <c r="C992" s="9" t="b">
        <f>TRUE()</f>
        <v>1</v>
      </c>
      <c r="D992" s="10">
        <v>45904</v>
      </c>
      <c r="E992" s="10">
        <v>45901</v>
      </c>
      <c r="F992" s="9" t="s">
        <v>1481</v>
      </c>
      <c r="G992" s="11">
        <v>1378.93</v>
      </c>
      <c r="H992" s="11">
        <v>32.119999999999997</v>
      </c>
      <c r="I992" s="9" t="b">
        <f>TRUE()</f>
        <v>1</v>
      </c>
      <c r="J992" s="9" t="s">
        <v>1361</v>
      </c>
      <c r="K992" s="11">
        <v>32.119999999999997</v>
      </c>
      <c r="L992" s="9" t="s">
        <v>22</v>
      </c>
      <c r="M992" s="9" t="str">
        <f>IFERROR(INDEX(T_CleanCustomers[Sales_Rep_ID],MATCH(B992,T_CleanCustomers[Customer_ID],0)),"Unmatched")</f>
        <v>REP005</v>
      </c>
      <c r="N992" s="9" t="str">
        <f>IFERROR(INDEX(T_CleanCustomers[Channel],MATCH(B992,T_CleanCustomers[Customer_ID],0)),"Unmatched")</f>
        <v>Referral</v>
      </c>
      <c r="O992" s="9" t="str">
        <f>IFERROR(INDEX(T_CleanCustomers[Product],MATCH(B992,T_CleanCustomers[Customer_ID],0)),"Unmatched")</f>
        <v>Fleet Expense Card</v>
      </c>
      <c r="P992" s="9" t="str">
        <f>IFERROR(INDEX(T_CleanCustomers[Customer_Segment],MATCH(B992,T_CleanCustomers[Customer_ID],0)),"Unmatched")</f>
        <v>SME</v>
      </c>
    </row>
    <row r="993" spans="1:16" ht="15" customHeight="1" x14ac:dyDescent="0.2">
      <c r="A993" s="9" t="s">
        <v>2336</v>
      </c>
      <c r="B993" s="9" t="s">
        <v>1261</v>
      </c>
      <c r="C993" s="9" t="b">
        <f>TRUE()</f>
        <v>1</v>
      </c>
      <c r="D993" s="10">
        <v>45936</v>
      </c>
      <c r="E993" s="10">
        <v>45931</v>
      </c>
      <c r="F993" s="9" t="s">
        <v>1479</v>
      </c>
      <c r="G993" s="11">
        <v>2781.64</v>
      </c>
      <c r="H993" s="11">
        <v>79.84</v>
      </c>
      <c r="I993" s="9" t="b">
        <f>TRUE()</f>
        <v>1</v>
      </c>
      <c r="J993" s="9" t="s">
        <v>1361</v>
      </c>
      <c r="K993" s="11">
        <v>79.84</v>
      </c>
      <c r="L993" s="9" t="s">
        <v>22</v>
      </c>
      <c r="M993" s="9" t="str">
        <f>IFERROR(INDEX(T_CleanCustomers[Sales_Rep_ID],MATCH(B993,T_CleanCustomers[Customer_ID],0)),"Unmatched")</f>
        <v>REP005</v>
      </c>
      <c r="N993" s="9" t="str">
        <f>IFERROR(INDEX(T_CleanCustomers[Channel],MATCH(B993,T_CleanCustomers[Customer_ID],0)),"Unmatched")</f>
        <v>Referral</v>
      </c>
      <c r="O993" s="9" t="str">
        <f>IFERROR(INDEX(T_CleanCustomers[Product],MATCH(B993,T_CleanCustomers[Customer_ID],0)),"Unmatched")</f>
        <v>Fleet Expense Card</v>
      </c>
      <c r="P993" s="9" t="str">
        <f>IFERROR(INDEX(T_CleanCustomers[Customer_Segment],MATCH(B993,T_CleanCustomers[Customer_ID],0)),"Unmatched")</f>
        <v>SME</v>
      </c>
    </row>
    <row r="994" spans="1:16" ht="15" customHeight="1" x14ac:dyDescent="0.2">
      <c r="A994" s="9" t="s">
        <v>2337</v>
      </c>
      <c r="B994" s="9" t="s">
        <v>1261</v>
      </c>
      <c r="C994" s="9" t="b">
        <f>TRUE()</f>
        <v>1</v>
      </c>
      <c r="D994" s="10">
        <v>45937</v>
      </c>
      <c r="E994" s="10">
        <v>45931</v>
      </c>
      <c r="F994" s="9" t="s">
        <v>1481</v>
      </c>
      <c r="G994" s="11">
        <v>1359.09</v>
      </c>
      <c r="H994" s="11">
        <v>40.92</v>
      </c>
      <c r="I994" s="9" t="b">
        <f>TRUE()</f>
        <v>1</v>
      </c>
      <c r="J994" s="9" t="s">
        <v>1361</v>
      </c>
      <c r="K994" s="11">
        <v>40.92</v>
      </c>
      <c r="L994" s="9" t="s">
        <v>22</v>
      </c>
      <c r="M994" s="9" t="str">
        <f>IFERROR(INDEX(T_CleanCustomers[Sales_Rep_ID],MATCH(B994,T_CleanCustomers[Customer_ID],0)),"Unmatched")</f>
        <v>REP005</v>
      </c>
      <c r="N994" s="9" t="str">
        <f>IFERROR(INDEX(T_CleanCustomers[Channel],MATCH(B994,T_CleanCustomers[Customer_ID],0)),"Unmatched")</f>
        <v>Referral</v>
      </c>
      <c r="O994" s="9" t="str">
        <f>IFERROR(INDEX(T_CleanCustomers[Product],MATCH(B994,T_CleanCustomers[Customer_ID],0)),"Unmatched")</f>
        <v>Fleet Expense Card</v>
      </c>
      <c r="P994" s="9" t="str">
        <f>IFERROR(INDEX(T_CleanCustomers[Customer_Segment],MATCH(B994,T_CleanCustomers[Customer_ID],0)),"Unmatched")</f>
        <v>SME</v>
      </c>
    </row>
    <row r="995" spans="1:16" ht="15" customHeight="1" x14ac:dyDescent="0.2">
      <c r="A995" s="9" t="s">
        <v>2338</v>
      </c>
      <c r="B995" s="9" t="s">
        <v>1262</v>
      </c>
      <c r="C995" s="9" t="b">
        <f>TRUE()</f>
        <v>1</v>
      </c>
      <c r="D995" s="10">
        <v>45835</v>
      </c>
      <c r="E995" s="10">
        <v>45809</v>
      </c>
      <c r="F995" s="9" t="s">
        <v>1360</v>
      </c>
      <c r="G995" s="11">
        <v>5071.21</v>
      </c>
      <c r="H995" s="11">
        <v>0</v>
      </c>
      <c r="I995" s="9" t="b">
        <f>TRUE()</f>
        <v>1</v>
      </c>
      <c r="J995" s="9" t="s">
        <v>1408</v>
      </c>
      <c r="K995" s="11">
        <v>0</v>
      </c>
      <c r="L995" s="9" t="s">
        <v>20</v>
      </c>
      <c r="M995" s="9" t="str">
        <f>IFERROR(INDEX(T_CleanCustomers[Sales_Rep_ID],MATCH(B995,T_CleanCustomers[Customer_ID],0)),"Unmatched")</f>
        <v>REP001</v>
      </c>
      <c r="N995" s="9" t="str">
        <f>IFERROR(INDEX(T_CleanCustomers[Channel],MATCH(B995,T_CleanCustomers[Customer_ID],0)),"Unmatched")</f>
        <v>Partner</v>
      </c>
      <c r="O995" s="9" t="str">
        <f>IFERROR(INDEX(T_CleanCustomers[Product],MATCH(B995,T_CleanCustomers[Customer_ID],0)),"Unmatched")</f>
        <v>Fuel Card</v>
      </c>
      <c r="P995" s="9" t="str">
        <f>IFERROR(INDEX(T_CleanCustomers[Customer_Segment],MATCH(B995,T_CleanCustomers[Customer_ID],0)),"Unmatched")</f>
        <v>Mid-Market</v>
      </c>
    </row>
    <row r="996" spans="1:16" ht="15" customHeight="1" x14ac:dyDescent="0.2">
      <c r="A996" s="9" t="s">
        <v>2339</v>
      </c>
      <c r="B996" s="9" t="s">
        <v>1262</v>
      </c>
      <c r="C996" s="9" t="b">
        <f>TRUE()</f>
        <v>1</v>
      </c>
      <c r="D996" s="10">
        <v>45867</v>
      </c>
      <c r="E996" s="10">
        <v>45839</v>
      </c>
      <c r="F996" s="9" t="s">
        <v>1360</v>
      </c>
      <c r="G996" s="11">
        <v>11081.69</v>
      </c>
      <c r="H996" s="11">
        <v>255.41</v>
      </c>
      <c r="I996" s="9" t="b">
        <f>TRUE()</f>
        <v>1</v>
      </c>
      <c r="J996" s="9" t="s">
        <v>1361</v>
      </c>
      <c r="K996" s="11">
        <v>255.41</v>
      </c>
      <c r="L996" s="9" t="s">
        <v>20</v>
      </c>
      <c r="M996" s="9" t="str">
        <f>IFERROR(INDEX(T_CleanCustomers[Sales_Rep_ID],MATCH(B996,T_CleanCustomers[Customer_ID],0)),"Unmatched")</f>
        <v>REP001</v>
      </c>
      <c r="N996" s="9" t="str">
        <f>IFERROR(INDEX(T_CleanCustomers[Channel],MATCH(B996,T_CleanCustomers[Customer_ID],0)),"Unmatched")</f>
        <v>Partner</v>
      </c>
      <c r="O996" s="9" t="str">
        <f>IFERROR(INDEX(T_CleanCustomers[Product],MATCH(B996,T_CleanCustomers[Customer_ID],0)),"Unmatched")</f>
        <v>Fuel Card</v>
      </c>
      <c r="P996" s="9" t="str">
        <f>IFERROR(INDEX(T_CleanCustomers[Customer_Segment],MATCH(B996,T_CleanCustomers[Customer_ID],0)),"Unmatched")</f>
        <v>Mid-Market</v>
      </c>
    </row>
    <row r="997" spans="1:16" ht="15" customHeight="1" x14ac:dyDescent="0.2">
      <c r="A997" s="9" t="s">
        <v>2340</v>
      </c>
      <c r="B997" s="9" t="s">
        <v>1262</v>
      </c>
      <c r="C997" s="9" t="b">
        <f>TRUE()</f>
        <v>1</v>
      </c>
      <c r="D997" s="10">
        <v>45864</v>
      </c>
      <c r="E997" s="10">
        <v>45839</v>
      </c>
      <c r="F997" s="9" t="s">
        <v>1360</v>
      </c>
      <c r="G997" s="11">
        <v>10009.1</v>
      </c>
      <c r="H997" s="11">
        <v>223.07</v>
      </c>
      <c r="I997" s="9" t="b">
        <f>TRUE()</f>
        <v>1</v>
      </c>
      <c r="J997" s="9" t="s">
        <v>1361</v>
      </c>
      <c r="K997" s="11">
        <v>223.07</v>
      </c>
      <c r="L997" s="9" t="s">
        <v>20</v>
      </c>
      <c r="M997" s="9" t="str">
        <f>IFERROR(INDEX(T_CleanCustomers[Sales_Rep_ID],MATCH(B997,T_CleanCustomers[Customer_ID],0)),"Unmatched")</f>
        <v>REP001</v>
      </c>
      <c r="N997" s="9" t="str">
        <f>IFERROR(INDEX(T_CleanCustomers[Channel],MATCH(B997,T_CleanCustomers[Customer_ID],0)),"Unmatched")</f>
        <v>Partner</v>
      </c>
      <c r="O997" s="9" t="str">
        <f>IFERROR(INDEX(T_CleanCustomers[Product],MATCH(B997,T_CleanCustomers[Customer_ID],0)),"Unmatched")</f>
        <v>Fuel Card</v>
      </c>
      <c r="P997" s="9" t="str">
        <f>IFERROR(INDEX(T_CleanCustomers[Customer_Segment],MATCH(B997,T_CleanCustomers[Customer_ID],0)),"Unmatched")</f>
        <v>Mid-Market</v>
      </c>
    </row>
    <row r="998" spans="1:16" ht="15" customHeight="1" x14ac:dyDescent="0.2">
      <c r="A998" s="9" t="s">
        <v>2341</v>
      </c>
      <c r="B998" s="9" t="s">
        <v>1262</v>
      </c>
      <c r="C998" s="9" t="b">
        <f>TRUE()</f>
        <v>1</v>
      </c>
      <c r="D998" s="10">
        <v>45845</v>
      </c>
      <c r="E998" s="10">
        <v>45839</v>
      </c>
      <c r="F998" s="9" t="s">
        <v>1360</v>
      </c>
      <c r="G998" s="11">
        <v>17999.79</v>
      </c>
      <c r="H998" s="11">
        <v>453.63</v>
      </c>
      <c r="I998" s="9" t="b">
        <f>TRUE()</f>
        <v>1</v>
      </c>
      <c r="J998" s="9" t="s">
        <v>1361</v>
      </c>
      <c r="K998" s="11">
        <v>453.63</v>
      </c>
      <c r="L998" s="9" t="s">
        <v>20</v>
      </c>
      <c r="M998" s="9" t="str">
        <f>IFERROR(INDEX(T_CleanCustomers[Sales_Rep_ID],MATCH(B998,T_CleanCustomers[Customer_ID],0)),"Unmatched")</f>
        <v>REP001</v>
      </c>
      <c r="N998" s="9" t="str">
        <f>IFERROR(INDEX(T_CleanCustomers[Channel],MATCH(B998,T_CleanCustomers[Customer_ID],0)),"Unmatched")</f>
        <v>Partner</v>
      </c>
      <c r="O998" s="9" t="str">
        <f>IFERROR(INDEX(T_CleanCustomers[Product],MATCH(B998,T_CleanCustomers[Customer_ID],0)),"Unmatched")</f>
        <v>Fuel Card</v>
      </c>
      <c r="P998" s="9" t="str">
        <f>IFERROR(INDEX(T_CleanCustomers[Customer_Segment],MATCH(B998,T_CleanCustomers[Customer_ID],0)),"Unmatched")</f>
        <v>Mid-Market</v>
      </c>
    </row>
    <row r="999" spans="1:16" ht="15" customHeight="1" x14ac:dyDescent="0.2">
      <c r="A999" s="9" t="s">
        <v>2342</v>
      </c>
      <c r="B999" s="9" t="s">
        <v>1262</v>
      </c>
      <c r="C999" s="9" t="b">
        <f>TRUE()</f>
        <v>1</v>
      </c>
      <c r="D999" s="10">
        <v>45879</v>
      </c>
      <c r="E999" s="10">
        <v>45870</v>
      </c>
      <c r="F999" s="9" t="s">
        <v>1360</v>
      </c>
      <c r="G999" s="11">
        <v>16282.17</v>
      </c>
      <c r="H999" s="11">
        <v>457.05</v>
      </c>
      <c r="I999" s="9" t="b">
        <f>TRUE()</f>
        <v>1</v>
      </c>
      <c r="J999" s="9" t="s">
        <v>1361</v>
      </c>
      <c r="K999" s="11">
        <v>457.05</v>
      </c>
      <c r="L999" s="9" t="s">
        <v>20</v>
      </c>
      <c r="M999" s="9" t="str">
        <f>IFERROR(INDEX(T_CleanCustomers[Sales_Rep_ID],MATCH(B999,T_CleanCustomers[Customer_ID],0)),"Unmatched")</f>
        <v>REP001</v>
      </c>
      <c r="N999" s="9" t="str">
        <f>IFERROR(INDEX(T_CleanCustomers[Channel],MATCH(B999,T_CleanCustomers[Customer_ID],0)),"Unmatched")</f>
        <v>Partner</v>
      </c>
      <c r="O999" s="9" t="str">
        <f>IFERROR(INDEX(T_CleanCustomers[Product],MATCH(B999,T_CleanCustomers[Customer_ID],0)),"Unmatched")</f>
        <v>Fuel Card</v>
      </c>
      <c r="P999" s="9" t="str">
        <f>IFERROR(INDEX(T_CleanCustomers[Customer_Segment],MATCH(B999,T_CleanCustomers[Customer_ID],0)),"Unmatched")</f>
        <v>Mid-Market</v>
      </c>
    </row>
    <row r="1000" spans="1:16" ht="15" customHeight="1" x14ac:dyDescent="0.2">
      <c r="A1000" s="9" t="s">
        <v>2343</v>
      </c>
      <c r="B1000" s="9" t="s">
        <v>1262</v>
      </c>
      <c r="C1000" s="9" t="b">
        <f>TRUE()</f>
        <v>1</v>
      </c>
      <c r="D1000" s="10">
        <v>45921</v>
      </c>
      <c r="E1000" s="10">
        <v>45901</v>
      </c>
      <c r="F1000" s="9" t="s">
        <v>1360</v>
      </c>
      <c r="G1000" s="11">
        <v>8393</v>
      </c>
      <c r="H1000" s="11">
        <v>209.22</v>
      </c>
      <c r="I1000" s="9" t="b">
        <f>TRUE()</f>
        <v>1</v>
      </c>
      <c r="J1000" s="9" t="s">
        <v>1361</v>
      </c>
      <c r="K1000" s="11">
        <v>209.22</v>
      </c>
      <c r="L1000" s="9" t="s">
        <v>20</v>
      </c>
      <c r="M1000" s="9" t="str">
        <f>IFERROR(INDEX(T_CleanCustomers[Sales_Rep_ID],MATCH(B1000,T_CleanCustomers[Customer_ID],0)),"Unmatched")</f>
        <v>REP001</v>
      </c>
      <c r="N1000" s="9" t="str">
        <f>IFERROR(INDEX(T_CleanCustomers[Channel],MATCH(B1000,T_CleanCustomers[Customer_ID],0)),"Unmatched")</f>
        <v>Partner</v>
      </c>
      <c r="O1000" s="9" t="str">
        <f>IFERROR(INDEX(T_CleanCustomers[Product],MATCH(B1000,T_CleanCustomers[Customer_ID],0)),"Unmatched")</f>
        <v>Fuel Card</v>
      </c>
      <c r="P1000" s="9" t="str">
        <f>IFERROR(INDEX(T_CleanCustomers[Customer_Segment],MATCH(B1000,T_CleanCustomers[Customer_ID],0)),"Unmatched")</f>
        <v>Mid-Market</v>
      </c>
    </row>
    <row r="1001" spans="1:16" ht="15" customHeight="1" x14ac:dyDescent="0.2">
      <c r="A1001" s="9" t="s">
        <v>2344</v>
      </c>
      <c r="B1001" s="9" t="s">
        <v>1262</v>
      </c>
      <c r="C1001" s="9" t="b">
        <f>TRUE()</f>
        <v>1</v>
      </c>
      <c r="D1001" s="10">
        <v>45918</v>
      </c>
      <c r="E1001" s="10">
        <v>45901</v>
      </c>
      <c r="F1001" s="9" t="s">
        <v>1360</v>
      </c>
      <c r="G1001" s="11">
        <v>13905.51</v>
      </c>
      <c r="H1001" s="11">
        <v>361.22</v>
      </c>
      <c r="I1001" s="9" t="b">
        <f>TRUE()</f>
        <v>1</v>
      </c>
      <c r="J1001" s="9" t="s">
        <v>1361</v>
      </c>
      <c r="K1001" s="11">
        <v>361.22</v>
      </c>
      <c r="L1001" s="9" t="s">
        <v>20</v>
      </c>
      <c r="M1001" s="9" t="str">
        <f>IFERROR(INDEX(T_CleanCustomers[Sales_Rep_ID],MATCH(B1001,T_CleanCustomers[Customer_ID],0)),"Unmatched")</f>
        <v>REP001</v>
      </c>
      <c r="N1001" s="9" t="str">
        <f>IFERROR(INDEX(T_CleanCustomers[Channel],MATCH(B1001,T_CleanCustomers[Customer_ID],0)),"Unmatched")</f>
        <v>Partner</v>
      </c>
      <c r="O1001" s="9" t="str">
        <f>IFERROR(INDEX(T_CleanCustomers[Product],MATCH(B1001,T_CleanCustomers[Customer_ID],0)),"Unmatched")</f>
        <v>Fuel Card</v>
      </c>
      <c r="P1001" s="9" t="str">
        <f>IFERROR(INDEX(T_CleanCustomers[Customer_Segment],MATCH(B1001,T_CleanCustomers[Customer_ID],0)),"Unmatched")</f>
        <v>Mid-Market</v>
      </c>
    </row>
    <row r="1002" spans="1:16" ht="15" customHeight="1" x14ac:dyDescent="0.2">
      <c r="A1002" s="9" t="s">
        <v>2345</v>
      </c>
      <c r="B1002" s="9" t="s">
        <v>1262</v>
      </c>
      <c r="C1002" s="9" t="b">
        <f>TRUE()</f>
        <v>1</v>
      </c>
      <c r="D1002" s="10">
        <v>45914</v>
      </c>
      <c r="E1002" s="10">
        <v>45901</v>
      </c>
      <c r="F1002" s="9" t="s">
        <v>1360</v>
      </c>
      <c r="G1002" s="11">
        <v>12013.34</v>
      </c>
      <c r="H1002" s="11">
        <v>287.72000000000003</v>
      </c>
      <c r="I1002" s="9" t="b">
        <f>TRUE()</f>
        <v>1</v>
      </c>
      <c r="J1002" s="9" t="s">
        <v>1361</v>
      </c>
      <c r="K1002" s="11">
        <v>287.72000000000003</v>
      </c>
      <c r="L1002" s="9" t="s">
        <v>20</v>
      </c>
      <c r="M1002" s="9" t="str">
        <f>IFERROR(INDEX(T_CleanCustomers[Sales_Rep_ID],MATCH(B1002,T_CleanCustomers[Customer_ID],0)),"Unmatched")</f>
        <v>REP001</v>
      </c>
      <c r="N1002" s="9" t="str">
        <f>IFERROR(INDEX(T_CleanCustomers[Channel],MATCH(B1002,T_CleanCustomers[Customer_ID],0)),"Unmatched")</f>
        <v>Partner</v>
      </c>
      <c r="O1002" s="9" t="str">
        <f>IFERROR(INDEX(T_CleanCustomers[Product],MATCH(B1002,T_CleanCustomers[Customer_ID],0)),"Unmatched")</f>
        <v>Fuel Card</v>
      </c>
      <c r="P1002" s="9" t="str">
        <f>IFERROR(INDEX(T_CleanCustomers[Customer_Segment],MATCH(B1002,T_CleanCustomers[Customer_ID],0)),"Unmatched")</f>
        <v>Mid-Market</v>
      </c>
    </row>
    <row r="1003" spans="1:16" ht="15" customHeight="1" x14ac:dyDescent="0.2">
      <c r="A1003" s="9" t="s">
        <v>2346</v>
      </c>
      <c r="B1003" s="9" t="s">
        <v>1262</v>
      </c>
      <c r="C1003" s="9" t="b">
        <f>TRUE()</f>
        <v>1</v>
      </c>
      <c r="D1003" s="10">
        <v>45953</v>
      </c>
      <c r="E1003" s="10">
        <v>45931</v>
      </c>
      <c r="F1003" s="9" t="s">
        <v>1360</v>
      </c>
      <c r="G1003" s="11">
        <v>17961.93</v>
      </c>
      <c r="H1003" s="11">
        <v>421</v>
      </c>
      <c r="I1003" s="9" t="b">
        <f>TRUE()</f>
        <v>1</v>
      </c>
      <c r="J1003" s="9" t="s">
        <v>1361</v>
      </c>
      <c r="K1003" s="11">
        <v>421</v>
      </c>
      <c r="L1003" s="9" t="s">
        <v>20</v>
      </c>
      <c r="M1003" s="9" t="str">
        <f>IFERROR(INDEX(T_CleanCustomers[Sales_Rep_ID],MATCH(B1003,T_CleanCustomers[Customer_ID],0)),"Unmatched")</f>
        <v>REP001</v>
      </c>
      <c r="N1003" s="9" t="str">
        <f>IFERROR(INDEX(T_CleanCustomers[Channel],MATCH(B1003,T_CleanCustomers[Customer_ID],0)),"Unmatched")</f>
        <v>Partner</v>
      </c>
      <c r="O1003" s="9" t="str">
        <f>IFERROR(INDEX(T_CleanCustomers[Product],MATCH(B1003,T_CleanCustomers[Customer_ID],0)),"Unmatched")</f>
        <v>Fuel Card</v>
      </c>
      <c r="P1003" s="9" t="str">
        <f>IFERROR(INDEX(T_CleanCustomers[Customer_Segment],MATCH(B1003,T_CleanCustomers[Customer_ID],0)),"Unmatched")</f>
        <v>Mid-Market</v>
      </c>
    </row>
    <row r="1004" spans="1:16" ht="15" customHeight="1" x14ac:dyDescent="0.2">
      <c r="A1004" s="9" t="s">
        <v>2347</v>
      </c>
      <c r="B1004" s="9" t="s">
        <v>1262</v>
      </c>
      <c r="C1004" s="9" t="b">
        <f>TRUE()</f>
        <v>1</v>
      </c>
      <c r="D1004" s="10">
        <v>45935</v>
      </c>
      <c r="E1004" s="10">
        <v>45931</v>
      </c>
      <c r="F1004" s="9" t="s">
        <v>1360</v>
      </c>
      <c r="G1004" s="11">
        <v>8654.36</v>
      </c>
      <c r="H1004" s="11">
        <v>241.42</v>
      </c>
      <c r="I1004" s="9" t="b">
        <f>TRUE()</f>
        <v>1</v>
      </c>
      <c r="J1004" s="9" t="s">
        <v>1361</v>
      </c>
      <c r="K1004" s="11">
        <v>241.42</v>
      </c>
      <c r="L1004" s="9" t="s">
        <v>20</v>
      </c>
      <c r="M1004" s="9" t="str">
        <f>IFERROR(INDEX(T_CleanCustomers[Sales_Rep_ID],MATCH(B1004,T_CleanCustomers[Customer_ID],0)),"Unmatched")</f>
        <v>REP001</v>
      </c>
      <c r="N1004" s="9" t="str">
        <f>IFERROR(INDEX(T_CleanCustomers[Channel],MATCH(B1004,T_CleanCustomers[Customer_ID],0)),"Unmatched")</f>
        <v>Partner</v>
      </c>
      <c r="O1004" s="9" t="str">
        <f>IFERROR(INDEX(T_CleanCustomers[Product],MATCH(B1004,T_CleanCustomers[Customer_ID],0)),"Unmatched")</f>
        <v>Fuel Card</v>
      </c>
      <c r="P1004" s="9" t="str">
        <f>IFERROR(INDEX(T_CleanCustomers[Customer_Segment],MATCH(B1004,T_CleanCustomers[Customer_ID],0)),"Unmatched")</f>
        <v>Mid-Market</v>
      </c>
    </row>
    <row r="1005" spans="1:16" ht="15" customHeight="1" x14ac:dyDescent="0.2">
      <c r="A1005" s="9" t="s">
        <v>2348</v>
      </c>
      <c r="B1005" s="9" t="s">
        <v>1262</v>
      </c>
      <c r="C1005" s="9" t="b">
        <f>TRUE()</f>
        <v>1</v>
      </c>
      <c r="D1005" s="10">
        <v>45968</v>
      </c>
      <c r="E1005" s="10">
        <v>45962</v>
      </c>
      <c r="F1005" s="9" t="s">
        <v>1360</v>
      </c>
      <c r="G1005" s="11">
        <v>17258.48</v>
      </c>
      <c r="H1005" s="11">
        <v>387.91</v>
      </c>
      <c r="I1005" s="9" t="b">
        <f>TRUE()</f>
        <v>1</v>
      </c>
      <c r="J1005" s="9" t="s">
        <v>1361</v>
      </c>
      <c r="K1005" s="11">
        <v>387.91</v>
      </c>
      <c r="L1005" s="9" t="s">
        <v>20</v>
      </c>
      <c r="M1005" s="9" t="str">
        <f>IFERROR(INDEX(T_CleanCustomers[Sales_Rep_ID],MATCH(B1005,T_CleanCustomers[Customer_ID],0)),"Unmatched")</f>
        <v>REP001</v>
      </c>
      <c r="N1005" s="9" t="str">
        <f>IFERROR(INDEX(T_CleanCustomers[Channel],MATCH(B1005,T_CleanCustomers[Customer_ID],0)),"Unmatched")</f>
        <v>Partner</v>
      </c>
      <c r="O1005" s="9" t="str">
        <f>IFERROR(INDEX(T_CleanCustomers[Product],MATCH(B1005,T_CleanCustomers[Customer_ID],0)),"Unmatched")</f>
        <v>Fuel Card</v>
      </c>
      <c r="P1005" s="9" t="str">
        <f>IFERROR(INDEX(T_CleanCustomers[Customer_Segment],MATCH(B1005,T_CleanCustomers[Customer_ID],0)),"Unmatched")</f>
        <v>Mid-Market</v>
      </c>
    </row>
    <row r="1006" spans="1:16" ht="15" customHeight="1" x14ac:dyDescent="0.2">
      <c r="A1006" s="9" t="s">
        <v>2349</v>
      </c>
      <c r="B1006" s="9" t="s">
        <v>1262</v>
      </c>
      <c r="C1006" s="9" t="b">
        <f>TRUE()</f>
        <v>1</v>
      </c>
      <c r="D1006" s="10">
        <v>45968</v>
      </c>
      <c r="E1006" s="10">
        <v>45962</v>
      </c>
      <c r="F1006" s="9" t="s">
        <v>1360</v>
      </c>
      <c r="G1006" s="11">
        <v>11042.21</v>
      </c>
      <c r="H1006" s="11">
        <v>296.10000000000002</v>
      </c>
      <c r="I1006" s="9" t="b">
        <f>TRUE()</f>
        <v>1</v>
      </c>
      <c r="J1006" s="9" t="s">
        <v>1361</v>
      </c>
      <c r="K1006" s="11">
        <v>296.10000000000002</v>
      </c>
      <c r="L1006" s="9" t="s">
        <v>20</v>
      </c>
      <c r="M1006" s="9" t="str">
        <f>IFERROR(INDEX(T_CleanCustomers[Sales_Rep_ID],MATCH(B1006,T_CleanCustomers[Customer_ID],0)),"Unmatched")</f>
        <v>REP001</v>
      </c>
      <c r="N1006" s="9" t="str">
        <f>IFERROR(INDEX(T_CleanCustomers[Channel],MATCH(B1006,T_CleanCustomers[Customer_ID],0)),"Unmatched")</f>
        <v>Partner</v>
      </c>
      <c r="O1006" s="9" t="str">
        <f>IFERROR(INDEX(T_CleanCustomers[Product],MATCH(B1006,T_CleanCustomers[Customer_ID],0)),"Unmatched")</f>
        <v>Fuel Card</v>
      </c>
      <c r="P1006" s="9" t="str">
        <f>IFERROR(INDEX(T_CleanCustomers[Customer_Segment],MATCH(B1006,T_CleanCustomers[Customer_ID],0)),"Unmatched")</f>
        <v>Mid-Market</v>
      </c>
    </row>
    <row r="1007" spans="1:16" ht="15" customHeight="1" x14ac:dyDescent="0.2">
      <c r="A1007" s="9" t="s">
        <v>2350</v>
      </c>
      <c r="B1007" s="9" t="s">
        <v>1262</v>
      </c>
      <c r="C1007" s="9" t="b">
        <f>TRUE()</f>
        <v>1</v>
      </c>
      <c r="D1007" s="10">
        <v>45968</v>
      </c>
      <c r="E1007" s="10">
        <v>45962</v>
      </c>
      <c r="F1007" s="9" t="s">
        <v>1360</v>
      </c>
      <c r="G1007" s="11">
        <v>13290.46</v>
      </c>
      <c r="H1007" s="11">
        <v>292.70999999999998</v>
      </c>
      <c r="I1007" s="9" t="b">
        <f>TRUE()</f>
        <v>1</v>
      </c>
      <c r="J1007" s="9" t="s">
        <v>1361</v>
      </c>
      <c r="K1007" s="11">
        <v>292.70999999999998</v>
      </c>
      <c r="L1007" s="9" t="s">
        <v>20</v>
      </c>
      <c r="M1007" s="9" t="str">
        <f>IFERROR(INDEX(T_CleanCustomers[Sales_Rep_ID],MATCH(B1007,T_CleanCustomers[Customer_ID],0)),"Unmatched")</f>
        <v>REP001</v>
      </c>
      <c r="N1007" s="9" t="str">
        <f>IFERROR(INDEX(T_CleanCustomers[Channel],MATCH(B1007,T_CleanCustomers[Customer_ID],0)),"Unmatched")</f>
        <v>Partner</v>
      </c>
      <c r="O1007" s="9" t="str">
        <f>IFERROR(INDEX(T_CleanCustomers[Product],MATCH(B1007,T_CleanCustomers[Customer_ID],0)),"Unmatched")</f>
        <v>Fuel Card</v>
      </c>
      <c r="P1007" s="9" t="str">
        <f>IFERROR(INDEX(T_CleanCustomers[Customer_Segment],MATCH(B1007,T_CleanCustomers[Customer_ID],0)),"Unmatched")</f>
        <v>Mid-Market</v>
      </c>
    </row>
    <row r="1008" spans="1:16" ht="15" customHeight="1" x14ac:dyDescent="0.2">
      <c r="A1008" s="9" t="s">
        <v>2351</v>
      </c>
      <c r="B1008" s="9" t="s">
        <v>1262</v>
      </c>
      <c r="C1008" s="9" t="b">
        <f>TRUE()</f>
        <v>1</v>
      </c>
      <c r="D1008" s="10">
        <v>45993</v>
      </c>
      <c r="E1008" s="10">
        <v>45992</v>
      </c>
      <c r="F1008" s="9" t="s">
        <v>1360</v>
      </c>
      <c r="G1008" s="11">
        <v>5826.11</v>
      </c>
      <c r="H1008" s="11">
        <v>166.85</v>
      </c>
      <c r="I1008" s="9" t="b">
        <f>TRUE()</f>
        <v>1</v>
      </c>
      <c r="J1008" s="9" t="s">
        <v>1361</v>
      </c>
      <c r="K1008" s="11">
        <v>166.85</v>
      </c>
      <c r="L1008" s="9" t="s">
        <v>20</v>
      </c>
      <c r="M1008" s="9" t="str">
        <f>IFERROR(INDEX(T_CleanCustomers[Sales_Rep_ID],MATCH(B1008,T_CleanCustomers[Customer_ID],0)),"Unmatched")</f>
        <v>REP001</v>
      </c>
      <c r="N1008" s="9" t="str">
        <f>IFERROR(INDEX(T_CleanCustomers[Channel],MATCH(B1008,T_CleanCustomers[Customer_ID],0)),"Unmatched")</f>
        <v>Partner</v>
      </c>
      <c r="O1008" s="9" t="str">
        <f>IFERROR(INDEX(T_CleanCustomers[Product],MATCH(B1008,T_CleanCustomers[Customer_ID],0)),"Unmatched")</f>
        <v>Fuel Card</v>
      </c>
      <c r="P1008" s="9" t="str">
        <f>IFERROR(INDEX(T_CleanCustomers[Customer_Segment],MATCH(B1008,T_CleanCustomers[Customer_ID],0)),"Unmatched")</f>
        <v>Mid-Market</v>
      </c>
    </row>
    <row r="1009" spans="1:16" ht="15" customHeight="1" x14ac:dyDescent="0.2">
      <c r="A1009" s="9" t="s">
        <v>2352</v>
      </c>
      <c r="B1009" s="9" t="s">
        <v>1262</v>
      </c>
      <c r="C1009" s="9" t="b">
        <f>TRUE()</f>
        <v>1</v>
      </c>
      <c r="D1009" s="10">
        <v>45996</v>
      </c>
      <c r="E1009" s="10">
        <v>45992</v>
      </c>
      <c r="F1009" s="9" t="s">
        <v>1360</v>
      </c>
      <c r="G1009" s="11">
        <v>6956.19</v>
      </c>
      <c r="H1009" s="11">
        <v>168.31</v>
      </c>
      <c r="I1009" s="9" t="b">
        <f>TRUE()</f>
        <v>1</v>
      </c>
      <c r="J1009" s="9" t="s">
        <v>1361</v>
      </c>
      <c r="K1009" s="11">
        <v>168.31</v>
      </c>
      <c r="L1009" s="9" t="s">
        <v>20</v>
      </c>
      <c r="M1009" s="9" t="str">
        <f>IFERROR(INDEX(T_CleanCustomers[Sales_Rep_ID],MATCH(B1009,T_CleanCustomers[Customer_ID],0)),"Unmatched")</f>
        <v>REP001</v>
      </c>
      <c r="N1009" s="9" t="str">
        <f>IFERROR(INDEX(T_CleanCustomers[Channel],MATCH(B1009,T_CleanCustomers[Customer_ID],0)),"Unmatched")</f>
        <v>Partner</v>
      </c>
      <c r="O1009" s="9" t="str">
        <f>IFERROR(INDEX(T_CleanCustomers[Product],MATCH(B1009,T_CleanCustomers[Customer_ID],0)),"Unmatched")</f>
        <v>Fuel Card</v>
      </c>
      <c r="P1009" s="9" t="str">
        <f>IFERROR(INDEX(T_CleanCustomers[Customer_Segment],MATCH(B1009,T_CleanCustomers[Customer_ID],0)),"Unmatched")</f>
        <v>Mid-Market</v>
      </c>
    </row>
    <row r="1010" spans="1:16" ht="15" customHeight="1" x14ac:dyDescent="0.2">
      <c r="A1010" s="9" t="s">
        <v>2353</v>
      </c>
      <c r="B1010" s="9" t="s">
        <v>1262</v>
      </c>
      <c r="C1010" s="9" t="b">
        <f>TRUE()</f>
        <v>1</v>
      </c>
      <c r="D1010" s="10">
        <v>46014</v>
      </c>
      <c r="E1010" s="10">
        <v>45992</v>
      </c>
      <c r="F1010" s="9" t="s">
        <v>1360</v>
      </c>
      <c r="G1010" s="11">
        <v>11684.23</v>
      </c>
      <c r="H1010" s="11">
        <v>258.36</v>
      </c>
      <c r="I1010" s="9" t="b">
        <f>TRUE()</f>
        <v>1</v>
      </c>
      <c r="J1010" s="9" t="s">
        <v>1361</v>
      </c>
      <c r="K1010" s="11">
        <v>258.36</v>
      </c>
      <c r="L1010" s="9" t="s">
        <v>20</v>
      </c>
      <c r="M1010" s="9" t="str">
        <f>IFERROR(INDEX(T_CleanCustomers[Sales_Rep_ID],MATCH(B1010,T_CleanCustomers[Customer_ID],0)),"Unmatched")</f>
        <v>REP001</v>
      </c>
      <c r="N1010" s="9" t="str">
        <f>IFERROR(INDEX(T_CleanCustomers[Channel],MATCH(B1010,T_CleanCustomers[Customer_ID],0)),"Unmatched")</f>
        <v>Partner</v>
      </c>
      <c r="O1010" s="9" t="str">
        <f>IFERROR(INDEX(T_CleanCustomers[Product],MATCH(B1010,T_CleanCustomers[Customer_ID],0)),"Unmatched")</f>
        <v>Fuel Card</v>
      </c>
      <c r="P1010" s="9" t="str">
        <f>IFERROR(INDEX(T_CleanCustomers[Customer_Segment],MATCH(B1010,T_CleanCustomers[Customer_ID],0)),"Unmatched")</f>
        <v>Mid-Market</v>
      </c>
    </row>
    <row r="1011" spans="1:16" ht="15" customHeight="1" x14ac:dyDescent="0.2">
      <c r="A1011" s="9" t="s">
        <v>2354</v>
      </c>
      <c r="B1011" s="9" t="s">
        <v>1263</v>
      </c>
      <c r="C1011" s="9" t="b">
        <f>TRUE()</f>
        <v>1</v>
      </c>
      <c r="D1011" s="10">
        <v>45956</v>
      </c>
      <c r="E1011" s="10">
        <v>45931</v>
      </c>
      <c r="F1011" s="9" t="s">
        <v>1423</v>
      </c>
      <c r="G1011" s="11">
        <v>4766.1400000000003</v>
      </c>
      <c r="H1011" s="11">
        <v>137.86000000000001</v>
      </c>
      <c r="I1011" s="9" t="b">
        <f>TRUE()</f>
        <v>1</v>
      </c>
      <c r="J1011" s="9" t="s">
        <v>1361</v>
      </c>
      <c r="K1011" s="11">
        <v>137.86000000000001</v>
      </c>
      <c r="L1011" s="9" t="s">
        <v>22</v>
      </c>
      <c r="M1011" s="9" t="str">
        <f>IFERROR(INDEX(T_CleanCustomers[Sales_Rep_ID],MATCH(B1011,T_CleanCustomers[Customer_ID],0)),"Unmatched")</f>
        <v>REP006</v>
      </c>
      <c r="N1011" s="9" t="str">
        <f>IFERROR(INDEX(T_CleanCustomers[Channel],MATCH(B1011,T_CleanCustomers[Customer_ID],0)),"Unmatched")</f>
        <v>Direct Sales</v>
      </c>
      <c r="O1011" s="9" t="str">
        <f>IFERROR(INDEX(T_CleanCustomers[Product],MATCH(B1011,T_CleanCustomers[Customer_ID],0)),"Unmatched")</f>
        <v>EV Charge Card</v>
      </c>
      <c r="P1011" s="9" t="str">
        <f>IFERROR(INDEX(T_CleanCustomers[Customer_Segment],MATCH(B1011,T_CleanCustomers[Customer_ID],0)),"Unmatched")</f>
        <v>SME</v>
      </c>
    </row>
    <row r="1012" spans="1:16" ht="15" customHeight="1" x14ac:dyDescent="0.2">
      <c r="A1012" s="9" t="s">
        <v>2355</v>
      </c>
      <c r="B1012" s="9" t="s">
        <v>1263</v>
      </c>
      <c r="C1012" s="9" t="b">
        <f>TRUE()</f>
        <v>1</v>
      </c>
      <c r="D1012" s="10">
        <v>45956</v>
      </c>
      <c r="E1012" s="10">
        <v>45931</v>
      </c>
      <c r="F1012" s="9" t="s">
        <v>1423</v>
      </c>
      <c r="G1012" s="11">
        <v>2840.93</v>
      </c>
      <c r="H1012" s="11">
        <v>86.7</v>
      </c>
      <c r="I1012" s="9" t="b">
        <f>TRUE()</f>
        <v>1</v>
      </c>
      <c r="J1012" s="9" t="s">
        <v>1361</v>
      </c>
      <c r="K1012" s="11">
        <v>86.7</v>
      </c>
      <c r="L1012" s="9" t="s">
        <v>22</v>
      </c>
      <c r="M1012" s="9" t="str">
        <f>IFERROR(INDEX(T_CleanCustomers[Sales_Rep_ID],MATCH(B1012,T_CleanCustomers[Customer_ID],0)),"Unmatched")</f>
        <v>REP006</v>
      </c>
      <c r="N1012" s="9" t="str">
        <f>IFERROR(INDEX(T_CleanCustomers[Channel],MATCH(B1012,T_CleanCustomers[Customer_ID],0)),"Unmatched")</f>
        <v>Direct Sales</v>
      </c>
      <c r="O1012" s="9" t="str">
        <f>IFERROR(INDEX(T_CleanCustomers[Product],MATCH(B1012,T_CleanCustomers[Customer_ID],0)),"Unmatched")</f>
        <v>EV Charge Card</v>
      </c>
      <c r="P1012" s="9" t="str">
        <f>IFERROR(INDEX(T_CleanCustomers[Customer_Segment],MATCH(B1012,T_CleanCustomers[Customer_ID],0)),"Unmatched")</f>
        <v>SME</v>
      </c>
    </row>
    <row r="1013" spans="1:16" ht="15" customHeight="1" x14ac:dyDescent="0.2">
      <c r="A1013" s="9" t="s">
        <v>2356</v>
      </c>
      <c r="B1013" s="9" t="s">
        <v>1263</v>
      </c>
      <c r="C1013" s="9" t="b">
        <f>TRUE()</f>
        <v>1</v>
      </c>
      <c r="D1013" s="10">
        <v>45974</v>
      </c>
      <c r="E1013" s="10">
        <v>45962</v>
      </c>
      <c r="F1013" s="9" t="s">
        <v>1423</v>
      </c>
      <c r="G1013" s="11">
        <v>1734.69</v>
      </c>
      <c r="H1013" s="11">
        <v>47.44</v>
      </c>
      <c r="I1013" s="9" t="b">
        <f>TRUE()</f>
        <v>1</v>
      </c>
      <c r="J1013" s="9" t="s">
        <v>1361</v>
      </c>
      <c r="K1013" s="11">
        <v>47.44</v>
      </c>
      <c r="L1013" s="9" t="s">
        <v>22</v>
      </c>
      <c r="M1013" s="9" t="str">
        <f>IFERROR(INDEX(T_CleanCustomers[Sales_Rep_ID],MATCH(B1013,T_CleanCustomers[Customer_ID],0)),"Unmatched")</f>
        <v>REP006</v>
      </c>
      <c r="N1013" s="9" t="str">
        <f>IFERROR(INDEX(T_CleanCustomers[Channel],MATCH(B1013,T_CleanCustomers[Customer_ID],0)),"Unmatched")</f>
        <v>Direct Sales</v>
      </c>
      <c r="O1013" s="9" t="str">
        <f>IFERROR(INDEX(T_CleanCustomers[Product],MATCH(B1013,T_CleanCustomers[Customer_ID],0)),"Unmatched")</f>
        <v>EV Charge Card</v>
      </c>
      <c r="P1013" s="9" t="str">
        <f>IFERROR(INDEX(T_CleanCustomers[Customer_Segment],MATCH(B1013,T_CleanCustomers[Customer_ID],0)),"Unmatched")</f>
        <v>SME</v>
      </c>
    </row>
    <row r="1014" spans="1:16" ht="15" customHeight="1" x14ac:dyDescent="0.2">
      <c r="A1014" s="9" t="s">
        <v>2357</v>
      </c>
      <c r="B1014" s="9" t="s">
        <v>1263</v>
      </c>
      <c r="C1014" s="9" t="b">
        <f>TRUE()</f>
        <v>1</v>
      </c>
      <c r="D1014" s="10">
        <v>45968</v>
      </c>
      <c r="E1014" s="10">
        <v>45962</v>
      </c>
      <c r="F1014" s="9" t="s">
        <v>1423</v>
      </c>
      <c r="G1014" s="11">
        <v>4401.16</v>
      </c>
      <c r="H1014" s="11">
        <v>0</v>
      </c>
      <c r="I1014" s="9" t="b">
        <f>TRUE()</f>
        <v>1</v>
      </c>
      <c r="J1014" s="9" t="s">
        <v>1408</v>
      </c>
      <c r="K1014" s="11">
        <v>0</v>
      </c>
      <c r="L1014" s="9" t="s">
        <v>22</v>
      </c>
      <c r="M1014" s="9" t="str">
        <f>IFERROR(INDEX(T_CleanCustomers[Sales_Rep_ID],MATCH(B1014,T_CleanCustomers[Customer_ID],0)),"Unmatched")</f>
        <v>REP006</v>
      </c>
      <c r="N1014" s="9" t="str">
        <f>IFERROR(INDEX(T_CleanCustomers[Channel],MATCH(B1014,T_CleanCustomers[Customer_ID],0)),"Unmatched")</f>
        <v>Direct Sales</v>
      </c>
      <c r="O1014" s="9" t="str">
        <f>IFERROR(INDEX(T_CleanCustomers[Product],MATCH(B1014,T_CleanCustomers[Customer_ID],0)),"Unmatched")</f>
        <v>EV Charge Card</v>
      </c>
      <c r="P1014" s="9" t="str">
        <f>IFERROR(INDEX(T_CleanCustomers[Customer_Segment],MATCH(B1014,T_CleanCustomers[Customer_ID],0)),"Unmatched")</f>
        <v>SME</v>
      </c>
    </row>
    <row r="1015" spans="1:16" ht="15" customHeight="1" x14ac:dyDescent="0.2">
      <c r="A1015" s="9" t="s">
        <v>2358</v>
      </c>
      <c r="B1015" s="9" t="s">
        <v>1263</v>
      </c>
      <c r="C1015" s="9" t="b">
        <f>TRUE()</f>
        <v>1</v>
      </c>
      <c r="D1015" s="10">
        <v>46007</v>
      </c>
      <c r="E1015" s="10">
        <v>45992</v>
      </c>
      <c r="F1015" s="9" t="s">
        <v>1423</v>
      </c>
      <c r="G1015" s="11">
        <v>4115.05</v>
      </c>
      <c r="H1015" s="11">
        <v>117.14</v>
      </c>
      <c r="I1015" s="9" t="b">
        <f>TRUE()</f>
        <v>1</v>
      </c>
      <c r="J1015" s="9" t="s">
        <v>1361</v>
      </c>
      <c r="K1015" s="11">
        <v>117.14</v>
      </c>
      <c r="L1015" s="9" t="s">
        <v>22</v>
      </c>
      <c r="M1015" s="9" t="str">
        <f>IFERROR(INDEX(T_CleanCustomers[Sales_Rep_ID],MATCH(B1015,T_CleanCustomers[Customer_ID],0)),"Unmatched")</f>
        <v>REP006</v>
      </c>
      <c r="N1015" s="9" t="str">
        <f>IFERROR(INDEX(T_CleanCustomers[Channel],MATCH(B1015,T_CleanCustomers[Customer_ID],0)),"Unmatched")</f>
        <v>Direct Sales</v>
      </c>
      <c r="O1015" s="9" t="str">
        <f>IFERROR(INDEX(T_CleanCustomers[Product],MATCH(B1015,T_CleanCustomers[Customer_ID],0)),"Unmatched")</f>
        <v>EV Charge Card</v>
      </c>
      <c r="P1015" s="9" t="str">
        <f>IFERROR(INDEX(T_CleanCustomers[Customer_Segment],MATCH(B1015,T_CleanCustomers[Customer_ID],0)),"Unmatched")</f>
        <v>SME</v>
      </c>
    </row>
    <row r="1016" spans="1:16" ht="15" customHeight="1" x14ac:dyDescent="0.2">
      <c r="A1016" s="9" t="s">
        <v>2359</v>
      </c>
      <c r="B1016" s="9" t="s">
        <v>1263</v>
      </c>
      <c r="C1016" s="9" t="b">
        <f>TRUE()</f>
        <v>1</v>
      </c>
      <c r="D1016" s="10">
        <v>45995</v>
      </c>
      <c r="E1016" s="10">
        <v>45992</v>
      </c>
      <c r="F1016" s="9" t="s">
        <v>1423</v>
      </c>
      <c r="G1016" s="11">
        <v>2219.8000000000002</v>
      </c>
      <c r="H1016" s="11">
        <v>72.13</v>
      </c>
      <c r="I1016" s="9" t="b">
        <f>TRUE()</f>
        <v>1</v>
      </c>
      <c r="J1016" s="9" t="s">
        <v>1361</v>
      </c>
      <c r="K1016" s="11">
        <v>72.13</v>
      </c>
      <c r="L1016" s="9" t="s">
        <v>22</v>
      </c>
      <c r="M1016" s="9" t="str">
        <f>IFERROR(INDEX(T_CleanCustomers[Sales_Rep_ID],MATCH(B1016,T_CleanCustomers[Customer_ID],0)),"Unmatched")</f>
        <v>REP006</v>
      </c>
      <c r="N1016" s="9" t="str">
        <f>IFERROR(INDEX(T_CleanCustomers[Channel],MATCH(B1016,T_CleanCustomers[Customer_ID],0)),"Unmatched")</f>
        <v>Direct Sales</v>
      </c>
      <c r="O1016" s="9" t="str">
        <f>IFERROR(INDEX(T_CleanCustomers[Product],MATCH(B1016,T_CleanCustomers[Customer_ID],0)),"Unmatched")</f>
        <v>EV Charge Card</v>
      </c>
      <c r="P1016" s="9" t="str">
        <f>IFERROR(INDEX(T_CleanCustomers[Customer_Segment],MATCH(B1016,T_CleanCustomers[Customer_ID],0)),"Unmatched")</f>
        <v>SME</v>
      </c>
    </row>
    <row r="1017" spans="1:16" ht="15" customHeight="1" x14ac:dyDescent="0.2">
      <c r="A1017" s="9" t="s">
        <v>2360</v>
      </c>
      <c r="B1017" s="9" t="s">
        <v>1263</v>
      </c>
      <c r="C1017" s="9" t="b">
        <f>TRUE()</f>
        <v>1</v>
      </c>
      <c r="D1017" s="10">
        <v>46008</v>
      </c>
      <c r="E1017" s="10">
        <v>45992</v>
      </c>
      <c r="F1017" s="9" t="s">
        <v>1423</v>
      </c>
      <c r="G1017" s="11">
        <v>2938.19</v>
      </c>
      <c r="H1017" s="11">
        <v>95.56</v>
      </c>
      <c r="I1017" s="9" t="b">
        <f>TRUE()</f>
        <v>1</v>
      </c>
      <c r="J1017" s="9" t="s">
        <v>1361</v>
      </c>
      <c r="K1017" s="11">
        <v>95.56</v>
      </c>
      <c r="L1017" s="9" t="s">
        <v>22</v>
      </c>
      <c r="M1017" s="9" t="str">
        <f>IFERROR(INDEX(T_CleanCustomers[Sales_Rep_ID],MATCH(B1017,T_CleanCustomers[Customer_ID],0)),"Unmatched")</f>
        <v>REP006</v>
      </c>
      <c r="N1017" s="9" t="str">
        <f>IFERROR(INDEX(T_CleanCustomers[Channel],MATCH(B1017,T_CleanCustomers[Customer_ID],0)),"Unmatched")</f>
        <v>Direct Sales</v>
      </c>
      <c r="O1017" s="9" t="str">
        <f>IFERROR(INDEX(T_CleanCustomers[Product],MATCH(B1017,T_CleanCustomers[Customer_ID],0)),"Unmatched")</f>
        <v>EV Charge Card</v>
      </c>
      <c r="P1017" s="9" t="str">
        <f>IFERROR(INDEX(T_CleanCustomers[Customer_Segment],MATCH(B1017,T_CleanCustomers[Customer_ID],0)),"Unmatched")</f>
        <v>SME</v>
      </c>
    </row>
    <row r="1018" spans="1:16" ht="15" customHeight="1" x14ac:dyDescent="0.2">
      <c r="A1018" s="9" t="s">
        <v>2361</v>
      </c>
      <c r="B1018" s="9" t="s">
        <v>1264</v>
      </c>
      <c r="C1018" s="9" t="b">
        <f>TRUE()</f>
        <v>1</v>
      </c>
      <c r="D1018" s="10">
        <v>45984</v>
      </c>
      <c r="E1018" s="10">
        <v>45962</v>
      </c>
      <c r="F1018" s="9" t="s">
        <v>1423</v>
      </c>
      <c r="G1018" s="11">
        <v>51255.55</v>
      </c>
      <c r="H1018" s="11">
        <v>1492.98</v>
      </c>
      <c r="I1018" s="9" t="b">
        <f>TRUE()</f>
        <v>1</v>
      </c>
      <c r="J1018" s="9" t="s">
        <v>1361</v>
      </c>
      <c r="K1018" s="11">
        <v>1492.98</v>
      </c>
      <c r="L1018" s="9" t="s">
        <v>22</v>
      </c>
      <c r="M1018" s="9" t="str">
        <f>IFERROR(INDEX(T_CleanCustomers[Sales_Rep_ID],MATCH(B1018,T_CleanCustomers[Customer_ID],0)),"Unmatched")</f>
        <v>REP005</v>
      </c>
      <c r="N1018" s="9" t="str">
        <f>IFERROR(INDEX(T_CleanCustomers[Channel],MATCH(B1018,T_CleanCustomers[Customer_ID],0)),"Unmatched")</f>
        <v>Partner</v>
      </c>
      <c r="O1018" s="9" t="str">
        <f>IFERROR(INDEX(T_CleanCustomers[Product],MATCH(B1018,T_CleanCustomers[Customer_ID],0)),"Unmatched")</f>
        <v>EV Charge Card</v>
      </c>
      <c r="P1018" s="9" t="str">
        <f>IFERROR(INDEX(T_CleanCustomers[Customer_Segment],MATCH(B1018,T_CleanCustomers[Customer_ID],0)),"Unmatched")</f>
        <v>Enterprise</v>
      </c>
    </row>
    <row r="1019" spans="1:16" ht="15" customHeight="1" x14ac:dyDescent="0.2">
      <c r="A1019" s="9" t="s">
        <v>2362</v>
      </c>
      <c r="B1019" s="9" t="s">
        <v>1264</v>
      </c>
      <c r="C1019" s="9" t="b">
        <f>TRUE()</f>
        <v>1</v>
      </c>
      <c r="D1019" s="10">
        <v>45991</v>
      </c>
      <c r="E1019" s="10">
        <v>45962</v>
      </c>
      <c r="F1019" s="9" t="s">
        <v>1423</v>
      </c>
      <c r="G1019" s="11">
        <v>53772.22</v>
      </c>
      <c r="H1019" s="11">
        <v>1505.07</v>
      </c>
      <c r="I1019" s="9" t="b">
        <f>TRUE()</f>
        <v>1</v>
      </c>
      <c r="J1019" s="9" t="s">
        <v>1361</v>
      </c>
      <c r="K1019" s="11">
        <v>1505.07</v>
      </c>
      <c r="L1019" s="9" t="s">
        <v>22</v>
      </c>
      <c r="M1019" s="9" t="str">
        <f>IFERROR(INDEX(T_CleanCustomers[Sales_Rep_ID],MATCH(B1019,T_CleanCustomers[Customer_ID],0)),"Unmatched")</f>
        <v>REP005</v>
      </c>
      <c r="N1019" s="9" t="str">
        <f>IFERROR(INDEX(T_CleanCustomers[Channel],MATCH(B1019,T_CleanCustomers[Customer_ID],0)),"Unmatched")</f>
        <v>Partner</v>
      </c>
      <c r="O1019" s="9" t="str">
        <f>IFERROR(INDEX(T_CleanCustomers[Product],MATCH(B1019,T_CleanCustomers[Customer_ID],0)),"Unmatched")</f>
        <v>EV Charge Card</v>
      </c>
      <c r="P1019" s="9" t="str">
        <f>IFERROR(INDEX(T_CleanCustomers[Customer_Segment],MATCH(B1019,T_CleanCustomers[Customer_ID],0)),"Unmatched")</f>
        <v>Enterprise</v>
      </c>
    </row>
    <row r="1020" spans="1:16" ht="15" customHeight="1" x14ac:dyDescent="0.2">
      <c r="A1020" s="9" t="s">
        <v>2363</v>
      </c>
      <c r="B1020" s="9" t="s">
        <v>1264</v>
      </c>
      <c r="C1020" s="9" t="b">
        <f>TRUE()</f>
        <v>1</v>
      </c>
      <c r="D1020" s="10">
        <v>46021</v>
      </c>
      <c r="E1020" s="10">
        <v>45992</v>
      </c>
      <c r="F1020" s="9" t="s">
        <v>1423</v>
      </c>
      <c r="G1020" s="11">
        <v>54893.26</v>
      </c>
      <c r="H1020" s="11">
        <v>1606</v>
      </c>
      <c r="I1020" s="9" t="b">
        <f>TRUE()</f>
        <v>1</v>
      </c>
      <c r="J1020" s="9" t="s">
        <v>1361</v>
      </c>
      <c r="K1020" s="11">
        <v>1606</v>
      </c>
      <c r="L1020" s="9" t="s">
        <v>22</v>
      </c>
      <c r="M1020" s="9" t="str">
        <f>IFERROR(INDEX(T_CleanCustomers[Sales_Rep_ID],MATCH(B1020,T_CleanCustomers[Customer_ID],0)),"Unmatched")</f>
        <v>REP005</v>
      </c>
      <c r="N1020" s="9" t="str">
        <f>IFERROR(INDEX(T_CleanCustomers[Channel],MATCH(B1020,T_CleanCustomers[Customer_ID],0)),"Unmatched")</f>
        <v>Partner</v>
      </c>
      <c r="O1020" s="9" t="str">
        <f>IFERROR(INDEX(T_CleanCustomers[Product],MATCH(B1020,T_CleanCustomers[Customer_ID],0)),"Unmatched")</f>
        <v>EV Charge Card</v>
      </c>
      <c r="P1020" s="9" t="str">
        <f>IFERROR(INDEX(T_CleanCustomers[Customer_Segment],MATCH(B1020,T_CleanCustomers[Customer_ID],0)),"Unmatched")</f>
        <v>Enterprise</v>
      </c>
    </row>
    <row r="1021" spans="1:16" ht="15" customHeight="1" x14ac:dyDescent="0.2">
      <c r="A1021" s="9" t="s">
        <v>2364</v>
      </c>
      <c r="B1021" s="9" t="s">
        <v>89</v>
      </c>
      <c r="C1021" s="9" t="b">
        <f>TRUE()</f>
        <v>1</v>
      </c>
      <c r="D1021" s="10">
        <v>45836</v>
      </c>
      <c r="E1021" s="10">
        <v>45809</v>
      </c>
      <c r="F1021" s="9" t="s">
        <v>1423</v>
      </c>
      <c r="G1021" s="11">
        <v>2609.21</v>
      </c>
      <c r="H1021" s="11">
        <v>78.87</v>
      </c>
      <c r="I1021" s="9" t="b">
        <f>TRUE()</f>
        <v>1</v>
      </c>
      <c r="J1021" s="9" t="s">
        <v>1361</v>
      </c>
      <c r="K1021" s="11">
        <v>78.87</v>
      </c>
      <c r="L1021" s="9" t="s">
        <v>19</v>
      </c>
      <c r="M1021" s="9" t="str">
        <f>IFERROR(INDEX(T_CleanCustomers[Sales_Rep_ID],MATCH(B1021,T_CleanCustomers[Customer_ID],0)),"Unmatched")</f>
        <v>REP014</v>
      </c>
      <c r="N1021" s="9" t="str">
        <f>IFERROR(INDEX(T_CleanCustomers[Channel],MATCH(B1021,T_CleanCustomers[Customer_ID],0)),"Unmatched")</f>
        <v>Direct Sales</v>
      </c>
      <c r="O1021" s="9" t="str">
        <f>IFERROR(INDEX(T_CleanCustomers[Product],MATCH(B1021,T_CleanCustomers[Customer_ID],0)),"Unmatched")</f>
        <v>EV Charge Card</v>
      </c>
      <c r="P1021" s="9" t="str">
        <f>IFERROR(INDEX(T_CleanCustomers[Customer_Segment],MATCH(B1021,T_CleanCustomers[Customer_ID],0)),"Unmatched")</f>
        <v>Unclassified</v>
      </c>
    </row>
    <row r="1022" spans="1:16" ht="15" customHeight="1" x14ac:dyDescent="0.2">
      <c r="A1022" s="9" t="s">
        <v>111</v>
      </c>
      <c r="B1022" s="9" t="s">
        <v>89</v>
      </c>
      <c r="C1022" s="9" t="b">
        <f>TRUE()</f>
        <v>1</v>
      </c>
      <c r="D1022" s="10">
        <v>45836</v>
      </c>
      <c r="E1022" s="10">
        <v>45809</v>
      </c>
      <c r="F1022" s="9" t="s">
        <v>1423</v>
      </c>
      <c r="G1022" s="11">
        <v>4735.51</v>
      </c>
      <c r="H1022" s="11">
        <v>155.63999999999999</v>
      </c>
      <c r="I1022" s="9" t="b">
        <f>TRUE()</f>
        <v>1</v>
      </c>
      <c r="J1022" s="9" t="s">
        <v>1361</v>
      </c>
      <c r="K1022" s="11">
        <v>155.63999999999999</v>
      </c>
      <c r="L1022" s="9" t="s">
        <v>19</v>
      </c>
      <c r="M1022" s="9" t="str">
        <f>IFERROR(INDEX(T_CleanCustomers[Sales_Rep_ID],MATCH(B1022,T_CleanCustomers[Customer_ID],0)),"Unmatched")</f>
        <v>REP014</v>
      </c>
      <c r="N1022" s="9" t="str">
        <f>IFERROR(INDEX(T_CleanCustomers[Channel],MATCH(B1022,T_CleanCustomers[Customer_ID],0)),"Unmatched")</f>
        <v>Direct Sales</v>
      </c>
      <c r="O1022" s="9" t="str">
        <f>IFERROR(INDEX(T_CleanCustomers[Product],MATCH(B1022,T_CleanCustomers[Customer_ID],0)),"Unmatched")</f>
        <v>EV Charge Card</v>
      </c>
      <c r="P1022" s="9" t="str">
        <f>IFERROR(INDEX(T_CleanCustomers[Customer_Segment],MATCH(B1022,T_CleanCustomers[Customer_ID],0)),"Unmatched")</f>
        <v>Unclassified</v>
      </c>
    </row>
    <row r="1023" spans="1:16" ht="15" customHeight="1" x14ac:dyDescent="0.2">
      <c r="A1023" s="9" t="s">
        <v>2365</v>
      </c>
      <c r="B1023" s="9" t="s">
        <v>89</v>
      </c>
      <c r="C1023" s="9" t="b">
        <f>TRUE()</f>
        <v>1</v>
      </c>
      <c r="D1023" s="10">
        <v>45845</v>
      </c>
      <c r="E1023" s="10">
        <v>45839</v>
      </c>
      <c r="F1023" s="9" t="s">
        <v>1423</v>
      </c>
      <c r="G1023" s="11">
        <v>2018.92</v>
      </c>
      <c r="H1023" s="11">
        <v>70.040000000000006</v>
      </c>
      <c r="I1023" s="9" t="b">
        <f>TRUE()</f>
        <v>1</v>
      </c>
      <c r="J1023" s="9" t="s">
        <v>1361</v>
      </c>
      <c r="K1023" s="11">
        <v>70.040000000000006</v>
      </c>
      <c r="L1023" s="9" t="s">
        <v>19</v>
      </c>
      <c r="M1023" s="9" t="str">
        <f>IFERROR(INDEX(T_CleanCustomers[Sales_Rep_ID],MATCH(B1023,T_CleanCustomers[Customer_ID],0)),"Unmatched")</f>
        <v>REP014</v>
      </c>
      <c r="N1023" s="9" t="str">
        <f>IFERROR(INDEX(T_CleanCustomers[Channel],MATCH(B1023,T_CleanCustomers[Customer_ID],0)),"Unmatched")</f>
        <v>Direct Sales</v>
      </c>
      <c r="O1023" s="9" t="str">
        <f>IFERROR(INDEX(T_CleanCustomers[Product],MATCH(B1023,T_CleanCustomers[Customer_ID],0)),"Unmatched")</f>
        <v>EV Charge Card</v>
      </c>
      <c r="P1023" s="9" t="str">
        <f>IFERROR(INDEX(T_CleanCustomers[Customer_Segment],MATCH(B1023,T_CleanCustomers[Customer_ID],0)),"Unmatched")</f>
        <v>Unclassified</v>
      </c>
    </row>
    <row r="1024" spans="1:16" ht="15" customHeight="1" x14ac:dyDescent="0.2">
      <c r="A1024" s="9" t="s">
        <v>2366</v>
      </c>
      <c r="B1024" s="9" t="s">
        <v>89</v>
      </c>
      <c r="C1024" s="9" t="b">
        <f>TRUE()</f>
        <v>1</v>
      </c>
      <c r="D1024" s="10">
        <v>45852</v>
      </c>
      <c r="E1024" s="10">
        <v>45839</v>
      </c>
      <c r="F1024" s="9" t="s">
        <v>1423</v>
      </c>
      <c r="G1024" s="11">
        <v>1428.54</v>
      </c>
      <c r="H1024" s="11">
        <v>49.33</v>
      </c>
      <c r="I1024" s="9" t="b">
        <f>TRUE()</f>
        <v>1</v>
      </c>
      <c r="J1024" s="9" t="s">
        <v>1361</v>
      </c>
      <c r="K1024" s="11">
        <v>49.33</v>
      </c>
      <c r="L1024" s="9" t="s">
        <v>19</v>
      </c>
      <c r="M1024" s="9" t="str">
        <f>IFERROR(INDEX(T_CleanCustomers[Sales_Rep_ID],MATCH(B1024,T_CleanCustomers[Customer_ID],0)),"Unmatched")</f>
        <v>REP014</v>
      </c>
      <c r="N1024" s="9" t="str">
        <f>IFERROR(INDEX(T_CleanCustomers[Channel],MATCH(B1024,T_CleanCustomers[Customer_ID],0)),"Unmatched")</f>
        <v>Direct Sales</v>
      </c>
      <c r="O1024" s="9" t="str">
        <f>IFERROR(INDEX(T_CleanCustomers[Product],MATCH(B1024,T_CleanCustomers[Customer_ID],0)),"Unmatched")</f>
        <v>EV Charge Card</v>
      </c>
      <c r="P1024" s="9" t="str">
        <f>IFERROR(INDEX(T_CleanCustomers[Customer_Segment],MATCH(B1024,T_CleanCustomers[Customer_ID],0)),"Unmatched")</f>
        <v>Unclassified</v>
      </c>
    </row>
    <row r="1025" spans="1:16" ht="15" customHeight="1" x14ac:dyDescent="0.2">
      <c r="A1025" s="9" t="s">
        <v>2367</v>
      </c>
      <c r="B1025" s="9" t="s">
        <v>89</v>
      </c>
      <c r="C1025" s="9" t="b">
        <f>TRUE()</f>
        <v>1</v>
      </c>
      <c r="D1025" s="10">
        <v>45864</v>
      </c>
      <c r="E1025" s="10">
        <v>45839</v>
      </c>
      <c r="F1025" s="9" t="s">
        <v>1423</v>
      </c>
      <c r="G1025" s="11">
        <v>3384.6</v>
      </c>
      <c r="H1025" s="11">
        <v>119.38</v>
      </c>
      <c r="I1025" s="9" t="b">
        <f>TRUE()</f>
        <v>1</v>
      </c>
      <c r="J1025" s="9" t="s">
        <v>1361</v>
      </c>
      <c r="K1025" s="11">
        <v>119.38</v>
      </c>
      <c r="L1025" s="9" t="s">
        <v>19</v>
      </c>
      <c r="M1025" s="9" t="str">
        <f>IFERROR(INDEX(T_CleanCustomers[Sales_Rep_ID],MATCH(B1025,T_CleanCustomers[Customer_ID],0)),"Unmatched")</f>
        <v>REP014</v>
      </c>
      <c r="N1025" s="9" t="str">
        <f>IFERROR(INDEX(T_CleanCustomers[Channel],MATCH(B1025,T_CleanCustomers[Customer_ID],0)),"Unmatched")</f>
        <v>Direct Sales</v>
      </c>
      <c r="O1025" s="9" t="str">
        <f>IFERROR(INDEX(T_CleanCustomers[Product],MATCH(B1025,T_CleanCustomers[Customer_ID],0)),"Unmatched")</f>
        <v>EV Charge Card</v>
      </c>
      <c r="P1025" s="9" t="str">
        <f>IFERROR(INDEX(T_CleanCustomers[Customer_Segment],MATCH(B1025,T_CleanCustomers[Customer_ID],0)),"Unmatched")</f>
        <v>Unclassified</v>
      </c>
    </row>
    <row r="1026" spans="1:16" ht="15" customHeight="1" x14ac:dyDescent="0.2">
      <c r="A1026" s="9" t="s">
        <v>2368</v>
      </c>
      <c r="B1026" s="9" t="s">
        <v>89</v>
      </c>
      <c r="C1026" s="9" t="b">
        <f>TRUE()</f>
        <v>1</v>
      </c>
      <c r="D1026" s="10">
        <v>45870</v>
      </c>
      <c r="E1026" s="10">
        <v>45870</v>
      </c>
      <c r="F1026" s="9" t="s">
        <v>1423</v>
      </c>
      <c r="G1026" s="11">
        <v>2046.46</v>
      </c>
      <c r="H1026" s="11">
        <v>57.8</v>
      </c>
      <c r="I1026" s="9" t="b">
        <f>TRUE()</f>
        <v>1</v>
      </c>
      <c r="J1026" s="9" t="s">
        <v>1361</v>
      </c>
      <c r="K1026" s="11">
        <v>57.8</v>
      </c>
      <c r="L1026" s="9" t="s">
        <v>19</v>
      </c>
      <c r="M1026" s="9" t="str">
        <f>IFERROR(INDEX(T_CleanCustomers[Sales_Rep_ID],MATCH(B1026,T_CleanCustomers[Customer_ID],0)),"Unmatched")</f>
        <v>REP014</v>
      </c>
      <c r="N1026" s="9" t="str">
        <f>IFERROR(INDEX(T_CleanCustomers[Channel],MATCH(B1026,T_CleanCustomers[Customer_ID],0)),"Unmatched")</f>
        <v>Direct Sales</v>
      </c>
      <c r="O1026" s="9" t="str">
        <f>IFERROR(INDEX(T_CleanCustomers[Product],MATCH(B1026,T_CleanCustomers[Customer_ID],0)),"Unmatched")</f>
        <v>EV Charge Card</v>
      </c>
      <c r="P1026" s="9" t="str">
        <f>IFERROR(INDEX(T_CleanCustomers[Customer_Segment],MATCH(B1026,T_CleanCustomers[Customer_ID],0)),"Unmatched")</f>
        <v>Unclassified</v>
      </c>
    </row>
    <row r="1027" spans="1:16" ht="15" customHeight="1" x14ac:dyDescent="0.2">
      <c r="A1027" s="9" t="s">
        <v>2369</v>
      </c>
      <c r="B1027" s="9" t="s">
        <v>89</v>
      </c>
      <c r="C1027" s="9" t="b">
        <f>TRUE()</f>
        <v>1</v>
      </c>
      <c r="D1027" s="10">
        <v>45900</v>
      </c>
      <c r="E1027" s="10">
        <v>45870</v>
      </c>
      <c r="F1027" s="9" t="s">
        <v>1423</v>
      </c>
      <c r="G1027" s="11">
        <v>5112.13</v>
      </c>
      <c r="H1027" s="11">
        <v>169.87</v>
      </c>
      <c r="I1027" s="9" t="b">
        <f>TRUE()</f>
        <v>1</v>
      </c>
      <c r="J1027" s="9" t="s">
        <v>1361</v>
      </c>
      <c r="K1027" s="11">
        <v>169.87</v>
      </c>
      <c r="L1027" s="9" t="s">
        <v>19</v>
      </c>
      <c r="M1027" s="9" t="str">
        <f>IFERROR(INDEX(T_CleanCustomers[Sales_Rep_ID],MATCH(B1027,T_CleanCustomers[Customer_ID],0)),"Unmatched")</f>
        <v>REP014</v>
      </c>
      <c r="N1027" s="9" t="str">
        <f>IFERROR(INDEX(T_CleanCustomers[Channel],MATCH(B1027,T_CleanCustomers[Customer_ID],0)),"Unmatched")</f>
        <v>Direct Sales</v>
      </c>
      <c r="O1027" s="9" t="str">
        <f>IFERROR(INDEX(T_CleanCustomers[Product],MATCH(B1027,T_CleanCustomers[Customer_ID],0)),"Unmatched")</f>
        <v>EV Charge Card</v>
      </c>
      <c r="P1027" s="9" t="str">
        <f>IFERROR(INDEX(T_CleanCustomers[Customer_Segment],MATCH(B1027,T_CleanCustomers[Customer_ID],0)),"Unmatched")</f>
        <v>Unclassified</v>
      </c>
    </row>
    <row r="1028" spans="1:16" ht="15" customHeight="1" x14ac:dyDescent="0.2">
      <c r="A1028" s="9" t="s">
        <v>2370</v>
      </c>
      <c r="B1028" s="9" t="s">
        <v>89</v>
      </c>
      <c r="C1028" s="9" t="b">
        <f>TRUE()</f>
        <v>1</v>
      </c>
      <c r="D1028" s="10">
        <v>45919</v>
      </c>
      <c r="E1028" s="10">
        <v>45901</v>
      </c>
      <c r="F1028" s="9" t="s">
        <v>1423</v>
      </c>
      <c r="G1028" s="11">
        <v>4939.9399999999996</v>
      </c>
      <c r="H1028" s="11">
        <v>155.97</v>
      </c>
      <c r="I1028" s="9" t="b">
        <f>TRUE()</f>
        <v>1</v>
      </c>
      <c r="J1028" s="9" t="s">
        <v>1361</v>
      </c>
      <c r="K1028" s="11">
        <v>155.97</v>
      </c>
      <c r="L1028" s="9" t="s">
        <v>19</v>
      </c>
      <c r="M1028" s="9" t="str">
        <f>IFERROR(INDEX(T_CleanCustomers[Sales_Rep_ID],MATCH(B1028,T_CleanCustomers[Customer_ID],0)),"Unmatched")</f>
        <v>REP014</v>
      </c>
      <c r="N1028" s="9" t="str">
        <f>IFERROR(INDEX(T_CleanCustomers[Channel],MATCH(B1028,T_CleanCustomers[Customer_ID],0)),"Unmatched")</f>
        <v>Direct Sales</v>
      </c>
      <c r="O1028" s="9" t="str">
        <f>IFERROR(INDEX(T_CleanCustomers[Product],MATCH(B1028,T_CleanCustomers[Customer_ID],0)),"Unmatched")</f>
        <v>EV Charge Card</v>
      </c>
      <c r="P1028" s="9" t="str">
        <f>IFERROR(INDEX(T_CleanCustomers[Customer_Segment],MATCH(B1028,T_CleanCustomers[Customer_ID],0)),"Unmatched")</f>
        <v>Unclassified</v>
      </c>
    </row>
    <row r="1029" spans="1:16" ht="15" customHeight="1" x14ac:dyDescent="0.2">
      <c r="A1029" s="9" t="s">
        <v>2371</v>
      </c>
      <c r="B1029" s="9" t="s">
        <v>89</v>
      </c>
      <c r="C1029" s="9" t="b">
        <f>TRUE()</f>
        <v>1</v>
      </c>
      <c r="D1029" s="10">
        <v>45934</v>
      </c>
      <c r="E1029" s="10">
        <v>45931</v>
      </c>
      <c r="F1029" s="9" t="s">
        <v>1423</v>
      </c>
      <c r="G1029" s="11">
        <v>4803.3500000000004</v>
      </c>
      <c r="H1029" s="11">
        <v>165.82</v>
      </c>
      <c r="I1029" s="9" t="b">
        <f>TRUE()</f>
        <v>1</v>
      </c>
      <c r="J1029" s="9" t="s">
        <v>1361</v>
      </c>
      <c r="K1029" s="11">
        <v>165.82</v>
      </c>
      <c r="L1029" s="9" t="s">
        <v>19</v>
      </c>
      <c r="M1029" s="9" t="str">
        <f>IFERROR(INDEX(T_CleanCustomers[Sales_Rep_ID],MATCH(B1029,T_CleanCustomers[Customer_ID],0)),"Unmatched")</f>
        <v>REP014</v>
      </c>
      <c r="N1029" s="9" t="str">
        <f>IFERROR(INDEX(T_CleanCustomers[Channel],MATCH(B1029,T_CleanCustomers[Customer_ID],0)),"Unmatched")</f>
        <v>Direct Sales</v>
      </c>
      <c r="O1029" s="9" t="str">
        <f>IFERROR(INDEX(T_CleanCustomers[Product],MATCH(B1029,T_CleanCustomers[Customer_ID],0)),"Unmatched")</f>
        <v>EV Charge Card</v>
      </c>
      <c r="P1029" s="9" t="str">
        <f>IFERROR(INDEX(T_CleanCustomers[Customer_Segment],MATCH(B1029,T_CleanCustomers[Customer_ID],0)),"Unmatched")</f>
        <v>Unclassified</v>
      </c>
    </row>
    <row r="1030" spans="1:16" ht="15" customHeight="1" x14ac:dyDescent="0.2">
      <c r="A1030" s="9" t="s">
        <v>2372</v>
      </c>
      <c r="B1030" s="9" t="s">
        <v>89</v>
      </c>
      <c r="C1030" s="9" t="b">
        <f>TRUE()</f>
        <v>1</v>
      </c>
      <c r="D1030" s="10">
        <v>45976</v>
      </c>
      <c r="E1030" s="10">
        <v>45962</v>
      </c>
      <c r="F1030" s="9" t="s">
        <v>1423</v>
      </c>
      <c r="G1030" s="11">
        <v>2876.85</v>
      </c>
      <c r="H1030" s="11">
        <v>99.28</v>
      </c>
      <c r="I1030" s="9" t="b">
        <f>TRUE()</f>
        <v>1</v>
      </c>
      <c r="J1030" s="9" t="s">
        <v>1361</v>
      </c>
      <c r="K1030" s="11">
        <v>99.28</v>
      </c>
      <c r="L1030" s="9" t="s">
        <v>19</v>
      </c>
      <c r="M1030" s="9" t="str">
        <f>IFERROR(INDEX(T_CleanCustomers[Sales_Rep_ID],MATCH(B1030,T_CleanCustomers[Customer_ID],0)),"Unmatched")</f>
        <v>REP014</v>
      </c>
      <c r="N1030" s="9" t="str">
        <f>IFERROR(INDEX(T_CleanCustomers[Channel],MATCH(B1030,T_CleanCustomers[Customer_ID],0)),"Unmatched")</f>
        <v>Direct Sales</v>
      </c>
      <c r="O1030" s="9" t="str">
        <f>IFERROR(INDEX(T_CleanCustomers[Product],MATCH(B1030,T_CleanCustomers[Customer_ID],0)),"Unmatched")</f>
        <v>EV Charge Card</v>
      </c>
      <c r="P1030" s="9" t="str">
        <f>IFERROR(INDEX(T_CleanCustomers[Customer_Segment],MATCH(B1030,T_CleanCustomers[Customer_ID],0)),"Unmatched")</f>
        <v>Unclassified</v>
      </c>
    </row>
    <row r="1031" spans="1:16" ht="15" customHeight="1" x14ac:dyDescent="0.2">
      <c r="A1031" s="9" t="s">
        <v>2373</v>
      </c>
      <c r="B1031" s="9" t="s">
        <v>89</v>
      </c>
      <c r="C1031" s="9" t="b">
        <f>TRUE()</f>
        <v>1</v>
      </c>
      <c r="D1031" s="10">
        <v>45998</v>
      </c>
      <c r="E1031" s="10">
        <v>45992</v>
      </c>
      <c r="F1031" s="9" t="s">
        <v>1423</v>
      </c>
      <c r="G1031" s="11">
        <v>3342.88</v>
      </c>
      <c r="H1031" s="11">
        <v>104.06</v>
      </c>
      <c r="I1031" s="9" t="b">
        <f>TRUE()</f>
        <v>1</v>
      </c>
      <c r="J1031" s="9" t="s">
        <v>1361</v>
      </c>
      <c r="K1031" s="11">
        <v>104.06</v>
      </c>
      <c r="L1031" s="9" t="s">
        <v>19</v>
      </c>
      <c r="M1031" s="9" t="str">
        <f>IFERROR(INDEX(T_CleanCustomers[Sales_Rep_ID],MATCH(B1031,T_CleanCustomers[Customer_ID],0)),"Unmatched")</f>
        <v>REP014</v>
      </c>
      <c r="N1031" s="9" t="str">
        <f>IFERROR(INDEX(T_CleanCustomers[Channel],MATCH(B1031,T_CleanCustomers[Customer_ID],0)),"Unmatched")</f>
        <v>Direct Sales</v>
      </c>
      <c r="O1031" s="9" t="str">
        <f>IFERROR(INDEX(T_CleanCustomers[Product],MATCH(B1031,T_CleanCustomers[Customer_ID],0)),"Unmatched")</f>
        <v>EV Charge Card</v>
      </c>
      <c r="P1031" s="9" t="str">
        <f>IFERROR(INDEX(T_CleanCustomers[Customer_Segment],MATCH(B1031,T_CleanCustomers[Customer_ID],0)),"Unmatched")</f>
        <v>Unclassified</v>
      </c>
    </row>
    <row r="1032" spans="1:16" ht="15" customHeight="1" x14ac:dyDescent="0.2">
      <c r="A1032" s="9" t="s">
        <v>2374</v>
      </c>
      <c r="B1032" s="9" t="s">
        <v>89</v>
      </c>
      <c r="C1032" s="9" t="b">
        <f>TRUE()</f>
        <v>1</v>
      </c>
      <c r="D1032" s="10">
        <v>46010</v>
      </c>
      <c r="E1032" s="10">
        <v>45992</v>
      </c>
      <c r="F1032" s="9" t="s">
        <v>1423</v>
      </c>
      <c r="G1032" s="11">
        <v>1949.83</v>
      </c>
      <c r="H1032" s="11">
        <v>57.74</v>
      </c>
      <c r="I1032" s="9" t="b">
        <f>TRUE()</f>
        <v>1</v>
      </c>
      <c r="J1032" s="9" t="s">
        <v>1361</v>
      </c>
      <c r="K1032" s="11">
        <v>57.74</v>
      </c>
      <c r="L1032" s="9" t="s">
        <v>19</v>
      </c>
      <c r="M1032" s="9" t="str">
        <f>IFERROR(INDEX(T_CleanCustomers[Sales_Rep_ID],MATCH(B1032,T_CleanCustomers[Customer_ID],0)),"Unmatched")</f>
        <v>REP014</v>
      </c>
      <c r="N1032" s="9" t="str">
        <f>IFERROR(INDEX(T_CleanCustomers[Channel],MATCH(B1032,T_CleanCustomers[Customer_ID],0)),"Unmatched")</f>
        <v>Direct Sales</v>
      </c>
      <c r="O1032" s="9" t="str">
        <f>IFERROR(INDEX(T_CleanCustomers[Product],MATCH(B1032,T_CleanCustomers[Customer_ID],0)),"Unmatched")</f>
        <v>EV Charge Card</v>
      </c>
      <c r="P1032" s="9" t="str">
        <f>IFERROR(INDEX(T_CleanCustomers[Customer_Segment],MATCH(B1032,T_CleanCustomers[Customer_ID],0)),"Unmatched")</f>
        <v>Unclassified</v>
      </c>
    </row>
    <row r="1033" spans="1:16" ht="15" customHeight="1" x14ac:dyDescent="0.2">
      <c r="A1033" s="9" t="s">
        <v>2375</v>
      </c>
      <c r="B1033" s="9" t="s">
        <v>1265</v>
      </c>
      <c r="C1033" s="9" t="b">
        <f>TRUE()</f>
        <v>1</v>
      </c>
      <c r="D1033" s="10">
        <v>45917</v>
      </c>
      <c r="E1033" s="10">
        <v>45901</v>
      </c>
      <c r="F1033" s="9" t="s">
        <v>1360</v>
      </c>
      <c r="G1033" s="11">
        <v>39838.75</v>
      </c>
      <c r="H1033" s="11">
        <v>922.94</v>
      </c>
      <c r="I1033" s="9" t="b">
        <f>TRUE()</f>
        <v>1</v>
      </c>
      <c r="J1033" s="9" t="s">
        <v>1361</v>
      </c>
      <c r="K1033" s="11">
        <v>922.94</v>
      </c>
      <c r="L1033" s="9" t="s">
        <v>18</v>
      </c>
      <c r="M1033" s="9" t="str">
        <f>IFERROR(INDEX(T_CleanCustomers[Sales_Rep_ID],MATCH(B1033,T_CleanCustomers[Customer_ID],0)),"Unmatched")</f>
        <v>REP012</v>
      </c>
      <c r="N1033" s="9" t="str">
        <f>IFERROR(INDEX(T_CleanCustomers[Channel],MATCH(B1033,T_CleanCustomers[Customer_ID],0)),"Unmatched")</f>
        <v>Partner</v>
      </c>
      <c r="O1033" s="9" t="str">
        <f>IFERROR(INDEX(T_CleanCustomers[Product],MATCH(B1033,T_CleanCustomers[Customer_ID],0)),"Unmatched")</f>
        <v>Fleet Expense Card</v>
      </c>
      <c r="P1033" s="9" t="str">
        <f>IFERROR(INDEX(T_CleanCustomers[Customer_Segment],MATCH(B1033,T_CleanCustomers[Customer_ID],0)),"Unmatched")</f>
        <v>Enterprise</v>
      </c>
    </row>
    <row r="1034" spans="1:16" ht="15" customHeight="1" x14ac:dyDescent="0.2">
      <c r="A1034" s="9" t="s">
        <v>2376</v>
      </c>
      <c r="B1034" s="9" t="s">
        <v>1265</v>
      </c>
      <c r="C1034" s="9" t="b">
        <f>TRUE()</f>
        <v>1</v>
      </c>
      <c r="D1034" s="10">
        <v>45937</v>
      </c>
      <c r="E1034" s="10">
        <v>45931</v>
      </c>
      <c r="F1034" s="9" t="s">
        <v>1360</v>
      </c>
      <c r="G1034" s="11">
        <v>60638.21</v>
      </c>
      <c r="H1034" s="11">
        <v>1599.57</v>
      </c>
      <c r="I1034" s="9" t="b">
        <f>TRUE()</f>
        <v>1</v>
      </c>
      <c r="J1034" s="9" t="s">
        <v>1361</v>
      </c>
      <c r="K1034" s="11">
        <v>1599.57</v>
      </c>
      <c r="L1034" s="9" t="s">
        <v>18</v>
      </c>
      <c r="M1034" s="9" t="str">
        <f>IFERROR(INDEX(T_CleanCustomers[Sales_Rep_ID],MATCH(B1034,T_CleanCustomers[Customer_ID],0)),"Unmatched")</f>
        <v>REP012</v>
      </c>
      <c r="N1034" s="9" t="str">
        <f>IFERROR(INDEX(T_CleanCustomers[Channel],MATCH(B1034,T_CleanCustomers[Customer_ID],0)),"Unmatched")</f>
        <v>Partner</v>
      </c>
      <c r="O1034" s="9" t="str">
        <f>IFERROR(INDEX(T_CleanCustomers[Product],MATCH(B1034,T_CleanCustomers[Customer_ID],0)),"Unmatched")</f>
        <v>Fleet Expense Card</v>
      </c>
      <c r="P1034" s="9" t="str">
        <f>IFERROR(INDEX(T_CleanCustomers[Customer_Segment],MATCH(B1034,T_CleanCustomers[Customer_ID],0)),"Unmatched")</f>
        <v>Enterprise</v>
      </c>
    </row>
    <row r="1035" spans="1:16" ht="15" customHeight="1" x14ac:dyDescent="0.2">
      <c r="A1035" s="9" t="s">
        <v>2377</v>
      </c>
      <c r="B1035" s="9" t="s">
        <v>1265</v>
      </c>
      <c r="C1035" s="9" t="b">
        <f>TRUE()</f>
        <v>1</v>
      </c>
      <c r="D1035" s="10">
        <v>45952</v>
      </c>
      <c r="E1035" s="10">
        <v>45931</v>
      </c>
      <c r="F1035" s="9" t="s">
        <v>1360</v>
      </c>
      <c r="G1035" s="11">
        <v>41980.2</v>
      </c>
      <c r="H1035" s="11">
        <v>1033.6400000000001</v>
      </c>
      <c r="I1035" s="9" t="b">
        <f>TRUE()</f>
        <v>1</v>
      </c>
      <c r="J1035" s="9" t="s">
        <v>1361</v>
      </c>
      <c r="K1035" s="11">
        <v>1033.6400000000001</v>
      </c>
      <c r="L1035" s="9" t="s">
        <v>18</v>
      </c>
      <c r="M1035" s="9" t="str">
        <f>IFERROR(INDEX(T_CleanCustomers[Sales_Rep_ID],MATCH(B1035,T_CleanCustomers[Customer_ID],0)),"Unmatched")</f>
        <v>REP012</v>
      </c>
      <c r="N1035" s="9" t="str">
        <f>IFERROR(INDEX(T_CleanCustomers[Channel],MATCH(B1035,T_CleanCustomers[Customer_ID],0)),"Unmatched")</f>
        <v>Partner</v>
      </c>
      <c r="O1035" s="9" t="str">
        <f>IFERROR(INDEX(T_CleanCustomers[Product],MATCH(B1035,T_CleanCustomers[Customer_ID],0)),"Unmatched")</f>
        <v>Fleet Expense Card</v>
      </c>
      <c r="P1035" s="9" t="str">
        <f>IFERROR(INDEX(T_CleanCustomers[Customer_Segment],MATCH(B1035,T_CleanCustomers[Customer_ID],0)),"Unmatched")</f>
        <v>Enterprise</v>
      </c>
    </row>
    <row r="1036" spans="1:16" ht="15" customHeight="1" x14ac:dyDescent="0.2">
      <c r="A1036" s="9" t="s">
        <v>2378</v>
      </c>
      <c r="B1036" s="9" t="s">
        <v>1265</v>
      </c>
      <c r="C1036" s="9" t="b">
        <f>TRUE()</f>
        <v>1</v>
      </c>
      <c r="D1036" s="10">
        <v>45971</v>
      </c>
      <c r="E1036" s="10">
        <v>45962</v>
      </c>
      <c r="F1036" s="9" t="s">
        <v>1479</v>
      </c>
      <c r="G1036" s="11">
        <v>27445.83</v>
      </c>
      <c r="H1036" s="11">
        <v>0</v>
      </c>
      <c r="I1036" s="9" t="b">
        <f>TRUE()</f>
        <v>1</v>
      </c>
      <c r="J1036" s="9" t="s">
        <v>1408</v>
      </c>
      <c r="K1036" s="11">
        <v>0</v>
      </c>
      <c r="L1036" s="9" t="s">
        <v>18</v>
      </c>
      <c r="M1036" s="9" t="str">
        <f>IFERROR(INDEX(T_CleanCustomers[Sales_Rep_ID],MATCH(B1036,T_CleanCustomers[Customer_ID],0)),"Unmatched")</f>
        <v>REP012</v>
      </c>
      <c r="N1036" s="9" t="str">
        <f>IFERROR(INDEX(T_CleanCustomers[Channel],MATCH(B1036,T_CleanCustomers[Customer_ID],0)),"Unmatched")</f>
        <v>Partner</v>
      </c>
      <c r="O1036" s="9" t="str">
        <f>IFERROR(INDEX(T_CleanCustomers[Product],MATCH(B1036,T_CleanCustomers[Customer_ID],0)),"Unmatched")</f>
        <v>Fleet Expense Card</v>
      </c>
      <c r="P1036" s="9" t="str">
        <f>IFERROR(INDEX(T_CleanCustomers[Customer_Segment],MATCH(B1036,T_CleanCustomers[Customer_ID],0)),"Unmatched")</f>
        <v>Enterprise</v>
      </c>
    </row>
    <row r="1037" spans="1:16" ht="15" customHeight="1" x14ac:dyDescent="0.2">
      <c r="A1037" s="9" t="s">
        <v>2379</v>
      </c>
      <c r="B1037" s="9" t="s">
        <v>1265</v>
      </c>
      <c r="C1037" s="9" t="b">
        <f>TRUE()</f>
        <v>1</v>
      </c>
      <c r="D1037" s="10">
        <v>46016</v>
      </c>
      <c r="E1037" s="10">
        <v>45992</v>
      </c>
      <c r="F1037" s="9" t="s">
        <v>1360</v>
      </c>
      <c r="G1037" s="11">
        <v>29009.13</v>
      </c>
      <c r="H1037" s="11">
        <v>829.97</v>
      </c>
      <c r="I1037" s="9" t="b">
        <f>TRUE()</f>
        <v>1</v>
      </c>
      <c r="J1037" s="9" t="s">
        <v>1361</v>
      </c>
      <c r="K1037" s="11">
        <v>829.97</v>
      </c>
      <c r="L1037" s="9" t="s">
        <v>18</v>
      </c>
      <c r="M1037" s="9" t="str">
        <f>IFERROR(INDEX(T_CleanCustomers[Sales_Rep_ID],MATCH(B1037,T_CleanCustomers[Customer_ID],0)),"Unmatched")</f>
        <v>REP012</v>
      </c>
      <c r="N1037" s="9" t="str">
        <f>IFERROR(INDEX(T_CleanCustomers[Channel],MATCH(B1037,T_CleanCustomers[Customer_ID],0)),"Unmatched")</f>
        <v>Partner</v>
      </c>
      <c r="O1037" s="9" t="str">
        <f>IFERROR(INDEX(T_CleanCustomers[Product],MATCH(B1037,T_CleanCustomers[Customer_ID],0)),"Unmatched")</f>
        <v>Fleet Expense Card</v>
      </c>
      <c r="P1037" s="9" t="str">
        <f>IFERROR(INDEX(T_CleanCustomers[Customer_Segment],MATCH(B1037,T_CleanCustomers[Customer_ID],0)),"Unmatched")</f>
        <v>Enterprise</v>
      </c>
    </row>
    <row r="1038" spans="1:16" ht="15" customHeight="1" x14ac:dyDescent="0.2">
      <c r="A1038" s="9" t="s">
        <v>2380</v>
      </c>
      <c r="B1038" s="9" t="s">
        <v>1265</v>
      </c>
      <c r="C1038" s="9" t="b">
        <f>TRUE()</f>
        <v>1</v>
      </c>
      <c r="D1038" s="10">
        <v>46002</v>
      </c>
      <c r="E1038" s="10">
        <v>45992</v>
      </c>
      <c r="F1038" s="9" t="s">
        <v>1360</v>
      </c>
      <c r="G1038" s="11">
        <v>35226.639999999999</v>
      </c>
      <c r="H1038" s="11">
        <v>1083.06</v>
      </c>
      <c r="I1038" s="9" t="b">
        <f>TRUE()</f>
        <v>1</v>
      </c>
      <c r="J1038" s="9" t="s">
        <v>1361</v>
      </c>
      <c r="K1038" s="11">
        <v>1083.06</v>
      </c>
      <c r="L1038" s="9" t="s">
        <v>18</v>
      </c>
      <c r="M1038" s="9" t="str">
        <f>IFERROR(INDEX(T_CleanCustomers[Sales_Rep_ID],MATCH(B1038,T_CleanCustomers[Customer_ID],0)),"Unmatched")</f>
        <v>REP012</v>
      </c>
      <c r="N1038" s="9" t="str">
        <f>IFERROR(INDEX(T_CleanCustomers[Channel],MATCH(B1038,T_CleanCustomers[Customer_ID],0)),"Unmatched")</f>
        <v>Partner</v>
      </c>
      <c r="O1038" s="9" t="str">
        <f>IFERROR(INDEX(T_CleanCustomers[Product],MATCH(B1038,T_CleanCustomers[Customer_ID],0)),"Unmatched")</f>
        <v>Fleet Expense Card</v>
      </c>
      <c r="P1038" s="9" t="str">
        <f>IFERROR(INDEX(T_CleanCustomers[Customer_Segment],MATCH(B1038,T_CleanCustomers[Customer_ID],0)),"Unmatched")</f>
        <v>Enterprise</v>
      </c>
    </row>
    <row r="1039" spans="1:16" ht="15" customHeight="1" x14ac:dyDescent="0.2">
      <c r="A1039" s="9" t="s">
        <v>2381</v>
      </c>
      <c r="B1039" s="9" t="s">
        <v>1265</v>
      </c>
      <c r="C1039" s="9" t="b">
        <f>TRUE()</f>
        <v>1</v>
      </c>
      <c r="D1039" s="10">
        <v>46011</v>
      </c>
      <c r="E1039" s="10">
        <v>45992</v>
      </c>
      <c r="F1039" s="9" t="s">
        <v>1481</v>
      </c>
      <c r="G1039" s="11">
        <v>55533.72</v>
      </c>
      <c r="H1039" s="11">
        <v>1518.54</v>
      </c>
      <c r="I1039" s="9" t="b">
        <f>TRUE()</f>
        <v>1</v>
      </c>
      <c r="J1039" s="9" t="s">
        <v>1361</v>
      </c>
      <c r="K1039" s="11">
        <v>1518.54</v>
      </c>
      <c r="L1039" s="9" t="s">
        <v>18</v>
      </c>
      <c r="M1039" s="9" t="str">
        <f>IFERROR(INDEX(T_CleanCustomers[Sales_Rep_ID],MATCH(B1039,T_CleanCustomers[Customer_ID],0)),"Unmatched")</f>
        <v>REP012</v>
      </c>
      <c r="N1039" s="9" t="str">
        <f>IFERROR(INDEX(T_CleanCustomers[Channel],MATCH(B1039,T_CleanCustomers[Customer_ID],0)),"Unmatched")</f>
        <v>Partner</v>
      </c>
      <c r="O1039" s="9" t="str">
        <f>IFERROR(INDEX(T_CleanCustomers[Product],MATCH(B1039,T_CleanCustomers[Customer_ID],0)),"Unmatched")</f>
        <v>Fleet Expense Card</v>
      </c>
      <c r="P1039" s="9" t="str">
        <f>IFERROR(INDEX(T_CleanCustomers[Customer_Segment],MATCH(B1039,T_CleanCustomers[Customer_ID],0)),"Unmatched")</f>
        <v>Enterprise</v>
      </c>
    </row>
    <row r="1040" spans="1:16" ht="15" customHeight="1" x14ac:dyDescent="0.2">
      <c r="A1040" s="9" t="s">
        <v>2382</v>
      </c>
      <c r="B1040" s="9" t="s">
        <v>1266</v>
      </c>
      <c r="C1040" s="9" t="b">
        <f>TRUE()</f>
        <v>1</v>
      </c>
      <c r="D1040" s="10">
        <v>45740</v>
      </c>
      <c r="E1040" s="10">
        <v>45717</v>
      </c>
      <c r="F1040" s="9" t="s">
        <v>1360</v>
      </c>
      <c r="G1040" s="11">
        <v>8122.93</v>
      </c>
      <c r="H1040" s="11">
        <v>174.99</v>
      </c>
      <c r="I1040" s="9" t="b">
        <f>TRUE()</f>
        <v>1</v>
      </c>
      <c r="J1040" s="9" t="s">
        <v>1361</v>
      </c>
      <c r="K1040" s="11">
        <v>174.99</v>
      </c>
      <c r="L1040" s="9" t="s">
        <v>22</v>
      </c>
      <c r="M1040" s="9" t="str">
        <f>IFERROR(INDEX(T_CleanCustomers[Sales_Rep_ID],MATCH(B1040,T_CleanCustomers[Customer_ID],0)),"Unmatched")</f>
        <v>REP005</v>
      </c>
      <c r="N1040" s="9" t="str">
        <f>IFERROR(INDEX(T_CleanCustomers[Channel],MATCH(B1040,T_CleanCustomers[Customer_ID],0)),"Unmatched")</f>
        <v>Referral</v>
      </c>
      <c r="O1040" s="9" t="str">
        <f>IFERROR(INDEX(T_CleanCustomers[Product],MATCH(B1040,T_CleanCustomers[Customer_ID],0)),"Unmatched")</f>
        <v>Fuel Card</v>
      </c>
      <c r="P1040" s="9" t="str">
        <f>IFERROR(INDEX(T_CleanCustomers[Customer_Segment],MATCH(B1040,T_CleanCustomers[Customer_ID],0)),"Unmatched")</f>
        <v>Mid-Market</v>
      </c>
    </row>
    <row r="1041" spans="1:16" ht="15" customHeight="1" x14ac:dyDescent="0.2">
      <c r="A1041" s="9" t="s">
        <v>2383</v>
      </c>
      <c r="B1041" s="9" t="s">
        <v>1266</v>
      </c>
      <c r="C1041" s="9" t="b">
        <f>TRUE()</f>
        <v>1</v>
      </c>
      <c r="D1041" s="10">
        <v>45728</v>
      </c>
      <c r="E1041" s="10">
        <v>45717</v>
      </c>
      <c r="F1041" s="9" t="s">
        <v>1360</v>
      </c>
      <c r="G1041" s="11">
        <v>10598.53</v>
      </c>
      <c r="H1041" s="11">
        <v>236.83</v>
      </c>
      <c r="I1041" s="9" t="b">
        <f>TRUE()</f>
        <v>1</v>
      </c>
      <c r="J1041" s="9" t="s">
        <v>1361</v>
      </c>
      <c r="K1041" s="11">
        <v>236.83</v>
      </c>
      <c r="L1041" s="9" t="s">
        <v>22</v>
      </c>
      <c r="M1041" s="9" t="str">
        <f>IFERROR(INDEX(T_CleanCustomers[Sales_Rep_ID],MATCH(B1041,T_CleanCustomers[Customer_ID],0)),"Unmatched")</f>
        <v>REP005</v>
      </c>
      <c r="N1041" s="9" t="str">
        <f>IFERROR(INDEX(T_CleanCustomers[Channel],MATCH(B1041,T_CleanCustomers[Customer_ID],0)),"Unmatched")</f>
        <v>Referral</v>
      </c>
      <c r="O1041" s="9" t="str">
        <f>IFERROR(INDEX(T_CleanCustomers[Product],MATCH(B1041,T_CleanCustomers[Customer_ID],0)),"Unmatched")</f>
        <v>Fuel Card</v>
      </c>
      <c r="P1041" s="9" t="str">
        <f>IFERROR(INDEX(T_CleanCustomers[Customer_Segment],MATCH(B1041,T_CleanCustomers[Customer_ID],0)),"Unmatched")</f>
        <v>Mid-Market</v>
      </c>
    </row>
    <row r="1042" spans="1:16" ht="15" customHeight="1" x14ac:dyDescent="0.2">
      <c r="A1042" s="9" t="s">
        <v>2384</v>
      </c>
      <c r="B1042" s="9" t="s">
        <v>1266</v>
      </c>
      <c r="C1042" s="9" t="b">
        <f>TRUE()</f>
        <v>1</v>
      </c>
      <c r="D1042" s="10">
        <v>45773</v>
      </c>
      <c r="E1042" s="10">
        <v>45748</v>
      </c>
      <c r="F1042" s="9" t="s">
        <v>1360</v>
      </c>
      <c r="G1042" s="11">
        <v>6130.57</v>
      </c>
      <c r="H1042" s="11">
        <v>161.46</v>
      </c>
      <c r="I1042" s="9" t="b">
        <f>TRUE()</f>
        <v>1</v>
      </c>
      <c r="J1042" s="9" t="s">
        <v>1361</v>
      </c>
      <c r="K1042" s="11">
        <v>161.46</v>
      </c>
      <c r="L1042" s="9" t="s">
        <v>22</v>
      </c>
      <c r="M1042" s="9" t="str">
        <f>IFERROR(INDEX(T_CleanCustomers[Sales_Rep_ID],MATCH(B1042,T_CleanCustomers[Customer_ID],0)),"Unmatched")</f>
        <v>REP005</v>
      </c>
      <c r="N1042" s="9" t="str">
        <f>IFERROR(INDEX(T_CleanCustomers[Channel],MATCH(B1042,T_CleanCustomers[Customer_ID],0)),"Unmatched")</f>
        <v>Referral</v>
      </c>
      <c r="O1042" s="9" t="str">
        <f>IFERROR(INDEX(T_CleanCustomers[Product],MATCH(B1042,T_CleanCustomers[Customer_ID],0)),"Unmatched")</f>
        <v>Fuel Card</v>
      </c>
      <c r="P1042" s="9" t="str">
        <f>IFERROR(INDEX(T_CleanCustomers[Customer_Segment],MATCH(B1042,T_CleanCustomers[Customer_ID],0)),"Unmatched")</f>
        <v>Mid-Market</v>
      </c>
    </row>
    <row r="1043" spans="1:16" ht="15" customHeight="1" x14ac:dyDescent="0.2">
      <c r="A1043" s="9" t="s">
        <v>2385</v>
      </c>
      <c r="B1043" s="9" t="s">
        <v>1266</v>
      </c>
      <c r="C1043" s="9" t="b">
        <f>TRUE()</f>
        <v>1</v>
      </c>
      <c r="D1043" s="10">
        <v>45757</v>
      </c>
      <c r="E1043" s="10">
        <v>45748</v>
      </c>
      <c r="F1043" s="9" t="s">
        <v>1360</v>
      </c>
      <c r="G1043" s="11">
        <v>9784.23</v>
      </c>
      <c r="H1043" s="11">
        <v>224.18</v>
      </c>
      <c r="I1043" s="9" t="b">
        <f>TRUE()</f>
        <v>1</v>
      </c>
      <c r="J1043" s="9" t="s">
        <v>1361</v>
      </c>
      <c r="K1043" s="11">
        <v>224.18</v>
      </c>
      <c r="L1043" s="9" t="s">
        <v>22</v>
      </c>
      <c r="M1043" s="9" t="str">
        <f>IFERROR(INDEX(T_CleanCustomers[Sales_Rep_ID],MATCH(B1043,T_CleanCustomers[Customer_ID],0)),"Unmatched")</f>
        <v>REP005</v>
      </c>
      <c r="N1043" s="9" t="str">
        <f>IFERROR(INDEX(T_CleanCustomers[Channel],MATCH(B1043,T_CleanCustomers[Customer_ID],0)),"Unmatched")</f>
        <v>Referral</v>
      </c>
      <c r="O1043" s="9" t="str">
        <f>IFERROR(INDEX(T_CleanCustomers[Product],MATCH(B1043,T_CleanCustomers[Customer_ID],0)),"Unmatched")</f>
        <v>Fuel Card</v>
      </c>
      <c r="P1043" s="9" t="str">
        <f>IFERROR(INDEX(T_CleanCustomers[Customer_Segment],MATCH(B1043,T_CleanCustomers[Customer_ID],0)),"Unmatched")</f>
        <v>Mid-Market</v>
      </c>
    </row>
    <row r="1044" spans="1:16" ht="15" customHeight="1" x14ac:dyDescent="0.2">
      <c r="A1044" s="9" t="s">
        <v>2386</v>
      </c>
      <c r="B1044" s="9" t="s">
        <v>1266</v>
      </c>
      <c r="C1044" s="9" t="b">
        <f>TRUE()</f>
        <v>1</v>
      </c>
      <c r="D1044" s="10">
        <v>45755</v>
      </c>
      <c r="E1044" s="10">
        <v>45748</v>
      </c>
      <c r="F1044" s="9" t="s">
        <v>1360</v>
      </c>
      <c r="G1044" s="11">
        <v>17472.36</v>
      </c>
      <c r="H1044" s="11">
        <v>471.42</v>
      </c>
      <c r="I1044" s="9" t="b">
        <f>TRUE()</f>
        <v>1</v>
      </c>
      <c r="J1044" s="9" t="s">
        <v>1361</v>
      </c>
      <c r="K1044" s="11">
        <v>471.42</v>
      </c>
      <c r="L1044" s="9" t="s">
        <v>22</v>
      </c>
      <c r="M1044" s="9" t="str">
        <f>IFERROR(INDEX(T_CleanCustomers[Sales_Rep_ID],MATCH(B1044,T_CleanCustomers[Customer_ID],0)),"Unmatched")</f>
        <v>REP005</v>
      </c>
      <c r="N1044" s="9" t="str">
        <f>IFERROR(INDEX(T_CleanCustomers[Channel],MATCH(B1044,T_CleanCustomers[Customer_ID],0)),"Unmatched")</f>
        <v>Referral</v>
      </c>
      <c r="O1044" s="9" t="str">
        <f>IFERROR(INDEX(T_CleanCustomers[Product],MATCH(B1044,T_CleanCustomers[Customer_ID],0)),"Unmatched")</f>
        <v>Fuel Card</v>
      </c>
      <c r="P1044" s="9" t="str">
        <f>IFERROR(INDEX(T_CleanCustomers[Customer_Segment],MATCH(B1044,T_CleanCustomers[Customer_ID],0)),"Unmatched")</f>
        <v>Mid-Market</v>
      </c>
    </row>
    <row r="1045" spans="1:16" ht="15" customHeight="1" x14ac:dyDescent="0.2">
      <c r="A1045" s="9" t="s">
        <v>2387</v>
      </c>
      <c r="B1045" s="9" t="s">
        <v>1266</v>
      </c>
      <c r="C1045" s="9" t="b">
        <f>TRUE()</f>
        <v>1</v>
      </c>
      <c r="D1045" s="10">
        <v>45786</v>
      </c>
      <c r="E1045" s="10">
        <v>45778</v>
      </c>
      <c r="F1045" s="9" t="s">
        <v>1360</v>
      </c>
      <c r="G1045" s="11">
        <v>16551.73</v>
      </c>
      <c r="H1045" s="11">
        <v>375.61</v>
      </c>
      <c r="I1045" s="9" t="b">
        <f>TRUE()</f>
        <v>1</v>
      </c>
      <c r="J1045" s="9" t="s">
        <v>1361</v>
      </c>
      <c r="K1045" s="11">
        <v>375.61</v>
      </c>
      <c r="L1045" s="9" t="s">
        <v>22</v>
      </c>
      <c r="M1045" s="9" t="str">
        <f>IFERROR(INDEX(T_CleanCustomers[Sales_Rep_ID],MATCH(B1045,T_CleanCustomers[Customer_ID],0)),"Unmatched")</f>
        <v>REP005</v>
      </c>
      <c r="N1045" s="9" t="str">
        <f>IFERROR(INDEX(T_CleanCustomers[Channel],MATCH(B1045,T_CleanCustomers[Customer_ID],0)),"Unmatched")</f>
        <v>Referral</v>
      </c>
      <c r="O1045" s="9" t="str">
        <f>IFERROR(INDEX(T_CleanCustomers[Product],MATCH(B1045,T_CleanCustomers[Customer_ID],0)),"Unmatched")</f>
        <v>Fuel Card</v>
      </c>
      <c r="P1045" s="9" t="str">
        <f>IFERROR(INDEX(T_CleanCustomers[Customer_Segment],MATCH(B1045,T_CleanCustomers[Customer_ID],0)),"Unmatched")</f>
        <v>Mid-Market</v>
      </c>
    </row>
    <row r="1046" spans="1:16" ht="15" customHeight="1" x14ac:dyDescent="0.2">
      <c r="A1046" s="9" t="s">
        <v>2388</v>
      </c>
      <c r="B1046" s="9" t="s">
        <v>1266</v>
      </c>
      <c r="C1046" s="9" t="b">
        <f>TRUE()</f>
        <v>1</v>
      </c>
      <c r="D1046" s="10">
        <v>45833</v>
      </c>
      <c r="E1046" s="10">
        <v>45809</v>
      </c>
      <c r="F1046" s="9" t="s">
        <v>1360</v>
      </c>
      <c r="G1046" s="11">
        <v>10602.72</v>
      </c>
      <c r="H1046" s="11">
        <v>280.89</v>
      </c>
      <c r="I1046" s="9" t="b">
        <f>TRUE()</f>
        <v>1</v>
      </c>
      <c r="J1046" s="9" t="s">
        <v>1361</v>
      </c>
      <c r="K1046" s="11">
        <v>280.89</v>
      </c>
      <c r="L1046" s="9" t="s">
        <v>22</v>
      </c>
      <c r="M1046" s="9" t="str">
        <f>IFERROR(INDEX(T_CleanCustomers[Sales_Rep_ID],MATCH(B1046,T_CleanCustomers[Customer_ID],0)),"Unmatched")</f>
        <v>REP005</v>
      </c>
      <c r="N1046" s="9" t="str">
        <f>IFERROR(INDEX(T_CleanCustomers[Channel],MATCH(B1046,T_CleanCustomers[Customer_ID],0)),"Unmatched")</f>
        <v>Referral</v>
      </c>
      <c r="O1046" s="9" t="str">
        <f>IFERROR(INDEX(T_CleanCustomers[Product],MATCH(B1046,T_CleanCustomers[Customer_ID],0)),"Unmatched")</f>
        <v>Fuel Card</v>
      </c>
      <c r="P1046" s="9" t="str">
        <f>IFERROR(INDEX(T_CleanCustomers[Customer_Segment],MATCH(B1046,T_CleanCustomers[Customer_ID],0)),"Unmatched")</f>
        <v>Mid-Market</v>
      </c>
    </row>
    <row r="1047" spans="1:16" ht="15" customHeight="1" x14ac:dyDescent="0.2">
      <c r="A1047" s="9" t="s">
        <v>2389</v>
      </c>
      <c r="B1047" s="9" t="s">
        <v>1266</v>
      </c>
      <c r="C1047" s="9" t="b">
        <f>TRUE()</f>
        <v>1</v>
      </c>
      <c r="D1047" s="10">
        <v>45862</v>
      </c>
      <c r="E1047" s="10">
        <v>45839</v>
      </c>
      <c r="F1047" s="9" t="s">
        <v>1360</v>
      </c>
      <c r="G1047" s="11">
        <v>5194.29</v>
      </c>
      <c r="H1047" s="11">
        <v>0</v>
      </c>
      <c r="I1047" s="9" t="b">
        <f>TRUE()</f>
        <v>1</v>
      </c>
      <c r="J1047" s="9" t="s">
        <v>1408</v>
      </c>
      <c r="K1047" s="11">
        <v>0</v>
      </c>
      <c r="L1047" s="9" t="s">
        <v>22</v>
      </c>
      <c r="M1047" s="9" t="str">
        <f>IFERROR(INDEX(T_CleanCustomers[Sales_Rep_ID],MATCH(B1047,T_CleanCustomers[Customer_ID],0)),"Unmatched")</f>
        <v>REP005</v>
      </c>
      <c r="N1047" s="9" t="str">
        <f>IFERROR(INDEX(T_CleanCustomers[Channel],MATCH(B1047,T_CleanCustomers[Customer_ID],0)),"Unmatched")</f>
        <v>Referral</v>
      </c>
      <c r="O1047" s="9" t="str">
        <f>IFERROR(INDEX(T_CleanCustomers[Product],MATCH(B1047,T_CleanCustomers[Customer_ID],0)),"Unmatched")</f>
        <v>Fuel Card</v>
      </c>
      <c r="P1047" s="9" t="str">
        <f>IFERROR(INDEX(T_CleanCustomers[Customer_Segment],MATCH(B1047,T_CleanCustomers[Customer_ID],0)),"Unmatched")</f>
        <v>Mid-Market</v>
      </c>
    </row>
    <row r="1048" spans="1:16" ht="15" customHeight="1" x14ac:dyDescent="0.2">
      <c r="A1048" s="9" t="s">
        <v>2390</v>
      </c>
      <c r="B1048" s="9" t="s">
        <v>1266</v>
      </c>
      <c r="C1048" s="9" t="b">
        <f>TRUE()</f>
        <v>1</v>
      </c>
      <c r="D1048" s="10">
        <v>45873</v>
      </c>
      <c r="E1048" s="10">
        <v>45870</v>
      </c>
      <c r="F1048" s="9" t="s">
        <v>1360</v>
      </c>
      <c r="G1048" s="11">
        <v>15859.62</v>
      </c>
      <c r="H1048" s="11">
        <v>411.82</v>
      </c>
      <c r="I1048" s="9" t="b">
        <f>TRUE()</f>
        <v>1</v>
      </c>
      <c r="J1048" s="9" t="s">
        <v>1361</v>
      </c>
      <c r="K1048" s="11">
        <v>411.82</v>
      </c>
      <c r="L1048" s="9" t="s">
        <v>22</v>
      </c>
      <c r="M1048" s="9" t="str">
        <f>IFERROR(INDEX(T_CleanCustomers[Sales_Rep_ID],MATCH(B1048,T_CleanCustomers[Customer_ID],0)),"Unmatched")</f>
        <v>REP005</v>
      </c>
      <c r="N1048" s="9" t="str">
        <f>IFERROR(INDEX(T_CleanCustomers[Channel],MATCH(B1048,T_CleanCustomers[Customer_ID],0)),"Unmatched")</f>
        <v>Referral</v>
      </c>
      <c r="O1048" s="9" t="str">
        <f>IFERROR(INDEX(T_CleanCustomers[Product],MATCH(B1048,T_CleanCustomers[Customer_ID],0)),"Unmatched")</f>
        <v>Fuel Card</v>
      </c>
      <c r="P1048" s="9" t="str">
        <f>IFERROR(INDEX(T_CleanCustomers[Customer_Segment],MATCH(B1048,T_CleanCustomers[Customer_ID],0)),"Unmatched")</f>
        <v>Mid-Market</v>
      </c>
    </row>
    <row r="1049" spans="1:16" ht="15" customHeight="1" x14ac:dyDescent="0.2">
      <c r="A1049" s="9" t="s">
        <v>2391</v>
      </c>
      <c r="B1049" s="9" t="s">
        <v>1266</v>
      </c>
      <c r="C1049" s="9" t="b">
        <f>TRUE()</f>
        <v>1</v>
      </c>
      <c r="D1049" s="10">
        <v>45871</v>
      </c>
      <c r="E1049" s="10">
        <v>45870</v>
      </c>
      <c r="F1049" s="9" t="s">
        <v>1360</v>
      </c>
      <c r="G1049" s="11">
        <v>7771.91</v>
      </c>
      <c r="H1049" s="11">
        <v>218.78</v>
      </c>
      <c r="I1049" s="9" t="b">
        <f>TRUE()</f>
        <v>1</v>
      </c>
      <c r="J1049" s="9" t="s">
        <v>1361</v>
      </c>
      <c r="K1049" s="11">
        <v>218.78</v>
      </c>
      <c r="L1049" s="9" t="s">
        <v>22</v>
      </c>
      <c r="M1049" s="9" t="str">
        <f>IFERROR(INDEX(T_CleanCustomers[Sales_Rep_ID],MATCH(B1049,T_CleanCustomers[Customer_ID],0)),"Unmatched")</f>
        <v>REP005</v>
      </c>
      <c r="N1049" s="9" t="str">
        <f>IFERROR(INDEX(T_CleanCustomers[Channel],MATCH(B1049,T_CleanCustomers[Customer_ID],0)),"Unmatched")</f>
        <v>Referral</v>
      </c>
      <c r="O1049" s="9" t="str">
        <f>IFERROR(INDEX(T_CleanCustomers[Product],MATCH(B1049,T_CleanCustomers[Customer_ID],0)),"Unmatched")</f>
        <v>Fuel Card</v>
      </c>
      <c r="P1049" s="9" t="str">
        <f>IFERROR(INDEX(T_CleanCustomers[Customer_Segment],MATCH(B1049,T_CleanCustomers[Customer_ID],0)),"Unmatched")</f>
        <v>Mid-Market</v>
      </c>
    </row>
    <row r="1050" spans="1:16" ht="15" customHeight="1" x14ac:dyDescent="0.2">
      <c r="A1050" s="9" t="s">
        <v>2392</v>
      </c>
      <c r="B1050" s="9" t="s">
        <v>1266</v>
      </c>
      <c r="C1050" s="9" t="b">
        <f>TRUE()</f>
        <v>1</v>
      </c>
      <c r="D1050" s="10">
        <v>45891</v>
      </c>
      <c r="E1050" s="10">
        <v>45870</v>
      </c>
      <c r="F1050" s="9" t="s">
        <v>1360</v>
      </c>
      <c r="G1050" s="11">
        <v>7735.59</v>
      </c>
      <c r="H1050" s="11">
        <v>188.83</v>
      </c>
      <c r="I1050" s="9" t="b">
        <f>TRUE()</f>
        <v>1</v>
      </c>
      <c r="J1050" s="9" t="s">
        <v>1361</v>
      </c>
      <c r="K1050" s="11">
        <v>188.83</v>
      </c>
      <c r="L1050" s="9" t="s">
        <v>22</v>
      </c>
      <c r="M1050" s="9" t="str">
        <f>IFERROR(INDEX(T_CleanCustomers[Sales_Rep_ID],MATCH(B1050,T_CleanCustomers[Customer_ID],0)),"Unmatched")</f>
        <v>REP005</v>
      </c>
      <c r="N1050" s="9" t="str">
        <f>IFERROR(INDEX(T_CleanCustomers[Channel],MATCH(B1050,T_CleanCustomers[Customer_ID],0)),"Unmatched")</f>
        <v>Referral</v>
      </c>
      <c r="O1050" s="9" t="str">
        <f>IFERROR(INDEX(T_CleanCustomers[Product],MATCH(B1050,T_CleanCustomers[Customer_ID],0)),"Unmatched")</f>
        <v>Fuel Card</v>
      </c>
      <c r="P1050" s="9" t="str">
        <f>IFERROR(INDEX(T_CleanCustomers[Customer_Segment],MATCH(B1050,T_CleanCustomers[Customer_ID],0)),"Unmatched")</f>
        <v>Mid-Market</v>
      </c>
    </row>
    <row r="1051" spans="1:16" ht="15" customHeight="1" x14ac:dyDescent="0.2">
      <c r="A1051" s="9" t="s">
        <v>2393</v>
      </c>
      <c r="B1051" s="9" t="s">
        <v>1266</v>
      </c>
      <c r="C1051" s="9" t="b">
        <f>TRUE()</f>
        <v>1</v>
      </c>
      <c r="D1051" s="10">
        <v>45926</v>
      </c>
      <c r="E1051" s="10">
        <v>45901</v>
      </c>
      <c r="F1051" s="9" t="s">
        <v>1360</v>
      </c>
      <c r="G1051" s="11">
        <v>12260.07</v>
      </c>
      <c r="H1051" s="11">
        <v>265.5</v>
      </c>
      <c r="I1051" s="9" t="b">
        <f>TRUE()</f>
        <v>1</v>
      </c>
      <c r="J1051" s="9" t="s">
        <v>1361</v>
      </c>
      <c r="K1051" s="11">
        <v>265.5</v>
      </c>
      <c r="L1051" s="9" t="s">
        <v>22</v>
      </c>
      <c r="M1051" s="9" t="str">
        <f>IFERROR(INDEX(T_CleanCustomers[Sales_Rep_ID],MATCH(B1051,T_CleanCustomers[Customer_ID],0)),"Unmatched")</f>
        <v>REP005</v>
      </c>
      <c r="N1051" s="9" t="str">
        <f>IFERROR(INDEX(T_CleanCustomers[Channel],MATCH(B1051,T_CleanCustomers[Customer_ID],0)),"Unmatched")</f>
        <v>Referral</v>
      </c>
      <c r="O1051" s="9" t="str">
        <f>IFERROR(INDEX(T_CleanCustomers[Product],MATCH(B1051,T_CleanCustomers[Customer_ID],0)),"Unmatched")</f>
        <v>Fuel Card</v>
      </c>
      <c r="P1051" s="9" t="str">
        <f>IFERROR(INDEX(T_CleanCustomers[Customer_Segment],MATCH(B1051,T_CleanCustomers[Customer_ID],0)),"Unmatched")</f>
        <v>Mid-Market</v>
      </c>
    </row>
    <row r="1052" spans="1:16" ht="15" customHeight="1" x14ac:dyDescent="0.2">
      <c r="A1052" s="9" t="s">
        <v>2394</v>
      </c>
      <c r="B1052" s="9" t="s">
        <v>1266</v>
      </c>
      <c r="C1052" s="9" t="b">
        <f>TRUE()</f>
        <v>1</v>
      </c>
      <c r="D1052" s="10">
        <v>45928</v>
      </c>
      <c r="E1052" s="10">
        <v>45901</v>
      </c>
      <c r="F1052" s="9" t="s">
        <v>1360</v>
      </c>
      <c r="G1052" s="11">
        <v>13919.31</v>
      </c>
      <c r="H1052" s="11">
        <v>322.14</v>
      </c>
      <c r="I1052" s="9" t="b">
        <f>TRUE()</f>
        <v>1</v>
      </c>
      <c r="J1052" s="9" t="s">
        <v>1361</v>
      </c>
      <c r="K1052" s="11">
        <v>322.14</v>
      </c>
      <c r="L1052" s="9" t="s">
        <v>22</v>
      </c>
      <c r="M1052" s="9" t="str">
        <f>IFERROR(INDEX(T_CleanCustomers[Sales_Rep_ID],MATCH(B1052,T_CleanCustomers[Customer_ID],0)),"Unmatched")</f>
        <v>REP005</v>
      </c>
      <c r="N1052" s="9" t="str">
        <f>IFERROR(INDEX(T_CleanCustomers[Channel],MATCH(B1052,T_CleanCustomers[Customer_ID],0)),"Unmatched")</f>
        <v>Referral</v>
      </c>
      <c r="O1052" s="9" t="str">
        <f>IFERROR(INDEX(T_CleanCustomers[Product],MATCH(B1052,T_CleanCustomers[Customer_ID],0)),"Unmatched")</f>
        <v>Fuel Card</v>
      </c>
      <c r="P1052" s="9" t="str">
        <f>IFERROR(INDEX(T_CleanCustomers[Customer_Segment],MATCH(B1052,T_CleanCustomers[Customer_ID],0)),"Unmatched")</f>
        <v>Mid-Market</v>
      </c>
    </row>
    <row r="1053" spans="1:16" ht="15" customHeight="1" x14ac:dyDescent="0.2">
      <c r="A1053" s="9" t="s">
        <v>2395</v>
      </c>
      <c r="B1053" s="9" t="s">
        <v>1266</v>
      </c>
      <c r="C1053" s="9" t="b">
        <f>TRUE()</f>
        <v>1</v>
      </c>
      <c r="D1053" s="10">
        <v>45949</v>
      </c>
      <c r="E1053" s="10">
        <v>45931</v>
      </c>
      <c r="F1053" s="9" t="s">
        <v>1360</v>
      </c>
      <c r="G1053" s="11">
        <v>11411.8</v>
      </c>
      <c r="H1053" s="11">
        <v>250.41</v>
      </c>
      <c r="I1053" s="9" t="b">
        <f>TRUE()</f>
        <v>1</v>
      </c>
      <c r="J1053" s="9" t="s">
        <v>1361</v>
      </c>
      <c r="K1053" s="11">
        <v>250.41</v>
      </c>
      <c r="L1053" s="9" t="s">
        <v>22</v>
      </c>
      <c r="M1053" s="9" t="str">
        <f>IFERROR(INDEX(T_CleanCustomers[Sales_Rep_ID],MATCH(B1053,T_CleanCustomers[Customer_ID],0)),"Unmatched")</f>
        <v>REP005</v>
      </c>
      <c r="N1053" s="9" t="str">
        <f>IFERROR(INDEX(T_CleanCustomers[Channel],MATCH(B1053,T_CleanCustomers[Customer_ID],0)),"Unmatched")</f>
        <v>Referral</v>
      </c>
      <c r="O1053" s="9" t="str">
        <f>IFERROR(INDEX(T_CleanCustomers[Product],MATCH(B1053,T_CleanCustomers[Customer_ID],0)),"Unmatched")</f>
        <v>Fuel Card</v>
      </c>
      <c r="P1053" s="9" t="str">
        <f>IFERROR(INDEX(T_CleanCustomers[Customer_Segment],MATCH(B1053,T_CleanCustomers[Customer_ID],0)),"Unmatched")</f>
        <v>Mid-Market</v>
      </c>
    </row>
    <row r="1054" spans="1:16" ht="15" customHeight="1" x14ac:dyDescent="0.2">
      <c r="A1054" s="9" t="s">
        <v>2396</v>
      </c>
      <c r="B1054" s="9" t="s">
        <v>1266</v>
      </c>
      <c r="C1054" s="9" t="b">
        <f>TRUE()</f>
        <v>1</v>
      </c>
      <c r="D1054" s="10">
        <v>45968</v>
      </c>
      <c r="E1054" s="10">
        <v>45962</v>
      </c>
      <c r="F1054" s="9" t="s">
        <v>1360</v>
      </c>
      <c r="G1054" s="11">
        <v>17308.52</v>
      </c>
      <c r="H1054" s="11">
        <v>454.93</v>
      </c>
      <c r="I1054" s="9" t="b">
        <f>TRUE()</f>
        <v>1</v>
      </c>
      <c r="J1054" s="9" t="s">
        <v>1361</v>
      </c>
      <c r="K1054" s="11">
        <v>454.93</v>
      </c>
      <c r="L1054" s="9" t="s">
        <v>22</v>
      </c>
      <c r="M1054" s="9" t="str">
        <f>IFERROR(INDEX(T_CleanCustomers[Sales_Rep_ID],MATCH(B1054,T_CleanCustomers[Customer_ID],0)),"Unmatched")</f>
        <v>REP005</v>
      </c>
      <c r="N1054" s="9" t="str">
        <f>IFERROR(INDEX(T_CleanCustomers[Channel],MATCH(B1054,T_CleanCustomers[Customer_ID],0)),"Unmatched")</f>
        <v>Referral</v>
      </c>
      <c r="O1054" s="9" t="str">
        <f>IFERROR(INDEX(T_CleanCustomers[Product],MATCH(B1054,T_CleanCustomers[Customer_ID],0)),"Unmatched")</f>
        <v>Fuel Card</v>
      </c>
      <c r="P1054" s="9" t="str">
        <f>IFERROR(INDEX(T_CleanCustomers[Customer_Segment],MATCH(B1054,T_CleanCustomers[Customer_ID],0)),"Unmatched")</f>
        <v>Mid-Market</v>
      </c>
    </row>
    <row r="1055" spans="1:16" ht="15" customHeight="1" x14ac:dyDescent="0.2">
      <c r="A1055" s="9" t="s">
        <v>2397</v>
      </c>
      <c r="B1055" s="9" t="s">
        <v>1266</v>
      </c>
      <c r="C1055" s="9" t="b">
        <f>TRUE()</f>
        <v>1</v>
      </c>
      <c r="D1055" s="10">
        <v>45964</v>
      </c>
      <c r="E1055" s="10">
        <v>45962</v>
      </c>
      <c r="F1055" s="9" t="s">
        <v>1360</v>
      </c>
      <c r="G1055" s="11">
        <v>15894.24</v>
      </c>
      <c r="H1055" s="11">
        <v>351.49</v>
      </c>
      <c r="I1055" s="9" t="b">
        <f>TRUE()</f>
        <v>1</v>
      </c>
      <c r="J1055" s="9" t="s">
        <v>1361</v>
      </c>
      <c r="K1055" s="11">
        <v>351.49</v>
      </c>
      <c r="L1055" s="9" t="s">
        <v>22</v>
      </c>
      <c r="M1055" s="9" t="str">
        <f>IFERROR(INDEX(T_CleanCustomers[Sales_Rep_ID],MATCH(B1055,T_CleanCustomers[Customer_ID],0)),"Unmatched")</f>
        <v>REP005</v>
      </c>
      <c r="N1055" s="9" t="str">
        <f>IFERROR(INDEX(T_CleanCustomers[Channel],MATCH(B1055,T_CleanCustomers[Customer_ID],0)),"Unmatched")</f>
        <v>Referral</v>
      </c>
      <c r="O1055" s="9" t="str">
        <f>IFERROR(INDEX(T_CleanCustomers[Product],MATCH(B1055,T_CleanCustomers[Customer_ID],0)),"Unmatched")</f>
        <v>Fuel Card</v>
      </c>
      <c r="P1055" s="9" t="str">
        <f>IFERROR(INDEX(T_CleanCustomers[Customer_Segment],MATCH(B1055,T_CleanCustomers[Customer_ID],0)),"Unmatched")</f>
        <v>Mid-Market</v>
      </c>
    </row>
    <row r="1056" spans="1:16" ht="15" customHeight="1" x14ac:dyDescent="0.2">
      <c r="A1056" s="9" t="s">
        <v>2398</v>
      </c>
      <c r="B1056" s="9" t="s">
        <v>1266</v>
      </c>
      <c r="C1056" s="9" t="b">
        <f>TRUE()</f>
        <v>1</v>
      </c>
      <c r="D1056" s="10">
        <v>45980</v>
      </c>
      <c r="E1056" s="10">
        <v>45962</v>
      </c>
      <c r="F1056" s="9" t="s">
        <v>1360</v>
      </c>
      <c r="G1056" s="11">
        <v>16650.759999999998</v>
      </c>
      <c r="H1056" s="11">
        <v>465.11</v>
      </c>
      <c r="I1056" s="9" t="b">
        <f>TRUE()</f>
        <v>1</v>
      </c>
      <c r="J1056" s="9" t="s">
        <v>1361</v>
      </c>
      <c r="K1056" s="11">
        <v>465.11</v>
      </c>
      <c r="L1056" s="9" t="s">
        <v>22</v>
      </c>
      <c r="M1056" s="9" t="str">
        <f>IFERROR(INDEX(T_CleanCustomers[Sales_Rep_ID],MATCH(B1056,T_CleanCustomers[Customer_ID],0)),"Unmatched")</f>
        <v>REP005</v>
      </c>
      <c r="N1056" s="9" t="str">
        <f>IFERROR(INDEX(T_CleanCustomers[Channel],MATCH(B1056,T_CleanCustomers[Customer_ID],0)),"Unmatched")</f>
        <v>Referral</v>
      </c>
      <c r="O1056" s="9" t="str">
        <f>IFERROR(INDEX(T_CleanCustomers[Product],MATCH(B1056,T_CleanCustomers[Customer_ID],0)),"Unmatched")</f>
        <v>Fuel Card</v>
      </c>
      <c r="P1056" s="9" t="str">
        <f>IFERROR(INDEX(T_CleanCustomers[Customer_Segment],MATCH(B1056,T_CleanCustomers[Customer_ID],0)),"Unmatched")</f>
        <v>Mid-Market</v>
      </c>
    </row>
    <row r="1057" spans="1:16" ht="15" customHeight="1" x14ac:dyDescent="0.2">
      <c r="A1057" s="9" t="s">
        <v>2399</v>
      </c>
      <c r="B1057" s="9" t="s">
        <v>1266</v>
      </c>
      <c r="C1057" s="9" t="b">
        <f>TRUE()</f>
        <v>1</v>
      </c>
      <c r="D1057" s="10">
        <v>46015</v>
      </c>
      <c r="E1057" s="10">
        <v>45992</v>
      </c>
      <c r="F1057" s="9" t="s">
        <v>1360</v>
      </c>
      <c r="G1057" s="11">
        <v>9614.39</v>
      </c>
      <c r="H1057" s="11">
        <v>230.34</v>
      </c>
      <c r="I1057" s="9" t="b">
        <f>TRUE()</f>
        <v>1</v>
      </c>
      <c r="J1057" s="9" t="s">
        <v>1361</v>
      </c>
      <c r="K1057" s="11">
        <v>230.34</v>
      </c>
      <c r="L1057" s="9" t="s">
        <v>22</v>
      </c>
      <c r="M1057" s="9" t="str">
        <f>IFERROR(INDEX(T_CleanCustomers[Sales_Rep_ID],MATCH(B1057,T_CleanCustomers[Customer_ID],0)),"Unmatched")</f>
        <v>REP005</v>
      </c>
      <c r="N1057" s="9" t="str">
        <f>IFERROR(INDEX(T_CleanCustomers[Channel],MATCH(B1057,T_CleanCustomers[Customer_ID],0)),"Unmatched")</f>
        <v>Referral</v>
      </c>
      <c r="O1057" s="9" t="str">
        <f>IFERROR(INDEX(T_CleanCustomers[Product],MATCH(B1057,T_CleanCustomers[Customer_ID],0)),"Unmatched")</f>
        <v>Fuel Card</v>
      </c>
      <c r="P1057" s="9" t="str">
        <f>IFERROR(INDEX(T_CleanCustomers[Customer_Segment],MATCH(B1057,T_CleanCustomers[Customer_ID],0)),"Unmatched")</f>
        <v>Mid-Market</v>
      </c>
    </row>
    <row r="1058" spans="1:16" ht="15" customHeight="1" x14ac:dyDescent="0.2">
      <c r="A1058" s="9" t="s">
        <v>126</v>
      </c>
      <c r="B1058" s="9" t="s">
        <v>1266</v>
      </c>
      <c r="C1058" s="9" t="b">
        <f>TRUE()</f>
        <v>1</v>
      </c>
      <c r="D1058" s="10">
        <v>46008</v>
      </c>
      <c r="E1058" s="10">
        <v>45992</v>
      </c>
      <c r="F1058" s="9" t="s">
        <v>1360</v>
      </c>
      <c r="G1058" s="11">
        <v>5609.07</v>
      </c>
      <c r="H1058" s="11">
        <v>-153.43</v>
      </c>
      <c r="I1058" s="9" t="b">
        <f>FALSE()</f>
        <v>0</v>
      </c>
      <c r="J1058" s="9" t="s">
        <v>1361</v>
      </c>
      <c r="K1058" s="11">
        <v>0</v>
      </c>
      <c r="L1058" s="9" t="s">
        <v>22</v>
      </c>
      <c r="M1058" s="9" t="str">
        <f>IFERROR(INDEX(T_CleanCustomers[Sales_Rep_ID],MATCH(B1058,T_CleanCustomers[Customer_ID],0)),"Unmatched")</f>
        <v>REP005</v>
      </c>
      <c r="N1058" s="9" t="str">
        <f>IFERROR(INDEX(T_CleanCustomers[Channel],MATCH(B1058,T_CleanCustomers[Customer_ID],0)),"Unmatched")</f>
        <v>Referral</v>
      </c>
      <c r="O1058" s="9" t="str">
        <f>IFERROR(INDEX(T_CleanCustomers[Product],MATCH(B1058,T_CleanCustomers[Customer_ID],0)),"Unmatched")</f>
        <v>Fuel Card</v>
      </c>
      <c r="P1058" s="9" t="str">
        <f>IFERROR(INDEX(T_CleanCustomers[Customer_Segment],MATCH(B1058,T_CleanCustomers[Customer_ID],0)),"Unmatched")</f>
        <v>Mid-Market</v>
      </c>
    </row>
    <row r="1059" spans="1:16" ht="15" customHeight="1" x14ac:dyDescent="0.2">
      <c r="A1059" s="9" t="s">
        <v>2400</v>
      </c>
      <c r="B1059" s="9" t="s">
        <v>1266</v>
      </c>
      <c r="C1059" s="9" t="b">
        <f>TRUE()</f>
        <v>1</v>
      </c>
      <c r="D1059" s="10">
        <v>46006</v>
      </c>
      <c r="E1059" s="10">
        <v>45992</v>
      </c>
      <c r="F1059" s="9" t="s">
        <v>1360</v>
      </c>
      <c r="G1059" s="11">
        <v>6209.98</v>
      </c>
      <c r="H1059" s="11">
        <v>143.97</v>
      </c>
      <c r="I1059" s="9" t="b">
        <f>TRUE()</f>
        <v>1</v>
      </c>
      <c r="J1059" s="9" t="s">
        <v>1361</v>
      </c>
      <c r="K1059" s="11">
        <v>143.97</v>
      </c>
      <c r="L1059" s="9" t="s">
        <v>22</v>
      </c>
      <c r="M1059" s="9" t="str">
        <f>IFERROR(INDEX(T_CleanCustomers[Sales_Rep_ID],MATCH(B1059,T_CleanCustomers[Customer_ID],0)),"Unmatched")</f>
        <v>REP005</v>
      </c>
      <c r="N1059" s="9" t="str">
        <f>IFERROR(INDEX(T_CleanCustomers[Channel],MATCH(B1059,T_CleanCustomers[Customer_ID],0)),"Unmatched")</f>
        <v>Referral</v>
      </c>
      <c r="O1059" s="9" t="str">
        <f>IFERROR(INDEX(T_CleanCustomers[Product],MATCH(B1059,T_CleanCustomers[Customer_ID],0)),"Unmatched")</f>
        <v>Fuel Card</v>
      </c>
      <c r="P1059" s="9" t="str">
        <f>IFERROR(INDEX(T_CleanCustomers[Customer_Segment],MATCH(B1059,T_CleanCustomers[Customer_ID],0)),"Unmatched")</f>
        <v>Mid-Market</v>
      </c>
    </row>
    <row r="1060" spans="1:16" ht="15" customHeight="1" x14ac:dyDescent="0.2">
      <c r="A1060" s="9" t="s">
        <v>2401</v>
      </c>
      <c r="B1060" s="9" t="s">
        <v>1267</v>
      </c>
      <c r="C1060" s="9" t="b">
        <f>TRUE()</f>
        <v>1</v>
      </c>
      <c r="D1060" s="10">
        <v>45973</v>
      </c>
      <c r="E1060" s="10">
        <v>45962</v>
      </c>
      <c r="F1060" s="9" t="s">
        <v>1360</v>
      </c>
      <c r="G1060" s="11">
        <v>2450.13</v>
      </c>
      <c r="H1060" s="11">
        <v>53.32</v>
      </c>
      <c r="I1060" s="9" t="b">
        <f>TRUE()</f>
        <v>1</v>
      </c>
      <c r="J1060" s="9" t="s">
        <v>1361</v>
      </c>
      <c r="K1060" s="11">
        <v>53.32</v>
      </c>
      <c r="L1060" s="9" t="s">
        <v>22</v>
      </c>
      <c r="M1060" s="9" t="str">
        <f>IFERROR(INDEX(T_CleanCustomers[Sales_Rep_ID],MATCH(B1060,T_CleanCustomers[Customer_ID],0)),"Unmatched")</f>
        <v>REP006</v>
      </c>
      <c r="N1060" s="9" t="str">
        <f>IFERROR(INDEX(T_CleanCustomers[Channel],MATCH(B1060,T_CleanCustomers[Customer_ID],0)),"Unmatched")</f>
        <v>Direct Sales</v>
      </c>
      <c r="O1060" s="9" t="str">
        <f>IFERROR(INDEX(T_CleanCustomers[Product],MATCH(B1060,T_CleanCustomers[Customer_ID],0)),"Unmatched")</f>
        <v>Fuel Card</v>
      </c>
      <c r="P1060" s="9" t="str">
        <f>IFERROR(INDEX(T_CleanCustomers[Customer_Segment],MATCH(B1060,T_CleanCustomers[Customer_ID],0)),"Unmatched")</f>
        <v>SME</v>
      </c>
    </row>
    <row r="1061" spans="1:16" ht="15" customHeight="1" x14ac:dyDescent="0.2">
      <c r="A1061" s="9" t="s">
        <v>2402</v>
      </c>
      <c r="B1061" s="9" t="s">
        <v>1267</v>
      </c>
      <c r="C1061" s="9" t="b">
        <f>TRUE()</f>
        <v>1</v>
      </c>
      <c r="D1061" s="10">
        <v>45977</v>
      </c>
      <c r="E1061" s="10">
        <v>45962</v>
      </c>
      <c r="F1061" s="9" t="s">
        <v>1360</v>
      </c>
      <c r="G1061" s="11">
        <v>4863.7</v>
      </c>
      <c r="H1061" s="11">
        <v>114.95</v>
      </c>
      <c r="I1061" s="9" t="b">
        <f>TRUE()</f>
        <v>1</v>
      </c>
      <c r="J1061" s="9" t="s">
        <v>1361</v>
      </c>
      <c r="K1061" s="11">
        <v>114.95</v>
      </c>
      <c r="L1061" s="9" t="s">
        <v>22</v>
      </c>
      <c r="M1061" s="9" t="str">
        <f>IFERROR(INDEX(T_CleanCustomers[Sales_Rep_ID],MATCH(B1061,T_CleanCustomers[Customer_ID],0)),"Unmatched")</f>
        <v>REP006</v>
      </c>
      <c r="N1061" s="9" t="str">
        <f>IFERROR(INDEX(T_CleanCustomers[Channel],MATCH(B1061,T_CleanCustomers[Customer_ID],0)),"Unmatched")</f>
        <v>Direct Sales</v>
      </c>
      <c r="O1061" s="9" t="str">
        <f>IFERROR(INDEX(T_CleanCustomers[Product],MATCH(B1061,T_CleanCustomers[Customer_ID],0)),"Unmatched")</f>
        <v>Fuel Card</v>
      </c>
      <c r="P1061" s="9" t="str">
        <f>IFERROR(INDEX(T_CleanCustomers[Customer_Segment],MATCH(B1061,T_CleanCustomers[Customer_ID],0)),"Unmatched")</f>
        <v>SME</v>
      </c>
    </row>
    <row r="1062" spans="1:16" ht="15" customHeight="1" x14ac:dyDescent="0.2">
      <c r="A1062" s="9" t="s">
        <v>2403</v>
      </c>
      <c r="B1062" s="9" t="s">
        <v>1267</v>
      </c>
      <c r="C1062" s="9" t="b">
        <f>TRUE()</f>
        <v>1</v>
      </c>
      <c r="D1062" s="10">
        <v>45993</v>
      </c>
      <c r="E1062" s="10">
        <v>45992</v>
      </c>
      <c r="F1062" s="9" t="s">
        <v>1360</v>
      </c>
      <c r="G1062" s="11">
        <v>4224.1499999999996</v>
      </c>
      <c r="H1062" s="11">
        <v>92.93</v>
      </c>
      <c r="I1062" s="9" t="b">
        <f>TRUE()</f>
        <v>1</v>
      </c>
      <c r="J1062" s="9" t="s">
        <v>1361</v>
      </c>
      <c r="K1062" s="11">
        <v>92.93</v>
      </c>
      <c r="L1062" s="9" t="s">
        <v>22</v>
      </c>
      <c r="M1062" s="9" t="str">
        <f>IFERROR(INDEX(T_CleanCustomers[Sales_Rep_ID],MATCH(B1062,T_CleanCustomers[Customer_ID],0)),"Unmatched")</f>
        <v>REP006</v>
      </c>
      <c r="N1062" s="9" t="str">
        <f>IFERROR(INDEX(T_CleanCustomers[Channel],MATCH(B1062,T_CleanCustomers[Customer_ID],0)),"Unmatched")</f>
        <v>Direct Sales</v>
      </c>
      <c r="O1062" s="9" t="str">
        <f>IFERROR(INDEX(T_CleanCustomers[Product],MATCH(B1062,T_CleanCustomers[Customer_ID],0)),"Unmatched")</f>
        <v>Fuel Card</v>
      </c>
      <c r="P1062" s="9" t="str">
        <f>IFERROR(INDEX(T_CleanCustomers[Customer_Segment],MATCH(B1062,T_CleanCustomers[Customer_ID],0)),"Unmatched")</f>
        <v>SME</v>
      </c>
    </row>
    <row r="1063" spans="1:16" ht="15" customHeight="1" x14ac:dyDescent="0.2">
      <c r="A1063" s="9" t="s">
        <v>2404</v>
      </c>
      <c r="B1063" s="9" t="s">
        <v>1267</v>
      </c>
      <c r="C1063" s="9" t="b">
        <f>TRUE()</f>
        <v>1</v>
      </c>
      <c r="D1063" s="10">
        <v>46019</v>
      </c>
      <c r="E1063" s="10">
        <v>45992</v>
      </c>
      <c r="F1063" s="9" t="s">
        <v>1360</v>
      </c>
      <c r="G1063" s="11">
        <v>3628.41</v>
      </c>
      <c r="H1063" s="11">
        <v>77.209999999999994</v>
      </c>
      <c r="I1063" s="9" t="b">
        <f>TRUE()</f>
        <v>1</v>
      </c>
      <c r="J1063" s="9" t="s">
        <v>1361</v>
      </c>
      <c r="K1063" s="11">
        <v>77.209999999999994</v>
      </c>
      <c r="L1063" s="9" t="s">
        <v>22</v>
      </c>
      <c r="M1063" s="9" t="str">
        <f>IFERROR(INDEX(T_CleanCustomers[Sales_Rep_ID],MATCH(B1063,T_CleanCustomers[Customer_ID],0)),"Unmatched")</f>
        <v>REP006</v>
      </c>
      <c r="N1063" s="9" t="str">
        <f>IFERROR(INDEX(T_CleanCustomers[Channel],MATCH(B1063,T_CleanCustomers[Customer_ID],0)),"Unmatched")</f>
        <v>Direct Sales</v>
      </c>
      <c r="O1063" s="9" t="str">
        <f>IFERROR(INDEX(T_CleanCustomers[Product],MATCH(B1063,T_CleanCustomers[Customer_ID],0)),"Unmatched")</f>
        <v>Fuel Card</v>
      </c>
      <c r="P1063" s="9" t="str">
        <f>IFERROR(INDEX(T_CleanCustomers[Customer_Segment],MATCH(B1063,T_CleanCustomers[Customer_ID],0)),"Unmatched")</f>
        <v>SME</v>
      </c>
    </row>
    <row r="1064" spans="1:16" ht="15" customHeight="1" x14ac:dyDescent="0.2">
      <c r="A1064" s="9" t="s">
        <v>2405</v>
      </c>
      <c r="B1064" s="9" t="s">
        <v>1269</v>
      </c>
      <c r="C1064" s="9" t="b">
        <f>TRUE()</f>
        <v>1</v>
      </c>
      <c r="D1064" s="10">
        <v>45747</v>
      </c>
      <c r="E1064" s="10">
        <v>45717</v>
      </c>
      <c r="F1064" s="9" t="s">
        <v>1481</v>
      </c>
      <c r="G1064" s="11">
        <v>60072.82</v>
      </c>
      <c r="H1064" s="11">
        <v>1668.43</v>
      </c>
      <c r="I1064" s="9" t="b">
        <f>TRUE()</f>
        <v>1</v>
      </c>
      <c r="J1064" s="9" t="s">
        <v>1361</v>
      </c>
      <c r="K1064" s="11">
        <v>1668.43</v>
      </c>
      <c r="L1064" s="9" t="s">
        <v>20</v>
      </c>
      <c r="M1064" s="9" t="str">
        <f>IFERROR(INDEX(T_CleanCustomers[Sales_Rep_ID],MATCH(B1064,T_CleanCustomers[Customer_ID],0)),"Unmatched")</f>
        <v>REP001</v>
      </c>
      <c r="N1064" s="9" t="str">
        <f>IFERROR(INDEX(T_CleanCustomers[Channel],MATCH(B1064,T_CleanCustomers[Customer_ID],0)),"Unmatched")</f>
        <v>Referral</v>
      </c>
      <c r="O1064" s="9" t="str">
        <f>IFERROR(INDEX(T_CleanCustomers[Product],MATCH(B1064,T_CleanCustomers[Customer_ID],0)),"Unmatched")</f>
        <v>Fleet Expense Card</v>
      </c>
      <c r="P1064" s="9" t="str">
        <f>IFERROR(INDEX(T_CleanCustomers[Customer_Segment],MATCH(B1064,T_CleanCustomers[Customer_ID],0)),"Unmatched")</f>
        <v>Enterprise</v>
      </c>
    </row>
    <row r="1065" spans="1:16" ht="15" customHeight="1" x14ac:dyDescent="0.2">
      <c r="A1065" s="9" t="s">
        <v>2406</v>
      </c>
      <c r="B1065" s="9" t="s">
        <v>1269</v>
      </c>
      <c r="C1065" s="9" t="b">
        <f>TRUE()</f>
        <v>1</v>
      </c>
      <c r="D1065" s="10">
        <v>45768</v>
      </c>
      <c r="E1065" s="10">
        <v>45748</v>
      </c>
      <c r="F1065" s="9" t="s">
        <v>1360</v>
      </c>
      <c r="G1065" s="11">
        <v>49740.12</v>
      </c>
      <c r="H1065" s="11">
        <v>1496.34</v>
      </c>
      <c r="I1065" s="9" t="b">
        <f>TRUE()</f>
        <v>1</v>
      </c>
      <c r="J1065" s="9" t="s">
        <v>1361</v>
      </c>
      <c r="K1065" s="11">
        <v>1496.34</v>
      </c>
      <c r="L1065" s="9" t="s">
        <v>20</v>
      </c>
      <c r="M1065" s="9" t="str">
        <f>IFERROR(INDEX(T_CleanCustomers[Sales_Rep_ID],MATCH(B1065,T_CleanCustomers[Customer_ID],0)),"Unmatched")</f>
        <v>REP001</v>
      </c>
      <c r="N1065" s="9" t="str">
        <f>IFERROR(INDEX(T_CleanCustomers[Channel],MATCH(B1065,T_CleanCustomers[Customer_ID],0)),"Unmatched")</f>
        <v>Referral</v>
      </c>
      <c r="O1065" s="9" t="str">
        <f>IFERROR(INDEX(T_CleanCustomers[Product],MATCH(B1065,T_CleanCustomers[Customer_ID],0)),"Unmatched")</f>
        <v>Fleet Expense Card</v>
      </c>
      <c r="P1065" s="9" t="str">
        <f>IFERROR(INDEX(T_CleanCustomers[Customer_Segment],MATCH(B1065,T_CleanCustomers[Customer_ID],0)),"Unmatched")</f>
        <v>Enterprise</v>
      </c>
    </row>
    <row r="1066" spans="1:16" ht="15" customHeight="1" x14ac:dyDescent="0.2">
      <c r="A1066" s="9" t="s">
        <v>2407</v>
      </c>
      <c r="B1066" s="9" t="s">
        <v>1269</v>
      </c>
      <c r="C1066" s="9" t="b">
        <f>TRUE()</f>
        <v>1</v>
      </c>
      <c r="D1066" s="10">
        <v>45781</v>
      </c>
      <c r="E1066" s="10">
        <v>45778</v>
      </c>
      <c r="F1066" s="9" t="s">
        <v>1360</v>
      </c>
      <c r="G1066" s="11">
        <v>17069.38</v>
      </c>
      <c r="H1066" s="11">
        <v>444.98</v>
      </c>
      <c r="I1066" s="9" t="b">
        <f>TRUE()</f>
        <v>1</v>
      </c>
      <c r="J1066" s="9" t="s">
        <v>1361</v>
      </c>
      <c r="K1066" s="11">
        <v>444.98</v>
      </c>
      <c r="L1066" s="9" t="s">
        <v>20</v>
      </c>
      <c r="M1066" s="9" t="str">
        <f>IFERROR(INDEX(T_CleanCustomers[Sales_Rep_ID],MATCH(B1066,T_CleanCustomers[Customer_ID],0)),"Unmatched")</f>
        <v>REP001</v>
      </c>
      <c r="N1066" s="9" t="str">
        <f>IFERROR(INDEX(T_CleanCustomers[Channel],MATCH(B1066,T_CleanCustomers[Customer_ID],0)),"Unmatched")</f>
        <v>Referral</v>
      </c>
      <c r="O1066" s="9" t="str">
        <f>IFERROR(INDEX(T_CleanCustomers[Product],MATCH(B1066,T_CleanCustomers[Customer_ID],0)),"Unmatched")</f>
        <v>Fleet Expense Card</v>
      </c>
      <c r="P1066" s="9" t="str">
        <f>IFERROR(INDEX(T_CleanCustomers[Customer_Segment],MATCH(B1066,T_CleanCustomers[Customer_ID],0)),"Unmatched")</f>
        <v>Enterprise</v>
      </c>
    </row>
    <row r="1067" spans="1:16" ht="15" customHeight="1" x14ac:dyDescent="0.2">
      <c r="A1067" s="9" t="s">
        <v>2408</v>
      </c>
      <c r="B1067" s="9" t="s">
        <v>1269</v>
      </c>
      <c r="C1067" s="9" t="b">
        <f>TRUE()</f>
        <v>1</v>
      </c>
      <c r="D1067" s="10">
        <v>45793</v>
      </c>
      <c r="E1067" s="10">
        <v>45778</v>
      </c>
      <c r="F1067" s="9" t="s">
        <v>1360</v>
      </c>
      <c r="G1067" s="11">
        <v>16778.77</v>
      </c>
      <c r="H1067" s="11">
        <v>520.49</v>
      </c>
      <c r="I1067" s="9" t="b">
        <f>TRUE()</f>
        <v>1</v>
      </c>
      <c r="J1067" s="9" t="s">
        <v>1361</v>
      </c>
      <c r="K1067" s="11">
        <v>520.49</v>
      </c>
      <c r="L1067" s="9" t="s">
        <v>20</v>
      </c>
      <c r="M1067" s="9" t="str">
        <f>IFERROR(INDEX(T_CleanCustomers[Sales_Rep_ID],MATCH(B1067,T_CleanCustomers[Customer_ID],0)),"Unmatched")</f>
        <v>REP001</v>
      </c>
      <c r="N1067" s="9" t="str">
        <f>IFERROR(INDEX(T_CleanCustomers[Channel],MATCH(B1067,T_CleanCustomers[Customer_ID],0)),"Unmatched")</f>
        <v>Referral</v>
      </c>
      <c r="O1067" s="9" t="str">
        <f>IFERROR(INDEX(T_CleanCustomers[Product],MATCH(B1067,T_CleanCustomers[Customer_ID],0)),"Unmatched")</f>
        <v>Fleet Expense Card</v>
      </c>
      <c r="P1067" s="9" t="str">
        <f>IFERROR(INDEX(T_CleanCustomers[Customer_Segment],MATCH(B1067,T_CleanCustomers[Customer_ID],0)),"Unmatched")</f>
        <v>Enterprise</v>
      </c>
    </row>
    <row r="1068" spans="1:16" ht="15" customHeight="1" x14ac:dyDescent="0.2">
      <c r="A1068" s="9" t="s">
        <v>2409</v>
      </c>
      <c r="B1068" s="9" t="s">
        <v>1269</v>
      </c>
      <c r="C1068" s="9" t="b">
        <f>TRUE()</f>
        <v>1</v>
      </c>
      <c r="D1068" s="10">
        <v>45820</v>
      </c>
      <c r="E1068" s="10">
        <v>45809</v>
      </c>
      <c r="F1068" s="9" t="s">
        <v>1481</v>
      </c>
      <c r="G1068" s="11">
        <v>33631.980000000003</v>
      </c>
      <c r="H1068" s="11">
        <v>895.55</v>
      </c>
      <c r="I1068" s="9" t="b">
        <f>TRUE()</f>
        <v>1</v>
      </c>
      <c r="J1068" s="9" t="s">
        <v>1361</v>
      </c>
      <c r="K1068" s="11">
        <v>895.55</v>
      </c>
      <c r="L1068" s="9" t="s">
        <v>20</v>
      </c>
      <c r="M1068" s="9" t="str">
        <f>IFERROR(INDEX(T_CleanCustomers[Sales_Rep_ID],MATCH(B1068,T_CleanCustomers[Customer_ID],0)),"Unmatched")</f>
        <v>REP001</v>
      </c>
      <c r="N1068" s="9" t="str">
        <f>IFERROR(INDEX(T_CleanCustomers[Channel],MATCH(B1068,T_CleanCustomers[Customer_ID],0)),"Unmatched")</f>
        <v>Referral</v>
      </c>
      <c r="O1068" s="9" t="str">
        <f>IFERROR(INDEX(T_CleanCustomers[Product],MATCH(B1068,T_CleanCustomers[Customer_ID],0)),"Unmatched")</f>
        <v>Fleet Expense Card</v>
      </c>
      <c r="P1068" s="9" t="str">
        <f>IFERROR(INDEX(T_CleanCustomers[Customer_Segment],MATCH(B1068,T_CleanCustomers[Customer_ID],0)),"Unmatched")</f>
        <v>Enterprise</v>
      </c>
    </row>
    <row r="1069" spans="1:16" ht="15" customHeight="1" x14ac:dyDescent="0.2">
      <c r="A1069" s="9" t="s">
        <v>2410</v>
      </c>
      <c r="B1069" s="9" t="s">
        <v>1269</v>
      </c>
      <c r="C1069" s="9" t="b">
        <f>TRUE()</f>
        <v>1</v>
      </c>
      <c r="D1069" s="10">
        <v>45811</v>
      </c>
      <c r="E1069" s="10">
        <v>45809</v>
      </c>
      <c r="F1069" s="9" t="s">
        <v>1479</v>
      </c>
      <c r="G1069" s="11">
        <v>47506.12</v>
      </c>
      <c r="H1069" s="11">
        <v>1433.31</v>
      </c>
      <c r="I1069" s="9" t="b">
        <f>TRUE()</f>
        <v>1</v>
      </c>
      <c r="J1069" s="9" t="s">
        <v>1361</v>
      </c>
      <c r="K1069" s="11">
        <v>1433.31</v>
      </c>
      <c r="L1069" s="9" t="s">
        <v>20</v>
      </c>
      <c r="M1069" s="9" t="str">
        <f>IFERROR(INDEX(T_CleanCustomers[Sales_Rep_ID],MATCH(B1069,T_CleanCustomers[Customer_ID],0)),"Unmatched")</f>
        <v>REP001</v>
      </c>
      <c r="N1069" s="9" t="str">
        <f>IFERROR(INDEX(T_CleanCustomers[Channel],MATCH(B1069,T_CleanCustomers[Customer_ID],0)),"Unmatched")</f>
        <v>Referral</v>
      </c>
      <c r="O1069" s="9" t="str">
        <f>IFERROR(INDEX(T_CleanCustomers[Product],MATCH(B1069,T_CleanCustomers[Customer_ID],0)),"Unmatched")</f>
        <v>Fleet Expense Card</v>
      </c>
      <c r="P1069" s="9" t="str">
        <f>IFERROR(INDEX(T_CleanCustomers[Customer_Segment],MATCH(B1069,T_CleanCustomers[Customer_ID],0)),"Unmatched")</f>
        <v>Enterprise</v>
      </c>
    </row>
    <row r="1070" spans="1:16" ht="15" customHeight="1" x14ac:dyDescent="0.2">
      <c r="A1070" s="9" t="s">
        <v>2411</v>
      </c>
      <c r="B1070" s="9" t="s">
        <v>1269</v>
      </c>
      <c r="C1070" s="9" t="b">
        <f>TRUE()</f>
        <v>1</v>
      </c>
      <c r="D1070" s="10">
        <v>45854</v>
      </c>
      <c r="E1070" s="10">
        <v>45839</v>
      </c>
      <c r="F1070" s="9" t="s">
        <v>1479</v>
      </c>
      <c r="G1070" s="11">
        <v>58641.14</v>
      </c>
      <c r="H1070" s="11">
        <v>1441.28</v>
      </c>
      <c r="I1070" s="9" t="b">
        <f>TRUE()</f>
        <v>1</v>
      </c>
      <c r="J1070" s="9" t="s">
        <v>1361</v>
      </c>
      <c r="K1070" s="11">
        <v>1441.28</v>
      </c>
      <c r="L1070" s="9" t="s">
        <v>20</v>
      </c>
      <c r="M1070" s="9" t="str">
        <f>IFERROR(INDEX(T_CleanCustomers[Sales_Rep_ID],MATCH(B1070,T_CleanCustomers[Customer_ID],0)),"Unmatched")</f>
        <v>REP001</v>
      </c>
      <c r="N1070" s="9" t="str">
        <f>IFERROR(INDEX(T_CleanCustomers[Channel],MATCH(B1070,T_CleanCustomers[Customer_ID],0)),"Unmatched")</f>
        <v>Referral</v>
      </c>
      <c r="O1070" s="9" t="str">
        <f>IFERROR(INDEX(T_CleanCustomers[Product],MATCH(B1070,T_CleanCustomers[Customer_ID],0)),"Unmatched")</f>
        <v>Fleet Expense Card</v>
      </c>
      <c r="P1070" s="9" t="str">
        <f>IFERROR(INDEX(T_CleanCustomers[Customer_Segment],MATCH(B1070,T_CleanCustomers[Customer_ID],0)),"Unmatched")</f>
        <v>Enterprise</v>
      </c>
    </row>
    <row r="1071" spans="1:16" ht="15" customHeight="1" x14ac:dyDescent="0.2">
      <c r="A1071" s="9" t="s">
        <v>2412</v>
      </c>
      <c r="B1071" s="9" t="s">
        <v>1269</v>
      </c>
      <c r="C1071" s="9" t="b">
        <f>TRUE()</f>
        <v>1</v>
      </c>
      <c r="D1071" s="10">
        <v>45844</v>
      </c>
      <c r="E1071" s="10">
        <v>45839</v>
      </c>
      <c r="F1071" s="9" t="s">
        <v>1481</v>
      </c>
      <c r="G1071" s="11">
        <v>36474.35</v>
      </c>
      <c r="H1071" s="11">
        <v>884.09</v>
      </c>
      <c r="I1071" s="9" t="b">
        <f>TRUE()</f>
        <v>1</v>
      </c>
      <c r="J1071" s="9" t="s">
        <v>1361</v>
      </c>
      <c r="K1071" s="11">
        <v>884.09</v>
      </c>
      <c r="L1071" s="9" t="s">
        <v>20</v>
      </c>
      <c r="M1071" s="9" t="str">
        <f>IFERROR(INDEX(T_CleanCustomers[Sales_Rep_ID],MATCH(B1071,T_CleanCustomers[Customer_ID],0)),"Unmatched")</f>
        <v>REP001</v>
      </c>
      <c r="N1071" s="9" t="str">
        <f>IFERROR(INDEX(T_CleanCustomers[Channel],MATCH(B1071,T_CleanCustomers[Customer_ID],0)),"Unmatched")</f>
        <v>Referral</v>
      </c>
      <c r="O1071" s="9" t="str">
        <f>IFERROR(INDEX(T_CleanCustomers[Product],MATCH(B1071,T_CleanCustomers[Customer_ID],0)),"Unmatched")</f>
        <v>Fleet Expense Card</v>
      </c>
      <c r="P1071" s="9" t="str">
        <f>IFERROR(INDEX(T_CleanCustomers[Customer_Segment],MATCH(B1071,T_CleanCustomers[Customer_ID],0)),"Unmatched")</f>
        <v>Enterprise</v>
      </c>
    </row>
    <row r="1072" spans="1:16" ht="15" customHeight="1" x14ac:dyDescent="0.2">
      <c r="A1072" s="9" t="s">
        <v>2413</v>
      </c>
      <c r="B1072" s="9" t="s">
        <v>1269</v>
      </c>
      <c r="C1072" s="9" t="b">
        <f>TRUE()</f>
        <v>1</v>
      </c>
      <c r="D1072" s="10">
        <v>45864</v>
      </c>
      <c r="E1072" s="10">
        <v>45839</v>
      </c>
      <c r="F1072" s="9" t="s">
        <v>1360</v>
      </c>
      <c r="G1072" s="11">
        <v>58892.3</v>
      </c>
      <c r="H1072" s="11">
        <v>1398.03</v>
      </c>
      <c r="I1072" s="9" t="b">
        <f>TRUE()</f>
        <v>1</v>
      </c>
      <c r="J1072" s="9" t="s">
        <v>1361</v>
      </c>
      <c r="K1072" s="11">
        <v>1398.03</v>
      </c>
      <c r="L1072" s="9" t="s">
        <v>20</v>
      </c>
      <c r="M1072" s="9" t="str">
        <f>IFERROR(INDEX(T_CleanCustomers[Sales_Rep_ID],MATCH(B1072,T_CleanCustomers[Customer_ID],0)),"Unmatched")</f>
        <v>REP001</v>
      </c>
      <c r="N1072" s="9" t="str">
        <f>IFERROR(INDEX(T_CleanCustomers[Channel],MATCH(B1072,T_CleanCustomers[Customer_ID],0)),"Unmatched")</f>
        <v>Referral</v>
      </c>
      <c r="O1072" s="9" t="str">
        <f>IFERROR(INDEX(T_CleanCustomers[Product],MATCH(B1072,T_CleanCustomers[Customer_ID],0)),"Unmatched")</f>
        <v>Fleet Expense Card</v>
      </c>
      <c r="P1072" s="9" t="str">
        <f>IFERROR(INDEX(T_CleanCustomers[Customer_Segment],MATCH(B1072,T_CleanCustomers[Customer_ID],0)),"Unmatched")</f>
        <v>Enterprise</v>
      </c>
    </row>
    <row r="1073" spans="1:16" ht="15" customHeight="1" x14ac:dyDescent="0.2">
      <c r="A1073" s="9" t="s">
        <v>2414</v>
      </c>
      <c r="B1073" s="9" t="s">
        <v>1269</v>
      </c>
      <c r="C1073" s="9" t="b">
        <f>TRUE()</f>
        <v>1</v>
      </c>
      <c r="D1073" s="10">
        <v>45895</v>
      </c>
      <c r="E1073" s="10">
        <v>45870</v>
      </c>
      <c r="F1073" s="9" t="s">
        <v>1360</v>
      </c>
      <c r="G1073" s="11">
        <v>48383.19</v>
      </c>
      <c r="H1073" s="11">
        <v>1186.7</v>
      </c>
      <c r="I1073" s="9" t="b">
        <f>TRUE()</f>
        <v>1</v>
      </c>
      <c r="J1073" s="9" t="s">
        <v>1361</v>
      </c>
      <c r="K1073" s="11">
        <v>1186.7</v>
      </c>
      <c r="L1073" s="9" t="s">
        <v>20</v>
      </c>
      <c r="M1073" s="9" t="str">
        <f>IFERROR(INDEX(T_CleanCustomers[Sales_Rep_ID],MATCH(B1073,T_CleanCustomers[Customer_ID],0)),"Unmatched")</f>
        <v>REP001</v>
      </c>
      <c r="N1073" s="9" t="str">
        <f>IFERROR(INDEX(T_CleanCustomers[Channel],MATCH(B1073,T_CleanCustomers[Customer_ID],0)),"Unmatched")</f>
        <v>Referral</v>
      </c>
      <c r="O1073" s="9" t="str">
        <f>IFERROR(INDEX(T_CleanCustomers[Product],MATCH(B1073,T_CleanCustomers[Customer_ID],0)),"Unmatched")</f>
        <v>Fleet Expense Card</v>
      </c>
      <c r="P1073" s="9" t="str">
        <f>IFERROR(INDEX(T_CleanCustomers[Customer_Segment],MATCH(B1073,T_CleanCustomers[Customer_ID],0)),"Unmatched")</f>
        <v>Enterprise</v>
      </c>
    </row>
    <row r="1074" spans="1:16" ht="15" customHeight="1" x14ac:dyDescent="0.2">
      <c r="A1074" s="9" t="s">
        <v>2415</v>
      </c>
      <c r="B1074" s="9" t="s">
        <v>1269</v>
      </c>
      <c r="C1074" s="9" t="b">
        <f>TRUE()</f>
        <v>1</v>
      </c>
      <c r="D1074" s="10">
        <v>45884</v>
      </c>
      <c r="E1074" s="10">
        <v>45870</v>
      </c>
      <c r="F1074" s="9" t="s">
        <v>1479</v>
      </c>
      <c r="G1074" s="11">
        <v>30777.29</v>
      </c>
      <c r="H1074" s="11">
        <v>710.08</v>
      </c>
      <c r="I1074" s="9" t="b">
        <f>TRUE()</f>
        <v>1</v>
      </c>
      <c r="J1074" s="9" t="s">
        <v>1361</v>
      </c>
      <c r="K1074" s="11">
        <v>710.08</v>
      </c>
      <c r="L1074" s="9" t="s">
        <v>20</v>
      </c>
      <c r="M1074" s="9" t="str">
        <f>IFERROR(INDEX(T_CleanCustomers[Sales_Rep_ID],MATCH(B1074,T_CleanCustomers[Customer_ID],0)),"Unmatched")</f>
        <v>REP001</v>
      </c>
      <c r="N1074" s="9" t="str">
        <f>IFERROR(INDEX(T_CleanCustomers[Channel],MATCH(B1074,T_CleanCustomers[Customer_ID],0)),"Unmatched")</f>
        <v>Referral</v>
      </c>
      <c r="O1074" s="9" t="str">
        <f>IFERROR(INDEX(T_CleanCustomers[Product],MATCH(B1074,T_CleanCustomers[Customer_ID],0)),"Unmatched")</f>
        <v>Fleet Expense Card</v>
      </c>
      <c r="P1074" s="9" t="str">
        <f>IFERROR(INDEX(T_CleanCustomers[Customer_Segment],MATCH(B1074,T_CleanCustomers[Customer_ID],0)),"Unmatched")</f>
        <v>Enterprise</v>
      </c>
    </row>
    <row r="1075" spans="1:16" ht="15" customHeight="1" x14ac:dyDescent="0.2">
      <c r="A1075" s="9" t="s">
        <v>2416</v>
      </c>
      <c r="B1075" s="9" t="s">
        <v>1269</v>
      </c>
      <c r="C1075" s="9" t="b">
        <f>TRUE()</f>
        <v>1</v>
      </c>
      <c r="D1075" s="10">
        <v>45908</v>
      </c>
      <c r="E1075" s="10">
        <v>45901</v>
      </c>
      <c r="F1075" s="9" t="s">
        <v>1360</v>
      </c>
      <c r="G1075" s="11">
        <v>32617.41</v>
      </c>
      <c r="H1075" s="11">
        <v>798.81</v>
      </c>
      <c r="I1075" s="9" t="b">
        <f>TRUE()</f>
        <v>1</v>
      </c>
      <c r="J1075" s="9" t="s">
        <v>1361</v>
      </c>
      <c r="K1075" s="11">
        <v>798.81</v>
      </c>
      <c r="L1075" s="9" t="s">
        <v>20</v>
      </c>
      <c r="M1075" s="9" t="str">
        <f>IFERROR(INDEX(T_CleanCustomers[Sales_Rep_ID],MATCH(B1075,T_CleanCustomers[Customer_ID],0)),"Unmatched")</f>
        <v>REP001</v>
      </c>
      <c r="N1075" s="9" t="str">
        <f>IFERROR(INDEX(T_CleanCustomers[Channel],MATCH(B1075,T_CleanCustomers[Customer_ID],0)),"Unmatched")</f>
        <v>Referral</v>
      </c>
      <c r="O1075" s="9" t="str">
        <f>IFERROR(INDEX(T_CleanCustomers[Product],MATCH(B1075,T_CleanCustomers[Customer_ID],0)),"Unmatched")</f>
        <v>Fleet Expense Card</v>
      </c>
      <c r="P1075" s="9" t="str">
        <f>IFERROR(INDEX(T_CleanCustomers[Customer_Segment],MATCH(B1075,T_CleanCustomers[Customer_ID],0)),"Unmatched")</f>
        <v>Enterprise</v>
      </c>
    </row>
    <row r="1076" spans="1:16" ht="15" customHeight="1" x14ac:dyDescent="0.2">
      <c r="A1076" s="9" t="s">
        <v>2417</v>
      </c>
      <c r="B1076" s="9" t="s">
        <v>1269</v>
      </c>
      <c r="C1076" s="9" t="b">
        <f>TRUE()</f>
        <v>1</v>
      </c>
      <c r="D1076" s="10">
        <v>45956</v>
      </c>
      <c r="E1076" s="10">
        <v>45931</v>
      </c>
      <c r="F1076" s="9" t="s">
        <v>1481</v>
      </c>
      <c r="G1076" s="11">
        <v>55369.04</v>
      </c>
      <c r="H1076" s="11">
        <v>1370.33</v>
      </c>
      <c r="I1076" s="9" t="b">
        <f>TRUE()</f>
        <v>1</v>
      </c>
      <c r="J1076" s="9" t="s">
        <v>1361</v>
      </c>
      <c r="K1076" s="11">
        <v>1370.33</v>
      </c>
      <c r="L1076" s="9" t="s">
        <v>20</v>
      </c>
      <c r="M1076" s="9" t="str">
        <f>IFERROR(INDEX(T_CleanCustomers[Sales_Rep_ID],MATCH(B1076,T_CleanCustomers[Customer_ID],0)),"Unmatched")</f>
        <v>REP001</v>
      </c>
      <c r="N1076" s="9" t="str">
        <f>IFERROR(INDEX(T_CleanCustomers[Channel],MATCH(B1076,T_CleanCustomers[Customer_ID],0)),"Unmatched")</f>
        <v>Referral</v>
      </c>
      <c r="O1076" s="9" t="str">
        <f>IFERROR(INDEX(T_CleanCustomers[Product],MATCH(B1076,T_CleanCustomers[Customer_ID],0)),"Unmatched")</f>
        <v>Fleet Expense Card</v>
      </c>
      <c r="P1076" s="9" t="str">
        <f>IFERROR(INDEX(T_CleanCustomers[Customer_Segment],MATCH(B1076,T_CleanCustomers[Customer_ID],0)),"Unmatched")</f>
        <v>Enterprise</v>
      </c>
    </row>
    <row r="1077" spans="1:16" ht="15" customHeight="1" x14ac:dyDescent="0.2">
      <c r="A1077" s="9" t="s">
        <v>2418</v>
      </c>
      <c r="B1077" s="9" t="s">
        <v>1269</v>
      </c>
      <c r="C1077" s="9" t="b">
        <f>TRUE()</f>
        <v>1</v>
      </c>
      <c r="D1077" s="10">
        <v>45935</v>
      </c>
      <c r="E1077" s="10">
        <v>45931</v>
      </c>
      <c r="F1077" s="9" t="s">
        <v>1481</v>
      </c>
      <c r="G1077" s="11">
        <v>26662.51</v>
      </c>
      <c r="H1077" s="11">
        <v>680.73</v>
      </c>
      <c r="I1077" s="9" t="b">
        <f>TRUE()</f>
        <v>1</v>
      </c>
      <c r="J1077" s="9" t="s">
        <v>1361</v>
      </c>
      <c r="K1077" s="11">
        <v>680.73</v>
      </c>
      <c r="L1077" s="9" t="s">
        <v>20</v>
      </c>
      <c r="M1077" s="9" t="str">
        <f>IFERROR(INDEX(T_CleanCustomers[Sales_Rep_ID],MATCH(B1077,T_CleanCustomers[Customer_ID],0)),"Unmatched")</f>
        <v>REP001</v>
      </c>
      <c r="N1077" s="9" t="str">
        <f>IFERROR(INDEX(T_CleanCustomers[Channel],MATCH(B1077,T_CleanCustomers[Customer_ID],0)),"Unmatched")</f>
        <v>Referral</v>
      </c>
      <c r="O1077" s="9" t="str">
        <f>IFERROR(INDEX(T_CleanCustomers[Product],MATCH(B1077,T_CleanCustomers[Customer_ID],0)),"Unmatched")</f>
        <v>Fleet Expense Card</v>
      </c>
      <c r="P1077" s="9" t="str">
        <f>IFERROR(INDEX(T_CleanCustomers[Customer_Segment],MATCH(B1077,T_CleanCustomers[Customer_ID],0)),"Unmatched")</f>
        <v>Enterprise</v>
      </c>
    </row>
    <row r="1078" spans="1:16" ht="15" customHeight="1" x14ac:dyDescent="0.2">
      <c r="A1078" s="9" t="s">
        <v>2419</v>
      </c>
      <c r="B1078" s="9" t="s">
        <v>1269</v>
      </c>
      <c r="C1078" s="9" t="b">
        <f>TRUE()</f>
        <v>1</v>
      </c>
      <c r="D1078" s="10">
        <v>45985</v>
      </c>
      <c r="E1078" s="10">
        <v>45962</v>
      </c>
      <c r="F1078" s="9" t="s">
        <v>1360</v>
      </c>
      <c r="G1078" s="11">
        <v>38482</v>
      </c>
      <c r="H1078" s="11">
        <v>1158.48</v>
      </c>
      <c r="I1078" s="9" t="b">
        <f>TRUE()</f>
        <v>1</v>
      </c>
      <c r="J1078" s="9" t="s">
        <v>1361</v>
      </c>
      <c r="K1078" s="11">
        <v>1158.48</v>
      </c>
      <c r="L1078" s="9" t="s">
        <v>20</v>
      </c>
      <c r="M1078" s="9" t="str">
        <f>IFERROR(INDEX(T_CleanCustomers[Sales_Rep_ID],MATCH(B1078,T_CleanCustomers[Customer_ID],0)),"Unmatched")</f>
        <v>REP001</v>
      </c>
      <c r="N1078" s="9" t="str">
        <f>IFERROR(INDEX(T_CleanCustomers[Channel],MATCH(B1078,T_CleanCustomers[Customer_ID],0)),"Unmatched")</f>
        <v>Referral</v>
      </c>
      <c r="O1078" s="9" t="str">
        <f>IFERROR(INDEX(T_CleanCustomers[Product],MATCH(B1078,T_CleanCustomers[Customer_ID],0)),"Unmatched")</f>
        <v>Fleet Expense Card</v>
      </c>
      <c r="P1078" s="9" t="str">
        <f>IFERROR(INDEX(T_CleanCustomers[Customer_Segment],MATCH(B1078,T_CleanCustomers[Customer_ID],0)),"Unmatched")</f>
        <v>Enterprise</v>
      </c>
    </row>
    <row r="1079" spans="1:16" ht="15" customHeight="1" x14ac:dyDescent="0.2">
      <c r="A1079" s="9" t="s">
        <v>2420</v>
      </c>
      <c r="B1079" s="9" t="s">
        <v>1269</v>
      </c>
      <c r="C1079" s="9" t="b">
        <f>TRUE()</f>
        <v>1</v>
      </c>
      <c r="D1079" s="10">
        <v>45967</v>
      </c>
      <c r="E1079" s="10">
        <v>45962</v>
      </c>
      <c r="F1079" s="9" t="s">
        <v>1360</v>
      </c>
      <c r="G1079" s="11">
        <v>17535.62</v>
      </c>
      <c r="H1079" s="11">
        <v>457.94</v>
      </c>
      <c r="I1079" s="9" t="b">
        <f>TRUE()</f>
        <v>1</v>
      </c>
      <c r="J1079" s="9" t="s">
        <v>1361</v>
      </c>
      <c r="K1079" s="11">
        <v>457.94</v>
      </c>
      <c r="L1079" s="9" t="s">
        <v>20</v>
      </c>
      <c r="M1079" s="9" t="str">
        <f>IFERROR(INDEX(T_CleanCustomers[Sales_Rep_ID],MATCH(B1079,T_CleanCustomers[Customer_ID],0)),"Unmatched")</f>
        <v>REP001</v>
      </c>
      <c r="N1079" s="9" t="str">
        <f>IFERROR(INDEX(T_CleanCustomers[Channel],MATCH(B1079,T_CleanCustomers[Customer_ID],0)),"Unmatched")</f>
        <v>Referral</v>
      </c>
      <c r="O1079" s="9" t="str">
        <f>IFERROR(INDEX(T_CleanCustomers[Product],MATCH(B1079,T_CleanCustomers[Customer_ID],0)),"Unmatched")</f>
        <v>Fleet Expense Card</v>
      </c>
      <c r="P1079" s="9" t="str">
        <f>IFERROR(INDEX(T_CleanCustomers[Customer_Segment],MATCH(B1079,T_CleanCustomers[Customer_ID],0)),"Unmatched")</f>
        <v>Enterprise</v>
      </c>
    </row>
    <row r="1080" spans="1:16" ht="15" customHeight="1" x14ac:dyDescent="0.2">
      <c r="A1080" s="9" t="s">
        <v>2421</v>
      </c>
      <c r="B1080" s="9" t="s">
        <v>1269</v>
      </c>
      <c r="C1080" s="9" t="b">
        <f>TRUE()</f>
        <v>1</v>
      </c>
      <c r="D1080" s="10">
        <v>45965</v>
      </c>
      <c r="E1080" s="10">
        <v>45962</v>
      </c>
      <c r="F1080" s="9" t="s">
        <v>1360</v>
      </c>
      <c r="G1080" s="11">
        <v>37513.17</v>
      </c>
      <c r="H1080" s="11">
        <v>913.63</v>
      </c>
      <c r="I1080" s="9" t="b">
        <f>TRUE()</f>
        <v>1</v>
      </c>
      <c r="J1080" s="9" t="s">
        <v>1361</v>
      </c>
      <c r="K1080" s="11">
        <v>913.63</v>
      </c>
      <c r="L1080" s="9" t="s">
        <v>20</v>
      </c>
      <c r="M1080" s="9" t="str">
        <f>IFERROR(INDEX(T_CleanCustomers[Sales_Rep_ID],MATCH(B1080,T_CleanCustomers[Customer_ID],0)),"Unmatched")</f>
        <v>REP001</v>
      </c>
      <c r="N1080" s="9" t="str">
        <f>IFERROR(INDEX(T_CleanCustomers[Channel],MATCH(B1080,T_CleanCustomers[Customer_ID],0)),"Unmatched")</f>
        <v>Referral</v>
      </c>
      <c r="O1080" s="9" t="str">
        <f>IFERROR(INDEX(T_CleanCustomers[Product],MATCH(B1080,T_CleanCustomers[Customer_ID],0)),"Unmatched")</f>
        <v>Fleet Expense Card</v>
      </c>
      <c r="P1080" s="9" t="str">
        <f>IFERROR(INDEX(T_CleanCustomers[Customer_Segment],MATCH(B1080,T_CleanCustomers[Customer_ID],0)),"Unmatched")</f>
        <v>Enterprise</v>
      </c>
    </row>
    <row r="1081" spans="1:16" ht="15" customHeight="1" x14ac:dyDescent="0.2">
      <c r="A1081" s="9" t="s">
        <v>2422</v>
      </c>
      <c r="B1081" s="9" t="s">
        <v>1269</v>
      </c>
      <c r="C1081" s="9" t="b">
        <f>TRUE()</f>
        <v>1</v>
      </c>
      <c r="D1081" s="10">
        <v>46012</v>
      </c>
      <c r="E1081" s="10">
        <v>45992</v>
      </c>
      <c r="F1081" s="9" t="s">
        <v>1481</v>
      </c>
      <c r="G1081" s="11">
        <v>18495.919999999998</v>
      </c>
      <c r="H1081" s="11">
        <v>438.39</v>
      </c>
      <c r="I1081" s="9" t="b">
        <f>TRUE()</f>
        <v>1</v>
      </c>
      <c r="J1081" s="9" t="s">
        <v>1361</v>
      </c>
      <c r="K1081" s="11">
        <v>438.39</v>
      </c>
      <c r="L1081" s="9" t="s">
        <v>20</v>
      </c>
      <c r="M1081" s="9" t="str">
        <f>IFERROR(INDEX(T_CleanCustomers[Sales_Rep_ID],MATCH(B1081,T_CleanCustomers[Customer_ID],0)),"Unmatched")</f>
        <v>REP001</v>
      </c>
      <c r="N1081" s="9" t="str">
        <f>IFERROR(INDEX(T_CleanCustomers[Channel],MATCH(B1081,T_CleanCustomers[Customer_ID],0)),"Unmatched")</f>
        <v>Referral</v>
      </c>
      <c r="O1081" s="9" t="str">
        <f>IFERROR(INDEX(T_CleanCustomers[Product],MATCH(B1081,T_CleanCustomers[Customer_ID],0)),"Unmatched")</f>
        <v>Fleet Expense Card</v>
      </c>
      <c r="P1081" s="9" t="str">
        <f>IFERROR(INDEX(T_CleanCustomers[Customer_Segment],MATCH(B1081,T_CleanCustomers[Customer_ID],0)),"Unmatched")</f>
        <v>Enterprise</v>
      </c>
    </row>
    <row r="1082" spans="1:16" ht="15" customHeight="1" x14ac:dyDescent="0.2">
      <c r="A1082" s="9" t="s">
        <v>2423</v>
      </c>
      <c r="B1082" s="9" t="s">
        <v>1269</v>
      </c>
      <c r="C1082" s="9" t="b">
        <f>TRUE()</f>
        <v>1</v>
      </c>
      <c r="D1082" s="10">
        <v>46001</v>
      </c>
      <c r="E1082" s="10">
        <v>45992</v>
      </c>
      <c r="F1082" s="9" t="s">
        <v>1479</v>
      </c>
      <c r="G1082" s="11">
        <v>33033.65</v>
      </c>
      <c r="H1082" s="11">
        <v>782.37</v>
      </c>
      <c r="I1082" s="9" t="b">
        <f>TRUE()</f>
        <v>1</v>
      </c>
      <c r="J1082" s="9" t="s">
        <v>1361</v>
      </c>
      <c r="K1082" s="11">
        <v>782.37</v>
      </c>
      <c r="L1082" s="9" t="s">
        <v>20</v>
      </c>
      <c r="M1082" s="9" t="str">
        <f>IFERROR(INDEX(T_CleanCustomers[Sales_Rep_ID],MATCH(B1082,T_CleanCustomers[Customer_ID],0)),"Unmatched")</f>
        <v>REP001</v>
      </c>
      <c r="N1082" s="9" t="str">
        <f>IFERROR(INDEX(T_CleanCustomers[Channel],MATCH(B1082,T_CleanCustomers[Customer_ID],0)),"Unmatched")</f>
        <v>Referral</v>
      </c>
      <c r="O1082" s="9" t="str">
        <f>IFERROR(INDEX(T_CleanCustomers[Product],MATCH(B1082,T_CleanCustomers[Customer_ID],0)),"Unmatched")</f>
        <v>Fleet Expense Card</v>
      </c>
      <c r="P1082" s="9" t="str">
        <f>IFERROR(INDEX(T_CleanCustomers[Customer_Segment],MATCH(B1082,T_CleanCustomers[Customer_ID],0)),"Unmatched")</f>
        <v>Enterprise</v>
      </c>
    </row>
    <row r="1083" spans="1:16" ht="15" customHeight="1" x14ac:dyDescent="0.2">
      <c r="A1083" s="9" t="s">
        <v>2424</v>
      </c>
      <c r="B1083" s="9" t="s">
        <v>1269</v>
      </c>
      <c r="C1083" s="9" t="b">
        <f>TRUE()</f>
        <v>1</v>
      </c>
      <c r="D1083" s="10">
        <v>45996</v>
      </c>
      <c r="E1083" s="10">
        <v>45992</v>
      </c>
      <c r="F1083" s="9" t="s">
        <v>1360</v>
      </c>
      <c r="G1083" s="11">
        <v>37898.769999999997</v>
      </c>
      <c r="H1083" s="11">
        <v>870.51</v>
      </c>
      <c r="I1083" s="9" t="b">
        <f>TRUE()</f>
        <v>1</v>
      </c>
      <c r="J1083" s="9" t="s">
        <v>1361</v>
      </c>
      <c r="K1083" s="11">
        <v>870.51</v>
      </c>
      <c r="L1083" s="9" t="s">
        <v>20</v>
      </c>
      <c r="M1083" s="9" t="str">
        <f>IFERROR(INDEX(T_CleanCustomers[Sales_Rep_ID],MATCH(B1083,T_CleanCustomers[Customer_ID],0)),"Unmatched")</f>
        <v>REP001</v>
      </c>
      <c r="N1083" s="9" t="str">
        <f>IFERROR(INDEX(T_CleanCustomers[Channel],MATCH(B1083,T_CleanCustomers[Customer_ID],0)),"Unmatched")</f>
        <v>Referral</v>
      </c>
      <c r="O1083" s="9" t="str">
        <f>IFERROR(INDEX(T_CleanCustomers[Product],MATCH(B1083,T_CleanCustomers[Customer_ID],0)),"Unmatched")</f>
        <v>Fleet Expense Card</v>
      </c>
      <c r="P1083" s="9" t="str">
        <f>IFERROR(INDEX(T_CleanCustomers[Customer_Segment],MATCH(B1083,T_CleanCustomers[Customer_ID],0)),"Unmatched")</f>
        <v>Enterprise</v>
      </c>
    </row>
    <row r="1084" spans="1:16" ht="15" customHeight="1" x14ac:dyDescent="0.2">
      <c r="A1084" s="9" t="s">
        <v>2425</v>
      </c>
      <c r="B1084" s="9" t="s">
        <v>1270</v>
      </c>
      <c r="C1084" s="9" t="b">
        <f>TRUE()</f>
        <v>1</v>
      </c>
      <c r="D1084" s="10">
        <v>45799</v>
      </c>
      <c r="E1084" s="10">
        <v>45778</v>
      </c>
      <c r="F1084" s="9" t="s">
        <v>1423</v>
      </c>
      <c r="G1084" s="11">
        <v>23813.65</v>
      </c>
      <c r="H1084" s="11">
        <v>818.84</v>
      </c>
      <c r="I1084" s="9" t="b">
        <f>TRUE()</f>
        <v>1</v>
      </c>
      <c r="J1084" s="9" t="s">
        <v>1361</v>
      </c>
      <c r="K1084" s="11">
        <v>818.84</v>
      </c>
      <c r="L1084" s="9" t="s">
        <v>19</v>
      </c>
      <c r="M1084" s="9" t="str">
        <f>IFERROR(INDEX(T_CleanCustomers[Sales_Rep_ID],MATCH(B1084,T_CleanCustomers[Customer_ID],0)),"Unmatched")</f>
        <v>REP015</v>
      </c>
      <c r="N1084" s="9" t="str">
        <f>IFERROR(INDEX(T_CleanCustomers[Channel],MATCH(B1084,T_CleanCustomers[Customer_ID],0)),"Unmatched")</f>
        <v>Partner</v>
      </c>
      <c r="O1084" s="9" t="str">
        <f>IFERROR(INDEX(T_CleanCustomers[Product],MATCH(B1084,T_CleanCustomers[Customer_ID],0)),"Unmatched")</f>
        <v>EV Charge Card</v>
      </c>
      <c r="P1084" s="9" t="str">
        <f>IFERROR(INDEX(T_CleanCustomers[Customer_Segment],MATCH(B1084,T_CleanCustomers[Customer_ID],0)),"Unmatched")</f>
        <v>Enterprise</v>
      </c>
    </row>
    <row r="1085" spans="1:16" ht="15" customHeight="1" x14ac:dyDescent="0.2">
      <c r="A1085" s="9" t="s">
        <v>2426</v>
      </c>
      <c r="B1085" s="9" t="s">
        <v>1270</v>
      </c>
      <c r="C1085" s="9" t="b">
        <f>TRUE()</f>
        <v>1</v>
      </c>
      <c r="D1085" s="10">
        <v>45818</v>
      </c>
      <c r="E1085" s="10">
        <v>45809</v>
      </c>
      <c r="F1085" s="9" t="s">
        <v>1423</v>
      </c>
      <c r="G1085" s="11">
        <v>23392.22</v>
      </c>
      <c r="H1085" s="11">
        <v>640.30999999999995</v>
      </c>
      <c r="I1085" s="9" t="b">
        <f>TRUE()</f>
        <v>1</v>
      </c>
      <c r="J1085" s="9" t="s">
        <v>1361</v>
      </c>
      <c r="K1085" s="11">
        <v>640.30999999999995</v>
      </c>
      <c r="L1085" s="9" t="s">
        <v>19</v>
      </c>
      <c r="M1085" s="9" t="str">
        <f>IFERROR(INDEX(T_CleanCustomers[Sales_Rep_ID],MATCH(B1085,T_CleanCustomers[Customer_ID],0)),"Unmatched")</f>
        <v>REP015</v>
      </c>
      <c r="N1085" s="9" t="str">
        <f>IFERROR(INDEX(T_CleanCustomers[Channel],MATCH(B1085,T_CleanCustomers[Customer_ID],0)),"Unmatched")</f>
        <v>Partner</v>
      </c>
      <c r="O1085" s="9" t="str">
        <f>IFERROR(INDEX(T_CleanCustomers[Product],MATCH(B1085,T_CleanCustomers[Customer_ID],0)),"Unmatched")</f>
        <v>EV Charge Card</v>
      </c>
      <c r="P1085" s="9" t="str">
        <f>IFERROR(INDEX(T_CleanCustomers[Customer_Segment],MATCH(B1085,T_CleanCustomers[Customer_ID],0)),"Unmatched")</f>
        <v>Enterprise</v>
      </c>
    </row>
    <row r="1086" spans="1:16" ht="15" customHeight="1" x14ac:dyDescent="0.2">
      <c r="A1086" s="9" t="s">
        <v>2427</v>
      </c>
      <c r="B1086" s="9" t="s">
        <v>1270</v>
      </c>
      <c r="C1086" s="9" t="b">
        <f>TRUE()</f>
        <v>1</v>
      </c>
      <c r="D1086" s="10">
        <v>45853</v>
      </c>
      <c r="E1086" s="10">
        <v>45839</v>
      </c>
      <c r="F1086" s="9" t="s">
        <v>1423</v>
      </c>
      <c r="G1086" s="11">
        <v>53195.26</v>
      </c>
      <c r="H1086" s="11">
        <v>1530.98</v>
      </c>
      <c r="I1086" s="9" t="b">
        <f>TRUE()</f>
        <v>1</v>
      </c>
      <c r="J1086" s="9" t="s">
        <v>1361</v>
      </c>
      <c r="K1086" s="11">
        <v>1530.98</v>
      </c>
      <c r="L1086" s="9" t="s">
        <v>19</v>
      </c>
      <c r="M1086" s="9" t="str">
        <f>IFERROR(INDEX(T_CleanCustomers[Sales_Rep_ID],MATCH(B1086,T_CleanCustomers[Customer_ID],0)),"Unmatched")</f>
        <v>REP015</v>
      </c>
      <c r="N1086" s="9" t="str">
        <f>IFERROR(INDEX(T_CleanCustomers[Channel],MATCH(B1086,T_CleanCustomers[Customer_ID],0)),"Unmatched")</f>
        <v>Partner</v>
      </c>
      <c r="O1086" s="9" t="str">
        <f>IFERROR(INDEX(T_CleanCustomers[Product],MATCH(B1086,T_CleanCustomers[Customer_ID],0)),"Unmatched")</f>
        <v>EV Charge Card</v>
      </c>
      <c r="P1086" s="9" t="str">
        <f>IFERROR(INDEX(T_CleanCustomers[Customer_Segment],MATCH(B1086,T_CleanCustomers[Customer_ID],0)),"Unmatched")</f>
        <v>Enterprise</v>
      </c>
    </row>
    <row r="1087" spans="1:16" ht="15" customHeight="1" x14ac:dyDescent="0.2">
      <c r="A1087" s="9" t="s">
        <v>2428</v>
      </c>
      <c r="B1087" s="9" t="s">
        <v>1270</v>
      </c>
      <c r="C1087" s="9" t="b">
        <f>TRUE()</f>
        <v>1</v>
      </c>
      <c r="D1087" s="10">
        <v>45880</v>
      </c>
      <c r="E1087" s="10">
        <v>45870</v>
      </c>
      <c r="F1087" s="9" t="s">
        <v>1423</v>
      </c>
      <c r="G1087" s="11">
        <v>20116.689999999999</v>
      </c>
      <c r="H1087" s="11">
        <v>582.32000000000005</v>
      </c>
      <c r="I1087" s="9" t="b">
        <f>TRUE()</f>
        <v>1</v>
      </c>
      <c r="J1087" s="9" t="s">
        <v>1361</v>
      </c>
      <c r="K1087" s="11">
        <v>582.32000000000005</v>
      </c>
      <c r="L1087" s="9" t="s">
        <v>19</v>
      </c>
      <c r="M1087" s="9" t="str">
        <f>IFERROR(INDEX(T_CleanCustomers[Sales_Rep_ID],MATCH(B1087,T_CleanCustomers[Customer_ID],0)),"Unmatched")</f>
        <v>REP015</v>
      </c>
      <c r="N1087" s="9" t="str">
        <f>IFERROR(INDEX(T_CleanCustomers[Channel],MATCH(B1087,T_CleanCustomers[Customer_ID],0)),"Unmatched")</f>
        <v>Partner</v>
      </c>
      <c r="O1087" s="9" t="str">
        <f>IFERROR(INDEX(T_CleanCustomers[Product],MATCH(B1087,T_CleanCustomers[Customer_ID],0)),"Unmatched")</f>
        <v>EV Charge Card</v>
      </c>
      <c r="P1087" s="9" t="str">
        <f>IFERROR(INDEX(T_CleanCustomers[Customer_Segment],MATCH(B1087,T_CleanCustomers[Customer_ID],0)),"Unmatched")</f>
        <v>Enterprise</v>
      </c>
    </row>
    <row r="1088" spans="1:16" ht="15" customHeight="1" x14ac:dyDescent="0.2">
      <c r="A1088" s="9" t="s">
        <v>2429</v>
      </c>
      <c r="B1088" s="9" t="s">
        <v>1270</v>
      </c>
      <c r="C1088" s="9" t="b">
        <f>TRUE()</f>
        <v>1</v>
      </c>
      <c r="D1088" s="10">
        <v>45895</v>
      </c>
      <c r="E1088" s="10">
        <v>45870</v>
      </c>
      <c r="F1088" s="9" t="s">
        <v>1423</v>
      </c>
      <c r="G1088" s="11">
        <v>52599</v>
      </c>
      <c r="H1088" s="11">
        <v>1741.21</v>
      </c>
      <c r="I1088" s="9" t="b">
        <f>TRUE()</f>
        <v>1</v>
      </c>
      <c r="J1088" s="9" t="s">
        <v>1361</v>
      </c>
      <c r="K1088" s="11">
        <v>1741.21</v>
      </c>
      <c r="L1088" s="9" t="s">
        <v>19</v>
      </c>
      <c r="M1088" s="9" t="str">
        <f>IFERROR(INDEX(T_CleanCustomers[Sales_Rep_ID],MATCH(B1088,T_CleanCustomers[Customer_ID],0)),"Unmatched")</f>
        <v>REP015</v>
      </c>
      <c r="N1088" s="9" t="str">
        <f>IFERROR(INDEX(T_CleanCustomers[Channel],MATCH(B1088,T_CleanCustomers[Customer_ID],0)),"Unmatched")</f>
        <v>Partner</v>
      </c>
      <c r="O1088" s="9" t="str">
        <f>IFERROR(INDEX(T_CleanCustomers[Product],MATCH(B1088,T_CleanCustomers[Customer_ID],0)),"Unmatched")</f>
        <v>EV Charge Card</v>
      </c>
      <c r="P1088" s="9" t="str">
        <f>IFERROR(INDEX(T_CleanCustomers[Customer_Segment],MATCH(B1088,T_CleanCustomers[Customer_ID],0)),"Unmatched")</f>
        <v>Enterprise</v>
      </c>
    </row>
    <row r="1089" spans="1:16" ht="15" customHeight="1" x14ac:dyDescent="0.2">
      <c r="A1089" s="9" t="s">
        <v>2430</v>
      </c>
      <c r="B1089" s="9" t="s">
        <v>1270</v>
      </c>
      <c r="C1089" s="9" t="b">
        <f>TRUE()</f>
        <v>1</v>
      </c>
      <c r="D1089" s="10">
        <v>45889</v>
      </c>
      <c r="E1089" s="10">
        <v>45870</v>
      </c>
      <c r="F1089" s="9" t="s">
        <v>1423</v>
      </c>
      <c r="G1089" s="11">
        <v>33135.49</v>
      </c>
      <c r="H1089" s="11">
        <v>975.28</v>
      </c>
      <c r="I1089" s="9" t="b">
        <f>TRUE()</f>
        <v>1</v>
      </c>
      <c r="J1089" s="9" t="s">
        <v>1361</v>
      </c>
      <c r="K1089" s="11">
        <v>975.28</v>
      </c>
      <c r="L1089" s="9" t="s">
        <v>19</v>
      </c>
      <c r="M1089" s="9" t="str">
        <f>IFERROR(INDEX(T_CleanCustomers[Sales_Rep_ID],MATCH(B1089,T_CleanCustomers[Customer_ID],0)),"Unmatched")</f>
        <v>REP015</v>
      </c>
      <c r="N1089" s="9" t="str">
        <f>IFERROR(INDEX(T_CleanCustomers[Channel],MATCH(B1089,T_CleanCustomers[Customer_ID],0)),"Unmatched")</f>
        <v>Partner</v>
      </c>
      <c r="O1089" s="9" t="str">
        <f>IFERROR(INDEX(T_CleanCustomers[Product],MATCH(B1089,T_CleanCustomers[Customer_ID],0)),"Unmatched")</f>
        <v>EV Charge Card</v>
      </c>
      <c r="P1089" s="9" t="str">
        <f>IFERROR(INDEX(T_CleanCustomers[Customer_Segment],MATCH(B1089,T_CleanCustomers[Customer_ID],0)),"Unmatched")</f>
        <v>Enterprise</v>
      </c>
    </row>
    <row r="1090" spans="1:16" ht="15" customHeight="1" x14ac:dyDescent="0.2">
      <c r="A1090" s="9" t="s">
        <v>2431</v>
      </c>
      <c r="B1090" s="9" t="s">
        <v>1270</v>
      </c>
      <c r="C1090" s="9" t="b">
        <f>TRUE()</f>
        <v>1</v>
      </c>
      <c r="D1090" s="10">
        <v>45906</v>
      </c>
      <c r="E1090" s="10">
        <v>45901</v>
      </c>
      <c r="F1090" s="9" t="s">
        <v>1423</v>
      </c>
      <c r="G1090" s="11">
        <v>41244.959999999999</v>
      </c>
      <c r="H1090" s="11">
        <v>1184.1300000000001</v>
      </c>
      <c r="I1090" s="9" t="b">
        <f>TRUE()</f>
        <v>1</v>
      </c>
      <c r="J1090" s="9" t="s">
        <v>1361</v>
      </c>
      <c r="K1090" s="11">
        <v>1184.1300000000001</v>
      </c>
      <c r="L1090" s="9" t="s">
        <v>19</v>
      </c>
      <c r="M1090" s="9" t="str">
        <f>IFERROR(INDEX(T_CleanCustomers[Sales_Rep_ID],MATCH(B1090,T_CleanCustomers[Customer_ID],0)),"Unmatched")</f>
        <v>REP015</v>
      </c>
      <c r="N1090" s="9" t="str">
        <f>IFERROR(INDEX(T_CleanCustomers[Channel],MATCH(B1090,T_CleanCustomers[Customer_ID],0)),"Unmatched")</f>
        <v>Partner</v>
      </c>
      <c r="O1090" s="9" t="str">
        <f>IFERROR(INDEX(T_CleanCustomers[Product],MATCH(B1090,T_CleanCustomers[Customer_ID],0)),"Unmatched")</f>
        <v>EV Charge Card</v>
      </c>
      <c r="P1090" s="9" t="str">
        <f>IFERROR(INDEX(T_CleanCustomers[Customer_Segment],MATCH(B1090,T_CleanCustomers[Customer_ID],0)),"Unmatched")</f>
        <v>Enterprise</v>
      </c>
    </row>
    <row r="1091" spans="1:16" ht="15" customHeight="1" x14ac:dyDescent="0.2">
      <c r="A1091" s="9" t="s">
        <v>2432</v>
      </c>
      <c r="B1091" s="9" t="s">
        <v>1270</v>
      </c>
      <c r="C1091" s="9" t="b">
        <f>TRUE()</f>
        <v>1</v>
      </c>
      <c r="D1091" s="10">
        <v>45910</v>
      </c>
      <c r="E1091" s="10">
        <v>45901</v>
      </c>
      <c r="F1091" s="9" t="s">
        <v>1423</v>
      </c>
      <c r="G1091" s="11">
        <v>41620.85</v>
      </c>
      <c r="H1091" s="11">
        <v>1121.82</v>
      </c>
      <c r="I1091" s="9" t="b">
        <f>TRUE()</f>
        <v>1</v>
      </c>
      <c r="J1091" s="9" t="s">
        <v>1361</v>
      </c>
      <c r="K1091" s="11">
        <v>1121.82</v>
      </c>
      <c r="L1091" s="9" t="s">
        <v>19</v>
      </c>
      <c r="M1091" s="9" t="str">
        <f>IFERROR(INDEX(T_CleanCustomers[Sales_Rep_ID],MATCH(B1091,T_CleanCustomers[Customer_ID],0)),"Unmatched")</f>
        <v>REP015</v>
      </c>
      <c r="N1091" s="9" t="str">
        <f>IFERROR(INDEX(T_CleanCustomers[Channel],MATCH(B1091,T_CleanCustomers[Customer_ID],0)),"Unmatched")</f>
        <v>Partner</v>
      </c>
      <c r="O1091" s="9" t="str">
        <f>IFERROR(INDEX(T_CleanCustomers[Product],MATCH(B1091,T_CleanCustomers[Customer_ID],0)),"Unmatched")</f>
        <v>EV Charge Card</v>
      </c>
      <c r="P1091" s="9" t="str">
        <f>IFERROR(INDEX(T_CleanCustomers[Customer_Segment],MATCH(B1091,T_CleanCustomers[Customer_ID],0)),"Unmatched")</f>
        <v>Enterprise</v>
      </c>
    </row>
    <row r="1092" spans="1:16" ht="15" customHeight="1" x14ac:dyDescent="0.2">
      <c r="A1092" s="9" t="s">
        <v>2433</v>
      </c>
      <c r="B1092" s="9" t="s">
        <v>1270</v>
      </c>
      <c r="C1092" s="9" t="b">
        <f>TRUE()</f>
        <v>1</v>
      </c>
      <c r="D1092" s="10">
        <v>45918</v>
      </c>
      <c r="E1092" s="10">
        <v>45901</v>
      </c>
      <c r="F1092" s="9" t="s">
        <v>1423</v>
      </c>
      <c r="G1092" s="11">
        <v>32166.05</v>
      </c>
      <c r="H1092" s="11">
        <v>0</v>
      </c>
      <c r="I1092" s="9" t="b">
        <f>TRUE()</f>
        <v>1</v>
      </c>
      <c r="J1092" s="9" t="s">
        <v>1408</v>
      </c>
      <c r="K1092" s="11">
        <v>0</v>
      </c>
      <c r="L1092" s="9" t="s">
        <v>19</v>
      </c>
      <c r="M1092" s="9" t="str">
        <f>IFERROR(INDEX(T_CleanCustomers[Sales_Rep_ID],MATCH(B1092,T_CleanCustomers[Customer_ID],0)),"Unmatched")</f>
        <v>REP015</v>
      </c>
      <c r="N1092" s="9" t="str">
        <f>IFERROR(INDEX(T_CleanCustomers[Channel],MATCH(B1092,T_CleanCustomers[Customer_ID],0)),"Unmatched")</f>
        <v>Partner</v>
      </c>
      <c r="O1092" s="9" t="str">
        <f>IFERROR(INDEX(T_CleanCustomers[Product],MATCH(B1092,T_CleanCustomers[Customer_ID],0)),"Unmatched")</f>
        <v>EV Charge Card</v>
      </c>
      <c r="P1092" s="9" t="str">
        <f>IFERROR(INDEX(T_CleanCustomers[Customer_Segment],MATCH(B1092,T_CleanCustomers[Customer_ID],0)),"Unmatched")</f>
        <v>Enterprise</v>
      </c>
    </row>
    <row r="1093" spans="1:16" ht="15" customHeight="1" x14ac:dyDescent="0.2">
      <c r="A1093" s="9" t="s">
        <v>2434</v>
      </c>
      <c r="B1093" s="9" t="s">
        <v>1270</v>
      </c>
      <c r="C1093" s="9" t="b">
        <f>TRUE()</f>
        <v>1</v>
      </c>
      <c r="D1093" s="10">
        <v>45948</v>
      </c>
      <c r="E1093" s="10">
        <v>45931</v>
      </c>
      <c r="F1093" s="9" t="s">
        <v>1423</v>
      </c>
      <c r="G1093" s="11">
        <v>35501.42</v>
      </c>
      <c r="H1093" s="11">
        <v>1135.6199999999999</v>
      </c>
      <c r="I1093" s="9" t="b">
        <f>TRUE()</f>
        <v>1</v>
      </c>
      <c r="J1093" s="9" t="s">
        <v>1361</v>
      </c>
      <c r="K1093" s="11">
        <v>1135.6199999999999</v>
      </c>
      <c r="L1093" s="9" t="s">
        <v>19</v>
      </c>
      <c r="M1093" s="9" t="str">
        <f>IFERROR(INDEX(T_CleanCustomers[Sales_Rep_ID],MATCH(B1093,T_CleanCustomers[Customer_ID],0)),"Unmatched")</f>
        <v>REP015</v>
      </c>
      <c r="N1093" s="9" t="str">
        <f>IFERROR(INDEX(T_CleanCustomers[Channel],MATCH(B1093,T_CleanCustomers[Customer_ID],0)),"Unmatched")</f>
        <v>Partner</v>
      </c>
      <c r="O1093" s="9" t="str">
        <f>IFERROR(INDEX(T_CleanCustomers[Product],MATCH(B1093,T_CleanCustomers[Customer_ID],0)),"Unmatched")</f>
        <v>EV Charge Card</v>
      </c>
      <c r="P1093" s="9" t="str">
        <f>IFERROR(INDEX(T_CleanCustomers[Customer_Segment],MATCH(B1093,T_CleanCustomers[Customer_ID],0)),"Unmatched")</f>
        <v>Enterprise</v>
      </c>
    </row>
    <row r="1094" spans="1:16" ht="15" customHeight="1" x14ac:dyDescent="0.2">
      <c r="A1094" s="9" t="s">
        <v>2435</v>
      </c>
      <c r="B1094" s="9" t="s">
        <v>1270</v>
      </c>
      <c r="C1094" s="9" t="b">
        <f>TRUE()</f>
        <v>1</v>
      </c>
      <c r="D1094" s="10">
        <v>45980</v>
      </c>
      <c r="E1094" s="10">
        <v>45962</v>
      </c>
      <c r="F1094" s="9" t="s">
        <v>1423</v>
      </c>
      <c r="G1094" s="11">
        <v>56182.61</v>
      </c>
      <c r="H1094" s="11">
        <v>1972.18</v>
      </c>
      <c r="I1094" s="9" t="b">
        <f>TRUE()</f>
        <v>1</v>
      </c>
      <c r="J1094" s="9" t="s">
        <v>1361</v>
      </c>
      <c r="K1094" s="11">
        <v>1972.18</v>
      </c>
      <c r="L1094" s="9" t="s">
        <v>19</v>
      </c>
      <c r="M1094" s="9" t="str">
        <f>IFERROR(INDEX(T_CleanCustomers[Sales_Rep_ID],MATCH(B1094,T_CleanCustomers[Customer_ID],0)),"Unmatched")</f>
        <v>REP015</v>
      </c>
      <c r="N1094" s="9" t="str">
        <f>IFERROR(INDEX(T_CleanCustomers[Channel],MATCH(B1094,T_CleanCustomers[Customer_ID],0)),"Unmatched")</f>
        <v>Partner</v>
      </c>
      <c r="O1094" s="9" t="str">
        <f>IFERROR(INDEX(T_CleanCustomers[Product],MATCH(B1094,T_CleanCustomers[Customer_ID],0)),"Unmatched")</f>
        <v>EV Charge Card</v>
      </c>
      <c r="P1094" s="9" t="str">
        <f>IFERROR(INDEX(T_CleanCustomers[Customer_Segment],MATCH(B1094,T_CleanCustomers[Customer_ID],0)),"Unmatched")</f>
        <v>Enterprise</v>
      </c>
    </row>
    <row r="1095" spans="1:16" ht="15" customHeight="1" x14ac:dyDescent="0.2">
      <c r="A1095" s="9" t="s">
        <v>2436</v>
      </c>
      <c r="B1095" s="9" t="s">
        <v>1270</v>
      </c>
      <c r="C1095" s="9" t="b">
        <f>TRUE()</f>
        <v>1</v>
      </c>
      <c r="D1095" s="10">
        <v>45978</v>
      </c>
      <c r="E1095" s="10">
        <v>45962</v>
      </c>
      <c r="F1095" s="9" t="s">
        <v>1423</v>
      </c>
      <c r="G1095" s="11">
        <v>55766.080000000002</v>
      </c>
      <c r="H1095" s="11">
        <v>1922</v>
      </c>
      <c r="I1095" s="9" t="b">
        <f>TRUE()</f>
        <v>1</v>
      </c>
      <c r="J1095" s="9" t="s">
        <v>1361</v>
      </c>
      <c r="K1095" s="11">
        <v>1922</v>
      </c>
      <c r="L1095" s="9" t="s">
        <v>19</v>
      </c>
      <c r="M1095" s="9" t="str">
        <f>IFERROR(INDEX(T_CleanCustomers[Sales_Rep_ID],MATCH(B1095,T_CleanCustomers[Customer_ID],0)),"Unmatched")</f>
        <v>REP015</v>
      </c>
      <c r="N1095" s="9" t="str">
        <f>IFERROR(INDEX(T_CleanCustomers[Channel],MATCH(B1095,T_CleanCustomers[Customer_ID],0)),"Unmatched")</f>
        <v>Partner</v>
      </c>
      <c r="O1095" s="9" t="str">
        <f>IFERROR(INDEX(T_CleanCustomers[Product],MATCH(B1095,T_CleanCustomers[Customer_ID],0)),"Unmatched")</f>
        <v>EV Charge Card</v>
      </c>
      <c r="P1095" s="9" t="str">
        <f>IFERROR(INDEX(T_CleanCustomers[Customer_Segment],MATCH(B1095,T_CleanCustomers[Customer_ID],0)),"Unmatched")</f>
        <v>Enterprise</v>
      </c>
    </row>
    <row r="1096" spans="1:16" ht="15" customHeight="1" x14ac:dyDescent="0.2">
      <c r="A1096" s="9" t="s">
        <v>2437</v>
      </c>
      <c r="B1096" s="9" t="s">
        <v>1270</v>
      </c>
      <c r="C1096" s="9" t="b">
        <f>TRUE()</f>
        <v>1</v>
      </c>
      <c r="D1096" s="10">
        <v>45988</v>
      </c>
      <c r="E1096" s="10">
        <v>45962</v>
      </c>
      <c r="F1096" s="9" t="s">
        <v>1423</v>
      </c>
      <c r="G1096" s="11">
        <v>39772.04</v>
      </c>
      <c r="H1096" s="11">
        <v>1226.18</v>
      </c>
      <c r="I1096" s="9" t="b">
        <f>TRUE()</f>
        <v>1</v>
      </c>
      <c r="J1096" s="9" t="s">
        <v>1361</v>
      </c>
      <c r="K1096" s="11">
        <v>1226.18</v>
      </c>
      <c r="L1096" s="9" t="s">
        <v>19</v>
      </c>
      <c r="M1096" s="9" t="str">
        <f>IFERROR(INDEX(T_CleanCustomers[Sales_Rep_ID],MATCH(B1096,T_CleanCustomers[Customer_ID],0)),"Unmatched")</f>
        <v>REP015</v>
      </c>
      <c r="N1096" s="9" t="str">
        <f>IFERROR(INDEX(T_CleanCustomers[Channel],MATCH(B1096,T_CleanCustomers[Customer_ID],0)),"Unmatched")</f>
        <v>Partner</v>
      </c>
      <c r="O1096" s="9" t="str">
        <f>IFERROR(INDEX(T_CleanCustomers[Product],MATCH(B1096,T_CleanCustomers[Customer_ID],0)),"Unmatched")</f>
        <v>EV Charge Card</v>
      </c>
      <c r="P1096" s="9" t="str">
        <f>IFERROR(INDEX(T_CleanCustomers[Customer_Segment],MATCH(B1096,T_CleanCustomers[Customer_ID],0)),"Unmatched")</f>
        <v>Enterprise</v>
      </c>
    </row>
    <row r="1097" spans="1:16" ht="15" customHeight="1" x14ac:dyDescent="0.2">
      <c r="A1097" s="9" t="s">
        <v>2438</v>
      </c>
      <c r="B1097" s="9" t="s">
        <v>1270</v>
      </c>
      <c r="C1097" s="9" t="b">
        <f>TRUE()</f>
        <v>1</v>
      </c>
      <c r="D1097" s="10">
        <v>46004</v>
      </c>
      <c r="E1097" s="10">
        <v>45992</v>
      </c>
      <c r="F1097" s="9" t="s">
        <v>1423</v>
      </c>
      <c r="G1097" s="11">
        <v>36648.870000000003</v>
      </c>
      <c r="H1097" s="11">
        <v>1154.8499999999999</v>
      </c>
      <c r="I1097" s="9" t="b">
        <f>TRUE()</f>
        <v>1</v>
      </c>
      <c r="J1097" s="9" t="s">
        <v>1361</v>
      </c>
      <c r="K1097" s="11">
        <v>1154.8499999999999</v>
      </c>
      <c r="L1097" s="9" t="s">
        <v>19</v>
      </c>
      <c r="M1097" s="9" t="str">
        <f>IFERROR(INDEX(T_CleanCustomers[Sales_Rep_ID],MATCH(B1097,T_CleanCustomers[Customer_ID],0)),"Unmatched")</f>
        <v>REP015</v>
      </c>
      <c r="N1097" s="9" t="str">
        <f>IFERROR(INDEX(T_CleanCustomers[Channel],MATCH(B1097,T_CleanCustomers[Customer_ID],0)),"Unmatched")</f>
        <v>Partner</v>
      </c>
      <c r="O1097" s="9" t="str">
        <f>IFERROR(INDEX(T_CleanCustomers[Product],MATCH(B1097,T_CleanCustomers[Customer_ID],0)),"Unmatched")</f>
        <v>EV Charge Card</v>
      </c>
      <c r="P1097" s="9" t="str">
        <f>IFERROR(INDEX(T_CleanCustomers[Customer_Segment],MATCH(B1097,T_CleanCustomers[Customer_ID],0)),"Unmatched")</f>
        <v>Enterprise</v>
      </c>
    </row>
    <row r="1098" spans="1:16" ht="15" customHeight="1" x14ac:dyDescent="0.2">
      <c r="A1098" s="9" t="s">
        <v>2439</v>
      </c>
      <c r="B1098" s="9" t="s">
        <v>1270</v>
      </c>
      <c r="C1098" s="9" t="b">
        <f>TRUE()</f>
        <v>1</v>
      </c>
      <c r="D1098" s="10">
        <v>46007</v>
      </c>
      <c r="E1098" s="10">
        <v>45992</v>
      </c>
      <c r="F1098" s="9" t="s">
        <v>1423</v>
      </c>
      <c r="G1098" s="11">
        <v>60688.51</v>
      </c>
      <c r="H1098" s="11">
        <v>1916.58</v>
      </c>
      <c r="I1098" s="9" t="b">
        <f>TRUE()</f>
        <v>1</v>
      </c>
      <c r="J1098" s="9" t="s">
        <v>1361</v>
      </c>
      <c r="K1098" s="11">
        <v>1916.58</v>
      </c>
      <c r="L1098" s="9" t="s">
        <v>19</v>
      </c>
      <c r="M1098" s="9" t="str">
        <f>IFERROR(INDEX(T_CleanCustomers[Sales_Rep_ID],MATCH(B1098,T_CleanCustomers[Customer_ID],0)),"Unmatched")</f>
        <v>REP015</v>
      </c>
      <c r="N1098" s="9" t="str">
        <f>IFERROR(INDEX(T_CleanCustomers[Channel],MATCH(B1098,T_CleanCustomers[Customer_ID],0)),"Unmatched")</f>
        <v>Partner</v>
      </c>
      <c r="O1098" s="9" t="str">
        <f>IFERROR(INDEX(T_CleanCustomers[Product],MATCH(B1098,T_CleanCustomers[Customer_ID],0)),"Unmatched")</f>
        <v>EV Charge Card</v>
      </c>
      <c r="P1098" s="9" t="str">
        <f>IFERROR(INDEX(T_CleanCustomers[Customer_Segment],MATCH(B1098,T_CleanCustomers[Customer_ID],0)),"Unmatched")</f>
        <v>Enterprise</v>
      </c>
    </row>
    <row r="1099" spans="1:16" ht="15" customHeight="1" x14ac:dyDescent="0.2">
      <c r="A1099" s="9" t="s">
        <v>2440</v>
      </c>
      <c r="B1099" s="9" t="s">
        <v>1270</v>
      </c>
      <c r="C1099" s="9" t="b">
        <f>TRUE()</f>
        <v>1</v>
      </c>
      <c r="D1099" s="10">
        <v>46016</v>
      </c>
      <c r="E1099" s="10">
        <v>45992</v>
      </c>
      <c r="F1099" s="9" t="s">
        <v>1423</v>
      </c>
      <c r="G1099" s="11">
        <v>41209.86</v>
      </c>
      <c r="H1099" s="11">
        <v>1298.3699999999999</v>
      </c>
      <c r="I1099" s="9" t="b">
        <f>TRUE()</f>
        <v>1</v>
      </c>
      <c r="J1099" s="9" t="s">
        <v>1361</v>
      </c>
      <c r="K1099" s="11">
        <v>1298.3699999999999</v>
      </c>
      <c r="L1099" s="9" t="s">
        <v>19</v>
      </c>
      <c r="M1099" s="9" t="str">
        <f>IFERROR(INDEX(T_CleanCustomers[Sales_Rep_ID],MATCH(B1099,T_CleanCustomers[Customer_ID],0)),"Unmatched")</f>
        <v>REP015</v>
      </c>
      <c r="N1099" s="9" t="str">
        <f>IFERROR(INDEX(T_CleanCustomers[Channel],MATCH(B1099,T_CleanCustomers[Customer_ID],0)),"Unmatched")</f>
        <v>Partner</v>
      </c>
      <c r="O1099" s="9" t="str">
        <f>IFERROR(INDEX(T_CleanCustomers[Product],MATCH(B1099,T_CleanCustomers[Customer_ID],0)),"Unmatched")</f>
        <v>EV Charge Card</v>
      </c>
      <c r="P1099" s="9" t="str">
        <f>IFERROR(INDEX(T_CleanCustomers[Customer_Segment],MATCH(B1099,T_CleanCustomers[Customer_ID],0)),"Unmatched")</f>
        <v>Enterprise</v>
      </c>
    </row>
    <row r="1100" spans="1:16" ht="15" customHeight="1" x14ac:dyDescent="0.2">
      <c r="A1100" s="9" t="s">
        <v>2441</v>
      </c>
      <c r="B1100" s="9" t="s">
        <v>1273</v>
      </c>
      <c r="C1100" s="9" t="b">
        <f>TRUE()</f>
        <v>1</v>
      </c>
      <c r="D1100" s="10">
        <v>46022</v>
      </c>
      <c r="E1100" s="10">
        <v>45992</v>
      </c>
      <c r="F1100" s="9" t="s">
        <v>1423</v>
      </c>
      <c r="G1100" s="11">
        <v>4378.25</v>
      </c>
      <c r="H1100" s="11">
        <v>137.63</v>
      </c>
      <c r="I1100" s="9" t="b">
        <f>TRUE()</f>
        <v>1</v>
      </c>
      <c r="J1100" s="9" t="s">
        <v>1361</v>
      </c>
      <c r="K1100" s="11">
        <v>137.63</v>
      </c>
      <c r="L1100" s="9" t="s">
        <v>22</v>
      </c>
      <c r="M1100" s="9" t="str">
        <f>IFERROR(INDEX(T_CleanCustomers[Sales_Rep_ID],MATCH(B1100,T_CleanCustomers[Customer_ID],0)),"Unmatched")</f>
        <v>REP006</v>
      </c>
      <c r="N1100" s="9" t="str">
        <f>IFERROR(INDEX(T_CleanCustomers[Channel],MATCH(B1100,T_CleanCustomers[Customer_ID],0)),"Unmatched")</f>
        <v>Referral</v>
      </c>
      <c r="O1100" s="9" t="str">
        <f>IFERROR(INDEX(T_CleanCustomers[Product],MATCH(B1100,T_CleanCustomers[Customer_ID],0)),"Unmatched")</f>
        <v>EV Charge Card</v>
      </c>
      <c r="P1100" s="9" t="str">
        <f>IFERROR(INDEX(T_CleanCustomers[Customer_Segment],MATCH(B1100,T_CleanCustomers[Customer_ID],0)),"Unmatched")</f>
        <v>SME</v>
      </c>
    </row>
    <row r="1101" spans="1:16" ht="15" customHeight="1" x14ac:dyDescent="0.2">
      <c r="A1101" s="9" t="s">
        <v>2442</v>
      </c>
      <c r="B1101" s="9" t="s">
        <v>1273</v>
      </c>
      <c r="C1101" s="9" t="b">
        <f>TRUE()</f>
        <v>1</v>
      </c>
      <c r="D1101" s="10">
        <v>46018</v>
      </c>
      <c r="E1101" s="10">
        <v>45992</v>
      </c>
      <c r="F1101" s="9" t="s">
        <v>1423</v>
      </c>
      <c r="G1101" s="11">
        <v>4635.84</v>
      </c>
      <c r="H1101" s="11">
        <v>148.97</v>
      </c>
      <c r="I1101" s="9" t="b">
        <f>TRUE()</f>
        <v>1</v>
      </c>
      <c r="J1101" s="9" t="s">
        <v>1361</v>
      </c>
      <c r="K1101" s="11">
        <v>148.97</v>
      </c>
      <c r="L1101" s="9" t="s">
        <v>22</v>
      </c>
      <c r="M1101" s="9" t="str">
        <f>IFERROR(INDEX(T_CleanCustomers[Sales_Rep_ID],MATCH(B1101,T_CleanCustomers[Customer_ID],0)),"Unmatched")</f>
        <v>REP006</v>
      </c>
      <c r="N1101" s="9" t="str">
        <f>IFERROR(INDEX(T_CleanCustomers[Channel],MATCH(B1101,T_CleanCustomers[Customer_ID],0)),"Unmatched")</f>
        <v>Referral</v>
      </c>
      <c r="O1101" s="9" t="str">
        <f>IFERROR(INDEX(T_CleanCustomers[Product],MATCH(B1101,T_CleanCustomers[Customer_ID],0)),"Unmatched")</f>
        <v>EV Charge Card</v>
      </c>
      <c r="P1101" s="9" t="str">
        <f>IFERROR(INDEX(T_CleanCustomers[Customer_Segment],MATCH(B1101,T_CleanCustomers[Customer_ID],0)),"Unmatched")</f>
        <v>SME</v>
      </c>
    </row>
    <row r="1102" spans="1:16" ht="15" customHeight="1" x14ac:dyDescent="0.2">
      <c r="A1102" s="9" t="s">
        <v>2443</v>
      </c>
      <c r="B1102" s="9" t="s">
        <v>1273</v>
      </c>
      <c r="C1102" s="9" t="b">
        <f>TRUE()</f>
        <v>1</v>
      </c>
      <c r="D1102" s="10">
        <v>46008</v>
      </c>
      <c r="E1102" s="10">
        <v>45992</v>
      </c>
      <c r="F1102" s="9" t="s">
        <v>1423</v>
      </c>
      <c r="G1102" s="11">
        <v>2855.24</v>
      </c>
      <c r="H1102" s="11">
        <v>89.77</v>
      </c>
      <c r="I1102" s="9" t="b">
        <f>TRUE()</f>
        <v>1</v>
      </c>
      <c r="J1102" s="9" t="s">
        <v>1361</v>
      </c>
      <c r="K1102" s="11">
        <v>89.77</v>
      </c>
      <c r="L1102" s="9" t="s">
        <v>22</v>
      </c>
      <c r="M1102" s="9" t="str">
        <f>IFERROR(INDEX(T_CleanCustomers[Sales_Rep_ID],MATCH(B1102,T_CleanCustomers[Customer_ID],0)),"Unmatched")</f>
        <v>REP006</v>
      </c>
      <c r="N1102" s="9" t="str">
        <f>IFERROR(INDEX(T_CleanCustomers[Channel],MATCH(B1102,T_CleanCustomers[Customer_ID],0)),"Unmatched")</f>
        <v>Referral</v>
      </c>
      <c r="O1102" s="9" t="str">
        <f>IFERROR(INDEX(T_CleanCustomers[Product],MATCH(B1102,T_CleanCustomers[Customer_ID],0)),"Unmatched")</f>
        <v>EV Charge Card</v>
      </c>
      <c r="P1102" s="9" t="str">
        <f>IFERROR(INDEX(T_CleanCustomers[Customer_Segment],MATCH(B1102,T_CleanCustomers[Customer_ID],0)),"Unmatched")</f>
        <v>SME</v>
      </c>
    </row>
    <row r="1103" spans="1:16" ht="15" customHeight="1" x14ac:dyDescent="0.2">
      <c r="A1103" s="9" t="s">
        <v>2444</v>
      </c>
      <c r="B1103" s="9" t="s">
        <v>1274</v>
      </c>
      <c r="C1103" s="9" t="b">
        <f>TRUE()</f>
        <v>1</v>
      </c>
      <c r="D1103" s="10">
        <v>45832</v>
      </c>
      <c r="E1103" s="10">
        <v>45809</v>
      </c>
      <c r="F1103" s="9" t="s">
        <v>1423</v>
      </c>
      <c r="G1103" s="11">
        <v>16178.66</v>
      </c>
      <c r="H1103" s="11">
        <v>497.38</v>
      </c>
      <c r="I1103" s="9" t="b">
        <f>TRUE()</f>
        <v>1</v>
      </c>
      <c r="J1103" s="9" t="s">
        <v>1361</v>
      </c>
      <c r="K1103" s="11">
        <v>497.38</v>
      </c>
      <c r="L1103" s="9" t="s">
        <v>20</v>
      </c>
      <c r="M1103" s="9" t="str">
        <f>IFERROR(INDEX(T_CleanCustomers[Sales_Rep_ID],MATCH(B1103,T_CleanCustomers[Customer_ID],0)),"Unmatched")</f>
        <v>REP002</v>
      </c>
      <c r="N1103" s="9" t="str">
        <f>IFERROR(INDEX(T_CleanCustomers[Channel],MATCH(B1103,T_CleanCustomers[Customer_ID],0)),"Unmatched")</f>
        <v>Direct Sales</v>
      </c>
      <c r="O1103" s="9" t="str">
        <f>IFERROR(INDEX(T_CleanCustomers[Product],MATCH(B1103,T_CleanCustomers[Customer_ID],0)),"Unmatched")</f>
        <v>EV Charge Card</v>
      </c>
      <c r="P1103" s="9" t="str">
        <f>IFERROR(INDEX(T_CleanCustomers[Customer_Segment],MATCH(B1103,T_CleanCustomers[Customer_ID],0)),"Unmatched")</f>
        <v>Mid-Market</v>
      </c>
    </row>
    <row r="1104" spans="1:16" ht="15" customHeight="1" x14ac:dyDescent="0.2">
      <c r="A1104" s="9" t="s">
        <v>2445</v>
      </c>
      <c r="B1104" s="9" t="s">
        <v>1274</v>
      </c>
      <c r="C1104" s="9" t="b">
        <f>TRUE()</f>
        <v>1</v>
      </c>
      <c r="D1104" s="10">
        <v>45835</v>
      </c>
      <c r="E1104" s="10">
        <v>45809</v>
      </c>
      <c r="F1104" s="9" t="s">
        <v>1423</v>
      </c>
      <c r="G1104" s="11">
        <v>10048.81</v>
      </c>
      <c r="H1104" s="11">
        <v>344.1</v>
      </c>
      <c r="I1104" s="9" t="b">
        <f>TRUE()</f>
        <v>1</v>
      </c>
      <c r="J1104" s="9" t="s">
        <v>1361</v>
      </c>
      <c r="K1104" s="11">
        <v>344.1</v>
      </c>
      <c r="L1104" s="9" t="s">
        <v>20</v>
      </c>
      <c r="M1104" s="9" t="str">
        <f>IFERROR(INDEX(T_CleanCustomers[Sales_Rep_ID],MATCH(B1104,T_CleanCustomers[Customer_ID],0)),"Unmatched")</f>
        <v>REP002</v>
      </c>
      <c r="N1104" s="9" t="str">
        <f>IFERROR(INDEX(T_CleanCustomers[Channel],MATCH(B1104,T_CleanCustomers[Customer_ID],0)),"Unmatched")</f>
        <v>Direct Sales</v>
      </c>
      <c r="O1104" s="9" t="str">
        <f>IFERROR(INDEX(T_CleanCustomers[Product],MATCH(B1104,T_CleanCustomers[Customer_ID],0)),"Unmatched")</f>
        <v>EV Charge Card</v>
      </c>
      <c r="P1104" s="9" t="str">
        <f>IFERROR(INDEX(T_CleanCustomers[Customer_Segment],MATCH(B1104,T_CleanCustomers[Customer_ID],0)),"Unmatched")</f>
        <v>Mid-Market</v>
      </c>
    </row>
    <row r="1105" spans="1:16" ht="15" customHeight="1" x14ac:dyDescent="0.2">
      <c r="A1105" s="9" t="s">
        <v>2446</v>
      </c>
      <c r="B1105" s="9" t="s">
        <v>1274</v>
      </c>
      <c r="C1105" s="9" t="b">
        <f>TRUE()</f>
        <v>1</v>
      </c>
      <c r="D1105" s="10">
        <v>45831</v>
      </c>
      <c r="E1105" s="10">
        <v>45809</v>
      </c>
      <c r="F1105" s="9" t="s">
        <v>1423</v>
      </c>
      <c r="G1105" s="11">
        <v>15492.71</v>
      </c>
      <c r="H1105" s="11">
        <v>499.75</v>
      </c>
      <c r="I1105" s="9" t="b">
        <f>TRUE()</f>
        <v>1</v>
      </c>
      <c r="J1105" s="9" t="s">
        <v>1361</v>
      </c>
      <c r="K1105" s="11">
        <v>499.75</v>
      </c>
      <c r="L1105" s="9" t="s">
        <v>20</v>
      </c>
      <c r="M1105" s="9" t="str">
        <f>IFERROR(INDEX(T_CleanCustomers[Sales_Rep_ID],MATCH(B1105,T_CleanCustomers[Customer_ID],0)),"Unmatched")</f>
        <v>REP002</v>
      </c>
      <c r="N1105" s="9" t="str">
        <f>IFERROR(INDEX(T_CleanCustomers[Channel],MATCH(B1105,T_CleanCustomers[Customer_ID],0)),"Unmatched")</f>
        <v>Direct Sales</v>
      </c>
      <c r="O1105" s="9" t="str">
        <f>IFERROR(INDEX(T_CleanCustomers[Product],MATCH(B1105,T_CleanCustomers[Customer_ID],0)),"Unmatched")</f>
        <v>EV Charge Card</v>
      </c>
      <c r="P1105" s="9" t="str">
        <f>IFERROR(INDEX(T_CleanCustomers[Customer_Segment],MATCH(B1105,T_CleanCustomers[Customer_ID],0)),"Unmatched")</f>
        <v>Mid-Market</v>
      </c>
    </row>
    <row r="1106" spans="1:16" ht="15" customHeight="1" x14ac:dyDescent="0.2">
      <c r="A1106" s="9" t="s">
        <v>2447</v>
      </c>
      <c r="B1106" s="9" t="s">
        <v>1274</v>
      </c>
      <c r="C1106" s="9" t="b">
        <f>TRUE()</f>
        <v>1</v>
      </c>
      <c r="D1106" s="10">
        <v>45845</v>
      </c>
      <c r="E1106" s="10">
        <v>45839</v>
      </c>
      <c r="F1106" s="9" t="s">
        <v>1423</v>
      </c>
      <c r="G1106" s="11">
        <v>16819.18</v>
      </c>
      <c r="H1106" s="11">
        <v>573.07000000000005</v>
      </c>
      <c r="I1106" s="9" t="b">
        <f>TRUE()</f>
        <v>1</v>
      </c>
      <c r="J1106" s="9" t="s">
        <v>1361</v>
      </c>
      <c r="K1106" s="11">
        <v>573.07000000000005</v>
      </c>
      <c r="L1106" s="9" t="s">
        <v>20</v>
      </c>
      <c r="M1106" s="9" t="str">
        <f>IFERROR(INDEX(T_CleanCustomers[Sales_Rep_ID],MATCH(B1106,T_CleanCustomers[Customer_ID],0)),"Unmatched")</f>
        <v>REP002</v>
      </c>
      <c r="N1106" s="9" t="str">
        <f>IFERROR(INDEX(T_CleanCustomers[Channel],MATCH(B1106,T_CleanCustomers[Customer_ID],0)),"Unmatched")</f>
        <v>Direct Sales</v>
      </c>
      <c r="O1106" s="9" t="str">
        <f>IFERROR(INDEX(T_CleanCustomers[Product],MATCH(B1106,T_CleanCustomers[Customer_ID],0)),"Unmatched")</f>
        <v>EV Charge Card</v>
      </c>
      <c r="P1106" s="9" t="str">
        <f>IFERROR(INDEX(T_CleanCustomers[Customer_Segment],MATCH(B1106,T_CleanCustomers[Customer_ID],0)),"Unmatched")</f>
        <v>Mid-Market</v>
      </c>
    </row>
    <row r="1107" spans="1:16" ht="15" customHeight="1" x14ac:dyDescent="0.2">
      <c r="A1107" s="9" t="s">
        <v>2448</v>
      </c>
      <c r="B1107" s="9" t="s">
        <v>1274</v>
      </c>
      <c r="C1107" s="9" t="b">
        <f>TRUE()</f>
        <v>1</v>
      </c>
      <c r="D1107" s="10">
        <v>45883</v>
      </c>
      <c r="E1107" s="10">
        <v>45870</v>
      </c>
      <c r="F1107" s="9" t="s">
        <v>1423</v>
      </c>
      <c r="G1107" s="11">
        <v>8876.93</v>
      </c>
      <c r="H1107" s="11">
        <v>298.95</v>
      </c>
      <c r="I1107" s="9" t="b">
        <f>TRUE()</f>
        <v>1</v>
      </c>
      <c r="J1107" s="9" t="s">
        <v>1361</v>
      </c>
      <c r="K1107" s="11">
        <v>298.95</v>
      </c>
      <c r="L1107" s="9" t="s">
        <v>20</v>
      </c>
      <c r="M1107" s="9" t="str">
        <f>IFERROR(INDEX(T_CleanCustomers[Sales_Rep_ID],MATCH(B1107,T_CleanCustomers[Customer_ID],0)),"Unmatched")</f>
        <v>REP002</v>
      </c>
      <c r="N1107" s="9" t="str">
        <f>IFERROR(INDEX(T_CleanCustomers[Channel],MATCH(B1107,T_CleanCustomers[Customer_ID],0)),"Unmatched")</f>
        <v>Direct Sales</v>
      </c>
      <c r="O1107" s="9" t="str">
        <f>IFERROR(INDEX(T_CleanCustomers[Product],MATCH(B1107,T_CleanCustomers[Customer_ID],0)),"Unmatched")</f>
        <v>EV Charge Card</v>
      </c>
      <c r="P1107" s="9" t="str">
        <f>IFERROR(INDEX(T_CleanCustomers[Customer_Segment],MATCH(B1107,T_CleanCustomers[Customer_ID],0)),"Unmatched")</f>
        <v>Mid-Market</v>
      </c>
    </row>
    <row r="1108" spans="1:16" ht="15" customHeight="1" x14ac:dyDescent="0.2">
      <c r="A1108" s="9" t="s">
        <v>2449</v>
      </c>
      <c r="B1108" s="9" t="s">
        <v>1274</v>
      </c>
      <c r="C1108" s="9" t="b">
        <f>TRUE()</f>
        <v>1</v>
      </c>
      <c r="D1108" s="10">
        <v>45881</v>
      </c>
      <c r="E1108" s="10">
        <v>45870</v>
      </c>
      <c r="F1108" s="9" t="s">
        <v>1423</v>
      </c>
      <c r="G1108" s="11">
        <v>7032.65</v>
      </c>
      <c r="H1108" s="11">
        <v>209.59</v>
      </c>
      <c r="I1108" s="9" t="b">
        <f>TRUE()</f>
        <v>1</v>
      </c>
      <c r="J1108" s="9" t="s">
        <v>1361</v>
      </c>
      <c r="K1108" s="11">
        <v>209.59</v>
      </c>
      <c r="L1108" s="9" t="s">
        <v>20</v>
      </c>
      <c r="M1108" s="9" t="str">
        <f>IFERROR(INDEX(T_CleanCustomers[Sales_Rep_ID],MATCH(B1108,T_CleanCustomers[Customer_ID],0)),"Unmatched")</f>
        <v>REP002</v>
      </c>
      <c r="N1108" s="9" t="str">
        <f>IFERROR(INDEX(T_CleanCustomers[Channel],MATCH(B1108,T_CleanCustomers[Customer_ID],0)),"Unmatched")</f>
        <v>Direct Sales</v>
      </c>
      <c r="O1108" s="9" t="str">
        <f>IFERROR(INDEX(T_CleanCustomers[Product],MATCH(B1108,T_CleanCustomers[Customer_ID],0)),"Unmatched")</f>
        <v>EV Charge Card</v>
      </c>
      <c r="P1108" s="9" t="str">
        <f>IFERROR(INDEX(T_CleanCustomers[Customer_Segment],MATCH(B1108,T_CleanCustomers[Customer_ID],0)),"Unmatched")</f>
        <v>Mid-Market</v>
      </c>
    </row>
    <row r="1109" spans="1:16" ht="15" customHeight="1" x14ac:dyDescent="0.2">
      <c r="A1109" s="9" t="s">
        <v>2450</v>
      </c>
      <c r="B1109" s="9" t="s">
        <v>1274</v>
      </c>
      <c r="C1109" s="9" t="b">
        <f>TRUE()</f>
        <v>1</v>
      </c>
      <c r="D1109" s="10">
        <v>45872</v>
      </c>
      <c r="E1109" s="10">
        <v>45870</v>
      </c>
      <c r="F1109" s="9" t="s">
        <v>1423</v>
      </c>
      <c r="G1109" s="11">
        <v>6062.67</v>
      </c>
      <c r="H1109" s="11">
        <v>160.41999999999999</v>
      </c>
      <c r="I1109" s="9" t="b">
        <f>TRUE()</f>
        <v>1</v>
      </c>
      <c r="J1109" s="9" t="s">
        <v>1361</v>
      </c>
      <c r="K1109" s="11">
        <v>160.41999999999999</v>
      </c>
      <c r="L1109" s="9" t="s">
        <v>20</v>
      </c>
      <c r="M1109" s="9" t="str">
        <f>IFERROR(INDEX(T_CleanCustomers[Sales_Rep_ID],MATCH(B1109,T_CleanCustomers[Customer_ID],0)),"Unmatched")</f>
        <v>REP002</v>
      </c>
      <c r="N1109" s="9" t="str">
        <f>IFERROR(INDEX(T_CleanCustomers[Channel],MATCH(B1109,T_CleanCustomers[Customer_ID],0)),"Unmatched")</f>
        <v>Direct Sales</v>
      </c>
      <c r="O1109" s="9" t="str">
        <f>IFERROR(INDEX(T_CleanCustomers[Product],MATCH(B1109,T_CleanCustomers[Customer_ID],0)),"Unmatched")</f>
        <v>EV Charge Card</v>
      </c>
      <c r="P1109" s="9" t="str">
        <f>IFERROR(INDEX(T_CleanCustomers[Customer_Segment],MATCH(B1109,T_CleanCustomers[Customer_ID],0)),"Unmatched")</f>
        <v>Mid-Market</v>
      </c>
    </row>
    <row r="1110" spans="1:16" ht="15" customHeight="1" x14ac:dyDescent="0.2">
      <c r="A1110" s="9" t="s">
        <v>2451</v>
      </c>
      <c r="B1110" s="9" t="s">
        <v>1274</v>
      </c>
      <c r="C1110" s="9" t="b">
        <f>TRUE()</f>
        <v>1</v>
      </c>
      <c r="D1110" s="10">
        <v>45904</v>
      </c>
      <c r="E1110" s="10">
        <v>45901</v>
      </c>
      <c r="F1110" s="9" t="s">
        <v>1423</v>
      </c>
      <c r="G1110" s="11">
        <v>9223.5</v>
      </c>
      <c r="H1110" s="11">
        <v>260.85000000000002</v>
      </c>
      <c r="I1110" s="9" t="b">
        <f>TRUE()</f>
        <v>1</v>
      </c>
      <c r="J1110" s="9" t="s">
        <v>1361</v>
      </c>
      <c r="K1110" s="11">
        <v>260.85000000000002</v>
      </c>
      <c r="L1110" s="9" t="s">
        <v>20</v>
      </c>
      <c r="M1110" s="9" t="str">
        <f>IFERROR(INDEX(T_CleanCustomers[Sales_Rep_ID],MATCH(B1110,T_CleanCustomers[Customer_ID],0)),"Unmatched")</f>
        <v>REP002</v>
      </c>
      <c r="N1110" s="9" t="str">
        <f>IFERROR(INDEX(T_CleanCustomers[Channel],MATCH(B1110,T_CleanCustomers[Customer_ID],0)),"Unmatched")</f>
        <v>Direct Sales</v>
      </c>
      <c r="O1110" s="9" t="str">
        <f>IFERROR(INDEX(T_CleanCustomers[Product],MATCH(B1110,T_CleanCustomers[Customer_ID],0)),"Unmatched")</f>
        <v>EV Charge Card</v>
      </c>
      <c r="P1110" s="9" t="str">
        <f>IFERROR(INDEX(T_CleanCustomers[Customer_Segment],MATCH(B1110,T_CleanCustomers[Customer_ID],0)),"Unmatched")</f>
        <v>Mid-Market</v>
      </c>
    </row>
    <row r="1111" spans="1:16" ht="15" customHeight="1" x14ac:dyDescent="0.2">
      <c r="A1111" s="9" t="s">
        <v>2452</v>
      </c>
      <c r="B1111" s="9" t="s">
        <v>1274</v>
      </c>
      <c r="C1111" s="9" t="b">
        <f>TRUE()</f>
        <v>1</v>
      </c>
      <c r="D1111" s="10">
        <v>45905</v>
      </c>
      <c r="E1111" s="10">
        <v>45901</v>
      </c>
      <c r="F1111" s="9" t="s">
        <v>1423</v>
      </c>
      <c r="G1111" s="11">
        <v>8833.8700000000008</v>
      </c>
      <c r="H1111" s="11">
        <v>238.02</v>
      </c>
      <c r="I1111" s="9" t="b">
        <f>TRUE()</f>
        <v>1</v>
      </c>
      <c r="J1111" s="9" t="s">
        <v>1361</v>
      </c>
      <c r="K1111" s="11">
        <v>238.02</v>
      </c>
      <c r="L1111" s="9" t="s">
        <v>20</v>
      </c>
      <c r="M1111" s="9" t="str">
        <f>IFERROR(INDEX(T_CleanCustomers[Sales_Rep_ID],MATCH(B1111,T_CleanCustomers[Customer_ID],0)),"Unmatched")</f>
        <v>REP002</v>
      </c>
      <c r="N1111" s="9" t="str">
        <f>IFERROR(INDEX(T_CleanCustomers[Channel],MATCH(B1111,T_CleanCustomers[Customer_ID],0)),"Unmatched")</f>
        <v>Direct Sales</v>
      </c>
      <c r="O1111" s="9" t="str">
        <f>IFERROR(INDEX(T_CleanCustomers[Product],MATCH(B1111,T_CleanCustomers[Customer_ID],0)),"Unmatched")</f>
        <v>EV Charge Card</v>
      </c>
      <c r="P1111" s="9" t="str">
        <f>IFERROR(INDEX(T_CleanCustomers[Customer_Segment],MATCH(B1111,T_CleanCustomers[Customer_ID],0)),"Unmatched")</f>
        <v>Mid-Market</v>
      </c>
    </row>
    <row r="1112" spans="1:16" ht="15" customHeight="1" x14ac:dyDescent="0.2">
      <c r="A1112" s="9" t="s">
        <v>2453</v>
      </c>
      <c r="B1112" s="9" t="s">
        <v>1274</v>
      </c>
      <c r="C1112" s="9" t="b">
        <f>TRUE()</f>
        <v>1</v>
      </c>
      <c r="D1112" s="10">
        <v>45943</v>
      </c>
      <c r="E1112" s="10">
        <v>45931</v>
      </c>
      <c r="F1112" s="9" t="s">
        <v>1423</v>
      </c>
      <c r="G1112" s="11">
        <v>9426.07</v>
      </c>
      <c r="H1112" s="11">
        <v>292.48</v>
      </c>
      <c r="I1112" s="9" t="b">
        <f>TRUE()</f>
        <v>1</v>
      </c>
      <c r="J1112" s="9" t="s">
        <v>1361</v>
      </c>
      <c r="K1112" s="11">
        <v>292.48</v>
      </c>
      <c r="L1112" s="9" t="s">
        <v>20</v>
      </c>
      <c r="M1112" s="9" t="str">
        <f>IFERROR(INDEX(T_CleanCustomers[Sales_Rep_ID],MATCH(B1112,T_CleanCustomers[Customer_ID],0)),"Unmatched")</f>
        <v>REP002</v>
      </c>
      <c r="N1112" s="9" t="str">
        <f>IFERROR(INDEX(T_CleanCustomers[Channel],MATCH(B1112,T_CleanCustomers[Customer_ID],0)),"Unmatched")</f>
        <v>Direct Sales</v>
      </c>
      <c r="O1112" s="9" t="str">
        <f>IFERROR(INDEX(T_CleanCustomers[Product],MATCH(B1112,T_CleanCustomers[Customer_ID],0)),"Unmatched")</f>
        <v>EV Charge Card</v>
      </c>
      <c r="P1112" s="9" t="str">
        <f>IFERROR(INDEX(T_CleanCustomers[Customer_Segment],MATCH(B1112,T_CleanCustomers[Customer_ID],0)),"Unmatched")</f>
        <v>Mid-Market</v>
      </c>
    </row>
    <row r="1113" spans="1:16" ht="15" customHeight="1" x14ac:dyDescent="0.2">
      <c r="A1113" s="9" t="s">
        <v>2454</v>
      </c>
      <c r="B1113" s="9" t="s">
        <v>1274</v>
      </c>
      <c r="C1113" s="9" t="b">
        <f>TRUE()</f>
        <v>1</v>
      </c>
      <c r="D1113" s="10">
        <v>45958</v>
      </c>
      <c r="E1113" s="10">
        <v>45931</v>
      </c>
      <c r="F1113" s="9" t="s">
        <v>1423</v>
      </c>
      <c r="G1113" s="11">
        <v>17466.599999999999</v>
      </c>
      <c r="H1113" s="11">
        <v>466.45</v>
      </c>
      <c r="I1113" s="9" t="b">
        <f>TRUE()</f>
        <v>1</v>
      </c>
      <c r="J1113" s="9" t="s">
        <v>1361</v>
      </c>
      <c r="K1113" s="11">
        <v>466.45</v>
      </c>
      <c r="L1113" s="9" t="s">
        <v>20</v>
      </c>
      <c r="M1113" s="9" t="str">
        <f>IFERROR(INDEX(T_CleanCustomers[Sales_Rep_ID],MATCH(B1113,T_CleanCustomers[Customer_ID],0)),"Unmatched")</f>
        <v>REP002</v>
      </c>
      <c r="N1113" s="9" t="str">
        <f>IFERROR(INDEX(T_CleanCustomers[Channel],MATCH(B1113,T_CleanCustomers[Customer_ID],0)),"Unmatched")</f>
        <v>Direct Sales</v>
      </c>
      <c r="O1113" s="9" t="str">
        <f>IFERROR(INDEX(T_CleanCustomers[Product],MATCH(B1113,T_CleanCustomers[Customer_ID],0)),"Unmatched")</f>
        <v>EV Charge Card</v>
      </c>
      <c r="P1113" s="9" t="str">
        <f>IFERROR(INDEX(T_CleanCustomers[Customer_Segment],MATCH(B1113,T_CleanCustomers[Customer_ID],0)),"Unmatched")</f>
        <v>Mid-Market</v>
      </c>
    </row>
    <row r="1114" spans="1:16" ht="15" customHeight="1" x14ac:dyDescent="0.2">
      <c r="A1114" s="9" t="s">
        <v>2455</v>
      </c>
      <c r="B1114" s="9" t="s">
        <v>1274</v>
      </c>
      <c r="C1114" s="9" t="b">
        <f>TRUE()</f>
        <v>1</v>
      </c>
      <c r="D1114" s="10">
        <v>45932</v>
      </c>
      <c r="E1114" s="10">
        <v>45931</v>
      </c>
      <c r="F1114" s="9" t="s">
        <v>1423</v>
      </c>
      <c r="G1114" s="11">
        <v>12893.41</v>
      </c>
      <c r="H1114" s="11">
        <v>442.49</v>
      </c>
      <c r="I1114" s="9" t="b">
        <f>TRUE()</f>
        <v>1</v>
      </c>
      <c r="J1114" s="9" t="s">
        <v>1361</v>
      </c>
      <c r="K1114" s="11">
        <v>442.49</v>
      </c>
      <c r="L1114" s="9" t="s">
        <v>20</v>
      </c>
      <c r="M1114" s="9" t="str">
        <f>IFERROR(INDEX(T_CleanCustomers[Sales_Rep_ID],MATCH(B1114,T_CleanCustomers[Customer_ID],0)),"Unmatched")</f>
        <v>REP002</v>
      </c>
      <c r="N1114" s="9" t="str">
        <f>IFERROR(INDEX(T_CleanCustomers[Channel],MATCH(B1114,T_CleanCustomers[Customer_ID],0)),"Unmatched")</f>
        <v>Direct Sales</v>
      </c>
      <c r="O1114" s="9" t="str">
        <f>IFERROR(INDEX(T_CleanCustomers[Product],MATCH(B1114,T_CleanCustomers[Customer_ID],0)),"Unmatched")</f>
        <v>EV Charge Card</v>
      </c>
      <c r="P1114" s="9" t="str">
        <f>IFERROR(INDEX(T_CleanCustomers[Customer_Segment],MATCH(B1114,T_CleanCustomers[Customer_ID],0)),"Unmatched")</f>
        <v>Mid-Market</v>
      </c>
    </row>
    <row r="1115" spans="1:16" ht="15" customHeight="1" x14ac:dyDescent="0.2">
      <c r="A1115" s="9" t="s">
        <v>2456</v>
      </c>
      <c r="B1115" s="9" t="s">
        <v>1274</v>
      </c>
      <c r="C1115" s="9" t="b">
        <f>TRUE()</f>
        <v>1</v>
      </c>
      <c r="D1115" s="10">
        <v>45967</v>
      </c>
      <c r="E1115" s="10">
        <v>45962</v>
      </c>
      <c r="F1115" s="9" t="s">
        <v>1423</v>
      </c>
      <c r="G1115" s="11">
        <v>7724.27</v>
      </c>
      <c r="H1115" s="11">
        <v>257.63</v>
      </c>
      <c r="I1115" s="9" t="b">
        <f>TRUE()</f>
        <v>1</v>
      </c>
      <c r="J1115" s="9" t="s">
        <v>1361</v>
      </c>
      <c r="K1115" s="11">
        <v>257.63</v>
      </c>
      <c r="L1115" s="9" t="s">
        <v>20</v>
      </c>
      <c r="M1115" s="9" t="str">
        <f>IFERROR(INDEX(T_CleanCustomers[Sales_Rep_ID],MATCH(B1115,T_CleanCustomers[Customer_ID],0)),"Unmatched")</f>
        <v>REP002</v>
      </c>
      <c r="N1115" s="9" t="str">
        <f>IFERROR(INDEX(T_CleanCustomers[Channel],MATCH(B1115,T_CleanCustomers[Customer_ID],0)),"Unmatched")</f>
        <v>Direct Sales</v>
      </c>
      <c r="O1115" s="9" t="str">
        <f>IFERROR(INDEX(T_CleanCustomers[Product],MATCH(B1115,T_CleanCustomers[Customer_ID],0)),"Unmatched")</f>
        <v>EV Charge Card</v>
      </c>
      <c r="P1115" s="9" t="str">
        <f>IFERROR(INDEX(T_CleanCustomers[Customer_Segment],MATCH(B1115,T_CleanCustomers[Customer_ID],0)),"Unmatched")</f>
        <v>Mid-Market</v>
      </c>
    </row>
    <row r="1116" spans="1:16" ht="15" customHeight="1" x14ac:dyDescent="0.2">
      <c r="A1116" s="9" t="s">
        <v>2457</v>
      </c>
      <c r="B1116" s="9" t="s">
        <v>1274</v>
      </c>
      <c r="C1116" s="9" t="b">
        <f>TRUE()</f>
        <v>1</v>
      </c>
      <c r="D1116" s="10">
        <v>45983</v>
      </c>
      <c r="E1116" s="10">
        <v>45962</v>
      </c>
      <c r="F1116" s="9" t="s">
        <v>1423</v>
      </c>
      <c r="G1116" s="11">
        <v>6762.97</v>
      </c>
      <c r="H1116" s="11">
        <v>201.21</v>
      </c>
      <c r="I1116" s="9" t="b">
        <f>TRUE()</f>
        <v>1</v>
      </c>
      <c r="J1116" s="9" t="s">
        <v>1361</v>
      </c>
      <c r="K1116" s="11">
        <v>201.21</v>
      </c>
      <c r="L1116" s="9" t="s">
        <v>20</v>
      </c>
      <c r="M1116" s="9" t="str">
        <f>IFERROR(INDEX(T_CleanCustomers[Sales_Rep_ID],MATCH(B1116,T_CleanCustomers[Customer_ID],0)),"Unmatched")</f>
        <v>REP002</v>
      </c>
      <c r="N1116" s="9" t="str">
        <f>IFERROR(INDEX(T_CleanCustomers[Channel],MATCH(B1116,T_CleanCustomers[Customer_ID],0)),"Unmatched")</f>
        <v>Direct Sales</v>
      </c>
      <c r="O1116" s="9" t="str">
        <f>IFERROR(INDEX(T_CleanCustomers[Product],MATCH(B1116,T_CleanCustomers[Customer_ID],0)),"Unmatched")</f>
        <v>EV Charge Card</v>
      </c>
      <c r="P1116" s="9" t="str">
        <f>IFERROR(INDEX(T_CleanCustomers[Customer_Segment],MATCH(B1116,T_CleanCustomers[Customer_ID],0)),"Unmatched")</f>
        <v>Mid-Market</v>
      </c>
    </row>
    <row r="1117" spans="1:16" ht="15" customHeight="1" x14ac:dyDescent="0.2">
      <c r="A1117" s="9" t="s">
        <v>2458</v>
      </c>
      <c r="B1117" s="9" t="s">
        <v>1274</v>
      </c>
      <c r="C1117" s="9" t="b">
        <f>TRUE()</f>
        <v>1</v>
      </c>
      <c r="D1117" s="10">
        <v>45987</v>
      </c>
      <c r="E1117" s="10">
        <v>45962</v>
      </c>
      <c r="F1117" s="9" t="s">
        <v>1423</v>
      </c>
      <c r="G1117" s="11">
        <v>6112.45</v>
      </c>
      <c r="H1117" s="11">
        <v>169.98</v>
      </c>
      <c r="I1117" s="9" t="b">
        <f>TRUE()</f>
        <v>1</v>
      </c>
      <c r="J1117" s="9" t="s">
        <v>1361</v>
      </c>
      <c r="K1117" s="11">
        <v>169.98</v>
      </c>
      <c r="L1117" s="9" t="s">
        <v>20</v>
      </c>
      <c r="M1117" s="9" t="str">
        <f>IFERROR(INDEX(T_CleanCustomers[Sales_Rep_ID],MATCH(B1117,T_CleanCustomers[Customer_ID],0)),"Unmatched")</f>
        <v>REP002</v>
      </c>
      <c r="N1117" s="9" t="str">
        <f>IFERROR(INDEX(T_CleanCustomers[Channel],MATCH(B1117,T_CleanCustomers[Customer_ID],0)),"Unmatched")</f>
        <v>Direct Sales</v>
      </c>
      <c r="O1117" s="9" t="str">
        <f>IFERROR(INDEX(T_CleanCustomers[Product],MATCH(B1117,T_CleanCustomers[Customer_ID],0)),"Unmatched")</f>
        <v>EV Charge Card</v>
      </c>
      <c r="P1117" s="9" t="str">
        <f>IFERROR(INDEX(T_CleanCustomers[Customer_Segment],MATCH(B1117,T_CleanCustomers[Customer_ID],0)),"Unmatched")</f>
        <v>Mid-Market</v>
      </c>
    </row>
    <row r="1118" spans="1:16" ht="15" customHeight="1" x14ac:dyDescent="0.2">
      <c r="A1118" s="9" t="s">
        <v>2459</v>
      </c>
      <c r="B1118" s="9" t="s">
        <v>1274</v>
      </c>
      <c r="C1118" s="9" t="b">
        <f>TRUE()</f>
        <v>1</v>
      </c>
      <c r="D1118" s="10">
        <v>46020</v>
      </c>
      <c r="E1118" s="10">
        <v>45992</v>
      </c>
      <c r="F1118" s="9" t="s">
        <v>1423</v>
      </c>
      <c r="G1118" s="11">
        <v>17423.16</v>
      </c>
      <c r="H1118" s="11">
        <v>539.32000000000005</v>
      </c>
      <c r="I1118" s="9" t="b">
        <f>TRUE()</f>
        <v>1</v>
      </c>
      <c r="J1118" s="9" t="s">
        <v>1361</v>
      </c>
      <c r="K1118" s="11">
        <v>539.32000000000005</v>
      </c>
      <c r="L1118" s="9" t="s">
        <v>20</v>
      </c>
      <c r="M1118" s="9" t="str">
        <f>IFERROR(INDEX(T_CleanCustomers[Sales_Rep_ID],MATCH(B1118,T_CleanCustomers[Customer_ID],0)),"Unmatched")</f>
        <v>REP002</v>
      </c>
      <c r="N1118" s="9" t="str">
        <f>IFERROR(INDEX(T_CleanCustomers[Channel],MATCH(B1118,T_CleanCustomers[Customer_ID],0)),"Unmatched")</f>
        <v>Direct Sales</v>
      </c>
      <c r="O1118" s="9" t="str">
        <f>IFERROR(INDEX(T_CleanCustomers[Product],MATCH(B1118,T_CleanCustomers[Customer_ID],0)),"Unmatched")</f>
        <v>EV Charge Card</v>
      </c>
      <c r="P1118" s="9" t="str">
        <f>IFERROR(INDEX(T_CleanCustomers[Customer_Segment],MATCH(B1118,T_CleanCustomers[Customer_ID],0)),"Unmatched")</f>
        <v>Mid-Market</v>
      </c>
    </row>
    <row r="1119" spans="1:16" ht="15" customHeight="1" x14ac:dyDescent="0.2">
      <c r="A1119" s="9" t="s">
        <v>2460</v>
      </c>
      <c r="B1119" s="9" t="s">
        <v>1274</v>
      </c>
      <c r="C1119" s="9" t="b">
        <f>TRUE()</f>
        <v>1</v>
      </c>
      <c r="D1119" s="10">
        <v>46009</v>
      </c>
      <c r="E1119" s="10">
        <v>45992</v>
      </c>
      <c r="F1119" s="9" t="s">
        <v>1423</v>
      </c>
      <c r="G1119" s="11">
        <v>7671.57</v>
      </c>
      <c r="H1119" s="11">
        <v>213.71</v>
      </c>
      <c r="I1119" s="9" t="b">
        <f>TRUE()</f>
        <v>1</v>
      </c>
      <c r="J1119" s="9" t="s">
        <v>1361</v>
      </c>
      <c r="K1119" s="11">
        <v>213.71</v>
      </c>
      <c r="L1119" s="9" t="s">
        <v>20</v>
      </c>
      <c r="M1119" s="9" t="str">
        <f>IFERROR(INDEX(T_CleanCustomers[Sales_Rep_ID],MATCH(B1119,T_CleanCustomers[Customer_ID],0)),"Unmatched")</f>
        <v>REP002</v>
      </c>
      <c r="N1119" s="9" t="str">
        <f>IFERROR(INDEX(T_CleanCustomers[Channel],MATCH(B1119,T_CleanCustomers[Customer_ID],0)),"Unmatched")</f>
        <v>Direct Sales</v>
      </c>
      <c r="O1119" s="9" t="str">
        <f>IFERROR(INDEX(T_CleanCustomers[Product],MATCH(B1119,T_CleanCustomers[Customer_ID],0)),"Unmatched")</f>
        <v>EV Charge Card</v>
      </c>
      <c r="P1119" s="9" t="str">
        <f>IFERROR(INDEX(T_CleanCustomers[Customer_Segment],MATCH(B1119,T_CleanCustomers[Customer_ID],0)),"Unmatched")</f>
        <v>Mid-Market</v>
      </c>
    </row>
    <row r="1120" spans="1:16" ht="15" customHeight="1" x14ac:dyDescent="0.2">
      <c r="A1120" s="9" t="s">
        <v>2461</v>
      </c>
      <c r="B1120" s="9" t="s">
        <v>1274</v>
      </c>
      <c r="C1120" s="9" t="b">
        <f>TRUE()</f>
        <v>1</v>
      </c>
      <c r="D1120" s="10">
        <v>46021</v>
      </c>
      <c r="E1120" s="10">
        <v>45992</v>
      </c>
      <c r="F1120" s="9" t="s">
        <v>1423</v>
      </c>
      <c r="G1120" s="11">
        <v>7337.2</v>
      </c>
      <c r="H1120" s="11">
        <v>229.94</v>
      </c>
      <c r="I1120" s="9" t="b">
        <f>TRUE()</f>
        <v>1</v>
      </c>
      <c r="J1120" s="9" t="s">
        <v>1361</v>
      </c>
      <c r="K1120" s="11">
        <v>229.94</v>
      </c>
      <c r="L1120" s="9" t="s">
        <v>20</v>
      </c>
      <c r="M1120" s="9" t="str">
        <f>IFERROR(INDEX(T_CleanCustomers[Sales_Rep_ID],MATCH(B1120,T_CleanCustomers[Customer_ID],0)),"Unmatched")</f>
        <v>REP002</v>
      </c>
      <c r="N1120" s="9" t="str">
        <f>IFERROR(INDEX(T_CleanCustomers[Channel],MATCH(B1120,T_CleanCustomers[Customer_ID],0)),"Unmatched")</f>
        <v>Direct Sales</v>
      </c>
      <c r="O1120" s="9" t="str">
        <f>IFERROR(INDEX(T_CleanCustomers[Product],MATCH(B1120,T_CleanCustomers[Customer_ID],0)),"Unmatched")</f>
        <v>EV Charge Card</v>
      </c>
      <c r="P1120" s="9" t="str">
        <f>IFERROR(INDEX(T_CleanCustomers[Customer_Segment],MATCH(B1120,T_CleanCustomers[Customer_ID],0)),"Unmatched")</f>
        <v>Mid-Market</v>
      </c>
    </row>
    <row r="1121" spans="1:16" ht="15" customHeight="1" x14ac:dyDescent="0.2">
      <c r="A1121" s="9" t="s">
        <v>2462</v>
      </c>
      <c r="B1121" s="9" t="s">
        <v>1275</v>
      </c>
      <c r="C1121" s="9" t="b">
        <f>TRUE()</f>
        <v>1</v>
      </c>
      <c r="D1121" s="10">
        <v>45832</v>
      </c>
      <c r="E1121" s="10">
        <v>45809</v>
      </c>
      <c r="F1121" s="9" t="s">
        <v>1479</v>
      </c>
      <c r="G1121" s="11">
        <v>9916.65</v>
      </c>
      <c r="H1121" s="11">
        <v>297.56</v>
      </c>
      <c r="I1121" s="9" t="b">
        <f>TRUE()</f>
        <v>1</v>
      </c>
      <c r="J1121" s="9" t="s">
        <v>1361</v>
      </c>
      <c r="K1121" s="11">
        <v>297.56</v>
      </c>
      <c r="L1121" s="9" t="s">
        <v>21</v>
      </c>
      <c r="M1121" s="9" t="str">
        <f>IFERROR(INDEX(T_CleanCustomers[Sales_Rep_ID],MATCH(B1121,T_CleanCustomers[Customer_ID],0)),"Unmatched")</f>
        <v>REP007</v>
      </c>
      <c r="N1121" s="9" t="str">
        <f>IFERROR(INDEX(T_CleanCustomers[Channel],MATCH(B1121,T_CleanCustomers[Customer_ID],0)),"Unmatched")</f>
        <v>Direct Sales</v>
      </c>
      <c r="O1121" s="9" t="str">
        <f>IFERROR(INDEX(T_CleanCustomers[Product],MATCH(B1121,T_CleanCustomers[Customer_ID],0)),"Unmatched")</f>
        <v>Fleet Expense Card</v>
      </c>
      <c r="P1121" s="9" t="str">
        <f>IFERROR(INDEX(T_CleanCustomers[Customer_Segment],MATCH(B1121,T_CleanCustomers[Customer_ID],0)),"Unmatched")</f>
        <v>Mid-Market</v>
      </c>
    </row>
    <row r="1122" spans="1:16" ht="15" customHeight="1" x14ac:dyDescent="0.2">
      <c r="A1122" s="9" t="s">
        <v>2463</v>
      </c>
      <c r="B1122" s="9" t="s">
        <v>1275</v>
      </c>
      <c r="C1122" s="9" t="b">
        <f>TRUE()</f>
        <v>1</v>
      </c>
      <c r="D1122" s="10">
        <v>45832</v>
      </c>
      <c r="E1122" s="10">
        <v>45809</v>
      </c>
      <c r="F1122" s="9" t="s">
        <v>1360</v>
      </c>
      <c r="G1122" s="11">
        <v>17777.259999999998</v>
      </c>
      <c r="H1122" s="11">
        <v>510.35</v>
      </c>
      <c r="I1122" s="9" t="b">
        <f>TRUE()</f>
        <v>1</v>
      </c>
      <c r="J1122" s="9" t="s">
        <v>1361</v>
      </c>
      <c r="K1122" s="11">
        <v>510.35</v>
      </c>
      <c r="L1122" s="9" t="s">
        <v>21</v>
      </c>
      <c r="M1122" s="9" t="str">
        <f>IFERROR(INDEX(T_CleanCustomers[Sales_Rep_ID],MATCH(B1122,T_CleanCustomers[Customer_ID],0)),"Unmatched")</f>
        <v>REP007</v>
      </c>
      <c r="N1122" s="9" t="str">
        <f>IFERROR(INDEX(T_CleanCustomers[Channel],MATCH(B1122,T_CleanCustomers[Customer_ID],0)),"Unmatched")</f>
        <v>Direct Sales</v>
      </c>
      <c r="O1122" s="9" t="str">
        <f>IFERROR(INDEX(T_CleanCustomers[Product],MATCH(B1122,T_CleanCustomers[Customer_ID],0)),"Unmatched")</f>
        <v>Fleet Expense Card</v>
      </c>
      <c r="P1122" s="9" t="str">
        <f>IFERROR(INDEX(T_CleanCustomers[Customer_Segment],MATCH(B1122,T_CleanCustomers[Customer_ID],0)),"Unmatched")</f>
        <v>Mid-Market</v>
      </c>
    </row>
    <row r="1123" spans="1:16" ht="15" customHeight="1" x14ac:dyDescent="0.2">
      <c r="A1123" s="9" t="s">
        <v>2464</v>
      </c>
      <c r="B1123" s="9" t="s">
        <v>1275</v>
      </c>
      <c r="C1123" s="9" t="b">
        <f>TRUE()</f>
        <v>1</v>
      </c>
      <c r="D1123" s="10">
        <v>45839</v>
      </c>
      <c r="E1123" s="10">
        <v>45839</v>
      </c>
      <c r="F1123" s="9" t="s">
        <v>1360</v>
      </c>
      <c r="G1123" s="11">
        <v>9603.2999999999993</v>
      </c>
      <c r="H1123" s="11">
        <v>257.61</v>
      </c>
      <c r="I1123" s="9" t="b">
        <f>TRUE()</f>
        <v>1</v>
      </c>
      <c r="J1123" s="9" t="s">
        <v>1361</v>
      </c>
      <c r="K1123" s="11">
        <v>257.61</v>
      </c>
      <c r="L1123" s="9" t="s">
        <v>21</v>
      </c>
      <c r="M1123" s="9" t="str">
        <f>IFERROR(INDEX(T_CleanCustomers[Sales_Rep_ID],MATCH(B1123,T_CleanCustomers[Customer_ID],0)),"Unmatched")</f>
        <v>REP007</v>
      </c>
      <c r="N1123" s="9" t="str">
        <f>IFERROR(INDEX(T_CleanCustomers[Channel],MATCH(B1123,T_CleanCustomers[Customer_ID],0)),"Unmatched")</f>
        <v>Direct Sales</v>
      </c>
      <c r="O1123" s="9" t="str">
        <f>IFERROR(INDEX(T_CleanCustomers[Product],MATCH(B1123,T_CleanCustomers[Customer_ID],0)),"Unmatched")</f>
        <v>Fleet Expense Card</v>
      </c>
      <c r="P1123" s="9" t="str">
        <f>IFERROR(INDEX(T_CleanCustomers[Customer_Segment],MATCH(B1123,T_CleanCustomers[Customer_ID],0)),"Unmatched")</f>
        <v>Mid-Market</v>
      </c>
    </row>
    <row r="1124" spans="1:16" ht="15" customHeight="1" x14ac:dyDescent="0.2">
      <c r="A1124" s="9" t="s">
        <v>2465</v>
      </c>
      <c r="B1124" s="9" t="s">
        <v>1275</v>
      </c>
      <c r="C1124" s="9" t="b">
        <f>TRUE()</f>
        <v>1</v>
      </c>
      <c r="D1124" s="10">
        <v>45858</v>
      </c>
      <c r="E1124" s="10">
        <v>45839</v>
      </c>
      <c r="F1124" s="9" t="s">
        <v>1479</v>
      </c>
      <c r="G1124" s="11">
        <v>15003.88</v>
      </c>
      <c r="H1124" s="11">
        <v>380.46</v>
      </c>
      <c r="I1124" s="9" t="b">
        <f>TRUE()</f>
        <v>1</v>
      </c>
      <c r="J1124" s="9" t="s">
        <v>1361</v>
      </c>
      <c r="K1124" s="11">
        <v>380.46</v>
      </c>
      <c r="L1124" s="9" t="s">
        <v>21</v>
      </c>
      <c r="M1124" s="9" t="str">
        <f>IFERROR(INDEX(T_CleanCustomers[Sales_Rep_ID],MATCH(B1124,T_CleanCustomers[Customer_ID],0)),"Unmatched")</f>
        <v>REP007</v>
      </c>
      <c r="N1124" s="9" t="str">
        <f>IFERROR(INDEX(T_CleanCustomers[Channel],MATCH(B1124,T_CleanCustomers[Customer_ID],0)),"Unmatched")</f>
        <v>Direct Sales</v>
      </c>
      <c r="O1124" s="9" t="str">
        <f>IFERROR(INDEX(T_CleanCustomers[Product],MATCH(B1124,T_CleanCustomers[Customer_ID],0)),"Unmatched")</f>
        <v>Fleet Expense Card</v>
      </c>
      <c r="P1124" s="9" t="str">
        <f>IFERROR(INDEX(T_CleanCustomers[Customer_Segment],MATCH(B1124,T_CleanCustomers[Customer_ID],0)),"Unmatched")</f>
        <v>Mid-Market</v>
      </c>
    </row>
    <row r="1125" spans="1:16" ht="15" customHeight="1" x14ac:dyDescent="0.2">
      <c r="A1125" s="9" t="s">
        <v>2466</v>
      </c>
      <c r="B1125" s="9" t="s">
        <v>1275</v>
      </c>
      <c r="C1125" s="9" t="b">
        <f>TRUE()</f>
        <v>1</v>
      </c>
      <c r="D1125" s="10">
        <v>45867</v>
      </c>
      <c r="E1125" s="10">
        <v>45839</v>
      </c>
      <c r="F1125" s="9" t="s">
        <v>1481</v>
      </c>
      <c r="G1125" s="11">
        <v>5915.26</v>
      </c>
      <c r="H1125" s="11">
        <v>175.31</v>
      </c>
      <c r="I1125" s="9" t="b">
        <f>TRUE()</f>
        <v>1</v>
      </c>
      <c r="J1125" s="9" t="s">
        <v>1361</v>
      </c>
      <c r="K1125" s="11">
        <v>175.31</v>
      </c>
      <c r="L1125" s="9" t="s">
        <v>21</v>
      </c>
      <c r="M1125" s="9" t="str">
        <f>IFERROR(INDEX(T_CleanCustomers[Sales_Rep_ID],MATCH(B1125,T_CleanCustomers[Customer_ID],0)),"Unmatched")</f>
        <v>REP007</v>
      </c>
      <c r="N1125" s="9" t="str">
        <f>IFERROR(INDEX(T_CleanCustomers[Channel],MATCH(B1125,T_CleanCustomers[Customer_ID],0)),"Unmatched")</f>
        <v>Direct Sales</v>
      </c>
      <c r="O1125" s="9" t="str">
        <f>IFERROR(INDEX(T_CleanCustomers[Product],MATCH(B1125,T_CleanCustomers[Customer_ID],0)),"Unmatched")</f>
        <v>Fleet Expense Card</v>
      </c>
      <c r="P1125" s="9" t="str">
        <f>IFERROR(INDEX(T_CleanCustomers[Customer_Segment],MATCH(B1125,T_CleanCustomers[Customer_ID],0)),"Unmatched")</f>
        <v>Mid-Market</v>
      </c>
    </row>
    <row r="1126" spans="1:16" ht="15" customHeight="1" x14ac:dyDescent="0.2">
      <c r="A1126" s="9" t="s">
        <v>2467</v>
      </c>
      <c r="B1126" s="9" t="s">
        <v>1275</v>
      </c>
      <c r="C1126" s="9" t="b">
        <f>TRUE()</f>
        <v>1</v>
      </c>
      <c r="D1126" s="10">
        <v>45898</v>
      </c>
      <c r="E1126" s="10">
        <v>45870</v>
      </c>
      <c r="F1126" s="9" t="s">
        <v>1360</v>
      </c>
      <c r="G1126" s="11">
        <v>12458.38</v>
      </c>
      <c r="H1126" s="11">
        <v>381.42</v>
      </c>
      <c r="I1126" s="9" t="b">
        <f>TRUE()</f>
        <v>1</v>
      </c>
      <c r="J1126" s="9" t="s">
        <v>1361</v>
      </c>
      <c r="K1126" s="11">
        <v>381.42</v>
      </c>
      <c r="L1126" s="9" t="s">
        <v>21</v>
      </c>
      <c r="M1126" s="9" t="str">
        <f>IFERROR(INDEX(T_CleanCustomers[Sales_Rep_ID],MATCH(B1126,T_CleanCustomers[Customer_ID],0)),"Unmatched")</f>
        <v>REP007</v>
      </c>
      <c r="N1126" s="9" t="str">
        <f>IFERROR(INDEX(T_CleanCustomers[Channel],MATCH(B1126,T_CleanCustomers[Customer_ID],0)),"Unmatched")</f>
        <v>Direct Sales</v>
      </c>
      <c r="O1126" s="9" t="str">
        <f>IFERROR(INDEX(T_CleanCustomers[Product],MATCH(B1126,T_CleanCustomers[Customer_ID],0)),"Unmatched")</f>
        <v>Fleet Expense Card</v>
      </c>
      <c r="P1126" s="9" t="str">
        <f>IFERROR(INDEX(T_CleanCustomers[Customer_Segment],MATCH(B1126,T_CleanCustomers[Customer_ID],0)),"Unmatched")</f>
        <v>Mid-Market</v>
      </c>
    </row>
    <row r="1127" spans="1:16" ht="15" customHeight="1" x14ac:dyDescent="0.2">
      <c r="A1127" s="9" t="s">
        <v>2468</v>
      </c>
      <c r="B1127" s="9" t="s">
        <v>1275</v>
      </c>
      <c r="C1127" s="9" t="b">
        <f>TRUE()</f>
        <v>1</v>
      </c>
      <c r="D1127" s="10">
        <v>45888</v>
      </c>
      <c r="E1127" s="10">
        <v>45870</v>
      </c>
      <c r="F1127" s="9" t="s">
        <v>1481</v>
      </c>
      <c r="G1127" s="11">
        <v>9226.1200000000008</v>
      </c>
      <c r="H1127" s="11">
        <v>218.86</v>
      </c>
      <c r="I1127" s="9" t="b">
        <f>TRUE()</f>
        <v>1</v>
      </c>
      <c r="J1127" s="9" t="s">
        <v>1361</v>
      </c>
      <c r="K1127" s="11">
        <v>218.86</v>
      </c>
      <c r="L1127" s="9" t="s">
        <v>21</v>
      </c>
      <c r="M1127" s="9" t="str">
        <f>IFERROR(INDEX(T_CleanCustomers[Sales_Rep_ID],MATCH(B1127,T_CleanCustomers[Customer_ID],0)),"Unmatched")</f>
        <v>REP007</v>
      </c>
      <c r="N1127" s="9" t="str">
        <f>IFERROR(INDEX(T_CleanCustomers[Channel],MATCH(B1127,T_CleanCustomers[Customer_ID],0)),"Unmatched")</f>
        <v>Direct Sales</v>
      </c>
      <c r="O1127" s="9" t="str">
        <f>IFERROR(INDEX(T_CleanCustomers[Product],MATCH(B1127,T_CleanCustomers[Customer_ID],0)),"Unmatched")</f>
        <v>Fleet Expense Card</v>
      </c>
      <c r="P1127" s="9" t="str">
        <f>IFERROR(INDEX(T_CleanCustomers[Customer_Segment],MATCH(B1127,T_CleanCustomers[Customer_ID],0)),"Unmatched")</f>
        <v>Mid-Market</v>
      </c>
    </row>
    <row r="1128" spans="1:16" ht="15" customHeight="1" x14ac:dyDescent="0.2">
      <c r="A1128" s="9" t="s">
        <v>2469</v>
      </c>
      <c r="B1128" s="9" t="s">
        <v>1275</v>
      </c>
      <c r="C1128" s="9" t="b">
        <f>TRUE()</f>
        <v>1</v>
      </c>
      <c r="D1128" s="10">
        <v>45897</v>
      </c>
      <c r="E1128" s="10">
        <v>45870</v>
      </c>
      <c r="F1128" s="9" t="s">
        <v>1481</v>
      </c>
      <c r="G1128" s="11">
        <v>5474.97</v>
      </c>
      <c r="H1128" s="11">
        <v>152.81</v>
      </c>
      <c r="I1128" s="9" t="b">
        <f>TRUE()</f>
        <v>1</v>
      </c>
      <c r="J1128" s="9" t="s">
        <v>1361</v>
      </c>
      <c r="K1128" s="11">
        <v>152.81</v>
      </c>
      <c r="L1128" s="9" t="s">
        <v>21</v>
      </c>
      <c r="M1128" s="9" t="str">
        <f>IFERROR(INDEX(T_CleanCustomers[Sales_Rep_ID],MATCH(B1128,T_CleanCustomers[Customer_ID],0)),"Unmatched")</f>
        <v>REP007</v>
      </c>
      <c r="N1128" s="9" t="str">
        <f>IFERROR(INDEX(T_CleanCustomers[Channel],MATCH(B1128,T_CleanCustomers[Customer_ID],0)),"Unmatched")</f>
        <v>Direct Sales</v>
      </c>
      <c r="O1128" s="9" t="str">
        <f>IFERROR(INDEX(T_CleanCustomers[Product],MATCH(B1128,T_CleanCustomers[Customer_ID],0)),"Unmatched")</f>
        <v>Fleet Expense Card</v>
      </c>
      <c r="P1128" s="9" t="str">
        <f>IFERROR(INDEX(T_CleanCustomers[Customer_Segment],MATCH(B1128,T_CleanCustomers[Customer_ID],0)),"Unmatched")</f>
        <v>Mid-Market</v>
      </c>
    </row>
    <row r="1129" spans="1:16" ht="15" customHeight="1" x14ac:dyDescent="0.2">
      <c r="A1129" s="9" t="s">
        <v>2470</v>
      </c>
      <c r="B1129" s="9" t="s">
        <v>1275</v>
      </c>
      <c r="C1129" s="9" t="b">
        <f>TRUE()</f>
        <v>1</v>
      </c>
      <c r="D1129" s="10">
        <v>45914</v>
      </c>
      <c r="E1129" s="10">
        <v>45901</v>
      </c>
      <c r="F1129" s="9" t="s">
        <v>1479</v>
      </c>
      <c r="G1129" s="11">
        <v>15998.44</v>
      </c>
      <c r="H1129" s="11">
        <v>487.04</v>
      </c>
      <c r="I1129" s="9" t="b">
        <f>TRUE()</f>
        <v>1</v>
      </c>
      <c r="J1129" s="9" t="s">
        <v>1361</v>
      </c>
      <c r="K1129" s="11">
        <v>487.04</v>
      </c>
      <c r="L1129" s="9" t="s">
        <v>21</v>
      </c>
      <c r="M1129" s="9" t="str">
        <f>IFERROR(INDEX(T_CleanCustomers[Sales_Rep_ID],MATCH(B1129,T_CleanCustomers[Customer_ID],0)),"Unmatched")</f>
        <v>REP007</v>
      </c>
      <c r="N1129" s="9" t="str">
        <f>IFERROR(INDEX(T_CleanCustomers[Channel],MATCH(B1129,T_CleanCustomers[Customer_ID],0)),"Unmatched")</f>
        <v>Direct Sales</v>
      </c>
      <c r="O1129" s="9" t="str">
        <f>IFERROR(INDEX(T_CleanCustomers[Product],MATCH(B1129,T_CleanCustomers[Customer_ID],0)),"Unmatched")</f>
        <v>Fleet Expense Card</v>
      </c>
      <c r="P1129" s="9" t="str">
        <f>IFERROR(INDEX(T_CleanCustomers[Customer_Segment],MATCH(B1129,T_CleanCustomers[Customer_ID],0)),"Unmatched")</f>
        <v>Mid-Market</v>
      </c>
    </row>
    <row r="1130" spans="1:16" ht="15" customHeight="1" x14ac:dyDescent="0.2">
      <c r="A1130" s="9" t="s">
        <v>2471</v>
      </c>
      <c r="B1130" s="9" t="s">
        <v>1275</v>
      </c>
      <c r="C1130" s="9" t="b">
        <f>TRUE()</f>
        <v>1</v>
      </c>
      <c r="D1130" s="10">
        <v>45945</v>
      </c>
      <c r="E1130" s="10">
        <v>45931</v>
      </c>
      <c r="F1130" s="9" t="s">
        <v>1360</v>
      </c>
      <c r="G1130" s="11">
        <v>12132.02</v>
      </c>
      <c r="H1130" s="11">
        <v>369.09</v>
      </c>
      <c r="I1130" s="9" t="b">
        <f>TRUE()</f>
        <v>1</v>
      </c>
      <c r="J1130" s="9" t="s">
        <v>1361</v>
      </c>
      <c r="K1130" s="11">
        <v>369.09</v>
      </c>
      <c r="L1130" s="9" t="s">
        <v>21</v>
      </c>
      <c r="M1130" s="9" t="str">
        <f>IFERROR(INDEX(T_CleanCustomers[Sales_Rep_ID],MATCH(B1130,T_CleanCustomers[Customer_ID],0)),"Unmatched")</f>
        <v>REP007</v>
      </c>
      <c r="N1130" s="9" t="str">
        <f>IFERROR(INDEX(T_CleanCustomers[Channel],MATCH(B1130,T_CleanCustomers[Customer_ID],0)),"Unmatched")</f>
        <v>Direct Sales</v>
      </c>
      <c r="O1130" s="9" t="str">
        <f>IFERROR(INDEX(T_CleanCustomers[Product],MATCH(B1130,T_CleanCustomers[Customer_ID],0)),"Unmatched")</f>
        <v>Fleet Expense Card</v>
      </c>
      <c r="P1130" s="9" t="str">
        <f>IFERROR(INDEX(T_CleanCustomers[Customer_Segment],MATCH(B1130,T_CleanCustomers[Customer_ID],0)),"Unmatched")</f>
        <v>Mid-Market</v>
      </c>
    </row>
    <row r="1131" spans="1:16" ht="15" customHeight="1" x14ac:dyDescent="0.2">
      <c r="A1131" s="9" t="s">
        <v>2472</v>
      </c>
      <c r="B1131" s="9" t="s">
        <v>1275</v>
      </c>
      <c r="C1131" s="9" t="b">
        <f>TRUE()</f>
        <v>1</v>
      </c>
      <c r="D1131" s="10">
        <v>45935</v>
      </c>
      <c r="E1131" s="10">
        <v>45931</v>
      </c>
      <c r="F1131" s="9" t="s">
        <v>1481</v>
      </c>
      <c r="G1131" s="11">
        <v>9758.93</v>
      </c>
      <c r="H1131" s="11">
        <v>224.3</v>
      </c>
      <c r="I1131" s="9" t="b">
        <f>TRUE()</f>
        <v>1</v>
      </c>
      <c r="J1131" s="9" t="s">
        <v>1361</v>
      </c>
      <c r="K1131" s="11">
        <v>224.3</v>
      </c>
      <c r="L1131" s="9" t="s">
        <v>21</v>
      </c>
      <c r="M1131" s="9" t="str">
        <f>IFERROR(INDEX(T_CleanCustomers[Sales_Rep_ID],MATCH(B1131,T_CleanCustomers[Customer_ID],0)),"Unmatched")</f>
        <v>REP007</v>
      </c>
      <c r="N1131" s="9" t="str">
        <f>IFERROR(INDEX(T_CleanCustomers[Channel],MATCH(B1131,T_CleanCustomers[Customer_ID],0)),"Unmatched")</f>
        <v>Direct Sales</v>
      </c>
      <c r="O1131" s="9" t="str">
        <f>IFERROR(INDEX(T_CleanCustomers[Product],MATCH(B1131,T_CleanCustomers[Customer_ID],0)),"Unmatched")</f>
        <v>Fleet Expense Card</v>
      </c>
      <c r="P1131" s="9" t="str">
        <f>IFERROR(INDEX(T_CleanCustomers[Customer_Segment],MATCH(B1131,T_CleanCustomers[Customer_ID],0)),"Unmatched")</f>
        <v>Mid-Market</v>
      </c>
    </row>
    <row r="1132" spans="1:16" ht="15" customHeight="1" x14ac:dyDescent="0.2">
      <c r="A1132" s="9" t="s">
        <v>2473</v>
      </c>
      <c r="B1132" s="9" t="s">
        <v>1275</v>
      </c>
      <c r="C1132" s="9" t="b">
        <f>TRUE()</f>
        <v>1</v>
      </c>
      <c r="D1132" s="10">
        <v>45945</v>
      </c>
      <c r="E1132" s="10">
        <v>45931</v>
      </c>
      <c r="F1132" s="9" t="s">
        <v>1360</v>
      </c>
      <c r="G1132" s="11">
        <v>5521.69</v>
      </c>
      <c r="H1132" s="11">
        <v>170.45</v>
      </c>
      <c r="I1132" s="9" t="b">
        <f>TRUE()</f>
        <v>1</v>
      </c>
      <c r="J1132" s="9" t="s">
        <v>1361</v>
      </c>
      <c r="K1132" s="11">
        <v>170.45</v>
      </c>
      <c r="L1132" s="9" t="s">
        <v>21</v>
      </c>
      <c r="M1132" s="9" t="str">
        <f>IFERROR(INDEX(T_CleanCustomers[Sales_Rep_ID],MATCH(B1132,T_CleanCustomers[Customer_ID],0)),"Unmatched")</f>
        <v>REP007</v>
      </c>
      <c r="N1132" s="9" t="str">
        <f>IFERROR(INDEX(T_CleanCustomers[Channel],MATCH(B1132,T_CleanCustomers[Customer_ID],0)),"Unmatched")</f>
        <v>Direct Sales</v>
      </c>
      <c r="O1132" s="9" t="str">
        <f>IFERROR(INDEX(T_CleanCustomers[Product],MATCH(B1132,T_CleanCustomers[Customer_ID],0)),"Unmatched")</f>
        <v>Fleet Expense Card</v>
      </c>
      <c r="P1132" s="9" t="str">
        <f>IFERROR(INDEX(T_CleanCustomers[Customer_Segment],MATCH(B1132,T_CleanCustomers[Customer_ID],0)),"Unmatched")</f>
        <v>Mid-Market</v>
      </c>
    </row>
    <row r="1133" spans="1:16" ht="15" customHeight="1" x14ac:dyDescent="0.2">
      <c r="A1133" s="9" t="s">
        <v>2474</v>
      </c>
      <c r="B1133" s="9" t="s">
        <v>1275</v>
      </c>
      <c r="C1133" s="9" t="b">
        <f>TRUE()</f>
        <v>1</v>
      </c>
      <c r="D1133" s="10">
        <v>45968</v>
      </c>
      <c r="E1133" s="10">
        <v>45962</v>
      </c>
      <c r="F1133" s="9" t="s">
        <v>1481</v>
      </c>
      <c r="G1133" s="11">
        <v>13706.69</v>
      </c>
      <c r="H1133" s="11">
        <v>385.31</v>
      </c>
      <c r="I1133" s="9" t="b">
        <f>TRUE()</f>
        <v>1</v>
      </c>
      <c r="J1133" s="9" t="s">
        <v>1361</v>
      </c>
      <c r="K1133" s="11">
        <v>385.31</v>
      </c>
      <c r="L1133" s="9" t="s">
        <v>21</v>
      </c>
      <c r="M1133" s="9" t="str">
        <f>IFERROR(INDEX(T_CleanCustomers[Sales_Rep_ID],MATCH(B1133,T_CleanCustomers[Customer_ID],0)),"Unmatched")</f>
        <v>REP007</v>
      </c>
      <c r="N1133" s="9" t="str">
        <f>IFERROR(INDEX(T_CleanCustomers[Channel],MATCH(B1133,T_CleanCustomers[Customer_ID],0)),"Unmatched")</f>
        <v>Direct Sales</v>
      </c>
      <c r="O1133" s="9" t="str">
        <f>IFERROR(INDEX(T_CleanCustomers[Product],MATCH(B1133,T_CleanCustomers[Customer_ID],0)),"Unmatched")</f>
        <v>Fleet Expense Card</v>
      </c>
      <c r="P1133" s="9" t="str">
        <f>IFERROR(INDEX(T_CleanCustomers[Customer_Segment],MATCH(B1133,T_CleanCustomers[Customer_ID],0)),"Unmatched")</f>
        <v>Mid-Market</v>
      </c>
    </row>
    <row r="1134" spans="1:16" ht="15" customHeight="1" x14ac:dyDescent="0.2">
      <c r="A1134" s="9" t="s">
        <v>2475</v>
      </c>
      <c r="B1134" s="9" t="s">
        <v>1275</v>
      </c>
      <c r="C1134" s="9" t="b">
        <f>TRUE()</f>
        <v>1</v>
      </c>
      <c r="D1134" s="10">
        <v>45974</v>
      </c>
      <c r="E1134" s="10">
        <v>45962</v>
      </c>
      <c r="F1134" s="9" t="s">
        <v>1481</v>
      </c>
      <c r="G1134" s="11">
        <v>9499.64</v>
      </c>
      <c r="H1134" s="11">
        <v>274.85000000000002</v>
      </c>
      <c r="I1134" s="9" t="b">
        <f>TRUE()</f>
        <v>1</v>
      </c>
      <c r="J1134" s="9" t="s">
        <v>1361</v>
      </c>
      <c r="K1134" s="11">
        <v>274.85000000000002</v>
      </c>
      <c r="L1134" s="9" t="s">
        <v>21</v>
      </c>
      <c r="M1134" s="9" t="str">
        <f>IFERROR(INDEX(T_CleanCustomers[Sales_Rep_ID],MATCH(B1134,T_CleanCustomers[Customer_ID],0)),"Unmatched")</f>
        <v>REP007</v>
      </c>
      <c r="N1134" s="9" t="str">
        <f>IFERROR(INDEX(T_CleanCustomers[Channel],MATCH(B1134,T_CleanCustomers[Customer_ID],0)),"Unmatched")</f>
        <v>Direct Sales</v>
      </c>
      <c r="O1134" s="9" t="str">
        <f>IFERROR(INDEX(T_CleanCustomers[Product],MATCH(B1134,T_CleanCustomers[Customer_ID],0)),"Unmatched")</f>
        <v>Fleet Expense Card</v>
      </c>
      <c r="P1134" s="9" t="str">
        <f>IFERROR(INDEX(T_CleanCustomers[Customer_Segment],MATCH(B1134,T_CleanCustomers[Customer_ID],0)),"Unmatched")</f>
        <v>Mid-Market</v>
      </c>
    </row>
    <row r="1135" spans="1:16" ht="15" customHeight="1" x14ac:dyDescent="0.2">
      <c r="A1135" s="9" t="s">
        <v>2476</v>
      </c>
      <c r="B1135" s="9" t="s">
        <v>1275</v>
      </c>
      <c r="C1135" s="9" t="b">
        <f>TRUE()</f>
        <v>1</v>
      </c>
      <c r="D1135" s="10">
        <v>45967</v>
      </c>
      <c r="E1135" s="10">
        <v>45962</v>
      </c>
      <c r="F1135" s="9" t="s">
        <v>1479</v>
      </c>
      <c r="G1135" s="11">
        <v>5828.89</v>
      </c>
      <c r="H1135" s="11">
        <v>140.4</v>
      </c>
      <c r="I1135" s="9" t="b">
        <f>TRUE()</f>
        <v>1</v>
      </c>
      <c r="J1135" s="9" t="s">
        <v>1361</v>
      </c>
      <c r="K1135" s="11">
        <v>140.4</v>
      </c>
      <c r="L1135" s="9" t="s">
        <v>21</v>
      </c>
      <c r="M1135" s="9" t="str">
        <f>IFERROR(INDEX(T_CleanCustomers[Sales_Rep_ID],MATCH(B1135,T_CleanCustomers[Customer_ID],0)),"Unmatched")</f>
        <v>REP007</v>
      </c>
      <c r="N1135" s="9" t="str">
        <f>IFERROR(INDEX(T_CleanCustomers[Channel],MATCH(B1135,T_CleanCustomers[Customer_ID],0)),"Unmatched")</f>
        <v>Direct Sales</v>
      </c>
      <c r="O1135" s="9" t="str">
        <f>IFERROR(INDEX(T_CleanCustomers[Product],MATCH(B1135,T_CleanCustomers[Customer_ID],0)),"Unmatched")</f>
        <v>Fleet Expense Card</v>
      </c>
      <c r="P1135" s="9" t="str">
        <f>IFERROR(INDEX(T_CleanCustomers[Customer_Segment],MATCH(B1135,T_CleanCustomers[Customer_ID],0)),"Unmatched")</f>
        <v>Mid-Market</v>
      </c>
    </row>
    <row r="1136" spans="1:16" ht="15" customHeight="1" x14ac:dyDescent="0.2">
      <c r="A1136" s="9" t="s">
        <v>2477</v>
      </c>
      <c r="B1136" s="9" t="s">
        <v>1278</v>
      </c>
      <c r="C1136" s="9" t="b">
        <f>TRUE()</f>
        <v>1</v>
      </c>
      <c r="D1136" s="10">
        <v>45961</v>
      </c>
      <c r="E1136" s="10">
        <v>45931</v>
      </c>
      <c r="F1136" s="9" t="s">
        <v>1360</v>
      </c>
      <c r="G1136" s="11">
        <v>1778.56</v>
      </c>
      <c r="H1136" s="11">
        <v>44.63</v>
      </c>
      <c r="I1136" s="9" t="b">
        <f>TRUE()</f>
        <v>1</v>
      </c>
      <c r="J1136" s="9" t="s">
        <v>1361</v>
      </c>
      <c r="K1136" s="11">
        <v>44.63</v>
      </c>
      <c r="L1136" s="9" t="s">
        <v>21</v>
      </c>
      <c r="M1136" s="9" t="str">
        <f>IFERROR(INDEX(T_CleanCustomers[Sales_Rep_ID],MATCH(B1136,T_CleanCustomers[Customer_ID],0)),"Unmatched")</f>
        <v>REP009</v>
      </c>
      <c r="N1136" s="9" t="str">
        <f>IFERROR(INDEX(T_CleanCustomers[Channel],MATCH(B1136,T_CleanCustomers[Customer_ID],0)),"Unmatched")</f>
        <v>Direct Sales</v>
      </c>
      <c r="O1136" s="9" t="str">
        <f>IFERROR(INDEX(T_CleanCustomers[Product],MATCH(B1136,T_CleanCustomers[Customer_ID],0)),"Unmatched")</f>
        <v>Fuel Card</v>
      </c>
      <c r="P1136" s="9" t="str">
        <f>IFERROR(INDEX(T_CleanCustomers[Customer_Segment],MATCH(B1136,T_CleanCustomers[Customer_ID],0)),"Unmatched")</f>
        <v>SME</v>
      </c>
    </row>
    <row r="1137" spans="1:16" ht="15" customHeight="1" x14ac:dyDescent="0.2">
      <c r="A1137" s="9" t="s">
        <v>2478</v>
      </c>
      <c r="B1137" s="9" t="s">
        <v>1278</v>
      </c>
      <c r="C1137" s="9" t="b">
        <f>TRUE()</f>
        <v>1</v>
      </c>
      <c r="D1137" s="10">
        <v>45958</v>
      </c>
      <c r="E1137" s="10">
        <v>45931</v>
      </c>
      <c r="F1137" s="9" t="s">
        <v>1360</v>
      </c>
      <c r="G1137" s="11">
        <v>4374.99</v>
      </c>
      <c r="H1137" s="11">
        <v>110.96</v>
      </c>
      <c r="I1137" s="9" t="b">
        <f>TRUE()</f>
        <v>1</v>
      </c>
      <c r="J1137" s="9" t="s">
        <v>1361</v>
      </c>
      <c r="K1137" s="11">
        <v>110.96</v>
      </c>
      <c r="L1137" s="9" t="s">
        <v>21</v>
      </c>
      <c r="M1137" s="9" t="str">
        <f>IFERROR(INDEX(T_CleanCustomers[Sales_Rep_ID],MATCH(B1137,T_CleanCustomers[Customer_ID],0)),"Unmatched")</f>
        <v>REP009</v>
      </c>
      <c r="N1137" s="9" t="str">
        <f>IFERROR(INDEX(T_CleanCustomers[Channel],MATCH(B1137,T_CleanCustomers[Customer_ID],0)),"Unmatched")</f>
        <v>Direct Sales</v>
      </c>
      <c r="O1137" s="9" t="str">
        <f>IFERROR(INDEX(T_CleanCustomers[Product],MATCH(B1137,T_CleanCustomers[Customer_ID],0)),"Unmatched")</f>
        <v>Fuel Card</v>
      </c>
      <c r="P1137" s="9" t="str">
        <f>IFERROR(INDEX(T_CleanCustomers[Customer_Segment],MATCH(B1137,T_CleanCustomers[Customer_ID],0)),"Unmatched")</f>
        <v>SME</v>
      </c>
    </row>
    <row r="1138" spans="1:16" ht="15" customHeight="1" x14ac:dyDescent="0.2">
      <c r="A1138" s="9" t="s">
        <v>2479</v>
      </c>
      <c r="B1138" s="9" t="s">
        <v>1278</v>
      </c>
      <c r="C1138" s="9" t="b">
        <f>TRUE()</f>
        <v>1</v>
      </c>
      <c r="D1138" s="10">
        <v>45975</v>
      </c>
      <c r="E1138" s="10">
        <v>45962</v>
      </c>
      <c r="F1138" s="9" t="s">
        <v>1360</v>
      </c>
      <c r="G1138" s="11">
        <v>2147.17</v>
      </c>
      <c r="H1138" s="11">
        <v>0</v>
      </c>
      <c r="I1138" s="9" t="b">
        <f>TRUE()</f>
        <v>1</v>
      </c>
      <c r="J1138" s="9" t="s">
        <v>1408</v>
      </c>
      <c r="K1138" s="11">
        <v>0</v>
      </c>
      <c r="L1138" s="9" t="s">
        <v>21</v>
      </c>
      <c r="M1138" s="9" t="str">
        <f>IFERROR(INDEX(T_CleanCustomers[Sales_Rep_ID],MATCH(B1138,T_CleanCustomers[Customer_ID],0)),"Unmatched")</f>
        <v>REP009</v>
      </c>
      <c r="N1138" s="9" t="str">
        <f>IFERROR(INDEX(T_CleanCustomers[Channel],MATCH(B1138,T_CleanCustomers[Customer_ID],0)),"Unmatched")</f>
        <v>Direct Sales</v>
      </c>
      <c r="O1138" s="9" t="str">
        <f>IFERROR(INDEX(T_CleanCustomers[Product],MATCH(B1138,T_CleanCustomers[Customer_ID],0)),"Unmatched")</f>
        <v>Fuel Card</v>
      </c>
      <c r="P1138" s="9" t="str">
        <f>IFERROR(INDEX(T_CleanCustomers[Customer_Segment],MATCH(B1138,T_CleanCustomers[Customer_ID],0)),"Unmatched")</f>
        <v>SME</v>
      </c>
    </row>
    <row r="1139" spans="1:16" ht="15" customHeight="1" x14ac:dyDescent="0.2">
      <c r="A1139" s="9" t="s">
        <v>2480</v>
      </c>
      <c r="B1139" s="9" t="s">
        <v>1278</v>
      </c>
      <c r="C1139" s="9" t="b">
        <f>TRUE()</f>
        <v>1</v>
      </c>
      <c r="D1139" s="10">
        <v>45970</v>
      </c>
      <c r="E1139" s="10">
        <v>45962</v>
      </c>
      <c r="F1139" s="9" t="s">
        <v>1360</v>
      </c>
      <c r="G1139" s="11">
        <v>1599.48</v>
      </c>
      <c r="H1139" s="11">
        <v>37.89</v>
      </c>
      <c r="I1139" s="9" t="b">
        <f>TRUE()</f>
        <v>1</v>
      </c>
      <c r="J1139" s="9" t="s">
        <v>1361</v>
      </c>
      <c r="K1139" s="11">
        <v>37.89</v>
      </c>
      <c r="L1139" s="9" t="s">
        <v>21</v>
      </c>
      <c r="M1139" s="9" t="str">
        <f>IFERROR(INDEX(T_CleanCustomers[Sales_Rep_ID],MATCH(B1139,T_CleanCustomers[Customer_ID],0)),"Unmatched")</f>
        <v>REP009</v>
      </c>
      <c r="N1139" s="9" t="str">
        <f>IFERROR(INDEX(T_CleanCustomers[Channel],MATCH(B1139,T_CleanCustomers[Customer_ID],0)),"Unmatched")</f>
        <v>Direct Sales</v>
      </c>
      <c r="O1139" s="9" t="str">
        <f>IFERROR(INDEX(T_CleanCustomers[Product],MATCH(B1139,T_CleanCustomers[Customer_ID],0)),"Unmatched")</f>
        <v>Fuel Card</v>
      </c>
      <c r="P1139" s="9" t="str">
        <f>IFERROR(INDEX(T_CleanCustomers[Customer_Segment],MATCH(B1139,T_CleanCustomers[Customer_ID],0)),"Unmatched")</f>
        <v>SME</v>
      </c>
    </row>
    <row r="1140" spans="1:16" ht="15" customHeight="1" x14ac:dyDescent="0.2">
      <c r="A1140" s="9" t="s">
        <v>2481</v>
      </c>
      <c r="B1140" s="9" t="s">
        <v>1278</v>
      </c>
      <c r="C1140" s="9" t="b">
        <f>TRUE()</f>
        <v>1</v>
      </c>
      <c r="D1140" s="10">
        <v>45963</v>
      </c>
      <c r="E1140" s="10">
        <v>45962</v>
      </c>
      <c r="F1140" s="9" t="s">
        <v>1360</v>
      </c>
      <c r="G1140" s="11">
        <v>5024.5600000000004</v>
      </c>
      <c r="H1140" s="11">
        <v>128.16999999999999</v>
      </c>
      <c r="I1140" s="9" t="b">
        <f>TRUE()</f>
        <v>1</v>
      </c>
      <c r="J1140" s="9" t="s">
        <v>1361</v>
      </c>
      <c r="K1140" s="11">
        <v>128.16999999999999</v>
      </c>
      <c r="L1140" s="9" t="s">
        <v>21</v>
      </c>
      <c r="M1140" s="9" t="str">
        <f>IFERROR(INDEX(T_CleanCustomers[Sales_Rep_ID],MATCH(B1140,T_CleanCustomers[Customer_ID],0)),"Unmatched")</f>
        <v>REP009</v>
      </c>
      <c r="N1140" s="9" t="str">
        <f>IFERROR(INDEX(T_CleanCustomers[Channel],MATCH(B1140,T_CleanCustomers[Customer_ID],0)),"Unmatched")</f>
        <v>Direct Sales</v>
      </c>
      <c r="O1140" s="9" t="str">
        <f>IFERROR(INDEX(T_CleanCustomers[Product],MATCH(B1140,T_CleanCustomers[Customer_ID],0)),"Unmatched")</f>
        <v>Fuel Card</v>
      </c>
      <c r="P1140" s="9" t="str">
        <f>IFERROR(INDEX(T_CleanCustomers[Customer_Segment],MATCH(B1140,T_CleanCustomers[Customer_ID],0)),"Unmatched")</f>
        <v>SME</v>
      </c>
    </row>
    <row r="1141" spans="1:16" ht="15" customHeight="1" x14ac:dyDescent="0.2">
      <c r="A1141" s="9" t="s">
        <v>2482</v>
      </c>
      <c r="B1141" s="9" t="s">
        <v>1278</v>
      </c>
      <c r="C1141" s="9" t="b">
        <f>TRUE()</f>
        <v>1</v>
      </c>
      <c r="D1141" s="10">
        <v>46008</v>
      </c>
      <c r="E1141" s="10">
        <v>45992</v>
      </c>
      <c r="F1141" s="9" t="s">
        <v>1360</v>
      </c>
      <c r="G1141" s="11">
        <v>3895.49</v>
      </c>
      <c r="H1141" s="11">
        <v>107.06</v>
      </c>
      <c r="I1141" s="9" t="b">
        <f>TRUE()</f>
        <v>1</v>
      </c>
      <c r="J1141" s="9" t="s">
        <v>1361</v>
      </c>
      <c r="K1141" s="11">
        <v>107.06</v>
      </c>
      <c r="L1141" s="9" t="s">
        <v>21</v>
      </c>
      <c r="M1141" s="9" t="str">
        <f>IFERROR(INDEX(T_CleanCustomers[Sales_Rep_ID],MATCH(B1141,T_CleanCustomers[Customer_ID],0)),"Unmatched")</f>
        <v>REP009</v>
      </c>
      <c r="N1141" s="9" t="str">
        <f>IFERROR(INDEX(T_CleanCustomers[Channel],MATCH(B1141,T_CleanCustomers[Customer_ID],0)),"Unmatched")</f>
        <v>Direct Sales</v>
      </c>
      <c r="O1141" s="9" t="str">
        <f>IFERROR(INDEX(T_CleanCustomers[Product],MATCH(B1141,T_CleanCustomers[Customer_ID],0)),"Unmatched")</f>
        <v>Fuel Card</v>
      </c>
      <c r="P1141" s="9" t="str">
        <f>IFERROR(INDEX(T_CleanCustomers[Customer_Segment],MATCH(B1141,T_CleanCustomers[Customer_ID],0)),"Unmatched")</f>
        <v>SME</v>
      </c>
    </row>
    <row r="1142" spans="1:16" ht="15" customHeight="1" x14ac:dyDescent="0.2">
      <c r="A1142" s="9" t="s">
        <v>2483</v>
      </c>
      <c r="B1142" s="9" t="s">
        <v>1278</v>
      </c>
      <c r="C1142" s="9" t="b">
        <f>TRUE()</f>
        <v>1</v>
      </c>
      <c r="D1142" s="10">
        <v>46021</v>
      </c>
      <c r="E1142" s="10">
        <v>45992</v>
      </c>
      <c r="F1142" s="9" t="s">
        <v>1360</v>
      </c>
      <c r="G1142" s="11">
        <v>3557.25</v>
      </c>
      <c r="H1142" s="11">
        <v>84.01</v>
      </c>
      <c r="I1142" s="9" t="b">
        <f>TRUE()</f>
        <v>1</v>
      </c>
      <c r="J1142" s="9" t="s">
        <v>1361</v>
      </c>
      <c r="K1142" s="11">
        <v>84.01</v>
      </c>
      <c r="L1142" s="9" t="s">
        <v>21</v>
      </c>
      <c r="M1142" s="9" t="str">
        <f>IFERROR(INDEX(T_CleanCustomers[Sales_Rep_ID],MATCH(B1142,T_CleanCustomers[Customer_ID],0)),"Unmatched")</f>
        <v>REP009</v>
      </c>
      <c r="N1142" s="9" t="str">
        <f>IFERROR(INDEX(T_CleanCustomers[Channel],MATCH(B1142,T_CleanCustomers[Customer_ID],0)),"Unmatched")</f>
        <v>Direct Sales</v>
      </c>
      <c r="O1142" s="9" t="str">
        <f>IFERROR(INDEX(T_CleanCustomers[Product],MATCH(B1142,T_CleanCustomers[Customer_ID],0)),"Unmatched")</f>
        <v>Fuel Card</v>
      </c>
      <c r="P1142" s="9" t="str">
        <f>IFERROR(INDEX(T_CleanCustomers[Customer_Segment],MATCH(B1142,T_CleanCustomers[Customer_ID],0)),"Unmatched")</f>
        <v>SME</v>
      </c>
    </row>
    <row r="1143" spans="1:16" ht="15" customHeight="1" x14ac:dyDescent="0.2">
      <c r="A1143" s="9" t="s">
        <v>2484</v>
      </c>
      <c r="B1143" s="9" t="s">
        <v>1281</v>
      </c>
      <c r="C1143" s="9" t="b">
        <f>TRUE()</f>
        <v>1</v>
      </c>
      <c r="D1143" s="10">
        <v>45928</v>
      </c>
      <c r="E1143" s="10">
        <v>45901</v>
      </c>
      <c r="F1143" s="9" t="s">
        <v>1360</v>
      </c>
      <c r="G1143" s="11">
        <v>4030.63</v>
      </c>
      <c r="H1143" s="11">
        <v>90.37</v>
      </c>
      <c r="I1143" s="9" t="b">
        <f>TRUE()</f>
        <v>1</v>
      </c>
      <c r="J1143" s="9" t="s">
        <v>1361</v>
      </c>
      <c r="K1143" s="11">
        <v>90.37</v>
      </c>
      <c r="L1143" s="9" t="s">
        <v>21</v>
      </c>
      <c r="M1143" s="9" t="str">
        <f>IFERROR(INDEX(T_CleanCustomers[Sales_Rep_ID],MATCH(B1143,T_CleanCustomers[Customer_ID],0)),"Unmatched")</f>
        <v>REP009</v>
      </c>
      <c r="N1143" s="9" t="str">
        <f>IFERROR(INDEX(T_CleanCustomers[Channel],MATCH(B1143,T_CleanCustomers[Customer_ID],0)),"Unmatched")</f>
        <v>Direct Sales</v>
      </c>
      <c r="O1143" s="9" t="str">
        <f>IFERROR(INDEX(T_CleanCustomers[Product],MATCH(B1143,T_CleanCustomers[Customer_ID],0)),"Unmatched")</f>
        <v>Fuel Card</v>
      </c>
      <c r="P1143" s="9" t="str">
        <f>IFERROR(INDEX(T_CleanCustomers[Customer_Segment],MATCH(B1143,T_CleanCustomers[Customer_ID],0)),"Unmatched")</f>
        <v>SME</v>
      </c>
    </row>
    <row r="1144" spans="1:16" ht="15" customHeight="1" x14ac:dyDescent="0.2">
      <c r="A1144" s="9" t="s">
        <v>2485</v>
      </c>
      <c r="B1144" s="9" t="s">
        <v>1281</v>
      </c>
      <c r="C1144" s="9" t="b">
        <f>TRUE()</f>
        <v>1</v>
      </c>
      <c r="D1144" s="10">
        <v>45925</v>
      </c>
      <c r="E1144" s="10">
        <v>45901</v>
      </c>
      <c r="F1144" s="9" t="s">
        <v>1360</v>
      </c>
      <c r="G1144" s="11">
        <v>1900.67</v>
      </c>
      <c r="H1144" s="11">
        <v>47.7</v>
      </c>
      <c r="I1144" s="9" t="b">
        <f>TRUE()</f>
        <v>1</v>
      </c>
      <c r="J1144" s="9" t="s">
        <v>1361</v>
      </c>
      <c r="K1144" s="11">
        <v>47.7</v>
      </c>
      <c r="L1144" s="9" t="s">
        <v>21</v>
      </c>
      <c r="M1144" s="9" t="str">
        <f>IFERROR(INDEX(T_CleanCustomers[Sales_Rep_ID],MATCH(B1144,T_CleanCustomers[Customer_ID],0)),"Unmatched")</f>
        <v>REP009</v>
      </c>
      <c r="N1144" s="9" t="str">
        <f>IFERROR(INDEX(T_CleanCustomers[Channel],MATCH(B1144,T_CleanCustomers[Customer_ID],0)),"Unmatched")</f>
        <v>Direct Sales</v>
      </c>
      <c r="O1144" s="9" t="str">
        <f>IFERROR(INDEX(T_CleanCustomers[Product],MATCH(B1144,T_CleanCustomers[Customer_ID],0)),"Unmatched")</f>
        <v>Fuel Card</v>
      </c>
      <c r="P1144" s="9" t="str">
        <f>IFERROR(INDEX(T_CleanCustomers[Customer_Segment],MATCH(B1144,T_CleanCustomers[Customer_ID],0)),"Unmatched")</f>
        <v>SME</v>
      </c>
    </row>
    <row r="1145" spans="1:16" ht="15" customHeight="1" x14ac:dyDescent="0.2">
      <c r="A1145" s="9" t="s">
        <v>2486</v>
      </c>
      <c r="B1145" s="9" t="s">
        <v>1281</v>
      </c>
      <c r="C1145" s="9" t="b">
        <f>TRUE()</f>
        <v>1</v>
      </c>
      <c r="D1145" s="10">
        <v>45933</v>
      </c>
      <c r="E1145" s="10">
        <v>45931</v>
      </c>
      <c r="F1145" s="9" t="s">
        <v>1360</v>
      </c>
      <c r="G1145" s="11">
        <v>1551.78</v>
      </c>
      <c r="H1145" s="11">
        <v>37.25</v>
      </c>
      <c r="I1145" s="9" t="b">
        <f>TRUE()</f>
        <v>1</v>
      </c>
      <c r="J1145" s="9" t="s">
        <v>1361</v>
      </c>
      <c r="K1145" s="11">
        <v>37.25</v>
      </c>
      <c r="L1145" s="9" t="s">
        <v>21</v>
      </c>
      <c r="M1145" s="9" t="str">
        <f>IFERROR(INDEX(T_CleanCustomers[Sales_Rep_ID],MATCH(B1145,T_CleanCustomers[Customer_ID],0)),"Unmatched")</f>
        <v>REP009</v>
      </c>
      <c r="N1145" s="9" t="str">
        <f>IFERROR(INDEX(T_CleanCustomers[Channel],MATCH(B1145,T_CleanCustomers[Customer_ID],0)),"Unmatched")</f>
        <v>Direct Sales</v>
      </c>
      <c r="O1145" s="9" t="str">
        <f>IFERROR(INDEX(T_CleanCustomers[Product],MATCH(B1145,T_CleanCustomers[Customer_ID],0)),"Unmatched")</f>
        <v>Fuel Card</v>
      </c>
      <c r="P1145" s="9" t="str">
        <f>IFERROR(INDEX(T_CleanCustomers[Customer_Segment],MATCH(B1145,T_CleanCustomers[Customer_ID],0)),"Unmatched")</f>
        <v>SME</v>
      </c>
    </row>
    <row r="1146" spans="1:16" ht="15" customHeight="1" x14ac:dyDescent="0.2">
      <c r="A1146" s="9" t="s">
        <v>2487</v>
      </c>
      <c r="B1146" s="9" t="s">
        <v>1281</v>
      </c>
      <c r="C1146" s="9" t="b">
        <f>TRUE()</f>
        <v>1</v>
      </c>
      <c r="D1146" s="10">
        <v>45942</v>
      </c>
      <c r="E1146" s="10">
        <v>45931</v>
      </c>
      <c r="F1146" s="9" t="s">
        <v>1360</v>
      </c>
      <c r="G1146" s="11">
        <v>3065.33</v>
      </c>
      <c r="H1146" s="11">
        <v>66.75</v>
      </c>
      <c r="I1146" s="9" t="b">
        <f>TRUE()</f>
        <v>1</v>
      </c>
      <c r="J1146" s="9" t="s">
        <v>1361</v>
      </c>
      <c r="K1146" s="11">
        <v>66.75</v>
      </c>
      <c r="L1146" s="9" t="s">
        <v>21</v>
      </c>
      <c r="M1146" s="9" t="str">
        <f>IFERROR(INDEX(T_CleanCustomers[Sales_Rep_ID],MATCH(B1146,T_CleanCustomers[Customer_ID],0)),"Unmatched")</f>
        <v>REP009</v>
      </c>
      <c r="N1146" s="9" t="str">
        <f>IFERROR(INDEX(T_CleanCustomers[Channel],MATCH(B1146,T_CleanCustomers[Customer_ID],0)),"Unmatched")</f>
        <v>Direct Sales</v>
      </c>
      <c r="O1146" s="9" t="str">
        <f>IFERROR(INDEX(T_CleanCustomers[Product],MATCH(B1146,T_CleanCustomers[Customer_ID],0)),"Unmatched")</f>
        <v>Fuel Card</v>
      </c>
      <c r="P1146" s="9" t="str">
        <f>IFERROR(INDEX(T_CleanCustomers[Customer_Segment],MATCH(B1146,T_CleanCustomers[Customer_ID],0)),"Unmatched")</f>
        <v>SME</v>
      </c>
    </row>
    <row r="1147" spans="1:16" ht="15" customHeight="1" x14ac:dyDescent="0.2">
      <c r="A1147" s="9" t="s">
        <v>2488</v>
      </c>
      <c r="B1147" s="9" t="s">
        <v>1281</v>
      </c>
      <c r="C1147" s="9" t="b">
        <f>TRUE()</f>
        <v>1</v>
      </c>
      <c r="D1147" s="10">
        <v>45947</v>
      </c>
      <c r="E1147" s="10">
        <v>45931</v>
      </c>
      <c r="F1147" s="9" t="s">
        <v>1360</v>
      </c>
      <c r="G1147" s="11">
        <v>3713.09</v>
      </c>
      <c r="H1147" s="11">
        <v>84.81</v>
      </c>
      <c r="I1147" s="9" t="b">
        <f>TRUE()</f>
        <v>1</v>
      </c>
      <c r="J1147" s="9" t="s">
        <v>1361</v>
      </c>
      <c r="K1147" s="11">
        <v>84.81</v>
      </c>
      <c r="L1147" s="9" t="s">
        <v>21</v>
      </c>
      <c r="M1147" s="9" t="str">
        <f>IFERROR(INDEX(T_CleanCustomers[Sales_Rep_ID],MATCH(B1147,T_CleanCustomers[Customer_ID],0)),"Unmatched")</f>
        <v>REP009</v>
      </c>
      <c r="N1147" s="9" t="str">
        <f>IFERROR(INDEX(T_CleanCustomers[Channel],MATCH(B1147,T_CleanCustomers[Customer_ID],0)),"Unmatched")</f>
        <v>Direct Sales</v>
      </c>
      <c r="O1147" s="9" t="str">
        <f>IFERROR(INDEX(T_CleanCustomers[Product],MATCH(B1147,T_CleanCustomers[Customer_ID],0)),"Unmatched")</f>
        <v>Fuel Card</v>
      </c>
      <c r="P1147" s="9" t="str">
        <f>IFERROR(INDEX(T_CleanCustomers[Customer_Segment],MATCH(B1147,T_CleanCustomers[Customer_ID],0)),"Unmatched")</f>
        <v>SME</v>
      </c>
    </row>
    <row r="1148" spans="1:16" ht="15" customHeight="1" x14ac:dyDescent="0.2">
      <c r="A1148" s="9" t="s">
        <v>2489</v>
      </c>
      <c r="B1148" s="9" t="s">
        <v>1281</v>
      </c>
      <c r="C1148" s="9" t="b">
        <f>TRUE()</f>
        <v>1</v>
      </c>
      <c r="D1148" s="10">
        <v>45968</v>
      </c>
      <c r="E1148" s="10">
        <v>45962</v>
      </c>
      <c r="F1148" s="9" t="s">
        <v>1360</v>
      </c>
      <c r="G1148" s="11">
        <v>4960.12</v>
      </c>
      <c r="H1148" s="11">
        <v>0</v>
      </c>
      <c r="I1148" s="9" t="b">
        <f>TRUE()</f>
        <v>1</v>
      </c>
      <c r="J1148" s="9" t="s">
        <v>1408</v>
      </c>
      <c r="K1148" s="11">
        <v>0</v>
      </c>
      <c r="L1148" s="9" t="s">
        <v>21</v>
      </c>
      <c r="M1148" s="9" t="str">
        <f>IFERROR(INDEX(T_CleanCustomers[Sales_Rep_ID],MATCH(B1148,T_CleanCustomers[Customer_ID],0)),"Unmatched")</f>
        <v>REP009</v>
      </c>
      <c r="N1148" s="9" t="str">
        <f>IFERROR(INDEX(T_CleanCustomers[Channel],MATCH(B1148,T_CleanCustomers[Customer_ID],0)),"Unmatched")</f>
        <v>Direct Sales</v>
      </c>
      <c r="O1148" s="9" t="str">
        <f>IFERROR(INDEX(T_CleanCustomers[Product],MATCH(B1148,T_CleanCustomers[Customer_ID],0)),"Unmatched")</f>
        <v>Fuel Card</v>
      </c>
      <c r="P1148" s="9" t="str">
        <f>IFERROR(INDEX(T_CleanCustomers[Customer_Segment],MATCH(B1148,T_CleanCustomers[Customer_ID],0)),"Unmatched")</f>
        <v>SME</v>
      </c>
    </row>
    <row r="1149" spans="1:16" ht="15" customHeight="1" x14ac:dyDescent="0.2">
      <c r="A1149" s="9" t="s">
        <v>2490</v>
      </c>
      <c r="B1149" s="9" t="s">
        <v>1281</v>
      </c>
      <c r="C1149" s="9" t="b">
        <f>TRUE()</f>
        <v>1</v>
      </c>
      <c r="D1149" s="10">
        <v>45997</v>
      </c>
      <c r="E1149" s="10">
        <v>45992</v>
      </c>
      <c r="F1149" s="9" t="s">
        <v>1360</v>
      </c>
      <c r="G1149" s="11">
        <v>1784.61</v>
      </c>
      <c r="H1149" s="11">
        <v>40.58</v>
      </c>
      <c r="I1149" s="9" t="b">
        <f>TRUE()</f>
        <v>1</v>
      </c>
      <c r="J1149" s="9" t="s">
        <v>1361</v>
      </c>
      <c r="K1149" s="11">
        <v>40.58</v>
      </c>
      <c r="L1149" s="9" t="s">
        <v>21</v>
      </c>
      <c r="M1149" s="9" t="str">
        <f>IFERROR(INDEX(T_CleanCustomers[Sales_Rep_ID],MATCH(B1149,T_CleanCustomers[Customer_ID],0)),"Unmatched")</f>
        <v>REP009</v>
      </c>
      <c r="N1149" s="9" t="str">
        <f>IFERROR(INDEX(T_CleanCustomers[Channel],MATCH(B1149,T_CleanCustomers[Customer_ID],0)),"Unmatched")</f>
        <v>Direct Sales</v>
      </c>
      <c r="O1149" s="9" t="str">
        <f>IFERROR(INDEX(T_CleanCustomers[Product],MATCH(B1149,T_CleanCustomers[Customer_ID],0)),"Unmatched")</f>
        <v>Fuel Card</v>
      </c>
      <c r="P1149" s="9" t="str">
        <f>IFERROR(INDEX(T_CleanCustomers[Customer_Segment],MATCH(B1149,T_CleanCustomers[Customer_ID],0)),"Unmatched")</f>
        <v>SME</v>
      </c>
    </row>
    <row r="1150" spans="1:16" ht="15" customHeight="1" x14ac:dyDescent="0.2">
      <c r="A1150" s="9" t="s">
        <v>2491</v>
      </c>
      <c r="B1150" s="9" t="s">
        <v>1282</v>
      </c>
      <c r="C1150" s="9" t="b">
        <f>TRUE()</f>
        <v>1</v>
      </c>
      <c r="D1150" s="10">
        <v>46001</v>
      </c>
      <c r="E1150" s="10">
        <v>45992</v>
      </c>
      <c r="F1150" s="9" t="s">
        <v>1423</v>
      </c>
      <c r="G1150" s="11">
        <v>35341.800000000003</v>
      </c>
      <c r="H1150" s="11">
        <v>974.05</v>
      </c>
      <c r="I1150" s="9" t="b">
        <f>TRUE()</f>
        <v>1</v>
      </c>
      <c r="J1150" s="9" t="s">
        <v>1361</v>
      </c>
      <c r="K1150" s="11">
        <v>974.05</v>
      </c>
      <c r="L1150" s="9" t="s">
        <v>18</v>
      </c>
      <c r="M1150" s="9" t="str">
        <f>IFERROR(INDEX(T_CleanCustomers[Sales_Rep_ID],MATCH(B1150,T_CleanCustomers[Customer_ID],0)),"Unmatched")</f>
        <v>REP010</v>
      </c>
      <c r="N1150" s="9" t="str">
        <f>IFERROR(INDEX(T_CleanCustomers[Channel],MATCH(B1150,T_CleanCustomers[Customer_ID],0)),"Unmatched")</f>
        <v>Telesales</v>
      </c>
      <c r="O1150" s="9" t="str">
        <f>IFERROR(INDEX(T_CleanCustomers[Product],MATCH(B1150,T_CleanCustomers[Customer_ID],0)),"Unmatched")</f>
        <v>EV Charge Card</v>
      </c>
      <c r="P1150" s="9" t="str">
        <f>IFERROR(INDEX(T_CleanCustomers[Customer_Segment],MATCH(B1150,T_CleanCustomers[Customer_ID],0)),"Unmatched")</f>
        <v>Enterprise</v>
      </c>
    </row>
    <row r="1151" spans="1:16" ht="15" customHeight="1" x14ac:dyDescent="0.2">
      <c r="A1151" s="9" t="s">
        <v>2492</v>
      </c>
      <c r="B1151" s="9" t="s">
        <v>1282</v>
      </c>
      <c r="C1151" s="9" t="b">
        <f>TRUE()</f>
        <v>1</v>
      </c>
      <c r="D1151" s="10">
        <v>46004</v>
      </c>
      <c r="E1151" s="10">
        <v>45992</v>
      </c>
      <c r="F1151" s="9" t="s">
        <v>1423</v>
      </c>
      <c r="G1151" s="11">
        <v>59184.66</v>
      </c>
      <c r="H1151" s="11">
        <v>1845.67</v>
      </c>
      <c r="I1151" s="9" t="b">
        <f>TRUE()</f>
        <v>1</v>
      </c>
      <c r="J1151" s="9" t="s">
        <v>1361</v>
      </c>
      <c r="K1151" s="11">
        <v>1845.67</v>
      </c>
      <c r="L1151" s="9" t="s">
        <v>18</v>
      </c>
      <c r="M1151" s="9" t="str">
        <f>IFERROR(INDEX(T_CleanCustomers[Sales_Rep_ID],MATCH(B1151,T_CleanCustomers[Customer_ID],0)),"Unmatched")</f>
        <v>REP010</v>
      </c>
      <c r="N1151" s="9" t="str">
        <f>IFERROR(INDEX(T_CleanCustomers[Channel],MATCH(B1151,T_CleanCustomers[Customer_ID],0)),"Unmatched")</f>
        <v>Telesales</v>
      </c>
      <c r="O1151" s="9" t="str">
        <f>IFERROR(INDEX(T_CleanCustomers[Product],MATCH(B1151,T_CleanCustomers[Customer_ID],0)),"Unmatched")</f>
        <v>EV Charge Card</v>
      </c>
      <c r="P1151" s="9" t="str">
        <f>IFERROR(INDEX(T_CleanCustomers[Customer_Segment],MATCH(B1151,T_CleanCustomers[Customer_ID],0)),"Unmatched")</f>
        <v>Enterprise</v>
      </c>
    </row>
    <row r="1152" spans="1:16" ht="15" customHeight="1" x14ac:dyDescent="0.2">
      <c r="A1152" s="9" t="s">
        <v>2493</v>
      </c>
      <c r="B1152" s="9" t="s">
        <v>1283</v>
      </c>
      <c r="C1152" s="9" t="b">
        <f>TRUE()</f>
        <v>1</v>
      </c>
      <c r="D1152" s="10">
        <v>45863</v>
      </c>
      <c r="E1152" s="10">
        <v>45839</v>
      </c>
      <c r="F1152" s="9" t="s">
        <v>1373</v>
      </c>
      <c r="G1152" s="11">
        <v>32666.39</v>
      </c>
      <c r="H1152" s="11">
        <v>637</v>
      </c>
      <c r="I1152" s="9" t="b">
        <f>TRUE()</f>
        <v>1</v>
      </c>
      <c r="J1152" s="9" t="s">
        <v>1361</v>
      </c>
      <c r="K1152" s="11">
        <v>637</v>
      </c>
      <c r="L1152" s="9" t="s">
        <v>18</v>
      </c>
      <c r="M1152" s="9" t="str">
        <f>IFERROR(INDEX(T_CleanCustomers[Sales_Rep_ID],MATCH(B1152,T_CleanCustomers[Customer_ID],0)),"Unmatched")</f>
        <v>REP010</v>
      </c>
      <c r="N1152" s="9" t="str">
        <f>IFERROR(INDEX(T_CleanCustomers[Channel],MATCH(B1152,T_CleanCustomers[Customer_ID],0)),"Unmatched")</f>
        <v>Direct Sales</v>
      </c>
      <c r="O1152" s="9" t="str">
        <f>IFERROR(INDEX(T_CleanCustomers[Product],MATCH(B1152,T_CleanCustomers[Customer_ID],0)),"Unmatched")</f>
        <v>Toll Solution</v>
      </c>
      <c r="P1152" s="9" t="str">
        <f>IFERROR(INDEX(T_CleanCustomers[Customer_Segment],MATCH(B1152,T_CleanCustomers[Customer_ID],0)),"Unmatched")</f>
        <v>Enterprise</v>
      </c>
    </row>
    <row r="1153" spans="1:16" ht="15" customHeight="1" x14ac:dyDescent="0.2">
      <c r="A1153" s="9" t="s">
        <v>2494</v>
      </c>
      <c r="B1153" s="9" t="s">
        <v>1283</v>
      </c>
      <c r="C1153" s="9" t="b">
        <f>TRUE()</f>
        <v>1</v>
      </c>
      <c r="D1153" s="10">
        <v>45895</v>
      </c>
      <c r="E1153" s="10">
        <v>45870</v>
      </c>
      <c r="F1153" s="9" t="s">
        <v>1373</v>
      </c>
      <c r="G1153" s="11">
        <v>29533.45</v>
      </c>
      <c r="H1153" s="11">
        <v>605.27</v>
      </c>
      <c r="I1153" s="9" t="b">
        <f>TRUE()</f>
        <v>1</v>
      </c>
      <c r="J1153" s="9" t="s">
        <v>1361</v>
      </c>
      <c r="K1153" s="11">
        <v>605.27</v>
      </c>
      <c r="L1153" s="9" t="s">
        <v>18</v>
      </c>
      <c r="M1153" s="9" t="str">
        <f>IFERROR(INDEX(T_CleanCustomers[Sales_Rep_ID],MATCH(B1153,T_CleanCustomers[Customer_ID],0)),"Unmatched")</f>
        <v>REP010</v>
      </c>
      <c r="N1153" s="9" t="str">
        <f>IFERROR(INDEX(T_CleanCustomers[Channel],MATCH(B1153,T_CleanCustomers[Customer_ID],0)),"Unmatched")</f>
        <v>Direct Sales</v>
      </c>
      <c r="O1153" s="9" t="str">
        <f>IFERROR(INDEX(T_CleanCustomers[Product],MATCH(B1153,T_CleanCustomers[Customer_ID],0)),"Unmatched")</f>
        <v>Toll Solution</v>
      </c>
      <c r="P1153" s="9" t="str">
        <f>IFERROR(INDEX(T_CleanCustomers[Customer_Segment],MATCH(B1153,T_CleanCustomers[Customer_ID],0)),"Unmatched")</f>
        <v>Enterprise</v>
      </c>
    </row>
    <row r="1154" spans="1:16" ht="15" customHeight="1" x14ac:dyDescent="0.2">
      <c r="A1154" s="9" t="s">
        <v>2495</v>
      </c>
      <c r="B1154" s="9" t="s">
        <v>1283</v>
      </c>
      <c r="C1154" s="9" t="b">
        <f>TRUE()</f>
        <v>1</v>
      </c>
      <c r="D1154" s="10">
        <v>45881</v>
      </c>
      <c r="E1154" s="10">
        <v>45870</v>
      </c>
      <c r="F1154" s="9" t="s">
        <v>1373</v>
      </c>
      <c r="G1154" s="11">
        <v>46508.31</v>
      </c>
      <c r="H1154" s="11">
        <v>836.3</v>
      </c>
      <c r="I1154" s="9" t="b">
        <f>TRUE()</f>
        <v>1</v>
      </c>
      <c r="J1154" s="9" t="s">
        <v>1361</v>
      </c>
      <c r="K1154" s="11">
        <v>836.3</v>
      </c>
      <c r="L1154" s="9" t="s">
        <v>18</v>
      </c>
      <c r="M1154" s="9" t="str">
        <f>IFERROR(INDEX(T_CleanCustomers[Sales_Rep_ID],MATCH(B1154,T_CleanCustomers[Customer_ID],0)),"Unmatched")</f>
        <v>REP010</v>
      </c>
      <c r="N1154" s="9" t="str">
        <f>IFERROR(INDEX(T_CleanCustomers[Channel],MATCH(B1154,T_CleanCustomers[Customer_ID],0)),"Unmatched")</f>
        <v>Direct Sales</v>
      </c>
      <c r="O1154" s="9" t="str">
        <f>IFERROR(INDEX(T_CleanCustomers[Product],MATCH(B1154,T_CleanCustomers[Customer_ID],0)),"Unmatched")</f>
        <v>Toll Solution</v>
      </c>
      <c r="P1154" s="9" t="str">
        <f>IFERROR(INDEX(T_CleanCustomers[Customer_Segment],MATCH(B1154,T_CleanCustomers[Customer_ID],0)),"Unmatched")</f>
        <v>Enterprise</v>
      </c>
    </row>
    <row r="1155" spans="1:16" ht="15" customHeight="1" x14ac:dyDescent="0.2">
      <c r="A1155" s="9" t="s">
        <v>2496</v>
      </c>
      <c r="B1155" s="9" t="s">
        <v>1283</v>
      </c>
      <c r="C1155" s="9" t="b">
        <f>TRUE()</f>
        <v>1</v>
      </c>
      <c r="D1155" s="10">
        <v>45930</v>
      </c>
      <c r="E1155" s="10">
        <v>45901</v>
      </c>
      <c r="F1155" s="9" t="s">
        <v>1373</v>
      </c>
      <c r="G1155" s="11">
        <v>16644.48</v>
      </c>
      <c r="H1155" s="11">
        <v>282.45999999999998</v>
      </c>
      <c r="I1155" s="9" t="b">
        <f>TRUE()</f>
        <v>1</v>
      </c>
      <c r="J1155" s="9" t="s">
        <v>1361</v>
      </c>
      <c r="K1155" s="11">
        <v>282.45999999999998</v>
      </c>
      <c r="L1155" s="9" t="s">
        <v>18</v>
      </c>
      <c r="M1155" s="9" t="str">
        <f>IFERROR(INDEX(T_CleanCustomers[Sales_Rep_ID],MATCH(B1155,T_CleanCustomers[Customer_ID],0)),"Unmatched")</f>
        <v>REP010</v>
      </c>
      <c r="N1155" s="9" t="str">
        <f>IFERROR(INDEX(T_CleanCustomers[Channel],MATCH(B1155,T_CleanCustomers[Customer_ID],0)),"Unmatched")</f>
        <v>Direct Sales</v>
      </c>
      <c r="O1155" s="9" t="str">
        <f>IFERROR(INDEX(T_CleanCustomers[Product],MATCH(B1155,T_CleanCustomers[Customer_ID],0)),"Unmatched")</f>
        <v>Toll Solution</v>
      </c>
      <c r="P1155" s="9" t="str">
        <f>IFERROR(INDEX(T_CleanCustomers[Customer_Segment],MATCH(B1155,T_CleanCustomers[Customer_ID],0)),"Unmatched")</f>
        <v>Enterprise</v>
      </c>
    </row>
    <row r="1156" spans="1:16" ht="15" customHeight="1" x14ac:dyDescent="0.2">
      <c r="A1156" s="9" t="s">
        <v>2497</v>
      </c>
      <c r="B1156" s="9" t="s">
        <v>1283</v>
      </c>
      <c r="C1156" s="9" t="b">
        <f>TRUE()</f>
        <v>1</v>
      </c>
      <c r="D1156" s="10">
        <v>45910</v>
      </c>
      <c r="E1156" s="10">
        <v>45901</v>
      </c>
      <c r="F1156" s="9" t="s">
        <v>1373</v>
      </c>
      <c r="G1156" s="11">
        <v>28221.03</v>
      </c>
      <c r="H1156" s="11">
        <v>553.24</v>
      </c>
      <c r="I1156" s="9" t="b">
        <f>TRUE()</f>
        <v>1</v>
      </c>
      <c r="J1156" s="9" t="s">
        <v>1361</v>
      </c>
      <c r="K1156" s="11">
        <v>553.24</v>
      </c>
      <c r="L1156" s="9" t="s">
        <v>18</v>
      </c>
      <c r="M1156" s="9" t="str">
        <f>IFERROR(INDEX(T_CleanCustomers[Sales_Rep_ID],MATCH(B1156,T_CleanCustomers[Customer_ID],0)),"Unmatched")</f>
        <v>REP010</v>
      </c>
      <c r="N1156" s="9" t="str">
        <f>IFERROR(INDEX(T_CleanCustomers[Channel],MATCH(B1156,T_CleanCustomers[Customer_ID],0)),"Unmatched")</f>
        <v>Direct Sales</v>
      </c>
      <c r="O1156" s="9" t="str">
        <f>IFERROR(INDEX(T_CleanCustomers[Product],MATCH(B1156,T_CleanCustomers[Customer_ID],0)),"Unmatched")</f>
        <v>Toll Solution</v>
      </c>
      <c r="P1156" s="9" t="str">
        <f>IFERROR(INDEX(T_CleanCustomers[Customer_Segment],MATCH(B1156,T_CleanCustomers[Customer_ID],0)),"Unmatched")</f>
        <v>Enterprise</v>
      </c>
    </row>
    <row r="1157" spans="1:16" ht="15" customHeight="1" x14ac:dyDescent="0.2">
      <c r="A1157" s="9" t="s">
        <v>2498</v>
      </c>
      <c r="B1157" s="9" t="s">
        <v>1283</v>
      </c>
      <c r="C1157" s="9" t="b">
        <f>TRUE()</f>
        <v>1</v>
      </c>
      <c r="D1157" s="10">
        <v>45913</v>
      </c>
      <c r="E1157" s="10">
        <v>45901</v>
      </c>
      <c r="F1157" s="9" t="s">
        <v>1373</v>
      </c>
      <c r="G1157" s="11">
        <v>45317.760000000002</v>
      </c>
      <c r="H1157" s="11">
        <v>898.63</v>
      </c>
      <c r="I1157" s="9" t="b">
        <f>TRUE()</f>
        <v>1</v>
      </c>
      <c r="J1157" s="9" t="s">
        <v>1361</v>
      </c>
      <c r="K1157" s="11">
        <v>898.63</v>
      </c>
      <c r="L1157" s="9" t="s">
        <v>18</v>
      </c>
      <c r="M1157" s="9" t="str">
        <f>IFERROR(INDEX(T_CleanCustomers[Sales_Rep_ID],MATCH(B1157,T_CleanCustomers[Customer_ID],0)),"Unmatched")</f>
        <v>REP010</v>
      </c>
      <c r="N1157" s="9" t="str">
        <f>IFERROR(INDEX(T_CleanCustomers[Channel],MATCH(B1157,T_CleanCustomers[Customer_ID],0)),"Unmatched")</f>
        <v>Direct Sales</v>
      </c>
      <c r="O1157" s="9" t="str">
        <f>IFERROR(INDEX(T_CleanCustomers[Product],MATCH(B1157,T_CleanCustomers[Customer_ID],0)),"Unmatched")</f>
        <v>Toll Solution</v>
      </c>
      <c r="P1157" s="9" t="str">
        <f>IFERROR(INDEX(T_CleanCustomers[Customer_Segment],MATCH(B1157,T_CleanCustomers[Customer_ID],0)),"Unmatched")</f>
        <v>Enterprise</v>
      </c>
    </row>
    <row r="1158" spans="1:16" ht="15" customHeight="1" x14ac:dyDescent="0.2">
      <c r="A1158" s="9" t="s">
        <v>2499</v>
      </c>
      <c r="B1158" s="9" t="s">
        <v>1283</v>
      </c>
      <c r="C1158" s="9" t="b">
        <f>TRUE()</f>
        <v>1</v>
      </c>
      <c r="D1158" s="10">
        <v>45954</v>
      </c>
      <c r="E1158" s="10">
        <v>45931</v>
      </c>
      <c r="F1158" s="9" t="s">
        <v>1373</v>
      </c>
      <c r="G1158" s="11">
        <v>39504.22</v>
      </c>
      <c r="H1158" s="11">
        <v>695.56</v>
      </c>
      <c r="I1158" s="9" t="b">
        <f>TRUE()</f>
        <v>1</v>
      </c>
      <c r="J1158" s="9" t="s">
        <v>1361</v>
      </c>
      <c r="K1158" s="11">
        <v>695.56</v>
      </c>
      <c r="L1158" s="9" t="s">
        <v>18</v>
      </c>
      <c r="M1158" s="9" t="str">
        <f>IFERROR(INDEX(T_CleanCustomers[Sales_Rep_ID],MATCH(B1158,T_CleanCustomers[Customer_ID],0)),"Unmatched")</f>
        <v>REP010</v>
      </c>
      <c r="N1158" s="9" t="str">
        <f>IFERROR(INDEX(T_CleanCustomers[Channel],MATCH(B1158,T_CleanCustomers[Customer_ID],0)),"Unmatched")</f>
        <v>Direct Sales</v>
      </c>
      <c r="O1158" s="9" t="str">
        <f>IFERROR(INDEX(T_CleanCustomers[Product],MATCH(B1158,T_CleanCustomers[Customer_ID],0)),"Unmatched")</f>
        <v>Toll Solution</v>
      </c>
      <c r="P1158" s="9" t="str">
        <f>IFERROR(INDEX(T_CleanCustomers[Customer_Segment],MATCH(B1158,T_CleanCustomers[Customer_ID],0)),"Unmatched")</f>
        <v>Enterprise</v>
      </c>
    </row>
    <row r="1159" spans="1:16" ht="15" customHeight="1" x14ac:dyDescent="0.2">
      <c r="A1159" s="9" t="s">
        <v>2500</v>
      </c>
      <c r="B1159" s="9" t="s">
        <v>1283</v>
      </c>
      <c r="C1159" s="9" t="b">
        <f>TRUE()</f>
        <v>1</v>
      </c>
      <c r="D1159" s="10">
        <v>45980</v>
      </c>
      <c r="E1159" s="10">
        <v>45962</v>
      </c>
      <c r="F1159" s="9" t="s">
        <v>1373</v>
      </c>
      <c r="G1159" s="11">
        <v>29974.32</v>
      </c>
      <c r="H1159" s="11">
        <v>507.14</v>
      </c>
      <c r="I1159" s="9" t="b">
        <f>TRUE()</f>
        <v>1</v>
      </c>
      <c r="J1159" s="9" t="s">
        <v>1361</v>
      </c>
      <c r="K1159" s="11">
        <v>507.14</v>
      </c>
      <c r="L1159" s="9" t="s">
        <v>18</v>
      </c>
      <c r="M1159" s="9" t="str">
        <f>IFERROR(INDEX(T_CleanCustomers[Sales_Rep_ID],MATCH(B1159,T_CleanCustomers[Customer_ID],0)),"Unmatched")</f>
        <v>REP010</v>
      </c>
      <c r="N1159" s="9" t="str">
        <f>IFERROR(INDEX(T_CleanCustomers[Channel],MATCH(B1159,T_CleanCustomers[Customer_ID],0)),"Unmatched")</f>
        <v>Direct Sales</v>
      </c>
      <c r="O1159" s="9" t="str">
        <f>IFERROR(INDEX(T_CleanCustomers[Product],MATCH(B1159,T_CleanCustomers[Customer_ID],0)),"Unmatched")</f>
        <v>Toll Solution</v>
      </c>
      <c r="P1159" s="9" t="str">
        <f>IFERROR(INDEX(T_CleanCustomers[Customer_Segment],MATCH(B1159,T_CleanCustomers[Customer_ID],0)),"Unmatched")</f>
        <v>Enterprise</v>
      </c>
    </row>
    <row r="1160" spans="1:16" ht="15" customHeight="1" x14ac:dyDescent="0.2">
      <c r="A1160" s="9" t="s">
        <v>2501</v>
      </c>
      <c r="B1160" s="9" t="s">
        <v>1283</v>
      </c>
      <c r="C1160" s="9" t="b">
        <f>TRUE()</f>
        <v>1</v>
      </c>
      <c r="D1160" s="10">
        <v>45967</v>
      </c>
      <c r="E1160" s="10">
        <v>45962</v>
      </c>
      <c r="F1160" s="9" t="s">
        <v>1373</v>
      </c>
      <c r="G1160" s="11">
        <v>19266.12</v>
      </c>
      <c r="H1160" s="11">
        <v>295.62</v>
      </c>
      <c r="I1160" s="9" t="b">
        <f>TRUE()</f>
        <v>1</v>
      </c>
      <c r="J1160" s="9" t="s">
        <v>1361</v>
      </c>
      <c r="K1160" s="11">
        <v>295.62</v>
      </c>
      <c r="L1160" s="9" t="s">
        <v>18</v>
      </c>
      <c r="M1160" s="9" t="str">
        <f>IFERROR(INDEX(T_CleanCustomers[Sales_Rep_ID],MATCH(B1160,T_CleanCustomers[Customer_ID],0)),"Unmatched")</f>
        <v>REP010</v>
      </c>
      <c r="N1160" s="9" t="str">
        <f>IFERROR(INDEX(T_CleanCustomers[Channel],MATCH(B1160,T_CleanCustomers[Customer_ID],0)),"Unmatched")</f>
        <v>Direct Sales</v>
      </c>
      <c r="O1160" s="9" t="str">
        <f>IFERROR(INDEX(T_CleanCustomers[Product],MATCH(B1160,T_CleanCustomers[Customer_ID],0)),"Unmatched")</f>
        <v>Toll Solution</v>
      </c>
      <c r="P1160" s="9" t="str">
        <f>IFERROR(INDEX(T_CleanCustomers[Customer_Segment],MATCH(B1160,T_CleanCustomers[Customer_ID],0)),"Unmatched")</f>
        <v>Enterprise</v>
      </c>
    </row>
    <row r="1161" spans="1:16" ht="15" customHeight="1" x14ac:dyDescent="0.2">
      <c r="A1161" s="9" t="s">
        <v>2502</v>
      </c>
      <c r="B1161" s="9" t="s">
        <v>1283</v>
      </c>
      <c r="C1161" s="9" t="b">
        <f>TRUE()</f>
        <v>1</v>
      </c>
      <c r="D1161" s="10">
        <v>45995</v>
      </c>
      <c r="E1161" s="10">
        <v>45992</v>
      </c>
      <c r="F1161" s="9" t="s">
        <v>1373</v>
      </c>
      <c r="G1161" s="11">
        <v>39096.589999999997</v>
      </c>
      <c r="H1161" s="11">
        <v>728.02</v>
      </c>
      <c r="I1161" s="9" t="b">
        <f>TRUE()</f>
        <v>1</v>
      </c>
      <c r="J1161" s="9" t="s">
        <v>1361</v>
      </c>
      <c r="K1161" s="11">
        <v>728.02</v>
      </c>
      <c r="L1161" s="9" t="s">
        <v>18</v>
      </c>
      <c r="M1161" s="9" t="str">
        <f>IFERROR(INDEX(T_CleanCustomers[Sales_Rep_ID],MATCH(B1161,T_CleanCustomers[Customer_ID],0)),"Unmatched")</f>
        <v>REP010</v>
      </c>
      <c r="N1161" s="9" t="str">
        <f>IFERROR(INDEX(T_CleanCustomers[Channel],MATCH(B1161,T_CleanCustomers[Customer_ID],0)),"Unmatched")</f>
        <v>Direct Sales</v>
      </c>
      <c r="O1161" s="9" t="str">
        <f>IFERROR(INDEX(T_CleanCustomers[Product],MATCH(B1161,T_CleanCustomers[Customer_ID],0)),"Unmatched")</f>
        <v>Toll Solution</v>
      </c>
      <c r="P1161" s="9" t="str">
        <f>IFERROR(INDEX(T_CleanCustomers[Customer_Segment],MATCH(B1161,T_CleanCustomers[Customer_ID],0)),"Unmatched")</f>
        <v>Enterprise</v>
      </c>
    </row>
    <row r="1162" spans="1:16" ht="15" customHeight="1" x14ac:dyDescent="0.2">
      <c r="A1162" s="9" t="s">
        <v>2503</v>
      </c>
      <c r="B1162" s="9" t="s">
        <v>90</v>
      </c>
      <c r="C1162" s="9" t="b">
        <f>TRUE()</f>
        <v>1</v>
      </c>
      <c r="D1162" s="10">
        <v>45986</v>
      </c>
      <c r="E1162" s="10">
        <v>45962</v>
      </c>
      <c r="F1162" s="9" t="s">
        <v>1360</v>
      </c>
      <c r="G1162" s="11">
        <v>1892.38</v>
      </c>
      <c r="H1162" s="11">
        <v>47.08</v>
      </c>
      <c r="I1162" s="9" t="b">
        <f>TRUE()</f>
        <v>1</v>
      </c>
      <c r="J1162" s="9" t="s">
        <v>1361</v>
      </c>
      <c r="K1162" s="11">
        <v>47.08</v>
      </c>
      <c r="L1162" s="9" t="s">
        <v>21</v>
      </c>
      <c r="M1162" s="9" t="str">
        <f>IFERROR(INDEX(T_CleanCustomers[Sales_Rep_ID],MATCH(B1162,T_CleanCustomers[Customer_ID],0)),"Unmatched")</f>
        <v>REP009</v>
      </c>
      <c r="N1162" s="9" t="str">
        <f>IFERROR(INDEX(T_CleanCustomers[Channel],MATCH(B1162,T_CleanCustomers[Customer_ID],0)),"Unmatched")</f>
        <v>Direct Sales</v>
      </c>
      <c r="O1162" s="9" t="str">
        <f>IFERROR(INDEX(T_CleanCustomers[Product],MATCH(B1162,T_CleanCustomers[Customer_ID],0)),"Unmatched")</f>
        <v>Fuel Card</v>
      </c>
      <c r="P1162" s="9" t="str">
        <f>IFERROR(INDEX(T_CleanCustomers[Customer_Segment],MATCH(B1162,T_CleanCustomers[Customer_ID],0)),"Unmatched")</f>
        <v>Unclassified</v>
      </c>
    </row>
    <row r="1163" spans="1:16" ht="15" customHeight="1" x14ac:dyDescent="0.2">
      <c r="A1163" s="9" t="s">
        <v>2504</v>
      </c>
      <c r="B1163" s="9" t="s">
        <v>90</v>
      </c>
      <c r="C1163" s="9" t="b">
        <f>TRUE()</f>
        <v>1</v>
      </c>
      <c r="D1163" s="10">
        <v>45989</v>
      </c>
      <c r="E1163" s="10">
        <v>45962</v>
      </c>
      <c r="F1163" s="9" t="s">
        <v>1360</v>
      </c>
      <c r="G1163" s="11">
        <v>2609.61</v>
      </c>
      <c r="H1163" s="11">
        <v>0</v>
      </c>
      <c r="I1163" s="9" t="b">
        <f>TRUE()</f>
        <v>1</v>
      </c>
      <c r="J1163" s="9" t="s">
        <v>1408</v>
      </c>
      <c r="K1163" s="11">
        <v>0</v>
      </c>
      <c r="L1163" s="9" t="s">
        <v>21</v>
      </c>
      <c r="M1163" s="9" t="str">
        <f>IFERROR(INDEX(T_CleanCustomers[Sales_Rep_ID],MATCH(B1163,T_CleanCustomers[Customer_ID],0)),"Unmatched")</f>
        <v>REP009</v>
      </c>
      <c r="N1163" s="9" t="str">
        <f>IFERROR(INDEX(T_CleanCustomers[Channel],MATCH(B1163,T_CleanCustomers[Customer_ID],0)),"Unmatched")</f>
        <v>Direct Sales</v>
      </c>
      <c r="O1163" s="9" t="str">
        <f>IFERROR(INDEX(T_CleanCustomers[Product],MATCH(B1163,T_CleanCustomers[Customer_ID],0)),"Unmatched")</f>
        <v>Fuel Card</v>
      </c>
      <c r="P1163" s="9" t="str">
        <f>IFERROR(INDEX(T_CleanCustomers[Customer_Segment],MATCH(B1163,T_CleanCustomers[Customer_ID],0)),"Unmatched")</f>
        <v>Unclassified</v>
      </c>
    </row>
    <row r="1164" spans="1:16" ht="15" customHeight="1" x14ac:dyDescent="0.2">
      <c r="A1164" s="9" t="s">
        <v>133</v>
      </c>
      <c r="B1164" s="9" t="s">
        <v>90</v>
      </c>
      <c r="C1164" s="9" t="b">
        <f>TRUE()</f>
        <v>1</v>
      </c>
      <c r="D1164" s="10">
        <v>45983</v>
      </c>
      <c r="E1164" s="10">
        <v>45962</v>
      </c>
      <c r="F1164" s="9" t="s">
        <v>1360</v>
      </c>
      <c r="G1164" s="11">
        <v>5104.17</v>
      </c>
      <c r="H1164" s="11">
        <v>152.41</v>
      </c>
      <c r="I1164" s="9" t="b">
        <f>TRUE()</f>
        <v>1</v>
      </c>
      <c r="J1164" s="9" t="s">
        <v>1408</v>
      </c>
      <c r="K1164" s="11">
        <v>0</v>
      </c>
      <c r="L1164" s="9" t="s">
        <v>21</v>
      </c>
      <c r="M1164" s="9" t="str">
        <f>IFERROR(INDEX(T_CleanCustomers[Sales_Rep_ID],MATCH(B1164,T_CleanCustomers[Customer_ID],0)),"Unmatched")</f>
        <v>REP009</v>
      </c>
      <c r="N1164" s="9" t="str">
        <f>IFERROR(INDEX(T_CleanCustomers[Channel],MATCH(B1164,T_CleanCustomers[Customer_ID],0)),"Unmatched")</f>
        <v>Direct Sales</v>
      </c>
      <c r="O1164" s="9" t="str">
        <f>IFERROR(INDEX(T_CleanCustomers[Product],MATCH(B1164,T_CleanCustomers[Customer_ID],0)),"Unmatched")</f>
        <v>Fuel Card</v>
      </c>
      <c r="P1164" s="9" t="str">
        <f>IFERROR(INDEX(T_CleanCustomers[Customer_Segment],MATCH(B1164,T_CleanCustomers[Customer_ID],0)),"Unmatched")</f>
        <v>Unclassified</v>
      </c>
    </row>
    <row r="1165" spans="1:16" ht="15" customHeight="1" x14ac:dyDescent="0.2">
      <c r="A1165" s="9" t="s">
        <v>2505</v>
      </c>
      <c r="B1165" s="9" t="s">
        <v>90</v>
      </c>
      <c r="C1165" s="9" t="b">
        <f>TRUE()</f>
        <v>1</v>
      </c>
      <c r="D1165" s="10">
        <v>46011</v>
      </c>
      <c r="E1165" s="10">
        <v>45992</v>
      </c>
      <c r="F1165" s="9" t="s">
        <v>1360</v>
      </c>
      <c r="G1165" s="11">
        <v>5003.6899999999996</v>
      </c>
      <c r="H1165" s="11">
        <v>121.81</v>
      </c>
      <c r="I1165" s="9" t="b">
        <f>TRUE()</f>
        <v>1</v>
      </c>
      <c r="J1165" s="9" t="s">
        <v>1361</v>
      </c>
      <c r="K1165" s="11">
        <v>121.81</v>
      </c>
      <c r="L1165" s="9" t="s">
        <v>21</v>
      </c>
      <c r="M1165" s="9" t="str">
        <f>IFERROR(INDEX(T_CleanCustomers[Sales_Rep_ID],MATCH(B1165,T_CleanCustomers[Customer_ID],0)),"Unmatched")</f>
        <v>REP009</v>
      </c>
      <c r="N1165" s="9" t="str">
        <f>IFERROR(INDEX(T_CleanCustomers[Channel],MATCH(B1165,T_CleanCustomers[Customer_ID],0)),"Unmatched")</f>
        <v>Direct Sales</v>
      </c>
      <c r="O1165" s="9" t="str">
        <f>IFERROR(INDEX(T_CleanCustomers[Product],MATCH(B1165,T_CleanCustomers[Customer_ID],0)),"Unmatched")</f>
        <v>Fuel Card</v>
      </c>
      <c r="P1165" s="9" t="str">
        <f>IFERROR(INDEX(T_CleanCustomers[Customer_Segment],MATCH(B1165,T_CleanCustomers[Customer_ID],0)),"Unmatched")</f>
        <v>Unclassified</v>
      </c>
    </row>
    <row r="1166" spans="1:16" ht="15" customHeight="1" x14ac:dyDescent="0.2">
      <c r="A1166" s="9" t="s">
        <v>2506</v>
      </c>
      <c r="B1166" s="9" t="s">
        <v>1285</v>
      </c>
      <c r="C1166" s="9" t="b">
        <f>TRUE()</f>
        <v>1</v>
      </c>
      <c r="D1166" s="10">
        <v>45984</v>
      </c>
      <c r="E1166" s="10">
        <v>45962</v>
      </c>
      <c r="F1166" s="9" t="s">
        <v>1360</v>
      </c>
      <c r="G1166" s="11">
        <v>10856.86</v>
      </c>
      <c r="H1166" s="11">
        <v>294.47000000000003</v>
      </c>
      <c r="I1166" s="9" t="b">
        <f>TRUE()</f>
        <v>1</v>
      </c>
      <c r="J1166" s="9" t="s">
        <v>1361</v>
      </c>
      <c r="K1166" s="11">
        <v>294.47000000000003</v>
      </c>
      <c r="L1166" s="9" t="s">
        <v>22</v>
      </c>
      <c r="M1166" s="9" t="str">
        <f>IFERROR(INDEX(T_CleanCustomers[Sales_Rep_ID],MATCH(B1166,T_CleanCustomers[Customer_ID],0)),"Unmatched")</f>
        <v>REP004</v>
      </c>
      <c r="N1166" s="9" t="str">
        <f>IFERROR(INDEX(T_CleanCustomers[Channel],MATCH(B1166,T_CleanCustomers[Customer_ID],0)),"Unmatched")</f>
        <v>Partner</v>
      </c>
      <c r="O1166" s="9" t="str">
        <f>IFERROR(INDEX(T_CleanCustomers[Product],MATCH(B1166,T_CleanCustomers[Customer_ID],0)),"Unmatched")</f>
        <v>Fuel Card</v>
      </c>
      <c r="P1166" s="9" t="str">
        <f>IFERROR(INDEX(T_CleanCustomers[Customer_Segment],MATCH(B1166,T_CleanCustomers[Customer_ID],0)),"Unmatched")</f>
        <v>Mid-Market</v>
      </c>
    </row>
    <row r="1167" spans="1:16" ht="15" customHeight="1" x14ac:dyDescent="0.2">
      <c r="A1167" s="9" t="s">
        <v>2507</v>
      </c>
      <c r="B1167" s="9" t="s">
        <v>1285</v>
      </c>
      <c r="C1167" s="9" t="b">
        <f>TRUE()</f>
        <v>1</v>
      </c>
      <c r="D1167" s="10">
        <v>45989</v>
      </c>
      <c r="E1167" s="10">
        <v>45962</v>
      </c>
      <c r="F1167" s="9" t="s">
        <v>1360</v>
      </c>
      <c r="G1167" s="11">
        <v>15732.11</v>
      </c>
      <c r="H1167" s="11">
        <v>386.73</v>
      </c>
      <c r="I1167" s="9" t="b">
        <f>TRUE()</f>
        <v>1</v>
      </c>
      <c r="J1167" s="9" t="s">
        <v>1361</v>
      </c>
      <c r="K1167" s="11">
        <v>386.73</v>
      </c>
      <c r="L1167" s="9" t="s">
        <v>22</v>
      </c>
      <c r="M1167" s="9" t="str">
        <f>IFERROR(INDEX(T_CleanCustomers[Sales_Rep_ID],MATCH(B1167,T_CleanCustomers[Customer_ID],0)),"Unmatched")</f>
        <v>REP004</v>
      </c>
      <c r="N1167" s="9" t="str">
        <f>IFERROR(INDEX(T_CleanCustomers[Channel],MATCH(B1167,T_CleanCustomers[Customer_ID],0)),"Unmatched")</f>
        <v>Partner</v>
      </c>
      <c r="O1167" s="9" t="str">
        <f>IFERROR(INDEX(T_CleanCustomers[Product],MATCH(B1167,T_CleanCustomers[Customer_ID],0)),"Unmatched")</f>
        <v>Fuel Card</v>
      </c>
      <c r="P1167" s="9" t="str">
        <f>IFERROR(INDEX(T_CleanCustomers[Customer_Segment],MATCH(B1167,T_CleanCustomers[Customer_ID],0)),"Unmatched")</f>
        <v>Mid-Market</v>
      </c>
    </row>
    <row r="1168" spans="1:16" ht="15" customHeight="1" x14ac:dyDescent="0.2">
      <c r="A1168" s="9" t="s">
        <v>2508</v>
      </c>
      <c r="B1168" s="9" t="s">
        <v>1285</v>
      </c>
      <c r="C1168" s="9" t="b">
        <f>TRUE()</f>
        <v>1</v>
      </c>
      <c r="D1168" s="10">
        <v>45996</v>
      </c>
      <c r="E1168" s="10">
        <v>45992</v>
      </c>
      <c r="F1168" s="9" t="s">
        <v>1360</v>
      </c>
      <c r="G1168" s="11">
        <v>12820.05</v>
      </c>
      <c r="H1168" s="11">
        <v>284.18</v>
      </c>
      <c r="I1168" s="9" t="b">
        <f>TRUE()</f>
        <v>1</v>
      </c>
      <c r="J1168" s="9" t="s">
        <v>1361</v>
      </c>
      <c r="K1168" s="11">
        <v>284.18</v>
      </c>
      <c r="L1168" s="9" t="s">
        <v>22</v>
      </c>
      <c r="M1168" s="9" t="str">
        <f>IFERROR(INDEX(T_CleanCustomers[Sales_Rep_ID],MATCH(B1168,T_CleanCustomers[Customer_ID],0)),"Unmatched")</f>
        <v>REP004</v>
      </c>
      <c r="N1168" s="9" t="str">
        <f>IFERROR(INDEX(T_CleanCustomers[Channel],MATCH(B1168,T_CleanCustomers[Customer_ID],0)),"Unmatched")</f>
        <v>Partner</v>
      </c>
      <c r="O1168" s="9" t="str">
        <f>IFERROR(INDEX(T_CleanCustomers[Product],MATCH(B1168,T_CleanCustomers[Customer_ID],0)),"Unmatched")</f>
        <v>Fuel Card</v>
      </c>
      <c r="P1168" s="9" t="str">
        <f>IFERROR(INDEX(T_CleanCustomers[Customer_Segment],MATCH(B1168,T_CleanCustomers[Customer_ID],0)),"Unmatched")</f>
        <v>Mid-Market</v>
      </c>
    </row>
    <row r="1169" spans="1:16" ht="15" customHeight="1" x14ac:dyDescent="0.2">
      <c r="A1169" s="9" t="s">
        <v>112</v>
      </c>
      <c r="B1169" s="9" t="s">
        <v>1285</v>
      </c>
      <c r="C1169" s="9" t="b">
        <f>TRUE()</f>
        <v>1</v>
      </c>
      <c r="D1169" s="10">
        <v>46005</v>
      </c>
      <c r="E1169" s="10">
        <v>45992</v>
      </c>
      <c r="F1169" s="9" t="s">
        <v>1360</v>
      </c>
      <c r="G1169" s="11">
        <v>12500.06</v>
      </c>
      <c r="H1169" s="11">
        <v>347.35</v>
      </c>
      <c r="I1169" s="9" t="b">
        <f>TRUE()</f>
        <v>1</v>
      </c>
      <c r="J1169" s="9" t="s">
        <v>1361</v>
      </c>
      <c r="K1169" s="11">
        <v>347.35</v>
      </c>
      <c r="L1169" s="9" t="s">
        <v>22</v>
      </c>
      <c r="M1169" s="9" t="str">
        <f>IFERROR(INDEX(T_CleanCustomers[Sales_Rep_ID],MATCH(B1169,T_CleanCustomers[Customer_ID],0)),"Unmatched")</f>
        <v>REP004</v>
      </c>
      <c r="N1169" s="9" t="str">
        <f>IFERROR(INDEX(T_CleanCustomers[Channel],MATCH(B1169,T_CleanCustomers[Customer_ID],0)),"Unmatched")</f>
        <v>Partner</v>
      </c>
      <c r="O1169" s="9" t="str">
        <f>IFERROR(INDEX(T_CleanCustomers[Product],MATCH(B1169,T_CleanCustomers[Customer_ID],0)),"Unmatched")</f>
        <v>Fuel Card</v>
      </c>
      <c r="P1169" s="9" t="str">
        <f>IFERROR(INDEX(T_CleanCustomers[Customer_Segment],MATCH(B1169,T_CleanCustomers[Customer_ID],0)),"Unmatched")</f>
        <v>Mid-Market</v>
      </c>
    </row>
    <row r="1170" spans="1:16" ht="15" customHeight="1" x14ac:dyDescent="0.2">
      <c r="A1170" s="9" t="s">
        <v>2509</v>
      </c>
      <c r="B1170" s="9" t="s">
        <v>1285</v>
      </c>
      <c r="C1170" s="9" t="b">
        <f>TRUE()</f>
        <v>1</v>
      </c>
      <c r="D1170" s="10">
        <v>46014</v>
      </c>
      <c r="E1170" s="10">
        <v>45992</v>
      </c>
      <c r="F1170" s="9" t="s">
        <v>1360</v>
      </c>
      <c r="G1170" s="11">
        <v>4780.6000000000004</v>
      </c>
      <c r="H1170" s="11">
        <v>104.51</v>
      </c>
      <c r="I1170" s="9" t="b">
        <f>TRUE()</f>
        <v>1</v>
      </c>
      <c r="J1170" s="9" t="s">
        <v>1361</v>
      </c>
      <c r="K1170" s="11">
        <v>104.51</v>
      </c>
      <c r="L1170" s="9" t="s">
        <v>22</v>
      </c>
      <c r="M1170" s="9" t="str">
        <f>IFERROR(INDEX(T_CleanCustomers[Sales_Rep_ID],MATCH(B1170,T_CleanCustomers[Customer_ID],0)),"Unmatched")</f>
        <v>REP004</v>
      </c>
      <c r="N1170" s="9" t="str">
        <f>IFERROR(INDEX(T_CleanCustomers[Channel],MATCH(B1170,T_CleanCustomers[Customer_ID],0)),"Unmatched")</f>
        <v>Partner</v>
      </c>
      <c r="O1170" s="9" t="str">
        <f>IFERROR(INDEX(T_CleanCustomers[Product],MATCH(B1170,T_CleanCustomers[Customer_ID],0)),"Unmatched")</f>
        <v>Fuel Card</v>
      </c>
      <c r="P1170" s="9" t="str">
        <f>IFERROR(INDEX(T_CleanCustomers[Customer_Segment],MATCH(B1170,T_CleanCustomers[Customer_ID],0)),"Unmatched")</f>
        <v>Mid-Market</v>
      </c>
    </row>
    <row r="1171" spans="1:16" ht="15" customHeight="1" x14ac:dyDescent="0.2">
      <c r="A1171" s="9" t="s">
        <v>2510</v>
      </c>
      <c r="B1171" s="9" t="s">
        <v>1286</v>
      </c>
      <c r="C1171" s="9" t="b">
        <f>TRUE()</f>
        <v>1</v>
      </c>
      <c r="D1171" s="10">
        <v>45941</v>
      </c>
      <c r="E1171" s="10">
        <v>45931</v>
      </c>
      <c r="F1171" s="9" t="s">
        <v>1360</v>
      </c>
      <c r="G1171" s="11">
        <v>7710.25</v>
      </c>
      <c r="H1171" s="11">
        <v>221.18</v>
      </c>
      <c r="I1171" s="9" t="b">
        <f>TRUE()</f>
        <v>1</v>
      </c>
      <c r="J1171" s="9" t="s">
        <v>1361</v>
      </c>
      <c r="K1171" s="11">
        <v>221.18</v>
      </c>
      <c r="L1171" s="9" t="s">
        <v>21</v>
      </c>
      <c r="M1171" s="9" t="str">
        <f>IFERROR(INDEX(T_CleanCustomers[Sales_Rep_ID],MATCH(B1171,T_CleanCustomers[Customer_ID],0)),"Unmatched")</f>
        <v>REP007</v>
      </c>
      <c r="N1171" s="9" t="str">
        <f>IFERROR(INDEX(T_CleanCustomers[Channel],MATCH(B1171,T_CleanCustomers[Customer_ID],0)),"Unmatched")</f>
        <v>Partner</v>
      </c>
      <c r="O1171" s="9" t="str">
        <f>IFERROR(INDEX(T_CleanCustomers[Product],MATCH(B1171,T_CleanCustomers[Customer_ID],0)),"Unmatched")</f>
        <v>Fuel Card</v>
      </c>
      <c r="P1171" s="9" t="str">
        <f>IFERROR(INDEX(T_CleanCustomers[Customer_Segment],MATCH(B1171,T_CleanCustomers[Customer_ID],0)),"Unmatched")</f>
        <v>Mid-Market</v>
      </c>
    </row>
    <row r="1172" spans="1:16" ht="15" customHeight="1" x14ac:dyDescent="0.2">
      <c r="A1172" s="9" t="s">
        <v>2511</v>
      </c>
      <c r="B1172" s="9" t="s">
        <v>1286</v>
      </c>
      <c r="C1172" s="9" t="b">
        <f>TRUE()</f>
        <v>1</v>
      </c>
      <c r="D1172" s="10">
        <v>45958</v>
      </c>
      <c r="E1172" s="10">
        <v>45931</v>
      </c>
      <c r="F1172" s="9" t="s">
        <v>1360</v>
      </c>
      <c r="G1172" s="11">
        <v>5837.81</v>
      </c>
      <c r="H1172" s="11">
        <v>127.61</v>
      </c>
      <c r="I1172" s="9" t="b">
        <f>TRUE()</f>
        <v>1</v>
      </c>
      <c r="J1172" s="9" t="s">
        <v>1361</v>
      </c>
      <c r="K1172" s="11">
        <v>127.61</v>
      </c>
      <c r="L1172" s="9" t="s">
        <v>21</v>
      </c>
      <c r="M1172" s="9" t="str">
        <f>IFERROR(INDEX(T_CleanCustomers[Sales_Rep_ID],MATCH(B1172,T_CleanCustomers[Customer_ID],0)),"Unmatched")</f>
        <v>REP007</v>
      </c>
      <c r="N1172" s="9" t="str">
        <f>IFERROR(INDEX(T_CleanCustomers[Channel],MATCH(B1172,T_CleanCustomers[Customer_ID],0)),"Unmatched")</f>
        <v>Partner</v>
      </c>
      <c r="O1172" s="9" t="str">
        <f>IFERROR(INDEX(T_CleanCustomers[Product],MATCH(B1172,T_CleanCustomers[Customer_ID],0)),"Unmatched")</f>
        <v>Fuel Card</v>
      </c>
      <c r="P1172" s="9" t="str">
        <f>IFERROR(INDEX(T_CleanCustomers[Customer_Segment],MATCH(B1172,T_CleanCustomers[Customer_ID],0)),"Unmatched")</f>
        <v>Mid-Market</v>
      </c>
    </row>
    <row r="1173" spans="1:16" ht="15" customHeight="1" x14ac:dyDescent="0.2">
      <c r="A1173" s="9" t="s">
        <v>2512</v>
      </c>
      <c r="B1173" s="9" t="s">
        <v>1286</v>
      </c>
      <c r="C1173" s="9" t="b">
        <f>TRUE()</f>
        <v>1</v>
      </c>
      <c r="D1173" s="10">
        <v>45991</v>
      </c>
      <c r="E1173" s="10">
        <v>45962</v>
      </c>
      <c r="F1173" s="9" t="s">
        <v>1360</v>
      </c>
      <c r="G1173" s="11">
        <v>12687.76</v>
      </c>
      <c r="H1173" s="11">
        <v>354.17</v>
      </c>
      <c r="I1173" s="9" t="b">
        <f>TRUE()</f>
        <v>1</v>
      </c>
      <c r="J1173" s="9" t="s">
        <v>1361</v>
      </c>
      <c r="K1173" s="11">
        <v>354.17</v>
      </c>
      <c r="L1173" s="9" t="s">
        <v>21</v>
      </c>
      <c r="M1173" s="9" t="str">
        <f>IFERROR(INDEX(T_CleanCustomers[Sales_Rep_ID],MATCH(B1173,T_CleanCustomers[Customer_ID],0)),"Unmatched")</f>
        <v>REP007</v>
      </c>
      <c r="N1173" s="9" t="str">
        <f>IFERROR(INDEX(T_CleanCustomers[Channel],MATCH(B1173,T_CleanCustomers[Customer_ID],0)),"Unmatched")</f>
        <v>Partner</v>
      </c>
      <c r="O1173" s="9" t="str">
        <f>IFERROR(INDEX(T_CleanCustomers[Product],MATCH(B1173,T_CleanCustomers[Customer_ID],0)),"Unmatched")</f>
        <v>Fuel Card</v>
      </c>
      <c r="P1173" s="9" t="str">
        <f>IFERROR(INDEX(T_CleanCustomers[Customer_Segment],MATCH(B1173,T_CleanCustomers[Customer_ID],0)),"Unmatched")</f>
        <v>Mid-Market</v>
      </c>
    </row>
    <row r="1174" spans="1:16" ht="15" customHeight="1" x14ac:dyDescent="0.2">
      <c r="A1174" s="9" t="s">
        <v>2513</v>
      </c>
      <c r="B1174" s="9" t="s">
        <v>1286</v>
      </c>
      <c r="C1174" s="9" t="b">
        <f>TRUE()</f>
        <v>1</v>
      </c>
      <c r="D1174" s="10">
        <v>45973</v>
      </c>
      <c r="E1174" s="10">
        <v>45962</v>
      </c>
      <c r="F1174" s="9" t="s">
        <v>1360</v>
      </c>
      <c r="G1174" s="11">
        <v>16721.349999999999</v>
      </c>
      <c r="H1174" s="11">
        <v>465.49</v>
      </c>
      <c r="I1174" s="9" t="b">
        <f>TRUE()</f>
        <v>1</v>
      </c>
      <c r="J1174" s="9" t="s">
        <v>1361</v>
      </c>
      <c r="K1174" s="11">
        <v>465.49</v>
      </c>
      <c r="L1174" s="9" t="s">
        <v>21</v>
      </c>
      <c r="M1174" s="9" t="str">
        <f>IFERROR(INDEX(T_CleanCustomers[Sales_Rep_ID],MATCH(B1174,T_CleanCustomers[Customer_ID],0)),"Unmatched")</f>
        <v>REP007</v>
      </c>
      <c r="N1174" s="9" t="str">
        <f>IFERROR(INDEX(T_CleanCustomers[Channel],MATCH(B1174,T_CleanCustomers[Customer_ID],0)),"Unmatched")</f>
        <v>Partner</v>
      </c>
      <c r="O1174" s="9" t="str">
        <f>IFERROR(INDEX(T_CleanCustomers[Product],MATCH(B1174,T_CleanCustomers[Customer_ID],0)),"Unmatched")</f>
        <v>Fuel Card</v>
      </c>
      <c r="P1174" s="9" t="str">
        <f>IFERROR(INDEX(T_CleanCustomers[Customer_Segment],MATCH(B1174,T_CleanCustomers[Customer_ID],0)),"Unmatched")</f>
        <v>Mid-Market</v>
      </c>
    </row>
    <row r="1175" spans="1:16" ht="15" customHeight="1" x14ac:dyDescent="0.2">
      <c r="A1175" s="9" t="s">
        <v>2514</v>
      </c>
      <c r="B1175" s="9" t="s">
        <v>1286</v>
      </c>
      <c r="C1175" s="9" t="b">
        <f>TRUE()</f>
        <v>1</v>
      </c>
      <c r="D1175" s="10">
        <v>45975</v>
      </c>
      <c r="E1175" s="10">
        <v>45962</v>
      </c>
      <c r="F1175" s="9" t="s">
        <v>1360</v>
      </c>
      <c r="G1175" s="11">
        <v>16018.15</v>
      </c>
      <c r="H1175" s="11">
        <v>361.99</v>
      </c>
      <c r="I1175" s="9" t="b">
        <f>TRUE()</f>
        <v>1</v>
      </c>
      <c r="J1175" s="9" t="s">
        <v>1361</v>
      </c>
      <c r="K1175" s="11">
        <v>361.99</v>
      </c>
      <c r="L1175" s="9" t="s">
        <v>21</v>
      </c>
      <c r="M1175" s="9" t="str">
        <f>IFERROR(INDEX(T_CleanCustomers[Sales_Rep_ID],MATCH(B1175,T_CleanCustomers[Customer_ID],0)),"Unmatched")</f>
        <v>REP007</v>
      </c>
      <c r="N1175" s="9" t="str">
        <f>IFERROR(INDEX(T_CleanCustomers[Channel],MATCH(B1175,T_CleanCustomers[Customer_ID],0)),"Unmatched")</f>
        <v>Partner</v>
      </c>
      <c r="O1175" s="9" t="str">
        <f>IFERROR(INDEX(T_CleanCustomers[Product],MATCH(B1175,T_CleanCustomers[Customer_ID],0)),"Unmatched")</f>
        <v>Fuel Card</v>
      </c>
      <c r="P1175" s="9" t="str">
        <f>IFERROR(INDEX(T_CleanCustomers[Customer_Segment],MATCH(B1175,T_CleanCustomers[Customer_ID],0)),"Unmatched")</f>
        <v>Mid-Market</v>
      </c>
    </row>
    <row r="1176" spans="1:16" ht="15" customHeight="1" x14ac:dyDescent="0.2">
      <c r="A1176" s="9" t="s">
        <v>2515</v>
      </c>
      <c r="B1176" s="9" t="s">
        <v>1286</v>
      </c>
      <c r="C1176" s="9" t="b">
        <f>TRUE()</f>
        <v>1</v>
      </c>
      <c r="D1176" s="10">
        <v>46006</v>
      </c>
      <c r="E1176" s="10">
        <v>45992</v>
      </c>
      <c r="F1176" s="9" t="s">
        <v>1360</v>
      </c>
      <c r="G1176" s="11">
        <v>5534.58</v>
      </c>
      <c r="H1176" s="11">
        <v>0</v>
      </c>
      <c r="I1176" s="9" t="b">
        <f>TRUE()</f>
        <v>1</v>
      </c>
      <c r="J1176" s="9" t="s">
        <v>1408</v>
      </c>
      <c r="K1176" s="11">
        <v>0</v>
      </c>
      <c r="L1176" s="9" t="s">
        <v>21</v>
      </c>
      <c r="M1176" s="9" t="str">
        <f>IFERROR(INDEX(T_CleanCustomers[Sales_Rep_ID],MATCH(B1176,T_CleanCustomers[Customer_ID],0)),"Unmatched")</f>
        <v>REP007</v>
      </c>
      <c r="N1176" s="9" t="str">
        <f>IFERROR(INDEX(T_CleanCustomers[Channel],MATCH(B1176,T_CleanCustomers[Customer_ID],0)),"Unmatched")</f>
        <v>Partner</v>
      </c>
      <c r="O1176" s="9" t="str">
        <f>IFERROR(INDEX(T_CleanCustomers[Product],MATCH(B1176,T_CleanCustomers[Customer_ID],0)),"Unmatched")</f>
        <v>Fuel Card</v>
      </c>
      <c r="P1176" s="9" t="str">
        <f>IFERROR(INDEX(T_CleanCustomers[Customer_Segment],MATCH(B1176,T_CleanCustomers[Customer_ID],0)),"Unmatched")</f>
        <v>Mid-Market</v>
      </c>
    </row>
    <row r="1177" spans="1:16" ht="15" customHeight="1" x14ac:dyDescent="0.2">
      <c r="A1177" s="9" t="s">
        <v>2516</v>
      </c>
      <c r="B1177" s="9" t="s">
        <v>1286</v>
      </c>
      <c r="C1177" s="9" t="b">
        <f>TRUE()</f>
        <v>1</v>
      </c>
      <c r="D1177" s="10">
        <v>45998</v>
      </c>
      <c r="E1177" s="10">
        <v>45992</v>
      </c>
      <c r="F1177" s="9" t="s">
        <v>1360</v>
      </c>
      <c r="G1177" s="11">
        <v>7939.26</v>
      </c>
      <c r="H1177" s="11">
        <v>192.71</v>
      </c>
      <c r="I1177" s="9" t="b">
        <f>TRUE()</f>
        <v>1</v>
      </c>
      <c r="J1177" s="9" t="s">
        <v>1361</v>
      </c>
      <c r="K1177" s="11">
        <v>192.71</v>
      </c>
      <c r="L1177" s="9" t="s">
        <v>21</v>
      </c>
      <c r="M1177" s="9" t="str">
        <f>IFERROR(INDEX(T_CleanCustomers[Sales_Rep_ID],MATCH(B1177,T_CleanCustomers[Customer_ID],0)),"Unmatched")</f>
        <v>REP007</v>
      </c>
      <c r="N1177" s="9" t="str">
        <f>IFERROR(INDEX(T_CleanCustomers[Channel],MATCH(B1177,T_CleanCustomers[Customer_ID],0)),"Unmatched")</f>
        <v>Partner</v>
      </c>
      <c r="O1177" s="9" t="str">
        <f>IFERROR(INDEX(T_CleanCustomers[Product],MATCH(B1177,T_CleanCustomers[Customer_ID],0)),"Unmatched")</f>
        <v>Fuel Card</v>
      </c>
      <c r="P1177" s="9" t="str">
        <f>IFERROR(INDEX(T_CleanCustomers[Customer_Segment],MATCH(B1177,T_CleanCustomers[Customer_ID],0)),"Unmatched")</f>
        <v>Mid-Market</v>
      </c>
    </row>
    <row r="1178" spans="1:16" ht="15" customHeight="1" x14ac:dyDescent="0.2">
      <c r="A1178" s="9" t="s">
        <v>2517</v>
      </c>
      <c r="B1178" s="9" t="s">
        <v>1287</v>
      </c>
      <c r="C1178" s="9" t="b">
        <f>TRUE()</f>
        <v>1</v>
      </c>
      <c r="D1178" s="10">
        <v>45958</v>
      </c>
      <c r="E1178" s="10">
        <v>45931</v>
      </c>
      <c r="F1178" s="9" t="s">
        <v>1360</v>
      </c>
      <c r="G1178" s="11">
        <v>2213.77</v>
      </c>
      <c r="H1178" s="11">
        <v>50.32</v>
      </c>
      <c r="I1178" s="9" t="b">
        <f>TRUE()</f>
        <v>1</v>
      </c>
      <c r="J1178" s="9" t="s">
        <v>1361</v>
      </c>
      <c r="K1178" s="11">
        <v>50.32</v>
      </c>
      <c r="L1178" s="9" t="s">
        <v>19</v>
      </c>
      <c r="M1178" s="9" t="str">
        <f>IFERROR(INDEX(T_CleanCustomers[Sales_Rep_ID],MATCH(B1178,T_CleanCustomers[Customer_ID],0)),"Unmatched")</f>
        <v>REP015</v>
      </c>
      <c r="N1178" s="9" t="str">
        <f>IFERROR(INDEX(T_CleanCustomers[Channel],MATCH(B1178,T_CleanCustomers[Customer_ID],0)),"Unmatched")</f>
        <v>Direct Sales</v>
      </c>
      <c r="O1178" s="9" t="str">
        <f>IFERROR(INDEX(T_CleanCustomers[Product],MATCH(B1178,T_CleanCustomers[Customer_ID],0)),"Unmatched")</f>
        <v>Fuel Card</v>
      </c>
      <c r="P1178" s="9" t="str">
        <f>IFERROR(INDEX(T_CleanCustomers[Customer_Segment],MATCH(B1178,T_CleanCustomers[Customer_ID],0)),"Unmatched")</f>
        <v>SME</v>
      </c>
    </row>
    <row r="1179" spans="1:16" ht="15" customHeight="1" x14ac:dyDescent="0.2">
      <c r="A1179" s="9" t="s">
        <v>2518</v>
      </c>
      <c r="B1179" s="9" t="s">
        <v>1287</v>
      </c>
      <c r="C1179" s="9" t="b">
        <f>TRUE()</f>
        <v>1</v>
      </c>
      <c r="D1179" s="10">
        <v>45986</v>
      </c>
      <c r="E1179" s="10">
        <v>45962</v>
      </c>
      <c r="F1179" s="9" t="s">
        <v>1360</v>
      </c>
      <c r="G1179" s="11">
        <v>1400.1</v>
      </c>
      <c r="H1179" s="11">
        <v>31.26</v>
      </c>
      <c r="I1179" s="9" t="b">
        <f>TRUE()</f>
        <v>1</v>
      </c>
      <c r="J1179" s="9" t="s">
        <v>1361</v>
      </c>
      <c r="K1179" s="11">
        <v>31.26</v>
      </c>
      <c r="L1179" s="9" t="s">
        <v>19</v>
      </c>
      <c r="M1179" s="9" t="str">
        <f>IFERROR(INDEX(T_CleanCustomers[Sales_Rep_ID],MATCH(B1179,T_CleanCustomers[Customer_ID],0)),"Unmatched")</f>
        <v>REP015</v>
      </c>
      <c r="N1179" s="9" t="str">
        <f>IFERROR(INDEX(T_CleanCustomers[Channel],MATCH(B1179,T_CleanCustomers[Customer_ID],0)),"Unmatched")</f>
        <v>Direct Sales</v>
      </c>
      <c r="O1179" s="9" t="str">
        <f>IFERROR(INDEX(T_CleanCustomers[Product],MATCH(B1179,T_CleanCustomers[Customer_ID],0)),"Unmatched")</f>
        <v>Fuel Card</v>
      </c>
      <c r="P1179" s="9" t="str">
        <f>IFERROR(INDEX(T_CleanCustomers[Customer_Segment],MATCH(B1179,T_CleanCustomers[Customer_ID],0)),"Unmatched")</f>
        <v>SME</v>
      </c>
    </row>
    <row r="1180" spans="1:16" ht="15" customHeight="1" x14ac:dyDescent="0.2">
      <c r="A1180" s="9" t="s">
        <v>2519</v>
      </c>
      <c r="B1180" s="9" t="s">
        <v>1287</v>
      </c>
      <c r="C1180" s="9" t="b">
        <f>TRUE()</f>
        <v>1</v>
      </c>
      <c r="D1180" s="10">
        <v>46009</v>
      </c>
      <c r="E1180" s="10">
        <v>45992</v>
      </c>
      <c r="F1180" s="9" t="s">
        <v>1360</v>
      </c>
      <c r="G1180" s="11">
        <v>2715.35</v>
      </c>
      <c r="H1180" s="11">
        <v>72.290000000000006</v>
      </c>
      <c r="I1180" s="9" t="b">
        <f>TRUE()</f>
        <v>1</v>
      </c>
      <c r="J1180" s="9" t="s">
        <v>1361</v>
      </c>
      <c r="K1180" s="11">
        <v>72.290000000000006</v>
      </c>
      <c r="L1180" s="9" t="s">
        <v>19</v>
      </c>
      <c r="M1180" s="9" t="str">
        <f>IFERROR(INDEX(T_CleanCustomers[Sales_Rep_ID],MATCH(B1180,T_CleanCustomers[Customer_ID],0)),"Unmatched")</f>
        <v>REP015</v>
      </c>
      <c r="N1180" s="9" t="str">
        <f>IFERROR(INDEX(T_CleanCustomers[Channel],MATCH(B1180,T_CleanCustomers[Customer_ID],0)),"Unmatched")</f>
        <v>Direct Sales</v>
      </c>
      <c r="O1180" s="9" t="str">
        <f>IFERROR(INDEX(T_CleanCustomers[Product],MATCH(B1180,T_CleanCustomers[Customer_ID],0)),"Unmatched")</f>
        <v>Fuel Card</v>
      </c>
      <c r="P1180" s="9" t="str">
        <f>IFERROR(INDEX(T_CleanCustomers[Customer_Segment],MATCH(B1180,T_CleanCustomers[Customer_ID],0)),"Unmatched")</f>
        <v>SME</v>
      </c>
    </row>
    <row r="1181" spans="1:16" ht="15" customHeight="1" x14ac:dyDescent="0.2">
      <c r="A1181" s="9" t="s">
        <v>2520</v>
      </c>
      <c r="B1181" s="9" t="s">
        <v>1287</v>
      </c>
      <c r="C1181" s="9" t="b">
        <f>TRUE()</f>
        <v>1</v>
      </c>
      <c r="D1181" s="10">
        <v>46000</v>
      </c>
      <c r="E1181" s="10">
        <v>45992</v>
      </c>
      <c r="F1181" s="9" t="s">
        <v>1360</v>
      </c>
      <c r="G1181" s="11">
        <v>3173.78</v>
      </c>
      <c r="H1181" s="11">
        <v>70.38</v>
      </c>
      <c r="I1181" s="9" t="b">
        <f>TRUE()</f>
        <v>1</v>
      </c>
      <c r="J1181" s="9" t="s">
        <v>1361</v>
      </c>
      <c r="K1181" s="11">
        <v>70.38</v>
      </c>
      <c r="L1181" s="9" t="s">
        <v>19</v>
      </c>
      <c r="M1181" s="9" t="str">
        <f>IFERROR(INDEX(T_CleanCustomers[Sales_Rep_ID],MATCH(B1181,T_CleanCustomers[Customer_ID],0)),"Unmatched")</f>
        <v>REP015</v>
      </c>
      <c r="N1181" s="9" t="str">
        <f>IFERROR(INDEX(T_CleanCustomers[Channel],MATCH(B1181,T_CleanCustomers[Customer_ID],0)),"Unmatched")</f>
        <v>Direct Sales</v>
      </c>
      <c r="O1181" s="9" t="str">
        <f>IFERROR(INDEX(T_CleanCustomers[Product],MATCH(B1181,T_CleanCustomers[Customer_ID],0)),"Unmatched")</f>
        <v>Fuel Card</v>
      </c>
      <c r="P1181" s="9" t="str">
        <f>IFERROR(INDEX(T_CleanCustomers[Customer_Segment],MATCH(B1181,T_CleanCustomers[Customer_ID],0)),"Unmatched")</f>
        <v>SME</v>
      </c>
    </row>
    <row r="1182" spans="1:16" ht="15" customHeight="1" x14ac:dyDescent="0.2">
      <c r="A1182" s="9" t="s">
        <v>2521</v>
      </c>
      <c r="B1182" s="9" t="s">
        <v>1289</v>
      </c>
      <c r="C1182" s="9" t="b">
        <f>TRUE()</f>
        <v>1</v>
      </c>
      <c r="D1182" s="10">
        <v>45834</v>
      </c>
      <c r="E1182" s="10">
        <v>45809</v>
      </c>
      <c r="F1182" s="9" t="s">
        <v>1479</v>
      </c>
      <c r="G1182" s="11">
        <v>2481.5500000000002</v>
      </c>
      <c r="H1182" s="11">
        <v>58.9</v>
      </c>
      <c r="I1182" s="9" t="b">
        <f>TRUE()</f>
        <v>1</v>
      </c>
      <c r="J1182" s="9" t="s">
        <v>1361</v>
      </c>
      <c r="K1182" s="11">
        <v>58.9</v>
      </c>
      <c r="L1182" s="9" t="s">
        <v>21</v>
      </c>
      <c r="M1182" s="9" t="str">
        <f>IFERROR(INDEX(T_CleanCustomers[Sales_Rep_ID],MATCH(B1182,T_CleanCustomers[Customer_ID],0)),"Unmatched")</f>
        <v>REP008</v>
      </c>
      <c r="N1182" s="9" t="str">
        <f>IFERROR(INDEX(T_CleanCustomers[Channel],MATCH(B1182,T_CleanCustomers[Customer_ID],0)),"Unmatched")</f>
        <v>Partner</v>
      </c>
      <c r="O1182" s="9" t="str">
        <f>IFERROR(INDEX(T_CleanCustomers[Product],MATCH(B1182,T_CleanCustomers[Customer_ID],0)),"Unmatched")</f>
        <v>Fleet Expense Card</v>
      </c>
      <c r="P1182" s="9" t="str">
        <f>IFERROR(INDEX(T_CleanCustomers[Customer_Segment],MATCH(B1182,T_CleanCustomers[Customer_ID],0)),"Unmatched")</f>
        <v>SME</v>
      </c>
    </row>
    <row r="1183" spans="1:16" ht="15" customHeight="1" x14ac:dyDescent="0.2">
      <c r="A1183" s="9" t="s">
        <v>2522</v>
      </c>
      <c r="B1183" s="9" t="s">
        <v>1289</v>
      </c>
      <c r="C1183" s="9" t="b">
        <f>TRUE()</f>
        <v>1</v>
      </c>
      <c r="D1183" s="10">
        <v>45821</v>
      </c>
      <c r="E1183" s="10">
        <v>45809</v>
      </c>
      <c r="F1183" s="9" t="s">
        <v>1479</v>
      </c>
      <c r="G1183" s="11">
        <v>3296.68</v>
      </c>
      <c r="H1183" s="11">
        <v>101.81</v>
      </c>
      <c r="I1183" s="9" t="b">
        <f>TRUE()</f>
        <v>1</v>
      </c>
      <c r="J1183" s="9" t="s">
        <v>1361</v>
      </c>
      <c r="K1183" s="11">
        <v>101.81</v>
      </c>
      <c r="L1183" s="9" t="s">
        <v>21</v>
      </c>
      <c r="M1183" s="9" t="str">
        <f>IFERROR(INDEX(T_CleanCustomers[Sales_Rep_ID],MATCH(B1183,T_CleanCustomers[Customer_ID],0)),"Unmatched")</f>
        <v>REP008</v>
      </c>
      <c r="N1183" s="9" t="str">
        <f>IFERROR(INDEX(T_CleanCustomers[Channel],MATCH(B1183,T_CleanCustomers[Customer_ID],0)),"Unmatched")</f>
        <v>Partner</v>
      </c>
      <c r="O1183" s="9" t="str">
        <f>IFERROR(INDEX(T_CleanCustomers[Product],MATCH(B1183,T_CleanCustomers[Customer_ID],0)),"Unmatched")</f>
        <v>Fleet Expense Card</v>
      </c>
      <c r="P1183" s="9" t="str">
        <f>IFERROR(INDEX(T_CleanCustomers[Customer_Segment],MATCH(B1183,T_CleanCustomers[Customer_ID],0)),"Unmatched")</f>
        <v>SME</v>
      </c>
    </row>
    <row r="1184" spans="1:16" ht="15" customHeight="1" x14ac:dyDescent="0.2">
      <c r="A1184" s="9" t="s">
        <v>2523</v>
      </c>
      <c r="B1184" s="9" t="s">
        <v>1289</v>
      </c>
      <c r="C1184" s="9" t="b">
        <f>TRUE()</f>
        <v>1</v>
      </c>
      <c r="D1184" s="10">
        <v>45837</v>
      </c>
      <c r="E1184" s="10">
        <v>45809</v>
      </c>
      <c r="F1184" s="9" t="s">
        <v>1360</v>
      </c>
      <c r="G1184" s="11">
        <v>1236.97</v>
      </c>
      <c r="H1184" s="11">
        <v>30</v>
      </c>
      <c r="I1184" s="9" t="b">
        <f>TRUE()</f>
        <v>1</v>
      </c>
      <c r="J1184" s="9" t="s">
        <v>1361</v>
      </c>
      <c r="K1184" s="11">
        <v>30</v>
      </c>
      <c r="L1184" s="9" t="s">
        <v>21</v>
      </c>
      <c r="M1184" s="9" t="str">
        <f>IFERROR(INDEX(T_CleanCustomers[Sales_Rep_ID],MATCH(B1184,T_CleanCustomers[Customer_ID],0)),"Unmatched")</f>
        <v>REP008</v>
      </c>
      <c r="N1184" s="9" t="str">
        <f>IFERROR(INDEX(T_CleanCustomers[Channel],MATCH(B1184,T_CleanCustomers[Customer_ID],0)),"Unmatched")</f>
        <v>Partner</v>
      </c>
      <c r="O1184" s="9" t="str">
        <f>IFERROR(INDEX(T_CleanCustomers[Product],MATCH(B1184,T_CleanCustomers[Customer_ID],0)),"Unmatched")</f>
        <v>Fleet Expense Card</v>
      </c>
      <c r="P1184" s="9" t="str">
        <f>IFERROR(INDEX(T_CleanCustomers[Customer_Segment],MATCH(B1184,T_CleanCustomers[Customer_ID],0)),"Unmatched")</f>
        <v>SME</v>
      </c>
    </row>
    <row r="1185" spans="1:16" ht="15" customHeight="1" x14ac:dyDescent="0.2">
      <c r="A1185" s="9" t="s">
        <v>2524</v>
      </c>
      <c r="B1185" s="9" t="s">
        <v>1289</v>
      </c>
      <c r="C1185" s="9" t="b">
        <f>TRUE()</f>
        <v>1</v>
      </c>
      <c r="D1185" s="10">
        <v>45852</v>
      </c>
      <c r="E1185" s="10">
        <v>45839</v>
      </c>
      <c r="F1185" s="9" t="s">
        <v>1481</v>
      </c>
      <c r="G1185" s="11">
        <v>1750.25</v>
      </c>
      <c r="H1185" s="11">
        <v>51.46</v>
      </c>
      <c r="I1185" s="9" t="b">
        <f>TRUE()</f>
        <v>1</v>
      </c>
      <c r="J1185" s="9" t="s">
        <v>1361</v>
      </c>
      <c r="K1185" s="11">
        <v>51.46</v>
      </c>
      <c r="L1185" s="9" t="s">
        <v>21</v>
      </c>
      <c r="M1185" s="9" t="str">
        <f>IFERROR(INDEX(T_CleanCustomers[Sales_Rep_ID],MATCH(B1185,T_CleanCustomers[Customer_ID],0)),"Unmatched")</f>
        <v>REP008</v>
      </c>
      <c r="N1185" s="9" t="str">
        <f>IFERROR(INDEX(T_CleanCustomers[Channel],MATCH(B1185,T_CleanCustomers[Customer_ID],0)),"Unmatched")</f>
        <v>Partner</v>
      </c>
      <c r="O1185" s="9" t="str">
        <f>IFERROR(INDEX(T_CleanCustomers[Product],MATCH(B1185,T_CleanCustomers[Customer_ID],0)),"Unmatched")</f>
        <v>Fleet Expense Card</v>
      </c>
      <c r="P1185" s="9" t="str">
        <f>IFERROR(INDEX(T_CleanCustomers[Customer_Segment],MATCH(B1185,T_CleanCustomers[Customer_ID],0)),"Unmatched")</f>
        <v>SME</v>
      </c>
    </row>
    <row r="1186" spans="1:16" ht="15" customHeight="1" x14ac:dyDescent="0.2">
      <c r="A1186" s="9" t="s">
        <v>2525</v>
      </c>
      <c r="B1186" s="9" t="s">
        <v>1289</v>
      </c>
      <c r="C1186" s="9" t="b">
        <f>TRUE()</f>
        <v>1</v>
      </c>
      <c r="D1186" s="10">
        <v>45853</v>
      </c>
      <c r="E1186" s="10">
        <v>45839</v>
      </c>
      <c r="F1186" s="9" t="s">
        <v>1479</v>
      </c>
      <c r="G1186" s="11">
        <v>2958.43</v>
      </c>
      <c r="H1186" s="11">
        <v>69.13</v>
      </c>
      <c r="I1186" s="9" t="b">
        <f>TRUE()</f>
        <v>1</v>
      </c>
      <c r="J1186" s="9" t="s">
        <v>1361</v>
      </c>
      <c r="K1186" s="11">
        <v>69.13</v>
      </c>
      <c r="L1186" s="9" t="s">
        <v>21</v>
      </c>
      <c r="M1186" s="9" t="str">
        <f>IFERROR(INDEX(T_CleanCustomers[Sales_Rep_ID],MATCH(B1186,T_CleanCustomers[Customer_ID],0)),"Unmatched")</f>
        <v>REP008</v>
      </c>
      <c r="N1186" s="9" t="str">
        <f>IFERROR(INDEX(T_CleanCustomers[Channel],MATCH(B1186,T_CleanCustomers[Customer_ID],0)),"Unmatched")</f>
        <v>Partner</v>
      </c>
      <c r="O1186" s="9" t="str">
        <f>IFERROR(INDEX(T_CleanCustomers[Product],MATCH(B1186,T_CleanCustomers[Customer_ID],0)),"Unmatched")</f>
        <v>Fleet Expense Card</v>
      </c>
      <c r="P1186" s="9" t="str">
        <f>IFERROR(INDEX(T_CleanCustomers[Customer_Segment],MATCH(B1186,T_CleanCustomers[Customer_ID],0)),"Unmatched")</f>
        <v>SME</v>
      </c>
    </row>
    <row r="1187" spans="1:16" ht="15" customHeight="1" x14ac:dyDescent="0.2">
      <c r="A1187" s="9" t="s">
        <v>2526</v>
      </c>
      <c r="B1187" s="9" t="s">
        <v>1289</v>
      </c>
      <c r="C1187" s="9" t="b">
        <f>TRUE()</f>
        <v>1</v>
      </c>
      <c r="D1187" s="10">
        <v>45888</v>
      </c>
      <c r="E1187" s="10">
        <v>45870</v>
      </c>
      <c r="F1187" s="9" t="s">
        <v>1479</v>
      </c>
      <c r="G1187" s="11">
        <v>2406.98</v>
      </c>
      <c r="H1187" s="11">
        <v>60.97</v>
      </c>
      <c r="I1187" s="9" t="b">
        <f>TRUE()</f>
        <v>1</v>
      </c>
      <c r="J1187" s="9" t="s">
        <v>1361</v>
      </c>
      <c r="K1187" s="11">
        <v>60.97</v>
      </c>
      <c r="L1187" s="9" t="s">
        <v>21</v>
      </c>
      <c r="M1187" s="9" t="str">
        <f>IFERROR(INDEX(T_CleanCustomers[Sales_Rep_ID],MATCH(B1187,T_CleanCustomers[Customer_ID],0)),"Unmatched")</f>
        <v>REP008</v>
      </c>
      <c r="N1187" s="9" t="str">
        <f>IFERROR(INDEX(T_CleanCustomers[Channel],MATCH(B1187,T_CleanCustomers[Customer_ID],0)),"Unmatched")</f>
        <v>Partner</v>
      </c>
      <c r="O1187" s="9" t="str">
        <f>IFERROR(INDEX(T_CleanCustomers[Product],MATCH(B1187,T_CleanCustomers[Customer_ID],0)),"Unmatched")</f>
        <v>Fleet Expense Card</v>
      </c>
      <c r="P1187" s="9" t="str">
        <f>IFERROR(INDEX(T_CleanCustomers[Customer_Segment],MATCH(B1187,T_CleanCustomers[Customer_ID],0)),"Unmatched")</f>
        <v>SME</v>
      </c>
    </row>
    <row r="1188" spans="1:16" ht="15" customHeight="1" x14ac:dyDescent="0.2">
      <c r="A1188" s="9" t="s">
        <v>2527</v>
      </c>
      <c r="B1188" s="9" t="s">
        <v>1290</v>
      </c>
      <c r="C1188" s="9" t="b">
        <f>TRUE()</f>
        <v>1</v>
      </c>
      <c r="D1188" s="10">
        <v>46022</v>
      </c>
      <c r="E1188" s="10">
        <v>45992</v>
      </c>
      <c r="F1188" s="9" t="s">
        <v>1360</v>
      </c>
      <c r="G1188" s="11">
        <v>2198.7600000000002</v>
      </c>
      <c r="H1188" s="11">
        <v>49.75</v>
      </c>
      <c r="I1188" s="9" t="b">
        <f>TRUE()</f>
        <v>1</v>
      </c>
      <c r="J1188" s="9" t="s">
        <v>1361</v>
      </c>
      <c r="K1188" s="11">
        <v>49.75</v>
      </c>
      <c r="L1188" s="9" t="s">
        <v>20</v>
      </c>
      <c r="M1188" s="9" t="str">
        <f>IFERROR(INDEX(T_CleanCustomers[Sales_Rep_ID],MATCH(B1188,T_CleanCustomers[Customer_ID],0)),"Unmatched")</f>
        <v>REP003</v>
      </c>
      <c r="N1188" s="9" t="str">
        <f>IFERROR(INDEX(T_CleanCustomers[Channel],MATCH(B1188,T_CleanCustomers[Customer_ID],0)),"Unmatched")</f>
        <v>Direct Sales</v>
      </c>
      <c r="O1188" s="9" t="str">
        <f>IFERROR(INDEX(T_CleanCustomers[Product],MATCH(B1188,T_CleanCustomers[Customer_ID],0)),"Unmatched")</f>
        <v>Fuel Card</v>
      </c>
      <c r="P1188" s="9" t="str">
        <f>IFERROR(INDEX(T_CleanCustomers[Customer_Segment],MATCH(B1188,T_CleanCustomers[Customer_ID],0)),"Unmatched")</f>
        <v>SME</v>
      </c>
    </row>
    <row r="1189" spans="1:16" ht="15" customHeight="1" x14ac:dyDescent="0.2">
      <c r="A1189" s="9" t="s">
        <v>2528</v>
      </c>
      <c r="B1189" s="9" t="s">
        <v>1292</v>
      </c>
      <c r="C1189" s="9" t="b">
        <f>TRUE()</f>
        <v>1</v>
      </c>
      <c r="D1189" s="10">
        <v>45954</v>
      </c>
      <c r="E1189" s="10">
        <v>45931</v>
      </c>
      <c r="F1189" s="9" t="s">
        <v>1423</v>
      </c>
      <c r="G1189" s="11">
        <v>25169.31</v>
      </c>
      <c r="H1189" s="11">
        <v>669.11</v>
      </c>
      <c r="I1189" s="9" t="b">
        <f>TRUE()</f>
        <v>1</v>
      </c>
      <c r="J1189" s="9" t="s">
        <v>1361</v>
      </c>
      <c r="K1189" s="11">
        <v>669.11</v>
      </c>
      <c r="L1189" s="9" t="s">
        <v>18</v>
      </c>
      <c r="M1189" s="9" t="str">
        <f>IFERROR(INDEX(T_CleanCustomers[Sales_Rep_ID],MATCH(B1189,T_CleanCustomers[Customer_ID],0)),"Unmatched")</f>
        <v>REP010</v>
      </c>
      <c r="N1189" s="9" t="str">
        <f>IFERROR(INDEX(T_CleanCustomers[Channel],MATCH(B1189,T_CleanCustomers[Customer_ID],0)),"Unmatched")</f>
        <v>Partner</v>
      </c>
      <c r="O1189" s="9" t="str">
        <f>IFERROR(INDEX(T_CleanCustomers[Product],MATCH(B1189,T_CleanCustomers[Customer_ID],0)),"Unmatched")</f>
        <v>EV Charge Card</v>
      </c>
      <c r="P1189" s="9" t="str">
        <f>IFERROR(INDEX(T_CleanCustomers[Customer_Segment],MATCH(B1189,T_CleanCustomers[Customer_ID],0)),"Unmatched")</f>
        <v>Enterprise</v>
      </c>
    </row>
    <row r="1190" spans="1:16" ht="15" customHeight="1" x14ac:dyDescent="0.2">
      <c r="A1190" s="9" t="s">
        <v>2529</v>
      </c>
      <c r="B1190" s="9" t="s">
        <v>1292</v>
      </c>
      <c r="C1190" s="9" t="b">
        <f>TRUE()</f>
        <v>1</v>
      </c>
      <c r="D1190" s="10">
        <v>45965</v>
      </c>
      <c r="E1190" s="10">
        <v>45962</v>
      </c>
      <c r="F1190" s="9" t="s">
        <v>1423</v>
      </c>
      <c r="G1190" s="11">
        <v>36005.25</v>
      </c>
      <c r="H1190" s="11">
        <v>1108.8</v>
      </c>
      <c r="I1190" s="9" t="b">
        <f>TRUE()</f>
        <v>1</v>
      </c>
      <c r="J1190" s="9" t="s">
        <v>1361</v>
      </c>
      <c r="K1190" s="11">
        <v>1108.8</v>
      </c>
      <c r="L1190" s="9" t="s">
        <v>18</v>
      </c>
      <c r="M1190" s="9" t="str">
        <f>IFERROR(INDEX(T_CleanCustomers[Sales_Rep_ID],MATCH(B1190,T_CleanCustomers[Customer_ID],0)),"Unmatched")</f>
        <v>REP010</v>
      </c>
      <c r="N1190" s="9" t="str">
        <f>IFERROR(INDEX(T_CleanCustomers[Channel],MATCH(B1190,T_CleanCustomers[Customer_ID],0)),"Unmatched")</f>
        <v>Partner</v>
      </c>
      <c r="O1190" s="9" t="str">
        <f>IFERROR(INDEX(T_CleanCustomers[Product],MATCH(B1190,T_CleanCustomers[Customer_ID],0)),"Unmatched")</f>
        <v>EV Charge Card</v>
      </c>
      <c r="P1190" s="9" t="str">
        <f>IFERROR(INDEX(T_CleanCustomers[Customer_Segment],MATCH(B1190,T_CleanCustomers[Customer_ID],0)),"Unmatched")</f>
        <v>Enterprise</v>
      </c>
    </row>
    <row r="1191" spans="1:16" ht="15" customHeight="1" x14ac:dyDescent="0.2">
      <c r="A1191" s="9" t="s">
        <v>2530</v>
      </c>
      <c r="B1191" s="9" t="s">
        <v>1292</v>
      </c>
      <c r="C1191" s="9" t="b">
        <f>TRUE()</f>
        <v>1</v>
      </c>
      <c r="D1191" s="10">
        <v>46001</v>
      </c>
      <c r="E1191" s="10">
        <v>45992</v>
      </c>
      <c r="F1191" s="9" t="s">
        <v>1423</v>
      </c>
      <c r="G1191" s="11">
        <v>19231.990000000002</v>
      </c>
      <c r="H1191" s="11">
        <v>550.75</v>
      </c>
      <c r="I1191" s="9" t="b">
        <f>TRUE()</f>
        <v>1</v>
      </c>
      <c r="J1191" s="9" t="s">
        <v>1361</v>
      </c>
      <c r="K1191" s="11">
        <v>550.75</v>
      </c>
      <c r="L1191" s="9" t="s">
        <v>18</v>
      </c>
      <c r="M1191" s="9" t="str">
        <f>IFERROR(INDEX(T_CleanCustomers[Sales_Rep_ID],MATCH(B1191,T_CleanCustomers[Customer_ID],0)),"Unmatched")</f>
        <v>REP010</v>
      </c>
      <c r="N1191" s="9" t="str">
        <f>IFERROR(INDEX(T_CleanCustomers[Channel],MATCH(B1191,T_CleanCustomers[Customer_ID],0)),"Unmatched")</f>
        <v>Partner</v>
      </c>
      <c r="O1191" s="9" t="str">
        <f>IFERROR(INDEX(T_CleanCustomers[Product],MATCH(B1191,T_CleanCustomers[Customer_ID],0)),"Unmatched")</f>
        <v>EV Charge Card</v>
      </c>
      <c r="P1191" s="9" t="str">
        <f>IFERROR(INDEX(T_CleanCustomers[Customer_Segment],MATCH(B1191,T_CleanCustomers[Customer_ID],0)),"Unmatched")</f>
        <v>Enterprise</v>
      </c>
    </row>
    <row r="1192" spans="1:16" ht="15" customHeight="1" x14ac:dyDescent="0.2">
      <c r="A1192" s="9" t="s">
        <v>2531</v>
      </c>
      <c r="B1192" s="9" t="s">
        <v>1296</v>
      </c>
      <c r="C1192" s="9" t="b">
        <f>TRUE()</f>
        <v>1</v>
      </c>
      <c r="D1192" s="10">
        <v>45771</v>
      </c>
      <c r="E1192" s="10">
        <v>45748</v>
      </c>
      <c r="F1192" s="9" t="s">
        <v>1373</v>
      </c>
      <c r="G1192" s="11">
        <v>8047.27</v>
      </c>
      <c r="H1192" s="11">
        <v>162.93</v>
      </c>
      <c r="I1192" s="9" t="b">
        <f>TRUE()</f>
        <v>1</v>
      </c>
      <c r="J1192" s="9" t="s">
        <v>1361</v>
      </c>
      <c r="K1192" s="11">
        <v>162.93</v>
      </c>
      <c r="L1192" s="9" t="s">
        <v>22</v>
      </c>
      <c r="M1192" s="9" t="str">
        <f>IFERROR(INDEX(T_CleanCustomers[Sales_Rep_ID],MATCH(B1192,T_CleanCustomers[Customer_ID],0)),"Unmatched")</f>
        <v>REP004</v>
      </c>
      <c r="N1192" s="9" t="str">
        <f>IFERROR(INDEX(T_CleanCustomers[Channel],MATCH(B1192,T_CleanCustomers[Customer_ID],0)),"Unmatched")</f>
        <v>Direct Sales</v>
      </c>
      <c r="O1192" s="9" t="str">
        <f>IFERROR(INDEX(T_CleanCustomers[Product],MATCH(B1192,T_CleanCustomers[Customer_ID],0)),"Unmatched")</f>
        <v>Toll Solution</v>
      </c>
      <c r="P1192" s="9" t="str">
        <f>IFERROR(INDEX(T_CleanCustomers[Customer_Segment],MATCH(B1192,T_CleanCustomers[Customer_ID],0)),"Unmatched")</f>
        <v>Mid-Market</v>
      </c>
    </row>
    <row r="1193" spans="1:16" ht="15" customHeight="1" x14ac:dyDescent="0.2">
      <c r="A1193" s="9" t="s">
        <v>2532</v>
      </c>
      <c r="B1193" s="9" t="s">
        <v>1296</v>
      </c>
      <c r="C1193" s="9" t="b">
        <f>TRUE()</f>
        <v>1</v>
      </c>
      <c r="D1193" s="10">
        <v>45775</v>
      </c>
      <c r="E1193" s="10">
        <v>45748</v>
      </c>
      <c r="F1193" s="9" t="s">
        <v>1373</v>
      </c>
      <c r="G1193" s="11">
        <v>10945.56</v>
      </c>
      <c r="H1193" s="11">
        <v>215.94</v>
      </c>
      <c r="I1193" s="9" t="b">
        <f>TRUE()</f>
        <v>1</v>
      </c>
      <c r="J1193" s="9" t="s">
        <v>1361</v>
      </c>
      <c r="K1193" s="11">
        <v>215.94</v>
      </c>
      <c r="L1193" s="9" t="s">
        <v>22</v>
      </c>
      <c r="M1193" s="9" t="str">
        <f>IFERROR(INDEX(T_CleanCustomers[Sales_Rep_ID],MATCH(B1193,T_CleanCustomers[Customer_ID],0)),"Unmatched")</f>
        <v>REP004</v>
      </c>
      <c r="N1193" s="9" t="str">
        <f>IFERROR(INDEX(T_CleanCustomers[Channel],MATCH(B1193,T_CleanCustomers[Customer_ID],0)),"Unmatched")</f>
        <v>Direct Sales</v>
      </c>
      <c r="O1193" s="9" t="str">
        <f>IFERROR(INDEX(T_CleanCustomers[Product],MATCH(B1193,T_CleanCustomers[Customer_ID],0)),"Unmatched")</f>
        <v>Toll Solution</v>
      </c>
      <c r="P1193" s="9" t="str">
        <f>IFERROR(INDEX(T_CleanCustomers[Customer_Segment],MATCH(B1193,T_CleanCustomers[Customer_ID],0)),"Unmatched")</f>
        <v>Mid-Market</v>
      </c>
    </row>
    <row r="1194" spans="1:16" ht="15" customHeight="1" x14ac:dyDescent="0.2">
      <c r="A1194" s="9" t="s">
        <v>2533</v>
      </c>
      <c r="B1194" s="9" t="s">
        <v>1296</v>
      </c>
      <c r="C1194" s="9" t="b">
        <f>TRUE()</f>
        <v>1</v>
      </c>
      <c r="D1194" s="10">
        <v>45774</v>
      </c>
      <c r="E1194" s="10">
        <v>45748</v>
      </c>
      <c r="F1194" s="9" t="s">
        <v>1373</v>
      </c>
      <c r="G1194" s="11">
        <v>13989.84</v>
      </c>
      <c r="H1194" s="11">
        <v>267.73</v>
      </c>
      <c r="I1194" s="9" t="b">
        <f>TRUE()</f>
        <v>1</v>
      </c>
      <c r="J1194" s="9" t="s">
        <v>1361</v>
      </c>
      <c r="K1194" s="11">
        <v>267.73</v>
      </c>
      <c r="L1194" s="9" t="s">
        <v>22</v>
      </c>
      <c r="M1194" s="9" t="str">
        <f>IFERROR(INDEX(T_CleanCustomers[Sales_Rep_ID],MATCH(B1194,T_CleanCustomers[Customer_ID],0)),"Unmatched")</f>
        <v>REP004</v>
      </c>
      <c r="N1194" s="9" t="str">
        <f>IFERROR(INDEX(T_CleanCustomers[Channel],MATCH(B1194,T_CleanCustomers[Customer_ID],0)),"Unmatched")</f>
        <v>Direct Sales</v>
      </c>
      <c r="O1194" s="9" t="str">
        <f>IFERROR(INDEX(T_CleanCustomers[Product],MATCH(B1194,T_CleanCustomers[Customer_ID],0)),"Unmatched")</f>
        <v>Toll Solution</v>
      </c>
      <c r="P1194" s="9" t="str">
        <f>IFERROR(INDEX(T_CleanCustomers[Customer_Segment],MATCH(B1194,T_CleanCustomers[Customer_ID],0)),"Unmatched")</f>
        <v>Mid-Market</v>
      </c>
    </row>
    <row r="1195" spans="1:16" ht="15" customHeight="1" x14ac:dyDescent="0.2">
      <c r="A1195" s="9" t="s">
        <v>2534</v>
      </c>
      <c r="B1195" s="9" t="s">
        <v>1296</v>
      </c>
      <c r="C1195" s="9" t="b">
        <f>TRUE()</f>
        <v>1</v>
      </c>
      <c r="D1195" s="10">
        <v>45799</v>
      </c>
      <c r="E1195" s="10">
        <v>45778</v>
      </c>
      <c r="F1195" s="9" t="s">
        <v>1373</v>
      </c>
      <c r="G1195" s="11">
        <v>5526.93</v>
      </c>
      <c r="H1195" s="11">
        <v>87.1</v>
      </c>
      <c r="I1195" s="9" t="b">
        <f>TRUE()</f>
        <v>1</v>
      </c>
      <c r="J1195" s="9" t="s">
        <v>1361</v>
      </c>
      <c r="K1195" s="11">
        <v>87.1</v>
      </c>
      <c r="L1195" s="9" t="s">
        <v>22</v>
      </c>
      <c r="M1195" s="9" t="str">
        <f>IFERROR(INDEX(T_CleanCustomers[Sales_Rep_ID],MATCH(B1195,T_CleanCustomers[Customer_ID],0)),"Unmatched")</f>
        <v>REP004</v>
      </c>
      <c r="N1195" s="9" t="str">
        <f>IFERROR(INDEX(T_CleanCustomers[Channel],MATCH(B1195,T_CleanCustomers[Customer_ID],0)),"Unmatched")</f>
        <v>Direct Sales</v>
      </c>
      <c r="O1195" s="9" t="str">
        <f>IFERROR(INDEX(T_CleanCustomers[Product],MATCH(B1195,T_CleanCustomers[Customer_ID],0)),"Unmatched")</f>
        <v>Toll Solution</v>
      </c>
      <c r="P1195" s="9" t="str">
        <f>IFERROR(INDEX(T_CleanCustomers[Customer_Segment],MATCH(B1195,T_CleanCustomers[Customer_ID],0)),"Unmatched")</f>
        <v>Mid-Market</v>
      </c>
    </row>
    <row r="1196" spans="1:16" ht="15" customHeight="1" x14ac:dyDescent="0.2">
      <c r="A1196" s="9" t="s">
        <v>2535</v>
      </c>
      <c r="B1196" s="9" t="s">
        <v>1296</v>
      </c>
      <c r="C1196" s="9" t="b">
        <f>TRUE()</f>
        <v>1</v>
      </c>
      <c r="D1196" s="10">
        <v>45787</v>
      </c>
      <c r="E1196" s="10">
        <v>45778</v>
      </c>
      <c r="F1196" s="9" t="s">
        <v>1373</v>
      </c>
      <c r="G1196" s="11">
        <v>5400.01</v>
      </c>
      <c r="H1196" s="11">
        <v>103.66</v>
      </c>
      <c r="I1196" s="9" t="b">
        <f>TRUE()</f>
        <v>1</v>
      </c>
      <c r="J1196" s="9" t="s">
        <v>1361</v>
      </c>
      <c r="K1196" s="11">
        <v>103.66</v>
      </c>
      <c r="L1196" s="9" t="s">
        <v>22</v>
      </c>
      <c r="M1196" s="9" t="str">
        <f>IFERROR(INDEX(T_CleanCustomers[Sales_Rep_ID],MATCH(B1196,T_CleanCustomers[Customer_ID],0)),"Unmatched")</f>
        <v>REP004</v>
      </c>
      <c r="N1196" s="9" t="str">
        <f>IFERROR(INDEX(T_CleanCustomers[Channel],MATCH(B1196,T_CleanCustomers[Customer_ID],0)),"Unmatched")</f>
        <v>Direct Sales</v>
      </c>
      <c r="O1196" s="9" t="str">
        <f>IFERROR(INDEX(T_CleanCustomers[Product],MATCH(B1196,T_CleanCustomers[Customer_ID],0)),"Unmatched")</f>
        <v>Toll Solution</v>
      </c>
      <c r="P1196" s="9" t="str">
        <f>IFERROR(INDEX(T_CleanCustomers[Customer_Segment],MATCH(B1196,T_CleanCustomers[Customer_ID],0)),"Unmatched")</f>
        <v>Mid-Market</v>
      </c>
    </row>
    <row r="1197" spans="1:16" ht="15" customHeight="1" x14ac:dyDescent="0.2">
      <c r="A1197" s="9" t="s">
        <v>2536</v>
      </c>
      <c r="B1197" s="9" t="s">
        <v>1296</v>
      </c>
      <c r="C1197" s="9" t="b">
        <f>TRUE()</f>
        <v>1</v>
      </c>
      <c r="D1197" s="10">
        <v>45801</v>
      </c>
      <c r="E1197" s="10">
        <v>45778</v>
      </c>
      <c r="F1197" s="9" t="s">
        <v>1373</v>
      </c>
      <c r="G1197" s="11">
        <v>17808.54</v>
      </c>
      <c r="H1197" s="11">
        <v>321.86</v>
      </c>
      <c r="I1197" s="9" t="b">
        <f>TRUE()</f>
        <v>1</v>
      </c>
      <c r="J1197" s="9" t="s">
        <v>1361</v>
      </c>
      <c r="K1197" s="11">
        <v>321.86</v>
      </c>
      <c r="L1197" s="9" t="s">
        <v>22</v>
      </c>
      <c r="M1197" s="9" t="str">
        <f>IFERROR(INDEX(T_CleanCustomers[Sales_Rep_ID],MATCH(B1197,T_CleanCustomers[Customer_ID],0)),"Unmatched")</f>
        <v>REP004</v>
      </c>
      <c r="N1197" s="9" t="str">
        <f>IFERROR(INDEX(T_CleanCustomers[Channel],MATCH(B1197,T_CleanCustomers[Customer_ID],0)),"Unmatched")</f>
        <v>Direct Sales</v>
      </c>
      <c r="O1197" s="9" t="str">
        <f>IFERROR(INDEX(T_CleanCustomers[Product],MATCH(B1197,T_CleanCustomers[Customer_ID],0)),"Unmatched")</f>
        <v>Toll Solution</v>
      </c>
      <c r="P1197" s="9" t="str">
        <f>IFERROR(INDEX(T_CleanCustomers[Customer_Segment],MATCH(B1197,T_CleanCustomers[Customer_ID],0)),"Unmatched")</f>
        <v>Mid-Market</v>
      </c>
    </row>
    <row r="1198" spans="1:16" ht="15" customHeight="1" x14ac:dyDescent="0.2">
      <c r="A1198" s="9" t="s">
        <v>2537</v>
      </c>
      <c r="B1198" s="9" t="s">
        <v>1296</v>
      </c>
      <c r="C1198" s="9" t="b">
        <f>TRUE()</f>
        <v>1</v>
      </c>
      <c r="D1198" s="10">
        <v>45820</v>
      </c>
      <c r="E1198" s="10">
        <v>45809</v>
      </c>
      <c r="F1198" s="9" t="s">
        <v>1373</v>
      </c>
      <c r="G1198" s="11">
        <v>13604.36</v>
      </c>
      <c r="H1198" s="11">
        <v>0</v>
      </c>
      <c r="I1198" s="9" t="b">
        <f>TRUE()</f>
        <v>1</v>
      </c>
      <c r="J1198" s="9" t="s">
        <v>1408</v>
      </c>
      <c r="K1198" s="11">
        <v>0</v>
      </c>
      <c r="L1198" s="9" t="s">
        <v>22</v>
      </c>
      <c r="M1198" s="9" t="str">
        <f>IFERROR(INDEX(T_CleanCustomers[Sales_Rep_ID],MATCH(B1198,T_CleanCustomers[Customer_ID],0)),"Unmatched")</f>
        <v>REP004</v>
      </c>
      <c r="N1198" s="9" t="str">
        <f>IFERROR(INDEX(T_CleanCustomers[Channel],MATCH(B1198,T_CleanCustomers[Customer_ID],0)),"Unmatched")</f>
        <v>Direct Sales</v>
      </c>
      <c r="O1198" s="9" t="str">
        <f>IFERROR(INDEX(T_CleanCustomers[Product],MATCH(B1198,T_CleanCustomers[Customer_ID],0)),"Unmatched")</f>
        <v>Toll Solution</v>
      </c>
      <c r="P1198" s="9" t="str">
        <f>IFERROR(INDEX(T_CleanCustomers[Customer_Segment],MATCH(B1198,T_CleanCustomers[Customer_ID],0)),"Unmatched")</f>
        <v>Mid-Market</v>
      </c>
    </row>
    <row r="1199" spans="1:16" ht="15" customHeight="1" x14ac:dyDescent="0.2">
      <c r="A1199" s="9" t="s">
        <v>2538</v>
      </c>
      <c r="B1199" s="9" t="s">
        <v>1296</v>
      </c>
      <c r="C1199" s="9" t="b">
        <f>TRUE()</f>
        <v>1</v>
      </c>
      <c r="D1199" s="10">
        <v>45809</v>
      </c>
      <c r="E1199" s="10">
        <v>45809</v>
      </c>
      <c r="F1199" s="9" t="s">
        <v>1373</v>
      </c>
      <c r="G1199" s="11">
        <v>12996.7</v>
      </c>
      <c r="H1199" s="11">
        <v>255.11</v>
      </c>
      <c r="I1199" s="9" t="b">
        <f>TRUE()</f>
        <v>1</v>
      </c>
      <c r="J1199" s="9" t="s">
        <v>1361</v>
      </c>
      <c r="K1199" s="11">
        <v>255.11</v>
      </c>
      <c r="L1199" s="9" t="s">
        <v>22</v>
      </c>
      <c r="M1199" s="9" t="str">
        <f>IFERROR(INDEX(T_CleanCustomers[Sales_Rep_ID],MATCH(B1199,T_CleanCustomers[Customer_ID],0)),"Unmatched")</f>
        <v>REP004</v>
      </c>
      <c r="N1199" s="9" t="str">
        <f>IFERROR(INDEX(T_CleanCustomers[Channel],MATCH(B1199,T_CleanCustomers[Customer_ID],0)),"Unmatched")</f>
        <v>Direct Sales</v>
      </c>
      <c r="O1199" s="9" t="str">
        <f>IFERROR(INDEX(T_CleanCustomers[Product],MATCH(B1199,T_CleanCustomers[Customer_ID],0)),"Unmatched")</f>
        <v>Toll Solution</v>
      </c>
      <c r="P1199" s="9" t="str">
        <f>IFERROR(INDEX(T_CleanCustomers[Customer_Segment],MATCH(B1199,T_CleanCustomers[Customer_ID],0)),"Unmatched")</f>
        <v>Mid-Market</v>
      </c>
    </row>
    <row r="1200" spans="1:16" ht="15" customHeight="1" x14ac:dyDescent="0.2">
      <c r="A1200" s="9" t="s">
        <v>2539</v>
      </c>
      <c r="B1200" s="9" t="s">
        <v>1296</v>
      </c>
      <c r="C1200" s="9" t="b">
        <f>TRUE()</f>
        <v>1</v>
      </c>
      <c r="D1200" s="10">
        <v>45822</v>
      </c>
      <c r="E1200" s="10">
        <v>45809</v>
      </c>
      <c r="F1200" s="9" t="s">
        <v>1373</v>
      </c>
      <c r="G1200" s="11">
        <v>11287.17</v>
      </c>
      <c r="H1200" s="11">
        <v>179.8</v>
      </c>
      <c r="I1200" s="9" t="b">
        <f>TRUE()</f>
        <v>1</v>
      </c>
      <c r="J1200" s="9" t="s">
        <v>1361</v>
      </c>
      <c r="K1200" s="11">
        <v>179.8</v>
      </c>
      <c r="L1200" s="9" t="s">
        <v>22</v>
      </c>
      <c r="M1200" s="9" t="str">
        <f>IFERROR(INDEX(T_CleanCustomers[Sales_Rep_ID],MATCH(B1200,T_CleanCustomers[Customer_ID],0)),"Unmatched")</f>
        <v>REP004</v>
      </c>
      <c r="N1200" s="9" t="str">
        <f>IFERROR(INDEX(T_CleanCustomers[Channel],MATCH(B1200,T_CleanCustomers[Customer_ID],0)),"Unmatched")</f>
        <v>Direct Sales</v>
      </c>
      <c r="O1200" s="9" t="str">
        <f>IFERROR(INDEX(T_CleanCustomers[Product],MATCH(B1200,T_CleanCustomers[Customer_ID],0)),"Unmatched")</f>
        <v>Toll Solution</v>
      </c>
      <c r="P1200" s="9" t="str">
        <f>IFERROR(INDEX(T_CleanCustomers[Customer_Segment],MATCH(B1200,T_CleanCustomers[Customer_ID],0)),"Unmatched")</f>
        <v>Mid-Market</v>
      </c>
    </row>
    <row r="1201" spans="1:16" ht="15" customHeight="1" x14ac:dyDescent="0.2">
      <c r="A1201" s="9" t="s">
        <v>2540</v>
      </c>
      <c r="B1201" s="9" t="s">
        <v>1296</v>
      </c>
      <c r="C1201" s="9" t="b">
        <f>TRUE()</f>
        <v>1</v>
      </c>
      <c r="D1201" s="10">
        <v>45868</v>
      </c>
      <c r="E1201" s="10">
        <v>45839</v>
      </c>
      <c r="F1201" s="9" t="s">
        <v>1373</v>
      </c>
      <c r="G1201" s="11">
        <v>9796.08</v>
      </c>
      <c r="H1201" s="11">
        <v>199.11</v>
      </c>
      <c r="I1201" s="9" t="b">
        <f>TRUE()</f>
        <v>1</v>
      </c>
      <c r="J1201" s="9" t="s">
        <v>1361</v>
      </c>
      <c r="K1201" s="11">
        <v>199.11</v>
      </c>
      <c r="L1201" s="9" t="s">
        <v>22</v>
      </c>
      <c r="M1201" s="9" t="str">
        <f>IFERROR(INDEX(T_CleanCustomers[Sales_Rep_ID],MATCH(B1201,T_CleanCustomers[Customer_ID],0)),"Unmatched")</f>
        <v>REP004</v>
      </c>
      <c r="N1201" s="9" t="str">
        <f>IFERROR(INDEX(T_CleanCustomers[Channel],MATCH(B1201,T_CleanCustomers[Customer_ID],0)),"Unmatched")</f>
        <v>Direct Sales</v>
      </c>
      <c r="O1201" s="9" t="str">
        <f>IFERROR(INDEX(T_CleanCustomers[Product],MATCH(B1201,T_CleanCustomers[Customer_ID],0)),"Unmatched")</f>
        <v>Toll Solution</v>
      </c>
      <c r="P1201" s="9" t="str">
        <f>IFERROR(INDEX(T_CleanCustomers[Customer_Segment],MATCH(B1201,T_CleanCustomers[Customer_ID],0)),"Unmatched")</f>
        <v>Mid-Market</v>
      </c>
    </row>
    <row r="1202" spans="1:16" ht="15" customHeight="1" x14ac:dyDescent="0.2">
      <c r="A1202" s="9" t="s">
        <v>2541</v>
      </c>
      <c r="B1202" s="9" t="s">
        <v>1296</v>
      </c>
      <c r="C1202" s="9" t="b">
        <f>TRUE()</f>
        <v>1</v>
      </c>
      <c r="D1202" s="10">
        <v>45861</v>
      </c>
      <c r="E1202" s="10">
        <v>45839</v>
      </c>
      <c r="F1202" s="9" t="s">
        <v>1373</v>
      </c>
      <c r="G1202" s="11">
        <v>5495.21</v>
      </c>
      <c r="H1202" s="11">
        <v>99.38</v>
      </c>
      <c r="I1202" s="9" t="b">
        <f>TRUE()</f>
        <v>1</v>
      </c>
      <c r="J1202" s="9" t="s">
        <v>1361</v>
      </c>
      <c r="K1202" s="11">
        <v>99.38</v>
      </c>
      <c r="L1202" s="9" t="s">
        <v>22</v>
      </c>
      <c r="M1202" s="9" t="str">
        <f>IFERROR(INDEX(T_CleanCustomers[Sales_Rep_ID],MATCH(B1202,T_CleanCustomers[Customer_ID],0)),"Unmatched")</f>
        <v>REP004</v>
      </c>
      <c r="N1202" s="9" t="str">
        <f>IFERROR(INDEX(T_CleanCustomers[Channel],MATCH(B1202,T_CleanCustomers[Customer_ID],0)),"Unmatched")</f>
        <v>Direct Sales</v>
      </c>
      <c r="O1202" s="9" t="str">
        <f>IFERROR(INDEX(T_CleanCustomers[Product],MATCH(B1202,T_CleanCustomers[Customer_ID],0)),"Unmatched")</f>
        <v>Toll Solution</v>
      </c>
      <c r="P1202" s="9" t="str">
        <f>IFERROR(INDEX(T_CleanCustomers[Customer_Segment],MATCH(B1202,T_CleanCustomers[Customer_ID],0)),"Unmatched")</f>
        <v>Mid-Market</v>
      </c>
    </row>
    <row r="1203" spans="1:16" ht="15" customHeight="1" x14ac:dyDescent="0.2">
      <c r="A1203" s="9" t="s">
        <v>2542</v>
      </c>
      <c r="B1203" s="9" t="s">
        <v>1296</v>
      </c>
      <c r="C1203" s="9" t="b">
        <f>TRUE()</f>
        <v>1</v>
      </c>
      <c r="D1203" s="10">
        <v>45868</v>
      </c>
      <c r="E1203" s="10">
        <v>45839</v>
      </c>
      <c r="F1203" s="9" t="s">
        <v>1373</v>
      </c>
      <c r="G1203" s="11">
        <v>12224.49</v>
      </c>
      <c r="H1203" s="11">
        <v>239.05</v>
      </c>
      <c r="I1203" s="9" t="b">
        <f>TRUE()</f>
        <v>1</v>
      </c>
      <c r="J1203" s="9" t="s">
        <v>1361</v>
      </c>
      <c r="K1203" s="11">
        <v>239.05</v>
      </c>
      <c r="L1203" s="9" t="s">
        <v>22</v>
      </c>
      <c r="M1203" s="9" t="str">
        <f>IFERROR(INDEX(T_CleanCustomers[Sales_Rep_ID],MATCH(B1203,T_CleanCustomers[Customer_ID],0)),"Unmatched")</f>
        <v>REP004</v>
      </c>
      <c r="N1203" s="9" t="str">
        <f>IFERROR(INDEX(T_CleanCustomers[Channel],MATCH(B1203,T_CleanCustomers[Customer_ID],0)),"Unmatched")</f>
        <v>Direct Sales</v>
      </c>
      <c r="O1203" s="9" t="str">
        <f>IFERROR(INDEX(T_CleanCustomers[Product],MATCH(B1203,T_CleanCustomers[Customer_ID],0)),"Unmatched")</f>
        <v>Toll Solution</v>
      </c>
      <c r="P1203" s="9" t="str">
        <f>IFERROR(INDEX(T_CleanCustomers[Customer_Segment],MATCH(B1203,T_CleanCustomers[Customer_ID],0)),"Unmatched")</f>
        <v>Mid-Market</v>
      </c>
    </row>
    <row r="1204" spans="1:16" ht="15" customHeight="1" x14ac:dyDescent="0.2">
      <c r="A1204" s="9" t="s">
        <v>2543</v>
      </c>
      <c r="B1204" s="9" t="s">
        <v>1296</v>
      </c>
      <c r="C1204" s="9" t="b">
        <f>TRUE()</f>
        <v>1</v>
      </c>
      <c r="D1204" s="10">
        <v>45877</v>
      </c>
      <c r="E1204" s="10">
        <v>45870</v>
      </c>
      <c r="F1204" s="9" t="s">
        <v>1373</v>
      </c>
      <c r="G1204" s="11">
        <v>15702.78</v>
      </c>
      <c r="H1204" s="11">
        <v>313.42</v>
      </c>
      <c r="I1204" s="9" t="b">
        <f>TRUE()</f>
        <v>1</v>
      </c>
      <c r="J1204" s="9" t="s">
        <v>1361</v>
      </c>
      <c r="K1204" s="11">
        <v>313.42</v>
      </c>
      <c r="L1204" s="9" t="s">
        <v>22</v>
      </c>
      <c r="M1204" s="9" t="str">
        <f>IFERROR(INDEX(T_CleanCustomers[Sales_Rep_ID],MATCH(B1204,T_CleanCustomers[Customer_ID],0)),"Unmatched")</f>
        <v>REP004</v>
      </c>
      <c r="N1204" s="9" t="str">
        <f>IFERROR(INDEX(T_CleanCustomers[Channel],MATCH(B1204,T_CleanCustomers[Customer_ID],0)),"Unmatched")</f>
        <v>Direct Sales</v>
      </c>
      <c r="O1204" s="9" t="str">
        <f>IFERROR(INDEX(T_CleanCustomers[Product],MATCH(B1204,T_CleanCustomers[Customer_ID],0)),"Unmatched")</f>
        <v>Toll Solution</v>
      </c>
      <c r="P1204" s="9" t="str">
        <f>IFERROR(INDEX(T_CleanCustomers[Customer_Segment],MATCH(B1204,T_CleanCustomers[Customer_ID],0)),"Unmatched")</f>
        <v>Mid-Market</v>
      </c>
    </row>
    <row r="1205" spans="1:16" ht="15" customHeight="1" x14ac:dyDescent="0.2">
      <c r="A1205" s="9" t="s">
        <v>2544</v>
      </c>
      <c r="B1205" s="9" t="s">
        <v>1296</v>
      </c>
      <c r="C1205" s="9" t="b">
        <f>TRUE()</f>
        <v>1</v>
      </c>
      <c r="D1205" s="10">
        <v>45919</v>
      </c>
      <c r="E1205" s="10">
        <v>45901</v>
      </c>
      <c r="F1205" s="9" t="s">
        <v>1373</v>
      </c>
      <c r="G1205" s="11">
        <v>11887.59</v>
      </c>
      <c r="H1205" s="11">
        <v>227.63</v>
      </c>
      <c r="I1205" s="9" t="b">
        <f>TRUE()</f>
        <v>1</v>
      </c>
      <c r="J1205" s="9" t="s">
        <v>1361</v>
      </c>
      <c r="K1205" s="11">
        <v>227.63</v>
      </c>
      <c r="L1205" s="9" t="s">
        <v>22</v>
      </c>
      <c r="M1205" s="9" t="str">
        <f>IFERROR(INDEX(T_CleanCustomers[Sales_Rep_ID],MATCH(B1205,T_CleanCustomers[Customer_ID],0)),"Unmatched")</f>
        <v>REP004</v>
      </c>
      <c r="N1205" s="9" t="str">
        <f>IFERROR(INDEX(T_CleanCustomers[Channel],MATCH(B1205,T_CleanCustomers[Customer_ID],0)),"Unmatched")</f>
        <v>Direct Sales</v>
      </c>
      <c r="O1205" s="9" t="str">
        <f>IFERROR(INDEX(T_CleanCustomers[Product],MATCH(B1205,T_CleanCustomers[Customer_ID],0)),"Unmatched")</f>
        <v>Toll Solution</v>
      </c>
      <c r="P1205" s="9" t="str">
        <f>IFERROR(INDEX(T_CleanCustomers[Customer_Segment],MATCH(B1205,T_CleanCustomers[Customer_ID],0)),"Unmatched")</f>
        <v>Mid-Market</v>
      </c>
    </row>
    <row r="1206" spans="1:16" ht="15" customHeight="1" x14ac:dyDescent="0.2">
      <c r="A1206" s="9" t="s">
        <v>2545</v>
      </c>
      <c r="B1206" s="9" t="s">
        <v>1296</v>
      </c>
      <c r="C1206" s="9" t="b">
        <f>TRUE()</f>
        <v>1</v>
      </c>
      <c r="D1206" s="10">
        <v>45927</v>
      </c>
      <c r="E1206" s="10">
        <v>45901</v>
      </c>
      <c r="F1206" s="9" t="s">
        <v>1373</v>
      </c>
      <c r="G1206" s="11">
        <v>17553.75</v>
      </c>
      <c r="H1206" s="11">
        <v>286.64999999999998</v>
      </c>
      <c r="I1206" s="9" t="b">
        <f>TRUE()</f>
        <v>1</v>
      </c>
      <c r="J1206" s="9" t="s">
        <v>1361</v>
      </c>
      <c r="K1206" s="11">
        <v>286.64999999999998</v>
      </c>
      <c r="L1206" s="9" t="s">
        <v>22</v>
      </c>
      <c r="M1206" s="9" t="str">
        <f>IFERROR(INDEX(T_CleanCustomers[Sales_Rep_ID],MATCH(B1206,T_CleanCustomers[Customer_ID],0)),"Unmatched")</f>
        <v>REP004</v>
      </c>
      <c r="N1206" s="9" t="str">
        <f>IFERROR(INDEX(T_CleanCustomers[Channel],MATCH(B1206,T_CleanCustomers[Customer_ID],0)),"Unmatched")</f>
        <v>Direct Sales</v>
      </c>
      <c r="O1206" s="9" t="str">
        <f>IFERROR(INDEX(T_CleanCustomers[Product],MATCH(B1206,T_CleanCustomers[Customer_ID],0)),"Unmatched")</f>
        <v>Toll Solution</v>
      </c>
      <c r="P1206" s="9" t="str">
        <f>IFERROR(INDEX(T_CleanCustomers[Customer_Segment],MATCH(B1206,T_CleanCustomers[Customer_ID],0)),"Unmatched")</f>
        <v>Mid-Market</v>
      </c>
    </row>
    <row r="1207" spans="1:16" ht="15" customHeight="1" x14ac:dyDescent="0.2">
      <c r="A1207" s="9" t="s">
        <v>2546</v>
      </c>
      <c r="B1207" s="9" t="s">
        <v>1296</v>
      </c>
      <c r="C1207" s="9" t="b">
        <f>TRUE()</f>
        <v>1</v>
      </c>
      <c r="D1207" s="10">
        <v>45915</v>
      </c>
      <c r="E1207" s="10">
        <v>45901</v>
      </c>
      <c r="F1207" s="9" t="s">
        <v>1373</v>
      </c>
      <c r="G1207" s="11">
        <v>12375.29</v>
      </c>
      <c r="H1207" s="11">
        <v>245.94</v>
      </c>
      <c r="I1207" s="9" t="b">
        <f>TRUE()</f>
        <v>1</v>
      </c>
      <c r="J1207" s="9" t="s">
        <v>1361</v>
      </c>
      <c r="K1207" s="11">
        <v>245.94</v>
      </c>
      <c r="L1207" s="9" t="s">
        <v>22</v>
      </c>
      <c r="M1207" s="9" t="str">
        <f>IFERROR(INDEX(T_CleanCustomers[Sales_Rep_ID],MATCH(B1207,T_CleanCustomers[Customer_ID],0)),"Unmatched")</f>
        <v>REP004</v>
      </c>
      <c r="N1207" s="9" t="str">
        <f>IFERROR(INDEX(T_CleanCustomers[Channel],MATCH(B1207,T_CleanCustomers[Customer_ID],0)),"Unmatched")</f>
        <v>Direct Sales</v>
      </c>
      <c r="O1207" s="9" t="str">
        <f>IFERROR(INDEX(T_CleanCustomers[Product],MATCH(B1207,T_CleanCustomers[Customer_ID],0)),"Unmatched")</f>
        <v>Toll Solution</v>
      </c>
      <c r="P1207" s="9" t="str">
        <f>IFERROR(INDEX(T_CleanCustomers[Customer_Segment],MATCH(B1207,T_CleanCustomers[Customer_ID],0)),"Unmatched")</f>
        <v>Mid-Market</v>
      </c>
    </row>
    <row r="1208" spans="1:16" ht="15" customHeight="1" x14ac:dyDescent="0.2">
      <c r="A1208" s="9" t="s">
        <v>2547</v>
      </c>
      <c r="B1208" s="9" t="s">
        <v>1296</v>
      </c>
      <c r="C1208" s="9" t="b">
        <f>TRUE()</f>
        <v>1</v>
      </c>
      <c r="D1208" s="10">
        <v>45950</v>
      </c>
      <c r="E1208" s="10">
        <v>45931</v>
      </c>
      <c r="F1208" s="9" t="s">
        <v>1373</v>
      </c>
      <c r="G1208" s="11">
        <v>8166.39</v>
      </c>
      <c r="H1208" s="11">
        <v>147.85</v>
      </c>
      <c r="I1208" s="9" t="b">
        <f>TRUE()</f>
        <v>1</v>
      </c>
      <c r="J1208" s="9" t="s">
        <v>1361</v>
      </c>
      <c r="K1208" s="11">
        <v>147.85</v>
      </c>
      <c r="L1208" s="9" t="s">
        <v>22</v>
      </c>
      <c r="M1208" s="9" t="str">
        <f>IFERROR(INDEX(T_CleanCustomers[Sales_Rep_ID],MATCH(B1208,T_CleanCustomers[Customer_ID],0)),"Unmatched")</f>
        <v>REP004</v>
      </c>
      <c r="N1208" s="9" t="str">
        <f>IFERROR(INDEX(T_CleanCustomers[Channel],MATCH(B1208,T_CleanCustomers[Customer_ID],0)),"Unmatched")</f>
        <v>Direct Sales</v>
      </c>
      <c r="O1208" s="9" t="str">
        <f>IFERROR(INDEX(T_CleanCustomers[Product],MATCH(B1208,T_CleanCustomers[Customer_ID],0)),"Unmatched")</f>
        <v>Toll Solution</v>
      </c>
      <c r="P1208" s="9" t="str">
        <f>IFERROR(INDEX(T_CleanCustomers[Customer_Segment],MATCH(B1208,T_CleanCustomers[Customer_ID],0)),"Unmatched")</f>
        <v>Mid-Market</v>
      </c>
    </row>
    <row r="1209" spans="1:16" ht="15" customHeight="1" x14ac:dyDescent="0.2">
      <c r="A1209" s="9" t="s">
        <v>2548</v>
      </c>
      <c r="B1209" s="9" t="s">
        <v>1296</v>
      </c>
      <c r="C1209" s="9" t="b">
        <f>TRUE()</f>
        <v>1</v>
      </c>
      <c r="D1209" s="10">
        <v>45955</v>
      </c>
      <c r="E1209" s="10">
        <v>45931</v>
      </c>
      <c r="F1209" s="9" t="s">
        <v>1373</v>
      </c>
      <c r="G1209" s="11">
        <v>8698.52</v>
      </c>
      <c r="H1209" s="11">
        <v>161.99</v>
      </c>
      <c r="I1209" s="9" t="b">
        <f>TRUE()</f>
        <v>1</v>
      </c>
      <c r="J1209" s="9" t="s">
        <v>1361</v>
      </c>
      <c r="K1209" s="11">
        <v>161.99</v>
      </c>
      <c r="L1209" s="9" t="s">
        <v>22</v>
      </c>
      <c r="M1209" s="9" t="str">
        <f>IFERROR(INDEX(T_CleanCustomers[Sales_Rep_ID],MATCH(B1209,T_CleanCustomers[Customer_ID],0)),"Unmatched")</f>
        <v>REP004</v>
      </c>
      <c r="N1209" s="9" t="str">
        <f>IFERROR(INDEX(T_CleanCustomers[Channel],MATCH(B1209,T_CleanCustomers[Customer_ID],0)),"Unmatched")</f>
        <v>Direct Sales</v>
      </c>
      <c r="O1209" s="9" t="str">
        <f>IFERROR(INDEX(T_CleanCustomers[Product],MATCH(B1209,T_CleanCustomers[Customer_ID],0)),"Unmatched")</f>
        <v>Toll Solution</v>
      </c>
      <c r="P1209" s="9" t="str">
        <f>IFERROR(INDEX(T_CleanCustomers[Customer_Segment],MATCH(B1209,T_CleanCustomers[Customer_ID],0)),"Unmatched")</f>
        <v>Mid-Market</v>
      </c>
    </row>
    <row r="1210" spans="1:16" ht="15" customHeight="1" x14ac:dyDescent="0.2">
      <c r="A1210" s="9" t="s">
        <v>2549</v>
      </c>
      <c r="B1210" s="9" t="s">
        <v>1296</v>
      </c>
      <c r="C1210" s="9" t="b">
        <f>TRUE()</f>
        <v>1</v>
      </c>
      <c r="D1210" s="10">
        <v>45961</v>
      </c>
      <c r="E1210" s="10">
        <v>45931</v>
      </c>
      <c r="F1210" s="9" t="s">
        <v>1373</v>
      </c>
      <c r="G1210" s="11">
        <v>13364.16</v>
      </c>
      <c r="H1210" s="11">
        <v>218.8</v>
      </c>
      <c r="I1210" s="9" t="b">
        <f>TRUE()</f>
        <v>1</v>
      </c>
      <c r="J1210" s="9" t="s">
        <v>1361</v>
      </c>
      <c r="K1210" s="11">
        <v>218.8</v>
      </c>
      <c r="L1210" s="9" t="s">
        <v>22</v>
      </c>
      <c r="M1210" s="9" t="str">
        <f>IFERROR(INDEX(T_CleanCustomers[Sales_Rep_ID],MATCH(B1210,T_CleanCustomers[Customer_ID],0)),"Unmatched")</f>
        <v>REP004</v>
      </c>
      <c r="N1210" s="9" t="str">
        <f>IFERROR(INDEX(T_CleanCustomers[Channel],MATCH(B1210,T_CleanCustomers[Customer_ID],0)),"Unmatched")</f>
        <v>Direct Sales</v>
      </c>
      <c r="O1210" s="9" t="str">
        <f>IFERROR(INDEX(T_CleanCustomers[Product],MATCH(B1210,T_CleanCustomers[Customer_ID],0)),"Unmatched")</f>
        <v>Toll Solution</v>
      </c>
      <c r="P1210" s="9" t="str">
        <f>IFERROR(INDEX(T_CleanCustomers[Customer_Segment],MATCH(B1210,T_CleanCustomers[Customer_ID],0)),"Unmatched")</f>
        <v>Mid-Market</v>
      </c>
    </row>
    <row r="1211" spans="1:16" ht="15" customHeight="1" x14ac:dyDescent="0.2">
      <c r="A1211" s="9" t="s">
        <v>2550</v>
      </c>
      <c r="B1211" s="9" t="s">
        <v>1296</v>
      </c>
      <c r="C1211" s="9" t="b">
        <f>TRUE()</f>
        <v>1</v>
      </c>
      <c r="D1211" s="10">
        <v>45977</v>
      </c>
      <c r="E1211" s="10">
        <v>45962</v>
      </c>
      <c r="F1211" s="9" t="s">
        <v>1373</v>
      </c>
      <c r="G1211" s="11">
        <v>8071.44</v>
      </c>
      <c r="H1211" s="11">
        <v>155.99</v>
      </c>
      <c r="I1211" s="9" t="b">
        <f>TRUE()</f>
        <v>1</v>
      </c>
      <c r="J1211" s="9" t="s">
        <v>1361</v>
      </c>
      <c r="K1211" s="11">
        <v>155.99</v>
      </c>
      <c r="L1211" s="9" t="s">
        <v>22</v>
      </c>
      <c r="M1211" s="9" t="str">
        <f>IFERROR(INDEX(T_CleanCustomers[Sales_Rep_ID],MATCH(B1211,T_CleanCustomers[Customer_ID],0)),"Unmatched")</f>
        <v>REP004</v>
      </c>
      <c r="N1211" s="9" t="str">
        <f>IFERROR(INDEX(T_CleanCustomers[Channel],MATCH(B1211,T_CleanCustomers[Customer_ID],0)),"Unmatched")</f>
        <v>Direct Sales</v>
      </c>
      <c r="O1211" s="9" t="str">
        <f>IFERROR(INDEX(T_CleanCustomers[Product],MATCH(B1211,T_CleanCustomers[Customer_ID],0)),"Unmatched")</f>
        <v>Toll Solution</v>
      </c>
      <c r="P1211" s="9" t="str">
        <f>IFERROR(INDEX(T_CleanCustomers[Customer_Segment],MATCH(B1211,T_CleanCustomers[Customer_ID],0)),"Unmatched")</f>
        <v>Mid-Market</v>
      </c>
    </row>
    <row r="1212" spans="1:16" ht="15" customHeight="1" x14ac:dyDescent="0.2">
      <c r="A1212" s="9" t="s">
        <v>2551</v>
      </c>
      <c r="B1212" s="9" t="s">
        <v>1296</v>
      </c>
      <c r="C1212" s="9" t="b">
        <f>TRUE()</f>
        <v>1</v>
      </c>
      <c r="D1212" s="10">
        <v>45975</v>
      </c>
      <c r="E1212" s="10">
        <v>45962</v>
      </c>
      <c r="F1212" s="9" t="s">
        <v>1373</v>
      </c>
      <c r="G1212" s="11">
        <v>12929.27</v>
      </c>
      <c r="H1212" s="11">
        <v>257.33</v>
      </c>
      <c r="I1212" s="9" t="b">
        <f>TRUE()</f>
        <v>1</v>
      </c>
      <c r="J1212" s="9" t="s">
        <v>1361</v>
      </c>
      <c r="K1212" s="11">
        <v>257.33</v>
      </c>
      <c r="L1212" s="9" t="s">
        <v>22</v>
      </c>
      <c r="M1212" s="9" t="str">
        <f>IFERROR(INDEX(T_CleanCustomers[Sales_Rep_ID],MATCH(B1212,T_CleanCustomers[Customer_ID],0)),"Unmatched")</f>
        <v>REP004</v>
      </c>
      <c r="N1212" s="9" t="str">
        <f>IFERROR(INDEX(T_CleanCustomers[Channel],MATCH(B1212,T_CleanCustomers[Customer_ID],0)),"Unmatched")</f>
        <v>Direct Sales</v>
      </c>
      <c r="O1212" s="9" t="str">
        <f>IFERROR(INDEX(T_CleanCustomers[Product],MATCH(B1212,T_CleanCustomers[Customer_ID],0)),"Unmatched")</f>
        <v>Toll Solution</v>
      </c>
      <c r="P1212" s="9" t="str">
        <f>IFERROR(INDEX(T_CleanCustomers[Customer_Segment],MATCH(B1212,T_CleanCustomers[Customer_ID],0)),"Unmatched")</f>
        <v>Mid-Market</v>
      </c>
    </row>
    <row r="1213" spans="1:16" ht="15" customHeight="1" x14ac:dyDescent="0.2">
      <c r="A1213" s="9" t="s">
        <v>2552</v>
      </c>
      <c r="B1213" s="9" t="s">
        <v>1296</v>
      </c>
      <c r="C1213" s="9" t="b">
        <f>TRUE()</f>
        <v>1</v>
      </c>
      <c r="D1213" s="10">
        <v>46002</v>
      </c>
      <c r="E1213" s="10">
        <v>45992</v>
      </c>
      <c r="F1213" s="9" t="s">
        <v>1373</v>
      </c>
      <c r="G1213" s="11">
        <v>10179.74</v>
      </c>
      <c r="H1213" s="11">
        <v>163.18</v>
      </c>
      <c r="I1213" s="9" t="b">
        <f>TRUE()</f>
        <v>1</v>
      </c>
      <c r="J1213" s="9" t="s">
        <v>1361</v>
      </c>
      <c r="K1213" s="11">
        <v>163.18</v>
      </c>
      <c r="L1213" s="9" t="s">
        <v>22</v>
      </c>
      <c r="M1213" s="9" t="str">
        <f>IFERROR(INDEX(T_CleanCustomers[Sales_Rep_ID],MATCH(B1213,T_CleanCustomers[Customer_ID],0)),"Unmatched")</f>
        <v>REP004</v>
      </c>
      <c r="N1213" s="9" t="str">
        <f>IFERROR(INDEX(T_CleanCustomers[Channel],MATCH(B1213,T_CleanCustomers[Customer_ID],0)),"Unmatched")</f>
        <v>Direct Sales</v>
      </c>
      <c r="O1213" s="9" t="str">
        <f>IFERROR(INDEX(T_CleanCustomers[Product],MATCH(B1213,T_CleanCustomers[Customer_ID],0)),"Unmatched")</f>
        <v>Toll Solution</v>
      </c>
      <c r="P1213" s="9" t="str">
        <f>IFERROR(INDEX(T_CleanCustomers[Customer_Segment],MATCH(B1213,T_CleanCustomers[Customer_ID],0)),"Unmatched")</f>
        <v>Mid-Market</v>
      </c>
    </row>
    <row r="1214" spans="1:16" ht="15" customHeight="1" x14ac:dyDescent="0.2">
      <c r="A1214" s="9" t="s">
        <v>2553</v>
      </c>
      <c r="B1214" s="9" t="s">
        <v>1297</v>
      </c>
      <c r="C1214" s="9" t="b">
        <f>TRUE()</f>
        <v>1</v>
      </c>
      <c r="D1214" s="10">
        <v>45711</v>
      </c>
      <c r="E1214" s="10">
        <v>45689</v>
      </c>
      <c r="F1214" s="9" t="s">
        <v>1423</v>
      </c>
      <c r="G1214" s="11">
        <v>53136.55</v>
      </c>
      <c r="H1214" s="11">
        <v>1574.58</v>
      </c>
      <c r="I1214" s="9" t="b">
        <f>TRUE()</f>
        <v>1</v>
      </c>
      <c r="J1214" s="9" t="s">
        <v>1361</v>
      </c>
      <c r="K1214" s="11">
        <v>1574.58</v>
      </c>
      <c r="L1214" s="9" t="s">
        <v>19</v>
      </c>
      <c r="M1214" s="9" t="str">
        <f>IFERROR(INDEX(T_CleanCustomers[Sales_Rep_ID],MATCH(B1214,T_CleanCustomers[Customer_ID],0)),"Unmatched")</f>
        <v>REP014</v>
      </c>
      <c r="N1214" s="9" t="str">
        <f>IFERROR(INDEX(T_CleanCustomers[Channel],MATCH(B1214,T_CleanCustomers[Customer_ID],0)),"Unmatched")</f>
        <v>Direct Sales</v>
      </c>
      <c r="O1214" s="9" t="str">
        <f>IFERROR(INDEX(T_CleanCustomers[Product],MATCH(B1214,T_CleanCustomers[Customer_ID],0)),"Unmatched")</f>
        <v>EV Charge Card</v>
      </c>
      <c r="P1214" s="9" t="str">
        <f>IFERROR(INDEX(T_CleanCustomers[Customer_Segment],MATCH(B1214,T_CleanCustomers[Customer_ID],0)),"Unmatched")</f>
        <v>Enterprise</v>
      </c>
    </row>
    <row r="1215" spans="1:16" ht="15" customHeight="1" x14ac:dyDescent="0.2">
      <c r="A1215" s="9" t="s">
        <v>2554</v>
      </c>
      <c r="B1215" s="9" t="s">
        <v>1297</v>
      </c>
      <c r="C1215" s="9" t="b">
        <f>TRUE()</f>
        <v>1</v>
      </c>
      <c r="D1215" s="10">
        <v>45716</v>
      </c>
      <c r="E1215" s="10">
        <v>45689</v>
      </c>
      <c r="F1215" s="9" t="s">
        <v>1423</v>
      </c>
      <c r="G1215" s="11">
        <v>48205.77</v>
      </c>
      <c r="H1215" s="11">
        <v>1463.05</v>
      </c>
      <c r="I1215" s="9" t="b">
        <f>TRUE()</f>
        <v>1</v>
      </c>
      <c r="J1215" s="9" t="s">
        <v>1361</v>
      </c>
      <c r="K1215" s="11">
        <v>1463.05</v>
      </c>
      <c r="L1215" s="9" t="s">
        <v>19</v>
      </c>
      <c r="M1215" s="9" t="str">
        <f>IFERROR(INDEX(T_CleanCustomers[Sales_Rep_ID],MATCH(B1215,T_CleanCustomers[Customer_ID],0)),"Unmatched")</f>
        <v>REP014</v>
      </c>
      <c r="N1215" s="9" t="str">
        <f>IFERROR(INDEX(T_CleanCustomers[Channel],MATCH(B1215,T_CleanCustomers[Customer_ID],0)),"Unmatched")</f>
        <v>Direct Sales</v>
      </c>
      <c r="O1215" s="9" t="str">
        <f>IFERROR(INDEX(T_CleanCustomers[Product],MATCH(B1215,T_CleanCustomers[Customer_ID],0)),"Unmatched")</f>
        <v>EV Charge Card</v>
      </c>
      <c r="P1215" s="9" t="str">
        <f>IFERROR(INDEX(T_CleanCustomers[Customer_Segment],MATCH(B1215,T_CleanCustomers[Customer_ID],0)),"Unmatched")</f>
        <v>Enterprise</v>
      </c>
    </row>
    <row r="1216" spans="1:16" ht="15" customHeight="1" x14ac:dyDescent="0.2">
      <c r="A1216" s="9" t="s">
        <v>2555</v>
      </c>
      <c r="B1216" s="9" t="s">
        <v>1297</v>
      </c>
      <c r="C1216" s="9" t="b">
        <f>TRUE()</f>
        <v>1</v>
      </c>
      <c r="D1216" s="10">
        <v>45710</v>
      </c>
      <c r="E1216" s="10">
        <v>45689</v>
      </c>
      <c r="F1216" s="9" t="s">
        <v>1423</v>
      </c>
      <c r="G1216" s="11">
        <v>30768.14</v>
      </c>
      <c r="H1216" s="11">
        <v>829.23</v>
      </c>
      <c r="I1216" s="9" t="b">
        <f>TRUE()</f>
        <v>1</v>
      </c>
      <c r="J1216" s="9" t="s">
        <v>1361</v>
      </c>
      <c r="K1216" s="11">
        <v>829.23</v>
      </c>
      <c r="L1216" s="9" t="s">
        <v>19</v>
      </c>
      <c r="M1216" s="9" t="str">
        <f>IFERROR(INDEX(T_CleanCustomers[Sales_Rep_ID],MATCH(B1216,T_CleanCustomers[Customer_ID],0)),"Unmatched")</f>
        <v>REP014</v>
      </c>
      <c r="N1216" s="9" t="str">
        <f>IFERROR(INDEX(T_CleanCustomers[Channel],MATCH(B1216,T_CleanCustomers[Customer_ID],0)),"Unmatched")</f>
        <v>Direct Sales</v>
      </c>
      <c r="O1216" s="9" t="str">
        <f>IFERROR(INDEX(T_CleanCustomers[Product],MATCH(B1216,T_CleanCustomers[Customer_ID],0)),"Unmatched")</f>
        <v>EV Charge Card</v>
      </c>
      <c r="P1216" s="9" t="str">
        <f>IFERROR(INDEX(T_CleanCustomers[Customer_Segment],MATCH(B1216,T_CleanCustomers[Customer_ID],0)),"Unmatched")</f>
        <v>Enterprise</v>
      </c>
    </row>
    <row r="1217" spans="1:16" ht="15" customHeight="1" x14ac:dyDescent="0.2">
      <c r="A1217" s="9" t="s">
        <v>2556</v>
      </c>
      <c r="B1217" s="9" t="s">
        <v>1297</v>
      </c>
      <c r="C1217" s="9" t="b">
        <f>TRUE()</f>
        <v>1</v>
      </c>
      <c r="D1217" s="10">
        <v>45734</v>
      </c>
      <c r="E1217" s="10">
        <v>45717</v>
      </c>
      <c r="F1217" s="9" t="s">
        <v>1423</v>
      </c>
      <c r="G1217" s="11">
        <v>20983.4</v>
      </c>
      <c r="H1217" s="11">
        <v>643.51</v>
      </c>
      <c r="I1217" s="9" t="b">
        <f>TRUE()</f>
        <v>1</v>
      </c>
      <c r="J1217" s="9" t="s">
        <v>1361</v>
      </c>
      <c r="K1217" s="11">
        <v>643.51</v>
      </c>
      <c r="L1217" s="9" t="s">
        <v>19</v>
      </c>
      <c r="M1217" s="9" t="str">
        <f>IFERROR(INDEX(T_CleanCustomers[Sales_Rep_ID],MATCH(B1217,T_CleanCustomers[Customer_ID],0)),"Unmatched")</f>
        <v>REP014</v>
      </c>
      <c r="N1217" s="9" t="str">
        <f>IFERROR(INDEX(T_CleanCustomers[Channel],MATCH(B1217,T_CleanCustomers[Customer_ID],0)),"Unmatched")</f>
        <v>Direct Sales</v>
      </c>
      <c r="O1217" s="9" t="str">
        <f>IFERROR(INDEX(T_CleanCustomers[Product],MATCH(B1217,T_CleanCustomers[Customer_ID],0)),"Unmatched")</f>
        <v>EV Charge Card</v>
      </c>
      <c r="P1217" s="9" t="str">
        <f>IFERROR(INDEX(T_CleanCustomers[Customer_Segment],MATCH(B1217,T_CleanCustomers[Customer_ID],0)),"Unmatched")</f>
        <v>Enterprise</v>
      </c>
    </row>
    <row r="1218" spans="1:16" ht="15" customHeight="1" x14ac:dyDescent="0.2">
      <c r="A1218" s="9" t="s">
        <v>2557</v>
      </c>
      <c r="B1218" s="9" t="s">
        <v>1297</v>
      </c>
      <c r="C1218" s="9" t="b">
        <f>TRUE()</f>
        <v>1</v>
      </c>
      <c r="D1218" s="10">
        <v>45753</v>
      </c>
      <c r="E1218" s="10">
        <v>45748</v>
      </c>
      <c r="F1218" s="9" t="s">
        <v>1423</v>
      </c>
      <c r="G1218" s="11">
        <v>41281.99</v>
      </c>
      <c r="H1218" s="11">
        <v>1317.48</v>
      </c>
      <c r="I1218" s="9" t="b">
        <f>TRUE()</f>
        <v>1</v>
      </c>
      <c r="J1218" s="9" t="s">
        <v>1361</v>
      </c>
      <c r="K1218" s="11">
        <v>1317.48</v>
      </c>
      <c r="L1218" s="9" t="s">
        <v>19</v>
      </c>
      <c r="M1218" s="9" t="str">
        <f>IFERROR(INDEX(T_CleanCustomers[Sales_Rep_ID],MATCH(B1218,T_CleanCustomers[Customer_ID],0)),"Unmatched")</f>
        <v>REP014</v>
      </c>
      <c r="N1218" s="9" t="str">
        <f>IFERROR(INDEX(T_CleanCustomers[Channel],MATCH(B1218,T_CleanCustomers[Customer_ID],0)),"Unmatched")</f>
        <v>Direct Sales</v>
      </c>
      <c r="O1218" s="9" t="str">
        <f>IFERROR(INDEX(T_CleanCustomers[Product],MATCH(B1218,T_CleanCustomers[Customer_ID],0)),"Unmatched")</f>
        <v>EV Charge Card</v>
      </c>
      <c r="P1218" s="9" t="str">
        <f>IFERROR(INDEX(T_CleanCustomers[Customer_Segment],MATCH(B1218,T_CleanCustomers[Customer_ID],0)),"Unmatched")</f>
        <v>Enterprise</v>
      </c>
    </row>
    <row r="1219" spans="1:16" ht="15" customHeight="1" x14ac:dyDescent="0.2">
      <c r="A1219" s="9" t="s">
        <v>2558</v>
      </c>
      <c r="B1219" s="9" t="s">
        <v>1297</v>
      </c>
      <c r="C1219" s="9" t="b">
        <f>TRUE()</f>
        <v>1</v>
      </c>
      <c r="D1219" s="10">
        <v>45755</v>
      </c>
      <c r="E1219" s="10">
        <v>45748</v>
      </c>
      <c r="F1219" s="9" t="s">
        <v>1423</v>
      </c>
      <c r="G1219" s="11">
        <v>48972.39</v>
      </c>
      <c r="H1219" s="11">
        <v>1564.95</v>
      </c>
      <c r="I1219" s="9" t="b">
        <f>TRUE()</f>
        <v>1</v>
      </c>
      <c r="J1219" s="9" t="s">
        <v>1361</v>
      </c>
      <c r="K1219" s="11">
        <v>1564.95</v>
      </c>
      <c r="L1219" s="9" t="s">
        <v>19</v>
      </c>
      <c r="M1219" s="9" t="str">
        <f>IFERROR(INDEX(T_CleanCustomers[Sales_Rep_ID],MATCH(B1219,T_CleanCustomers[Customer_ID],0)),"Unmatched")</f>
        <v>REP014</v>
      </c>
      <c r="N1219" s="9" t="str">
        <f>IFERROR(INDEX(T_CleanCustomers[Channel],MATCH(B1219,T_CleanCustomers[Customer_ID],0)),"Unmatched")</f>
        <v>Direct Sales</v>
      </c>
      <c r="O1219" s="9" t="str">
        <f>IFERROR(INDEX(T_CleanCustomers[Product],MATCH(B1219,T_CleanCustomers[Customer_ID],0)),"Unmatched")</f>
        <v>EV Charge Card</v>
      </c>
      <c r="P1219" s="9" t="str">
        <f>IFERROR(INDEX(T_CleanCustomers[Customer_Segment],MATCH(B1219,T_CleanCustomers[Customer_ID],0)),"Unmatched")</f>
        <v>Enterprise</v>
      </c>
    </row>
    <row r="1220" spans="1:16" ht="15" customHeight="1" x14ac:dyDescent="0.2">
      <c r="A1220" s="9" t="s">
        <v>2559</v>
      </c>
      <c r="B1220" s="9" t="s">
        <v>1297</v>
      </c>
      <c r="C1220" s="9" t="b">
        <f>TRUE()</f>
        <v>1</v>
      </c>
      <c r="D1220" s="10">
        <v>45779</v>
      </c>
      <c r="E1220" s="10">
        <v>45778</v>
      </c>
      <c r="F1220" s="9" t="s">
        <v>1423</v>
      </c>
      <c r="G1220" s="11">
        <v>15787.48</v>
      </c>
      <c r="H1220" s="11">
        <v>423.04</v>
      </c>
      <c r="I1220" s="9" t="b">
        <f>TRUE()</f>
        <v>1</v>
      </c>
      <c r="J1220" s="9" t="s">
        <v>1361</v>
      </c>
      <c r="K1220" s="11">
        <v>423.04</v>
      </c>
      <c r="L1220" s="9" t="s">
        <v>19</v>
      </c>
      <c r="M1220" s="9" t="str">
        <f>IFERROR(INDEX(T_CleanCustomers[Sales_Rep_ID],MATCH(B1220,T_CleanCustomers[Customer_ID],0)),"Unmatched")</f>
        <v>REP014</v>
      </c>
      <c r="N1220" s="9" t="str">
        <f>IFERROR(INDEX(T_CleanCustomers[Channel],MATCH(B1220,T_CleanCustomers[Customer_ID],0)),"Unmatched")</f>
        <v>Direct Sales</v>
      </c>
      <c r="O1220" s="9" t="str">
        <f>IFERROR(INDEX(T_CleanCustomers[Product],MATCH(B1220,T_CleanCustomers[Customer_ID],0)),"Unmatched")</f>
        <v>EV Charge Card</v>
      </c>
      <c r="P1220" s="9" t="str">
        <f>IFERROR(INDEX(T_CleanCustomers[Customer_Segment],MATCH(B1220,T_CleanCustomers[Customer_ID],0)),"Unmatched")</f>
        <v>Enterprise</v>
      </c>
    </row>
    <row r="1221" spans="1:16" ht="15" customHeight="1" x14ac:dyDescent="0.2">
      <c r="A1221" s="9" t="s">
        <v>2560</v>
      </c>
      <c r="B1221" s="9" t="s">
        <v>1297</v>
      </c>
      <c r="C1221" s="9" t="b">
        <f>TRUE()</f>
        <v>1</v>
      </c>
      <c r="D1221" s="10">
        <v>45781</v>
      </c>
      <c r="E1221" s="10">
        <v>45778</v>
      </c>
      <c r="F1221" s="9" t="s">
        <v>1423</v>
      </c>
      <c r="G1221" s="11">
        <v>24261.88</v>
      </c>
      <c r="H1221" s="11">
        <v>785.1</v>
      </c>
      <c r="I1221" s="9" t="b">
        <f>TRUE()</f>
        <v>1</v>
      </c>
      <c r="J1221" s="9" t="s">
        <v>1361</v>
      </c>
      <c r="K1221" s="11">
        <v>785.1</v>
      </c>
      <c r="L1221" s="9" t="s">
        <v>19</v>
      </c>
      <c r="M1221" s="9" t="str">
        <f>IFERROR(INDEX(T_CleanCustomers[Sales_Rep_ID],MATCH(B1221,T_CleanCustomers[Customer_ID],0)),"Unmatched")</f>
        <v>REP014</v>
      </c>
      <c r="N1221" s="9" t="str">
        <f>IFERROR(INDEX(T_CleanCustomers[Channel],MATCH(B1221,T_CleanCustomers[Customer_ID],0)),"Unmatched")</f>
        <v>Direct Sales</v>
      </c>
      <c r="O1221" s="9" t="str">
        <f>IFERROR(INDEX(T_CleanCustomers[Product],MATCH(B1221,T_CleanCustomers[Customer_ID],0)),"Unmatched")</f>
        <v>EV Charge Card</v>
      </c>
      <c r="P1221" s="9" t="str">
        <f>IFERROR(INDEX(T_CleanCustomers[Customer_Segment],MATCH(B1221,T_CleanCustomers[Customer_ID],0)),"Unmatched")</f>
        <v>Enterprise</v>
      </c>
    </row>
    <row r="1222" spans="1:16" ht="15" customHeight="1" x14ac:dyDescent="0.2">
      <c r="A1222" s="9" t="s">
        <v>2561</v>
      </c>
      <c r="B1222" s="9" t="s">
        <v>1297</v>
      </c>
      <c r="C1222" s="9" t="b">
        <f>TRUE()</f>
        <v>1</v>
      </c>
      <c r="D1222" s="10">
        <v>45832</v>
      </c>
      <c r="E1222" s="10">
        <v>45809</v>
      </c>
      <c r="F1222" s="9" t="s">
        <v>1423</v>
      </c>
      <c r="G1222" s="11">
        <v>43663.43</v>
      </c>
      <c r="H1222" s="11">
        <v>0</v>
      </c>
      <c r="I1222" s="9" t="b">
        <f>TRUE()</f>
        <v>1</v>
      </c>
      <c r="J1222" s="9" t="s">
        <v>1408</v>
      </c>
      <c r="K1222" s="11">
        <v>0</v>
      </c>
      <c r="L1222" s="9" t="s">
        <v>19</v>
      </c>
      <c r="M1222" s="9" t="str">
        <f>IFERROR(INDEX(T_CleanCustomers[Sales_Rep_ID],MATCH(B1222,T_CleanCustomers[Customer_ID],0)),"Unmatched")</f>
        <v>REP014</v>
      </c>
      <c r="N1222" s="9" t="str">
        <f>IFERROR(INDEX(T_CleanCustomers[Channel],MATCH(B1222,T_CleanCustomers[Customer_ID],0)),"Unmatched")</f>
        <v>Direct Sales</v>
      </c>
      <c r="O1222" s="9" t="str">
        <f>IFERROR(INDEX(T_CleanCustomers[Product],MATCH(B1222,T_CleanCustomers[Customer_ID],0)),"Unmatched")</f>
        <v>EV Charge Card</v>
      </c>
      <c r="P1222" s="9" t="str">
        <f>IFERROR(INDEX(T_CleanCustomers[Customer_Segment],MATCH(B1222,T_CleanCustomers[Customer_ID],0)),"Unmatched")</f>
        <v>Enterprise</v>
      </c>
    </row>
    <row r="1223" spans="1:16" ht="15" customHeight="1" x14ac:dyDescent="0.2">
      <c r="A1223" s="9" t="s">
        <v>2562</v>
      </c>
      <c r="B1223" s="9" t="s">
        <v>1297</v>
      </c>
      <c r="C1223" s="9" t="b">
        <f>TRUE()</f>
        <v>1</v>
      </c>
      <c r="D1223" s="10">
        <v>45832</v>
      </c>
      <c r="E1223" s="10">
        <v>45809</v>
      </c>
      <c r="F1223" s="9" t="s">
        <v>1423</v>
      </c>
      <c r="G1223" s="11">
        <v>61083.27</v>
      </c>
      <c r="H1223" s="11">
        <v>1636.5</v>
      </c>
      <c r="I1223" s="9" t="b">
        <f>TRUE()</f>
        <v>1</v>
      </c>
      <c r="J1223" s="9" t="s">
        <v>1361</v>
      </c>
      <c r="K1223" s="11">
        <v>1636.5</v>
      </c>
      <c r="L1223" s="9" t="s">
        <v>19</v>
      </c>
      <c r="M1223" s="9" t="str">
        <f>IFERROR(INDEX(T_CleanCustomers[Sales_Rep_ID],MATCH(B1223,T_CleanCustomers[Customer_ID],0)),"Unmatched")</f>
        <v>REP014</v>
      </c>
      <c r="N1223" s="9" t="str">
        <f>IFERROR(INDEX(T_CleanCustomers[Channel],MATCH(B1223,T_CleanCustomers[Customer_ID],0)),"Unmatched")</f>
        <v>Direct Sales</v>
      </c>
      <c r="O1223" s="9" t="str">
        <f>IFERROR(INDEX(T_CleanCustomers[Product],MATCH(B1223,T_CleanCustomers[Customer_ID],0)),"Unmatched")</f>
        <v>EV Charge Card</v>
      </c>
      <c r="P1223" s="9" t="str">
        <f>IFERROR(INDEX(T_CleanCustomers[Customer_Segment],MATCH(B1223,T_CleanCustomers[Customer_ID],0)),"Unmatched")</f>
        <v>Enterprise</v>
      </c>
    </row>
    <row r="1224" spans="1:16" ht="15" customHeight="1" x14ac:dyDescent="0.2">
      <c r="A1224" s="9" t="s">
        <v>2563</v>
      </c>
      <c r="B1224" s="9" t="s">
        <v>1297</v>
      </c>
      <c r="C1224" s="9" t="b">
        <f>TRUE()</f>
        <v>1</v>
      </c>
      <c r="D1224" s="10">
        <v>45810</v>
      </c>
      <c r="E1224" s="10">
        <v>45809</v>
      </c>
      <c r="F1224" s="9" t="s">
        <v>1423</v>
      </c>
      <c r="G1224" s="11">
        <v>48222.41</v>
      </c>
      <c r="H1224" s="11">
        <v>1501.55</v>
      </c>
      <c r="I1224" s="9" t="b">
        <f>TRUE()</f>
        <v>1</v>
      </c>
      <c r="J1224" s="9" t="s">
        <v>1361</v>
      </c>
      <c r="K1224" s="11">
        <v>1501.55</v>
      </c>
      <c r="L1224" s="9" t="s">
        <v>19</v>
      </c>
      <c r="M1224" s="9" t="str">
        <f>IFERROR(INDEX(T_CleanCustomers[Sales_Rep_ID],MATCH(B1224,T_CleanCustomers[Customer_ID],0)),"Unmatched")</f>
        <v>REP014</v>
      </c>
      <c r="N1224" s="9" t="str">
        <f>IFERROR(INDEX(T_CleanCustomers[Channel],MATCH(B1224,T_CleanCustomers[Customer_ID],0)),"Unmatched")</f>
        <v>Direct Sales</v>
      </c>
      <c r="O1224" s="9" t="str">
        <f>IFERROR(INDEX(T_CleanCustomers[Product],MATCH(B1224,T_CleanCustomers[Customer_ID],0)),"Unmatched")</f>
        <v>EV Charge Card</v>
      </c>
      <c r="P1224" s="9" t="str">
        <f>IFERROR(INDEX(T_CleanCustomers[Customer_Segment],MATCH(B1224,T_CleanCustomers[Customer_ID],0)),"Unmatched")</f>
        <v>Enterprise</v>
      </c>
    </row>
    <row r="1225" spans="1:16" ht="15" customHeight="1" x14ac:dyDescent="0.2">
      <c r="A1225" s="9" t="s">
        <v>2564</v>
      </c>
      <c r="B1225" s="9" t="s">
        <v>1297</v>
      </c>
      <c r="C1225" s="9" t="b">
        <f>TRUE()</f>
        <v>1</v>
      </c>
      <c r="D1225" s="10">
        <v>45841</v>
      </c>
      <c r="E1225" s="10">
        <v>45839</v>
      </c>
      <c r="F1225" s="9" t="s">
        <v>1423</v>
      </c>
      <c r="G1225" s="11">
        <v>31194.26</v>
      </c>
      <c r="H1225" s="11">
        <v>940.74</v>
      </c>
      <c r="I1225" s="9" t="b">
        <f>TRUE()</f>
        <v>1</v>
      </c>
      <c r="J1225" s="9" t="s">
        <v>1361</v>
      </c>
      <c r="K1225" s="11">
        <v>940.74</v>
      </c>
      <c r="L1225" s="9" t="s">
        <v>19</v>
      </c>
      <c r="M1225" s="9" t="str">
        <f>IFERROR(INDEX(T_CleanCustomers[Sales_Rep_ID],MATCH(B1225,T_CleanCustomers[Customer_ID],0)),"Unmatched")</f>
        <v>REP014</v>
      </c>
      <c r="N1225" s="9" t="str">
        <f>IFERROR(INDEX(T_CleanCustomers[Channel],MATCH(B1225,T_CleanCustomers[Customer_ID],0)),"Unmatched")</f>
        <v>Direct Sales</v>
      </c>
      <c r="O1225" s="9" t="str">
        <f>IFERROR(INDEX(T_CleanCustomers[Product],MATCH(B1225,T_CleanCustomers[Customer_ID],0)),"Unmatched")</f>
        <v>EV Charge Card</v>
      </c>
      <c r="P1225" s="9" t="str">
        <f>IFERROR(INDEX(T_CleanCustomers[Customer_Segment],MATCH(B1225,T_CleanCustomers[Customer_ID],0)),"Unmatched")</f>
        <v>Enterprise</v>
      </c>
    </row>
    <row r="1226" spans="1:16" ht="15" customHeight="1" x14ac:dyDescent="0.2">
      <c r="A1226" s="9" t="s">
        <v>2565</v>
      </c>
      <c r="B1226" s="9" t="s">
        <v>1297</v>
      </c>
      <c r="C1226" s="9" t="b">
        <f>TRUE()</f>
        <v>1</v>
      </c>
      <c r="D1226" s="10">
        <v>45876</v>
      </c>
      <c r="E1226" s="10">
        <v>45870</v>
      </c>
      <c r="F1226" s="9" t="s">
        <v>1423</v>
      </c>
      <c r="G1226" s="11">
        <v>28137.48</v>
      </c>
      <c r="H1226" s="11">
        <v>925.89</v>
      </c>
      <c r="I1226" s="9" t="b">
        <f>TRUE()</f>
        <v>1</v>
      </c>
      <c r="J1226" s="9" t="s">
        <v>1361</v>
      </c>
      <c r="K1226" s="11">
        <v>925.89</v>
      </c>
      <c r="L1226" s="9" t="s">
        <v>19</v>
      </c>
      <c r="M1226" s="9" t="str">
        <f>IFERROR(INDEX(T_CleanCustomers[Sales_Rep_ID],MATCH(B1226,T_CleanCustomers[Customer_ID],0)),"Unmatched")</f>
        <v>REP014</v>
      </c>
      <c r="N1226" s="9" t="str">
        <f>IFERROR(INDEX(T_CleanCustomers[Channel],MATCH(B1226,T_CleanCustomers[Customer_ID],0)),"Unmatched")</f>
        <v>Direct Sales</v>
      </c>
      <c r="O1226" s="9" t="str">
        <f>IFERROR(INDEX(T_CleanCustomers[Product],MATCH(B1226,T_CleanCustomers[Customer_ID],0)),"Unmatched")</f>
        <v>EV Charge Card</v>
      </c>
      <c r="P1226" s="9" t="str">
        <f>IFERROR(INDEX(T_CleanCustomers[Customer_Segment],MATCH(B1226,T_CleanCustomers[Customer_ID],0)),"Unmatched")</f>
        <v>Enterprise</v>
      </c>
    </row>
    <row r="1227" spans="1:16" ht="15" customHeight="1" x14ac:dyDescent="0.2">
      <c r="A1227" s="9" t="s">
        <v>2566</v>
      </c>
      <c r="B1227" s="9" t="s">
        <v>1297</v>
      </c>
      <c r="C1227" s="9" t="b">
        <f>TRUE()</f>
        <v>1</v>
      </c>
      <c r="D1227" s="10">
        <v>45885</v>
      </c>
      <c r="E1227" s="10">
        <v>45870</v>
      </c>
      <c r="F1227" s="9" t="s">
        <v>1423</v>
      </c>
      <c r="G1227" s="11">
        <v>19415.73</v>
      </c>
      <c r="H1227" s="11">
        <v>564.41999999999996</v>
      </c>
      <c r="I1227" s="9" t="b">
        <f>TRUE()</f>
        <v>1</v>
      </c>
      <c r="J1227" s="9" t="s">
        <v>1361</v>
      </c>
      <c r="K1227" s="11">
        <v>564.41999999999996</v>
      </c>
      <c r="L1227" s="9" t="s">
        <v>19</v>
      </c>
      <c r="M1227" s="9" t="str">
        <f>IFERROR(INDEX(T_CleanCustomers[Sales_Rep_ID],MATCH(B1227,T_CleanCustomers[Customer_ID],0)),"Unmatched")</f>
        <v>REP014</v>
      </c>
      <c r="N1227" s="9" t="str">
        <f>IFERROR(INDEX(T_CleanCustomers[Channel],MATCH(B1227,T_CleanCustomers[Customer_ID],0)),"Unmatched")</f>
        <v>Direct Sales</v>
      </c>
      <c r="O1227" s="9" t="str">
        <f>IFERROR(INDEX(T_CleanCustomers[Product],MATCH(B1227,T_CleanCustomers[Customer_ID],0)),"Unmatched")</f>
        <v>EV Charge Card</v>
      </c>
      <c r="P1227" s="9" t="str">
        <f>IFERROR(INDEX(T_CleanCustomers[Customer_Segment],MATCH(B1227,T_CleanCustomers[Customer_ID],0)),"Unmatched")</f>
        <v>Enterprise</v>
      </c>
    </row>
    <row r="1228" spans="1:16" ht="15" customHeight="1" x14ac:dyDescent="0.2">
      <c r="A1228" s="9" t="s">
        <v>2567</v>
      </c>
      <c r="B1228" s="9" t="s">
        <v>1297</v>
      </c>
      <c r="C1228" s="9" t="b">
        <f>TRUE()</f>
        <v>1</v>
      </c>
      <c r="D1228" s="10">
        <v>45902</v>
      </c>
      <c r="E1228" s="10">
        <v>45901</v>
      </c>
      <c r="F1228" s="9" t="s">
        <v>1423</v>
      </c>
      <c r="G1228" s="11">
        <v>38230.550000000003</v>
      </c>
      <c r="H1228" s="11">
        <v>1030.67</v>
      </c>
      <c r="I1228" s="9" t="b">
        <f>TRUE()</f>
        <v>1</v>
      </c>
      <c r="J1228" s="9" t="s">
        <v>1361</v>
      </c>
      <c r="K1228" s="11">
        <v>1030.67</v>
      </c>
      <c r="L1228" s="9" t="s">
        <v>19</v>
      </c>
      <c r="M1228" s="9" t="str">
        <f>IFERROR(INDEX(T_CleanCustomers[Sales_Rep_ID],MATCH(B1228,T_CleanCustomers[Customer_ID],0)),"Unmatched")</f>
        <v>REP014</v>
      </c>
      <c r="N1228" s="9" t="str">
        <f>IFERROR(INDEX(T_CleanCustomers[Channel],MATCH(B1228,T_CleanCustomers[Customer_ID],0)),"Unmatched")</f>
        <v>Direct Sales</v>
      </c>
      <c r="O1228" s="9" t="str">
        <f>IFERROR(INDEX(T_CleanCustomers[Product],MATCH(B1228,T_CleanCustomers[Customer_ID],0)),"Unmatched")</f>
        <v>EV Charge Card</v>
      </c>
      <c r="P1228" s="9" t="str">
        <f>IFERROR(INDEX(T_CleanCustomers[Customer_Segment],MATCH(B1228,T_CleanCustomers[Customer_ID],0)),"Unmatched")</f>
        <v>Enterprise</v>
      </c>
    </row>
    <row r="1229" spans="1:16" ht="15" customHeight="1" x14ac:dyDescent="0.2">
      <c r="A1229" s="9" t="s">
        <v>2568</v>
      </c>
      <c r="B1229" s="9" t="s">
        <v>1297</v>
      </c>
      <c r="C1229" s="9" t="b">
        <f>TRUE()</f>
        <v>1</v>
      </c>
      <c r="D1229" s="10">
        <v>45924</v>
      </c>
      <c r="E1229" s="10">
        <v>45901</v>
      </c>
      <c r="F1229" s="9" t="s">
        <v>1423</v>
      </c>
      <c r="G1229" s="11">
        <v>25791.16</v>
      </c>
      <c r="H1229" s="11">
        <v>770.26</v>
      </c>
      <c r="I1229" s="9" t="b">
        <f>TRUE()</f>
        <v>1</v>
      </c>
      <c r="J1229" s="9" t="s">
        <v>1361</v>
      </c>
      <c r="K1229" s="11">
        <v>770.26</v>
      </c>
      <c r="L1229" s="9" t="s">
        <v>19</v>
      </c>
      <c r="M1229" s="9" t="str">
        <f>IFERROR(INDEX(T_CleanCustomers[Sales_Rep_ID],MATCH(B1229,T_CleanCustomers[Customer_ID],0)),"Unmatched")</f>
        <v>REP014</v>
      </c>
      <c r="N1229" s="9" t="str">
        <f>IFERROR(INDEX(T_CleanCustomers[Channel],MATCH(B1229,T_CleanCustomers[Customer_ID],0)),"Unmatched")</f>
        <v>Direct Sales</v>
      </c>
      <c r="O1229" s="9" t="str">
        <f>IFERROR(INDEX(T_CleanCustomers[Product],MATCH(B1229,T_CleanCustomers[Customer_ID],0)),"Unmatched")</f>
        <v>EV Charge Card</v>
      </c>
      <c r="P1229" s="9" t="str">
        <f>IFERROR(INDEX(T_CleanCustomers[Customer_Segment],MATCH(B1229,T_CleanCustomers[Customer_ID],0)),"Unmatched")</f>
        <v>Enterprise</v>
      </c>
    </row>
    <row r="1230" spans="1:16" ht="15" customHeight="1" x14ac:dyDescent="0.2">
      <c r="A1230" s="9" t="s">
        <v>2569</v>
      </c>
      <c r="B1230" s="9" t="s">
        <v>1297</v>
      </c>
      <c r="C1230" s="9" t="b">
        <f>TRUE()</f>
        <v>1</v>
      </c>
      <c r="D1230" s="10">
        <v>45917</v>
      </c>
      <c r="E1230" s="10">
        <v>45901</v>
      </c>
      <c r="F1230" s="9" t="s">
        <v>1423</v>
      </c>
      <c r="G1230" s="11">
        <v>57014.38</v>
      </c>
      <c r="H1230" s="11">
        <v>1601.28</v>
      </c>
      <c r="I1230" s="9" t="b">
        <f>TRUE()</f>
        <v>1</v>
      </c>
      <c r="J1230" s="9" t="s">
        <v>1361</v>
      </c>
      <c r="K1230" s="11">
        <v>1601.28</v>
      </c>
      <c r="L1230" s="9" t="s">
        <v>19</v>
      </c>
      <c r="M1230" s="9" t="str">
        <f>IFERROR(INDEX(T_CleanCustomers[Sales_Rep_ID],MATCH(B1230,T_CleanCustomers[Customer_ID],0)),"Unmatched")</f>
        <v>REP014</v>
      </c>
      <c r="N1230" s="9" t="str">
        <f>IFERROR(INDEX(T_CleanCustomers[Channel],MATCH(B1230,T_CleanCustomers[Customer_ID],0)),"Unmatched")</f>
        <v>Direct Sales</v>
      </c>
      <c r="O1230" s="9" t="str">
        <f>IFERROR(INDEX(T_CleanCustomers[Product],MATCH(B1230,T_CleanCustomers[Customer_ID],0)),"Unmatched")</f>
        <v>EV Charge Card</v>
      </c>
      <c r="P1230" s="9" t="str">
        <f>IFERROR(INDEX(T_CleanCustomers[Customer_Segment],MATCH(B1230,T_CleanCustomers[Customer_ID],0)),"Unmatched")</f>
        <v>Enterprise</v>
      </c>
    </row>
    <row r="1231" spans="1:16" ht="15" customHeight="1" x14ac:dyDescent="0.2">
      <c r="A1231" s="9" t="s">
        <v>2570</v>
      </c>
      <c r="B1231" s="9" t="s">
        <v>1297</v>
      </c>
      <c r="C1231" s="9" t="b">
        <f>TRUE()</f>
        <v>1</v>
      </c>
      <c r="D1231" s="10">
        <v>45954</v>
      </c>
      <c r="E1231" s="10">
        <v>45931</v>
      </c>
      <c r="F1231" s="9" t="s">
        <v>1423</v>
      </c>
      <c r="G1231" s="11">
        <v>54293.03</v>
      </c>
      <c r="H1231" s="11">
        <v>1768.41</v>
      </c>
      <c r="I1231" s="9" t="b">
        <f>TRUE()</f>
        <v>1</v>
      </c>
      <c r="J1231" s="9" t="s">
        <v>1361</v>
      </c>
      <c r="K1231" s="11">
        <v>1768.41</v>
      </c>
      <c r="L1231" s="9" t="s">
        <v>19</v>
      </c>
      <c r="M1231" s="9" t="str">
        <f>IFERROR(INDEX(T_CleanCustomers[Sales_Rep_ID],MATCH(B1231,T_CleanCustomers[Customer_ID],0)),"Unmatched")</f>
        <v>REP014</v>
      </c>
      <c r="N1231" s="9" t="str">
        <f>IFERROR(INDEX(T_CleanCustomers[Channel],MATCH(B1231,T_CleanCustomers[Customer_ID],0)),"Unmatched")</f>
        <v>Direct Sales</v>
      </c>
      <c r="O1231" s="9" t="str">
        <f>IFERROR(INDEX(T_CleanCustomers[Product],MATCH(B1231,T_CleanCustomers[Customer_ID],0)),"Unmatched")</f>
        <v>EV Charge Card</v>
      </c>
      <c r="P1231" s="9" t="str">
        <f>IFERROR(INDEX(T_CleanCustomers[Customer_Segment],MATCH(B1231,T_CleanCustomers[Customer_ID],0)),"Unmatched")</f>
        <v>Enterprise</v>
      </c>
    </row>
    <row r="1232" spans="1:16" ht="15" customHeight="1" x14ac:dyDescent="0.2">
      <c r="A1232" s="9" t="s">
        <v>2571</v>
      </c>
      <c r="B1232" s="9" t="s">
        <v>1297</v>
      </c>
      <c r="C1232" s="9" t="b">
        <f>TRUE()</f>
        <v>1</v>
      </c>
      <c r="D1232" s="10">
        <v>45963</v>
      </c>
      <c r="E1232" s="10">
        <v>45962</v>
      </c>
      <c r="F1232" s="9" t="s">
        <v>1423</v>
      </c>
      <c r="G1232" s="11">
        <v>26705.040000000001</v>
      </c>
      <c r="H1232" s="11">
        <v>872.25</v>
      </c>
      <c r="I1232" s="9" t="b">
        <f>TRUE()</f>
        <v>1</v>
      </c>
      <c r="J1232" s="9" t="s">
        <v>1361</v>
      </c>
      <c r="K1232" s="11">
        <v>872.25</v>
      </c>
      <c r="L1232" s="9" t="s">
        <v>19</v>
      </c>
      <c r="M1232" s="9" t="str">
        <f>IFERROR(INDEX(T_CleanCustomers[Sales_Rep_ID],MATCH(B1232,T_CleanCustomers[Customer_ID],0)),"Unmatched")</f>
        <v>REP014</v>
      </c>
      <c r="N1232" s="9" t="str">
        <f>IFERROR(INDEX(T_CleanCustomers[Channel],MATCH(B1232,T_CleanCustomers[Customer_ID],0)),"Unmatched")</f>
        <v>Direct Sales</v>
      </c>
      <c r="O1232" s="9" t="str">
        <f>IFERROR(INDEX(T_CleanCustomers[Product],MATCH(B1232,T_CleanCustomers[Customer_ID],0)),"Unmatched")</f>
        <v>EV Charge Card</v>
      </c>
      <c r="P1232" s="9" t="str">
        <f>IFERROR(INDEX(T_CleanCustomers[Customer_Segment],MATCH(B1232,T_CleanCustomers[Customer_ID],0)),"Unmatched")</f>
        <v>Enterprise</v>
      </c>
    </row>
    <row r="1233" spans="1:16" ht="15" customHeight="1" x14ac:dyDescent="0.2">
      <c r="A1233" s="9" t="s">
        <v>2572</v>
      </c>
      <c r="B1233" s="9" t="s">
        <v>1297</v>
      </c>
      <c r="C1233" s="9" t="b">
        <f>TRUE()</f>
        <v>1</v>
      </c>
      <c r="D1233" s="10">
        <v>46007</v>
      </c>
      <c r="E1233" s="10">
        <v>45992</v>
      </c>
      <c r="F1233" s="9" t="s">
        <v>1423</v>
      </c>
      <c r="G1233" s="11">
        <v>31657.87</v>
      </c>
      <c r="H1233" s="11">
        <v>896.82</v>
      </c>
      <c r="I1233" s="9" t="b">
        <f>TRUE()</f>
        <v>1</v>
      </c>
      <c r="J1233" s="9" t="s">
        <v>1361</v>
      </c>
      <c r="K1233" s="11">
        <v>896.82</v>
      </c>
      <c r="L1233" s="9" t="s">
        <v>19</v>
      </c>
      <c r="M1233" s="9" t="str">
        <f>IFERROR(INDEX(T_CleanCustomers[Sales_Rep_ID],MATCH(B1233,T_CleanCustomers[Customer_ID],0)),"Unmatched")</f>
        <v>REP014</v>
      </c>
      <c r="N1233" s="9" t="str">
        <f>IFERROR(INDEX(T_CleanCustomers[Channel],MATCH(B1233,T_CleanCustomers[Customer_ID],0)),"Unmatched")</f>
        <v>Direct Sales</v>
      </c>
      <c r="O1233" s="9" t="str">
        <f>IFERROR(INDEX(T_CleanCustomers[Product],MATCH(B1233,T_CleanCustomers[Customer_ID],0)),"Unmatched")</f>
        <v>EV Charge Card</v>
      </c>
      <c r="P1233" s="9" t="str">
        <f>IFERROR(INDEX(T_CleanCustomers[Customer_Segment],MATCH(B1233,T_CleanCustomers[Customer_ID],0)),"Unmatched")</f>
        <v>Enterprise</v>
      </c>
    </row>
    <row r="1234" spans="1:16" ht="15" customHeight="1" x14ac:dyDescent="0.2">
      <c r="A1234" s="9" t="s">
        <v>2573</v>
      </c>
      <c r="B1234" s="9" t="s">
        <v>1298</v>
      </c>
      <c r="C1234" s="9" t="b">
        <f>TRUE()</f>
        <v>1</v>
      </c>
      <c r="D1234" s="10">
        <v>45856</v>
      </c>
      <c r="E1234" s="10">
        <v>45839</v>
      </c>
      <c r="F1234" s="9" t="s">
        <v>1360</v>
      </c>
      <c r="G1234" s="11">
        <v>3972.73</v>
      </c>
      <c r="H1234" s="11">
        <v>113.27</v>
      </c>
      <c r="I1234" s="9" t="b">
        <f>TRUE()</f>
        <v>1</v>
      </c>
      <c r="J1234" s="9" t="s">
        <v>1361</v>
      </c>
      <c r="K1234" s="11">
        <v>113.27</v>
      </c>
      <c r="L1234" s="9" t="s">
        <v>22</v>
      </c>
      <c r="M1234" s="9" t="str">
        <f>IFERROR(INDEX(T_CleanCustomers[Sales_Rep_ID],MATCH(B1234,T_CleanCustomers[Customer_ID],0)),"Unmatched")</f>
        <v>REP004</v>
      </c>
      <c r="N1234" s="9" t="str">
        <f>IFERROR(INDEX(T_CleanCustomers[Channel],MATCH(B1234,T_CleanCustomers[Customer_ID],0)),"Unmatched")</f>
        <v>Direct Sales</v>
      </c>
      <c r="O1234" s="9" t="str">
        <f>IFERROR(INDEX(T_CleanCustomers[Product],MATCH(B1234,T_CleanCustomers[Customer_ID],0)),"Unmatched")</f>
        <v>Fuel Card</v>
      </c>
      <c r="P1234" s="9" t="str">
        <f>IFERROR(INDEX(T_CleanCustomers[Customer_Segment],MATCH(B1234,T_CleanCustomers[Customer_ID],0)),"Unmatched")</f>
        <v>SME</v>
      </c>
    </row>
    <row r="1235" spans="1:16" ht="15" customHeight="1" x14ac:dyDescent="0.2">
      <c r="A1235" s="9" t="s">
        <v>2574</v>
      </c>
      <c r="B1235" s="9" t="s">
        <v>1298</v>
      </c>
      <c r="C1235" s="9" t="b">
        <f>TRUE()</f>
        <v>1</v>
      </c>
      <c r="D1235" s="10">
        <v>45891</v>
      </c>
      <c r="E1235" s="10">
        <v>45870</v>
      </c>
      <c r="F1235" s="9" t="s">
        <v>1360</v>
      </c>
      <c r="G1235" s="11">
        <v>3341.59</v>
      </c>
      <c r="H1235" s="11">
        <v>95.3</v>
      </c>
      <c r="I1235" s="9" t="b">
        <f>TRUE()</f>
        <v>1</v>
      </c>
      <c r="J1235" s="9" t="s">
        <v>1361</v>
      </c>
      <c r="K1235" s="11">
        <v>95.3</v>
      </c>
      <c r="L1235" s="9" t="s">
        <v>22</v>
      </c>
      <c r="M1235" s="9" t="str">
        <f>IFERROR(INDEX(T_CleanCustomers[Sales_Rep_ID],MATCH(B1235,T_CleanCustomers[Customer_ID],0)),"Unmatched")</f>
        <v>REP004</v>
      </c>
      <c r="N1235" s="9" t="str">
        <f>IFERROR(INDEX(T_CleanCustomers[Channel],MATCH(B1235,T_CleanCustomers[Customer_ID],0)),"Unmatched")</f>
        <v>Direct Sales</v>
      </c>
      <c r="O1235" s="9" t="str">
        <f>IFERROR(INDEX(T_CleanCustomers[Product],MATCH(B1235,T_CleanCustomers[Customer_ID],0)),"Unmatched")</f>
        <v>Fuel Card</v>
      </c>
      <c r="P1235" s="9" t="str">
        <f>IFERROR(INDEX(T_CleanCustomers[Customer_Segment],MATCH(B1235,T_CleanCustomers[Customer_ID],0)),"Unmatched")</f>
        <v>SME</v>
      </c>
    </row>
    <row r="1236" spans="1:16" ht="15" customHeight="1" x14ac:dyDescent="0.2">
      <c r="A1236" s="9" t="s">
        <v>2575</v>
      </c>
      <c r="B1236" s="9" t="s">
        <v>1298</v>
      </c>
      <c r="C1236" s="9" t="b">
        <f>TRUE()</f>
        <v>1</v>
      </c>
      <c r="D1236" s="10">
        <v>45898</v>
      </c>
      <c r="E1236" s="10">
        <v>45870</v>
      </c>
      <c r="F1236" s="9" t="s">
        <v>1360</v>
      </c>
      <c r="G1236" s="11">
        <v>2346.92</v>
      </c>
      <c r="H1236" s="11">
        <v>60.54</v>
      </c>
      <c r="I1236" s="9" t="b">
        <f>TRUE()</f>
        <v>1</v>
      </c>
      <c r="J1236" s="9" t="s">
        <v>1361</v>
      </c>
      <c r="K1236" s="11">
        <v>60.54</v>
      </c>
      <c r="L1236" s="9" t="s">
        <v>22</v>
      </c>
      <c r="M1236" s="9" t="str">
        <f>IFERROR(INDEX(T_CleanCustomers[Sales_Rep_ID],MATCH(B1236,T_CleanCustomers[Customer_ID],0)),"Unmatched")</f>
        <v>REP004</v>
      </c>
      <c r="N1236" s="9" t="str">
        <f>IFERROR(INDEX(T_CleanCustomers[Channel],MATCH(B1236,T_CleanCustomers[Customer_ID],0)),"Unmatched")</f>
        <v>Direct Sales</v>
      </c>
      <c r="O1236" s="9" t="str">
        <f>IFERROR(INDEX(T_CleanCustomers[Product],MATCH(B1236,T_CleanCustomers[Customer_ID],0)),"Unmatched")</f>
        <v>Fuel Card</v>
      </c>
      <c r="P1236" s="9" t="str">
        <f>IFERROR(INDEX(T_CleanCustomers[Customer_Segment],MATCH(B1236,T_CleanCustomers[Customer_ID],0)),"Unmatched")</f>
        <v>SME</v>
      </c>
    </row>
    <row r="1237" spans="1:16" ht="15" customHeight="1" x14ac:dyDescent="0.2">
      <c r="A1237" s="9" t="s">
        <v>2576</v>
      </c>
      <c r="B1237" s="9" t="s">
        <v>1298</v>
      </c>
      <c r="C1237" s="9" t="b">
        <f>TRUE()</f>
        <v>1</v>
      </c>
      <c r="D1237" s="10">
        <v>45894</v>
      </c>
      <c r="E1237" s="10">
        <v>45870</v>
      </c>
      <c r="F1237" s="9" t="s">
        <v>1360</v>
      </c>
      <c r="G1237" s="11">
        <v>4308.8100000000004</v>
      </c>
      <c r="H1237" s="11">
        <v>100.35</v>
      </c>
      <c r="I1237" s="9" t="b">
        <f>TRUE()</f>
        <v>1</v>
      </c>
      <c r="J1237" s="9" t="s">
        <v>1361</v>
      </c>
      <c r="K1237" s="11">
        <v>100.35</v>
      </c>
      <c r="L1237" s="9" t="s">
        <v>22</v>
      </c>
      <c r="M1237" s="9" t="str">
        <f>IFERROR(INDEX(T_CleanCustomers[Sales_Rep_ID],MATCH(B1237,T_CleanCustomers[Customer_ID],0)),"Unmatched")</f>
        <v>REP004</v>
      </c>
      <c r="N1237" s="9" t="str">
        <f>IFERROR(INDEX(T_CleanCustomers[Channel],MATCH(B1237,T_CleanCustomers[Customer_ID],0)),"Unmatched")</f>
        <v>Direct Sales</v>
      </c>
      <c r="O1237" s="9" t="str">
        <f>IFERROR(INDEX(T_CleanCustomers[Product],MATCH(B1237,T_CleanCustomers[Customer_ID],0)),"Unmatched")</f>
        <v>Fuel Card</v>
      </c>
      <c r="P1237" s="9" t="str">
        <f>IFERROR(INDEX(T_CleanCustomers[Customer_Segment],MATCH(B1237,T_CleanCustomers[Customer_ID],0)),"Unmatched")</f>
        <v>SME</v>
      </c>
    </row>
    <row r="1238" spans="1:16" ht="15" customHeight="1" x14ac:dyDescent="0.2">
      <c r="A1238" s="9" t="s">
        <v>2577</v>
      </c>
      <c r="B1238" s="9" t="s">
        <v>1298</v>
      </c>
      <c r="C1238" s="9" t="b">
        <f>TRUE()</f>
        <v>1</v>
      </c>
      <c r="D1238" s="10">
        <v>45915</v>
      </c>
      <c r="E1238" s="10">
        <v>45901</v>
      </c>
      <c r="F1238" s="9" t="s">
        <v>1360</v>
      </c>
      <c r="G1238" s="11">
        <v>3093.04</v>
      </c>
      <c r="H1238" s="11">
        <v>67.37</v>
      </c>
      <c r="I1238" s="9" t="b">
        <f>TRUE()</f>
        <v>1</v>
      </c>
      <c r="J1238" s="9" t="s">
        <v>1361</v>
      </c>
      <c r="K1238" s="11">
        <v>67.37</v>
      </c>
      <c r="L1238" s="9" t="s">
        <v>22</v>
      </c>
      <c r="M1238" s="9" t="str">
        <f>IFERROR(INDEX(T_CleanCustomers[Sales_Rep_ID],MATCH(B1238,T_CleanCustomers[Customer_ID],0)),"Unmatched")</f>
        <v>REP004</v>
      </c>
      <c r="N1238" s="9" t="str">
        <f>IFERROR(INDEX(T_CleanCustomers[Channel],MATCH(B1238,T_CleanCustomers[Customer_ID],0)),"Unmatched")</f>
        <v>Direct Sales</v>
      </c>
      <c r="O1238" s="9" t="str">
        <f>IFERROR(INDEX(T_CleanCustomers[Product],MATCH(B1238,T_CleanCustomers[Customer_ID],0)),"Unmatched")</f>
        <v>Fuel Card</v>
      </c>
      <c r="P1238" s="9" t="str">
        <f>IFERROR(INDEX(T_CleanCustomers[Customer_Segment],MATCH(B1238,T_CleanCustomers[Customer_ID],0)),"Unmatched")</f>
        <v>SME</v>
      </c>
    </row>
    <row r="1239" spans="1:16" ht="15" customHeight="1" x14ac:dyDescent="0.2">
      <c r="A1239" s="9" t="s">
        <v>2578</v>
      </c>
      <c r="B1239" s="9" t="s">
        <v>1298</v>
      </c>
      <c r="C1239" s="9" t="b">
        <f>TRUE()</f>
        <v>1</v>
      </c>
      <c r="D1239" s="10">
        <v>45921</v>
      </c>
      <c r="E1239" s="10">
        <v>45901</v>
      </c>
      <c r="F1239" s="9" t="s">
        <v>1360</v>
      </c>
      <c r="G1239" s="11">
        <v>1877.61</v>
      </c>
      <c r="H1239" s="11">
        <v>50.51</v>
      </c>
      <c r="I1239" s="9" t="b">
        <f>TRUE()</f>
        <v>1</v>
      </c>
      <c r="J1239" s="9" t="s">
        <v>1361</v>
      </c>
      <c r="K1239" s="11">
        <v>50.51</v>
      </c>
      <c r="L1239" s="9" t="s">
        <v>22</v>
      </c>
      <c r="M1239" s="9" t="str">
        <f>IFERROR(INDEX(T_CleanCustomers[Sales_Rep_ID],MATCH(B1239,T_CleanCustomers[Customer_ID],0)),"Unmatched")</f>
        <v>REP004</v>
      </c>
      <c r="N1239" s="9" t="str">
        <f>IFERROR(INDEX(T_CleanCustomers[Channel],MATCH(B1239,T_CleanCustomers[Customer_ID],0)),"Unmatched")</f>
        <v>Direct Sales</v>
      </c>
      <c r="O1239" s="9" t="str">
        <f>IFERROR(INDEX(T_CleanCustomers[Product],MATCH(B1239,T_CleanCustomers[Customer_ID],0)),"Unmatched")</f>
        <v>Fuel Card</v>
      </c>
      <c r="P1239" s="9" t="str">
        <f>IFERROR(INDEX(T_CleanCustomers[Customer_Segment],MATCH(B1239,T_CleanCustomers[Customer_ID],0)),"Unmatched")</f>
        <v>SME</v>
      </c>
    </row>
    <row r="1240" spans="1:16" ht="15" customHeight="1" x14ac:dyDescent="0.2">
      <c r="A1240" s="9" t="s">
        <v>2579</v>
      </c>
      <c r="B1240" s="9" t="s">
        <v>1298</v>
      </c>
      <c r="C1240" s="9" t="b">
        <f>TRUE()</f>
        <v>1</v>
      </c>
      <c r="D1240" s="10">
        <v>45914</v>
      </c>
      <c r="E1240" s="10">
        <v>45901</v>
      </c>
      <c r="F1240" s="9" t="s">
        <v>1360</v>
      </c>
      <c r="G1240" s="11">
        <v>2224.1799999999998</v>
      </c>
      <c r="H1240" s="11">
        <v>0</v>
      </c>
      <c r="I1240" s="9" t="b">
        <f>TRUE()</f>
        <v>1</v>
      </c>
      <c r="J1240" s="9" t="s">
        <v>1408</v>
      </c>
      <c r="K1240" s="11">
        <v>0</v>
      </c>
      <c r="L1240" s="9" t="s">
        <v>22</v>
      </c>
      <c r="M1240" s="9" t="str">
        <f>IFERROR(INDEX(T_CleanCustomers[Sales_Rep_ID],MATCH(B1240,T_CleanCustomers[Customer_ID],0)),"Unmatched")</f>
        <v>REP004</v>
      </c>
      <c r="N1240" s="9" t="str">
        <f>IFERROR(INDEX(T_CleanCustomers[Channel],MATCH(B1240,T_CleanCustomers[Customer_ID],0)),"Unmatched")</f>
        <v>Direct Sales</v>
      </c>
      <c r="O1240" s="9" t="str">
        <f>IFERROR(INDEX(T_CleanCustomers[Product],MATCH(B1240,T_CleanCustomers[Customer_ID],0)),"Unmatched")</f>
        <v>Fuel Card</v>
      </c>
      <c r="P1240" s="9" t="str">
        <f>IFERROR(INDEX(T_CleanCustomers[Customer_Segment],MATCH(B1240,T_CleanCustomers[Customer_ID],0)),"Unmatched")</f>
        <v>SME</v>
      </c>
    </row>
    <row r="1241" spans="1:16" ht="15" customHeight="1" x14ac:dyDescent="0.2">
      <c r="A1241" s="9" t="s">
        <v>2580</v>
      </c>
      <c r="B1241" s="9" t="s">
        <v>1298</v>
      </c>
      <c r="C1241" s="9" t="b">
        <f>TRUE()</f>
        <v>1</v>
      </c>
      <c r="D1241" s="10">
        <v>45948</v>
      </c>
      <c r="E1241" s="10">
        <v>45931</v>
      </c>
      <c r="F1241" s="9" t="s">
        <v>1360</v>
      </c>
      <c r="G1241" s="11">
        <v>2176.84</v>
      </c>
      <c r="H1241" s="11">
        <v>52.74</v>
      </c>
      <c r="I1241" s="9" t="b">
        <f>TRUE()</f>
        <v>1</v>
      </c>
      <c r="J1241" s="9" t="s">
        <v>1361</v>
      </c>
      <c r="K1241" s="11">
        <v>52.74</v>
      </c>
      <c r="L1241" s="9" t="s">
        <v>22</v>
      </c>
      <c r="M1241" s="9" t="str">
        <f>IFERROR(INDEX(T_CleanCustomers[Sales_Rep_ID],MATCH(B1241,T_CleanCustomers[Customer_ID],0)),"Unmatched")</f>
        <v>REP004</v>
      </c>
      <c r="N1241" s="9" t="str">
        <f>IFERROR(INDEX(T_CleanCustomers[Channel],MATCH(B1241,T_CleanCustomers[Customer_ID],0)),"Unmatched")</f>
        <v>Direct Sales</v>
      </c>
      <c r="O1241" s="9" t="str">
        <f>IFERROR(INDEX(T_CleanCustomers[Product],MATCH(B1241,T_CleanCustomers[Customer_ID],0)),"Unmatched")</f>
        <v>Fuel Card</v>
      </c>
      <c r="P1241" s="9" t="str">
        <f>IFERROR(INDEX(T_CleanCustomers[Customer_Segment],MATCH(B1241,T_CleanCustomers[Customer_ID],0)),"Unmatched")</f>
        <v>SME</v>
      </c>
    </row>
    <row r="1242" spans="1:16" ht="15" customHeight="1" x14ac:dyDescent="0.2">
      <c r="A1242" s="9" t="s">
        <v>2581</v>
      </c>
      <c r="B1242" s="9" t="s">
        <v>1298</v>
      </c>
      <c r="C1242" s="9" t="b">
        <f>TRUE()</f>
        <v>1</v>
      </c>
      <c r="D1242" s="10">
        <v>45946</v>
      </c>
      <c r="E1242" s="10">
        <v>45931</v>
      </c>
      <c r="F1242" s="9" t="s">
        <v>1360</v>
      </c>
      <c r="G1242" s="11">
        <v>5000.9799999999996</v>
      </c>
      <c r="H1242" s="11">
        <v>115.4</v>
      </c>
      <c r="I1242" s="9" t="b">
        <f>TRUE()</f>
        <v>1</v>
      </c>
      <c r="J1242" s="9" t="s">
        <v>1361</v>
      </c>
      <c r="K1242" s="11">
        <v>115.4</v>
      </c>
      <c r="L1242" s="9" t="s">
        <v>22</v>
      </c>
      <c r="M1242" s="9" t="str">
        <f>IFERROR(INDEX(T_CleanCustomers[Sales_Rep_ID],MATCH(B1242,T_CleanCustomers[Customer_ID],0)),"Unmatched")</f>
        <v>REP004</v>
      </c>
      <c r="N1242" s="9" t="str">
        <f>IFERROR(INDEX(T_CleanCustomers[Channel],MATCH(B1242,T_CleanCustomers[Customer_ID],0)),"Unmatched")</f>
        <v>Direct Sales</v>
      </c>
      <c r="O1242" s="9" t="str">
        <f>IFERROR(INDEX(T_CleanCustomers[Product],MATCH(B1242,T_CleanCustomers[Customer_ID],0)),"Unmatched")</f>
        <v>Fuel Card</v>
      </c>
      <c r="P1242" s="9" t="str">
        <f>IFERROR(INDEX(T_CleanCustomers[Customer_Segment],MATCH(B1242,T_CleanCustomers[Customer_ID],0)),"Unmatched")</f>
        <v>SME</v>
      </c>
    </row>
    <row r="1243" spans="1:16" ht="15" customHeight="1" x14ac:dyDescent="0.2">
      <c r="A1243" s="9" t="s">
        <v>2582</v>
      </c>
      <c r="B1243" s="9" t="s">
        <v>1298</v>
      </c>
      <c r="C1243" s="9" t="b">
        <f>TRUE()</f>
        <v>1</v>
      </c>
      <c r="D1243" s="10">
        <v>45949</v>
      </c>
      <c r="E1243" s="10">
        <v>45931</v>
      </c>
      <c r="F1243" s="9" t="s">
        <v>1360</v>
      </c>
      <c r="G1243" s="11">
        <v>5162.75</v>
      </c>
      <c r="H1243" s="11">
        <v>140.91</v>
      </c>
      <c r="I1243" s="9" t="b">
        <f>TRUE()</f>
        <v>1</v>
      </c>
      <c r="J1243" s="9" t="s">
        <v>1361</v>
      </c>
      <c r="K1243" s="11">
        <v>140.91</v>
      </c>
      <c r="L1243" s="9" t="s">
        <v>22</v>
      </c>
      <c r="M1243" s="9" t="str">
        <f>IFERROR(INDEX(T_CleanCustomers[Sales_Rep_ID],MATCH(B1243,T_CleanCustomers[Customer_ID],0)),"Unmatched")</f>
        <v>REP004</v>
      </c>
      <c r="N1243" s="9" t="str">
        <f>IFERROR(INDEX(T_CleanCustomers[Channel],MATCH(B1243,T_CleanCustomers[Customer_ID],0)),"Unmatched")</f>
        <v>Direct Sales</v>
      </c>
      <c r="O1243" s="9" t="str">
        <f>IFERROR(INDEX(T_CleanCustomers[Product],MATCH(B1243,T_CleanCustomers[Customer_ID],0)),"Unmatched")</f>
        <v>Fuel Card</v>
      </c>
      <c r="P1243" s="9" t="str">
        <f>IFERROR(INDEX(T_CleanCustomers[Customer_Segment],MATCH(B1243,T_CleanCustomers[Customer_ID],0)),"Unmatched")</f>
        <v>SME</v>
      </c>
    </row>
    <row r="1244" spans="1:16" ht="15" customHeight="1" x14ac:dyDescent="0.2">
      <c r="A1244" s="9" t="s">
        <v>2583</v>
      </c>
      <c r="B1244" s="9" t="s">
        <v>1298</v>
      </c>
      <c r="C1244" s="9" t="b">
        <f>TRUE()</f>
        <v>1</v>
      </c>
      <c r="D1244" s="10">
        <v>45989</v>
      </c>
      <c r="E1244" s="10">
        <v>45962</v>
      </c>
      <c r="F1244" s="9" t="s">
        <v>1360</v>
      </c>
      <c r="G1244" s="11">
        <v>3559.68</v>
      </c>
      <c r="H1244" s="11">
        <v>78.790000000000006</v>
      </c>
      <c r="I1244" s="9" t="b">
        <f>TRUE()</f>
        <v>1</v>
      </c>
      <c r="J1244" s="9" t="s">
        <v>1361</v>
      </c>
      <c r="K1244" s="11">
        <v>78.790000000000006</v>
      </c>
      <c r="L1244" s="9" t="s">
        <v>22</v>
      </c>
      <c r="M1244" s="9" t="str">
        <f>IFERROR(INDEX(T_CleanCustomers[Sales_Rep_ID],MATCH(B1244,T_CleanCustomers[Customer_ID],0)),"Unmatched")</f>
        <v>REP004</v>
      </c>
      <c r="N1244" s="9" t="str">
        <f>IFERROR(INDEX(T_CleanCustomers[Channel],MATCH(B1244,T_CleanCustomers[Customer_ID],0)),"Unmatched")</f>
        <v>Direct Sales</v>
      </c>
      <c r="O1244" s="9" t="str">
        <f>IFERROR(INDEX(T_CleanCustomers[Product],MATCH(B1244,T_CleanCustomers[Customer_ID],0)),"Unmatched")</f>
        <v>Fuel Card</v>
      </c>
      <c r="P1244" s="9" t="str">
        <f>IFERROR(INDEX(T_CleanCustomers[Customer_Segment],MATCH(B1244,T_CleanCustomers[Customer_ID],0)),"Unmatched")</f>
        <v>SME</v>
      </c>
    </row>
    <row r="1245" spans="1:16" ht="15" customHeight="1" x14ac:dyDescent="0.2">
      <c r="A1245" s="9" t="s">
        <v>2584</v>
      </c>
      <c r="B1245" s="9" t="s">
        <v>1298</v>
      </c>
      <c r="C1245" s="9" t="b">
        <f>TRUE()</f>
        <v>1</v>
      </c>
      <c r="D1245" s="10">
        <v>45986</v>
      </c>
      <c r="E1245" s="10">
        <v>45962</v>
      </c>
      <c r="F1245" s="9" t="s">
        <v>1360</v>
      </c>
      <c r="G1245" s="11">
        <v>3165.16</v>
      </c>
      <c r="H1245" s="11">
        <v>79.680000000000007</v>
      </c>
      <c r="I1245" s="9" t="b">
        <f>TRUE()</f>
        <v>1</v>
      </c>
      <c r="J1245" s="9" t="s">
        <v>1361</v>
      </c>
      <c r="K1245" s="11">
        <v>79.680000000000007</v>
      </c>
      <c r="L1245" s="9" t="s">
        <v>22</v>
      </c>
      <c r="M1245" s="9" t="str">
        <f>IFERROR(INDEX(T_CleanCustomers[Sales_Rep_ID],MATCH(B1245,T_CleanCustomers[Customer_ID],0)),"Unmatched")</f>
        <v>REP004</v>
      </c>
      <c r="N1245" s="9" t="str">
        <f>IFERROR(INDEX(T_CleanCustomers[Channel],MATCH(B1245,T_CleanCustomers[Customer_ID],0)),"Unmatched")</f>
        <v>Direct Sales</v>
      </c>
      <c r="O1245" s="9" t="str">
        <f>IFERROR(INDEX(T_CleanCustomers[Product],MATCH(B1245,T_CleanCustomers[Customer_ID],0)),"Unmatched")</f>
        <v>Fuel Card</v>
      </c>
      <c r="P1245" s="9" t="str">
        <f>IFERROR(INDEX(T_CleanCustomers[Customer_Segment],MATCH(B1245,T_CleanCustomers[Customer_ID],0)),"Unmatched")</f>
        <v>SME</v>
      </c>
    </row>
    <row r="1246" spans="1:16" ht="15" customHeight="1" x14ac:dyDescent="0.2">
      <c r="A1246" s="9" t="s">
        <v>2585</v>
      </c>
      <c r="B1246" s="9" t="s">
        <v>1298</v>
      </c>
      <c r="C1246" s="9" t="b">
        <f>TRUE()</f>
        <v>1</v>
      </c>
      <c r="D1246" s="10">
        <v>46021</v>
      </c>
      <c r="E1246" s="10">
        <v>45992</v>
      </c>
      <c r="F1246" s="9" t="s">
        <v>1360</v>
      </c>
      <c r="G1246" s="11">
        <v>4233.03</v>
      </c>
      <c r="H1246" s="11">
        <v>99.9</v>
      </c>
      <c r="I1246" s="9" t="b">
        <f>TRUE()</f>
        <v>1</v>
      </c>
      <c r="J1246" s="9" t="s">
        <v>1361</v>
      </c>
      <c r="K1246" s="11">
        <v>99.9</v>
      </c>
      <c r="L1246" s="9" t="s">
        <v>22</v>
      </c>
      <c r="M1246" s="9" t="str">
        <f>IFERROR(INDEX(T_CleanCustomers[Sales_Rep_ID],MATCH(B1246,T_CleanCustomers[Customer_ID],0)),"Unmatched")</f>
        <v>REP004</v>
      </c>
      <c r="N1246" s="9" t="str">
        <f>IFERROR(INDEX(T_CleanCustomers[Channel],MATCH(B1246,T_CleanCustomers[Customer_ID],0)),"Unmatched")</f>
        <v>Direct Sales</v>
      </c>
      <c r="O1246" s="9" t="str">
        <f>IFERROR(INDEX(T_CleanCustomers[Product],MATCH(B1246,T_CleanCustomers[Customer_ID],0)),"Unmatched")</f>
        <v>Fuel Card</v>
      </c>
      <c r="P1246" s="9" t="str">
        <f>IFERROR(INDEX(T_CleanCustomers[Customer_Segment],MATCH(B1246,T_CleanCustomers[Customer_ID],0)),"Unmatched")</f>
        <v>SME</v>
      </c>
    </row>
    <row r="1247" spans="1:16" ht="15" customHeight="1" x14ac:dyDescent="0.2">
      <c r="A1247" s="9" t="s">
        <v>2586</v>
      </c>
      <c r="B1247" s="9" t="s">
        <v>1298</v>
      </c>
      <c r="C1247" s="9" t="b">
        <f>TRUE()</f>
        <v>1</v>
      </c>
      <c r="D1247" s="10">
        <v>46016</v>
      </c>
      <c r="E1247" s="10">
        <v>45992</v>
      </c>
      <c r="F1247" s="9" t="s">
        <v>1360</v>
      </c>
      <c r="G1247" s="11">
        <v>5062.66</v>
      </c>
      <c r="H1247" s="11">
        <v>136.38999999999999</v>
      </c>
      <c r="I1247" s="9" t="b">
        <f>TRUE()</f>
        <v>1</v>
      </c>
      <c r="J1247" s="9" t="s">
        <v>1361</v>
      </c>
      <c r="K1247" s="11">
        <v>136.38999999999999</v>
      </c>
      <c r="L1247" s="9" t="s">
        <v>22</v>
      </c>
      <c r="M1247" s="9" t="str">
        <f>IFERROR(INDEX(T_CleanCustomers[Sales_Rep_ID],MATCH(B1247,T_CleanCustomers[Customer_ID],0)),"Unmatched")</f>
        <v>REP004</v>
      </c>
      <c r="N1247" s="9" t="str">
        <f>IFERROR(INDEX(T_CleanCustomers[Channel],MATCH(B1247,T_CleanCustomers[Customer_ID],0)),"Unmatched")</f>
        <v>Direct Sales</v>
      </c>
      <c r="O1247" s="9" t="str">
        <f>IFERROR(INDEX(T_CleanCustomers[Product],MATCH(B1247,T_CleanCustomers[Customer_ID],0)),"Unmatched")</f>
        <v>Fuel Card</v>
      </c>
      <c r="P1247" s="9" t="str">
        <f>IFERROR(INDEX(T_CleanCustomers[Customer_Segment],MATCH(B1247,T_CleanCustomers[Customer_ID],0)),"Unmatched")</f>
        <v>SME</v>
      </c>
    </row>
    <row r="1248" spans="1:16" ht="15" customHeight="1" x14ac:dyDescent="0.2">
      <c r="A1248" s="9" t="s">
        <v>2587</v>
      </c>
      <c r="B1248" s="9" t="s">
        <v>78</v>
      </c>
      <c r="C1248" s="9" t="b">
        <f>TRUE()</f>
        <v>1</v>
      </c>
      <c r="D1248" s="10">
        <v>45929</v>
      </c>
      <c r="E1248" s="10">
        <v>45901</v>
      </c>
      <c r="F1248" s="9" t="s">
        <v>1373</v>
      </c>
      <c r="G1248" s="11">
        <v>5237.13</v>
      </c>
      <c r="H1248" s="11">
        <v>81.19</v>
      </c>
      <c r="I1248" s="9" t="b">
        <f>TRUE()</f>
        <v>1</v>
      </c>
      <c r="J1248" s="9" t="s">
        <v>1361</v>
      </c>
      <c r="K1248" s="11">
        <v>81.19</v>
      </c>
      <c r="L1248" s="9" t="s">
        <v>19</v>
      </c>
      <c r="M1248" s="9" t="str">
        <f>IFERROR(INDEX(T_CleanCustomers[Sales_Rep_ID],MATCH(B1248,T_CleanCustomers[Customer_ID],0)),"Unmatched")</f>
        <v>REP013</v>
      </c>
      <c r="N1248" s="9" t="str">
        <f>IFERROR(INDEX(T_CleanCustomers[Channel],MATCH(B1248,T_CleanCustomers[Customer_ID],0)),"Unmatched")</f>
        <v>Direct Sales</v>
      </c>
      <c r="O1248" s="9" t="str">
        <f>IFERROR(INDEX(T_CleanCustomers[Product],MATCH(B1248,T_CleanCustomers[Customer_ID],0)),"Unmatched")</f>
        <v>Toll Solution</v>
      </c>
      <c r="P1248" s="9" t="str">
        <f>IFERROR(INDEX(T_CleanCustomers[Customer_Segment],MATCH(B1248,T_CleanCustomers[Customer_ID],0)),"Unmatched")</f>
        <v>SME</v>
      </c>
    </row>
    <row r="1249" spans="1:16" ht="15" customHeight="1" x14ac:dyDescent="0.2">
      <c r="A1249" s="9" t="s">
        <v>2588</v>
      </c>
      <c r="B1249" s="9" t="s">
        <v>78</v>
      </c>
      <c r="C1249" s="9" t="b">
        <f>TRUE()</f>
        <v>1</v>
      </c>
      <c r="D1249" s="10">
        <v>45929</v>
      </c>
      <c r="E1249" s="10">
        <v>45901</v>
      </c>
      <c r="F1249" s="9" t="s">
        <v>1373</v>
      </c>
      <c r="G1249" s="11">
        <v>4146.63</v>
      </c>
      <c r="H1249" s="11">
        <v>84.48</v>
      </c>
      <c r="I1249" s="9" t="b">
        <f>TRUE()</f>
        <v>1</v>
      </c>
      <c r="J1249" s="9" t="s">
        <v>1361</v>
      </c>
      <c r="K1249" s="11">
        <v>84.48</v>
      </c>
      <c r="L1249" s="9" t="s">
        <v>19</v>
      </c>
      <c r="M1249" s="9" t="str">
        <f>IFERROR(INDEX(T_CleanCustomers[Sales_Rep_ID],MATCH(B1249,T_CleanCustomers[Customer_ID],0)),"Unmatched")</f>
        <v>REP013</v>
      </c>
      <c r="N1249" s="9" t="str">
        <f>IFERROR(INDEX(T_CleanCustomers[Channel],MATCH(B1249,T_CleanCustomers[Customer_ID],0)),"Unmatched")</f>
        <v>Direct Sales</v>
      </c>
      <c r="O1249" s="9" t="str">
        <f>IFERROR(INDEX(T_CleanCustomers[Product],MATCH(B1249,T_CleanCustomers[Customer_ID],0)),"Unmatched")</f>
        <v>Toll Solution</v>
      </c>
      <c r="P1249" s="9" t="str">
        <f>IFERROR(INDEX(T_CleanCustomers[Customer_Segment],MATCH(B1249,T_CleanCustomers[Customer_ID],0)),"Unmatched")</f>
        <v>SME</v>
      </c>
    </row>
    <row r="1250" spans="1:16" ht="15" customHeight="1" x14ac:dyDescent="0.2">
      <c r="A1250" s="9" t="s">
        <v>2589</v>
      </c>
      <c r="B1250" s="9" t="s">
        <v>78</v>
      </c>
      <c r="C1250" s="9" t="b">
        <f>TRUE()</f>
        <v>1</v>
      </c>
      <c r="D1250" s="10">
        <v>45931</v>
      </c>
      <c r="E1250" s="10">
        <v>45931</v>
      </c>
      <c r="F1250" s="9" t="s">
        <v>1373</v>
      </c>
      <c r="G1250" s="11">
        <v>1408.75</v>
      </c>
      <c r="H1250" s="11">
        <v>25.51</v>
      </c>
      <c r="I1250" s="9" t="b">
        <f>TRUE()</f>
        <v>1</v>
      </c>
      <c r="J1250" s="9" t="s">
        <v>1361</v>
      </c>
      <c r="K1250" s="11">
        <v>25.51</v>
      </c>
      <c r="L1250" s="9" t="s">
        <v>19</v>
      </c>
      <c r="M1250" s="9" t="str">
        <f>IFERROR(INDEX(T_CleanCustomers[Sales_Rep_ID],MATCH(B1250,T_CleanCustomers[Customer_ID],0)),"Unmatched")</f>
        <v>REP013</v>
      </c>
      <c r="N1250" s="9" t="str">
        <f>IFERROR(INDEX(T_CleanCustomers[Channel],MATCH(B1250,T_CleanCustomers[Customer_ID],0)),"Unmatched")</f>
        <v>Direct Sales</v>
      </c>
      <c r="O1250" s="9" t="str">
        <f>IFERROR(INDEX(T_CleanCustomers[Product],MATCH(B1250,T_CleanCustomers[Customer_ID],0)),"Unmatched")</f>
        <v>Toll Solution</v>
      </c>
      <c r="P1250" s="9" t="str">
        <f>IFERROR(INDEX(T_CleanCustomers[Customer_Segment],MATCH(B1250,T_CleanCustomers[Customer_ID],0)),"Unmatched")</f>
        <v>SME</v>
      </c>
    </row>
    <row r="1251" spans="1:16" ht="15" customHeight="1" x14ac:dyDescent="0.2">
      <c r="A1251" s="9" t="s">
        <v>2590</v>
      </c>
      <c r="B1251" s="9" t="s">
        <v>78</v>
      </c>
      <c r="C1251" s="9" t="b">
        <f>TRUE()</f>
        <v>1</v>
      </c>
      <c r="D1251" s="10">
        <v>45974</v>
      </c>
      <c r="E1251" s="10">
        <v>45962</v>
      </c>
      <c r="F1251" s="9" t="s">
        <v>1373</v>
      </c>
      <c r="G1251" s="11">
        <v>4890.6899999999996</v>
      </c>
      <c r="H1251" s="11">
        <v>100.4</v>
      </c>
      <c r="I1251" s="9" t="b">
        <f>TRUE()</f>
        <v>1</v>
      </c>
      <c r="J1251" s="9" t="s">
        <v>1361</v>
      </c>
      <c r="K1251" s="11">
        <v>100.4</v>
      </c>
      <c r="L1251" s="9" t="s">
        <v>19</v>
      </c>
      <c r="M1251" s="9" t="str">
        <f>IFERROR(INDEX(T_CleanCustomers[Sales_Rep_ID],MATCH(B1251,T_CleanCustomers[Customer_ID],0)),"Unmatched")</f>
        <v>REP013</v>
      </c>
      <c r="N1251" s="9" t="str">
        <f>IFERROR(INDEX(T_CleanCustomers[Channel],MATCH(B1251,T_CleanCustomers[Customer_ID],0)),"Unmatched")</f>
        <v>Direct Sales</v>
      </c>
      <c r="O1251" s="9" t="str">
        <f>IFERROR(INDEX(T_CleanCustomers[Product],MATCH(B1251,T_CleanCustomers[Customer_ID],0)),"Unmatched")</f>
        <v>Toll Solution</v>
      </c>
      <c r="P1251" s="9" t="str">
        <f>IFERROR(INDEX(T_CleanCustomers[Customer_Segment],MATCH(B1251,T_CleanCustomers[Customer_ID],0)),"Unmatched")</f>
        <v>SME</v>
      </c>
    </row>
    <row r="1252" spans="1:16" ht="15" customHeight="1" x14ac:dyDescent="0.2">
      <c r="A1252" s="9" t="s">
        <v>2591</v>
      </c>
      <c r="B1252" s="9" t="s">
        <v>78</v>
      </c>
      <c r="C1252" s="9" t="b">
        <f>TRUE()</f>
        <v>1</v>
      </c>
      <c r="D1252" s="10">
        <v>46014</v>
      </c>
      <c r="E1252" s="10">
        <v>45992</v>
      </c>
      <c r="F1252" s="9" t="s">
        <v>1373</v>
      </c>
      <c r="G1252" s="11">
        <v>2179.34</v>
      </c>
      <c r="H1252" s="11">
        <v>34.9</v>
      </c>
      <c r="I1252" s="9" t="b">
        <f>TRUE()</f>
        <v>1</v>
      </c>
      <c r="J1252" s="9" t="s">
        <v>1361</v>
      </c>
      <c r="K1252" s="11">
        <v>34.9</v>
      </c>
      <c r="L1252" s="9" t="s">
        <v>19</v>
      </c>
      <c r="M1252" s="9" t="str">
        <f>IFERROR(INDEX(T_CleanCustomers[Sales_Rep_ID],MATCH(B1252,T_CleanCustomers[Customer_ID],0)),"Unmatched")</f>
        <v>REP013</v>
      </c>
      <c r="N1252" s="9" t="str">
        <f>IFERROR(INDEX(T_CleanCustomers[Channel],MATCH(B1252,T_CleanCustomers[Customer_ID],0)),"Unmatched")</f>
        <v>Direct Sales</v>
      </c>
      <c r="O1252" s="9" t="str">
        <f>IFERROR(INDEX(T_CleanCustomers[Product],MATCH(B1252,T_CleanCustomers[Customer_ID],0)),"Unmatched")</f>
        <v>Toll Solution</v>
      </c>
      <c r="P1252" s="9" t="str">
        <f>IFERROR(INDEX(T_CleanCustomers[Customer_Segment],MATCH(B1252,T_CleanCustomers[Customer_ID],0)),"Unmatched")</f>
        <v>SME</v>
      </c>
    </row>
    <row r="1253" spans="1:16" ht="15" customHeight="1" x14ac:dyDescent="0.2">
      <c r="A1253" s="9" t="s">
        <v>2592</v>
      </c>
      <c r="B1253" s="9" t="s">
        <v>78</v>
      </c>
      <c r="C1253" s="9" t="b">
        <f>TRUE()</f>
        <v>1</v>
      </c>
      <c r="D1253" s="10">
        <v>46017</v>
      </c>
      <c r="E1253" s="10">
        <v>45992</v>
      </c>
      <c r="F1253" s="9" t="s">
        <v>1373</v>
      </c>
      <c r="G1253" s="11">
        <v>4136.6400000000003</v>
      </c>
      <c r="H1253" s="11">
        <v>79.849999999999994</v>
      </c>
      <c r="I1253" s="9" t="b">
        <f>TRUE()</f>
        <v>1</v>
      </c>
      <c r="J1253" s="9" t="s">
        <v>1361</v>
      </c>
      <c r="K1253" s="11">
        <v>79.849999999999994</v>
      </c>
      <c r="L1253" s="9" t="s">
        <v>19</v>
      </c>
      <c r="M1253" s="9" t="str">
        <f>IFERROR(INDEX(T_CleanCustomers[Sales_Rep_ID],MATCH(B1253,T_CleanCustomers[Customer_ID],0)),"Unmatched")</f>
        <v>REP013</v>
      </c>
      <c r="N1253" s="9" t="str">
        <f>IFERROR(INDEX(T_CleanCustomers[Channel],MATCH(B1253,T_CleanCustomers[Customer_ID],0)),"Unmatched")</f>
        <v>Direct Sales</v>
      </c>
      <c r="O1253" s="9" t="str">
        <f>IFERROR(INDEX(T_CleanCustomers[Product],MATCH(B1253,T_CleanCustomers[Customer_ID],0)),"Unmatched")</f>
        <v>Toll Solution</v>
      </c>
      <c r="P1253" s="9" t="str">
        <f>IFERROR(INDEX(T_CleanCustomers[Customer_Segment],MATCH(B1253,T_CleanCustomers[Customer_ID],0)),"Unmatched")</f>
        <v>SME</v>
      </c>
    </row>
    <row r="1254" spans="1:16" ht="15" customHeight="1" x14ac:dyDescent="0.2">
      <c r="A1254" s="9" t="s">
        <v>2593</v>
      </c>
      <c r="B1254" s="9" t="s">
        <v>78</v>
      </c>
      <c r="C1254" s="9" t="b">
        <f>TRUE()</f>
        <v>1</v>
      </c>
      <c r="D1254" s="10">
        <v>46010</v>
      </c>
      <c r="E1254" s="10">
        <v>45992</v>
      </c>
      <c r="F1254" s="9" t="s">
        <v>1373</v>
      </c>
      <c r="G1254" s="11">
        <v>4309.07</v>
      </c>
      <c r="H1254" s="11">
        <v>76.78</v>
      </c>
      <c r="I1254" s="9" t="b">
        <f>TRUE()</f>
        <v>1</v>
      </c>
      <c r="J1254" s="9" t="s">
        <v>1361</v>
      </c>
      <c r="K1254" s="11">
        <v>76.78</v>
      </c>
      <c r="L1254" s="9" t="s">
        <v>19</v>
      </c>
      <c r="M1254" s="9" t="str">
        <f>IFERROR(INDEX(T_CleanCustomers[Sales_Rep_ID],MATCH(B1254,T_CleanCustomers[Customer_ID],0)),"Unmatched")</f>
        <v>REP013</v>
      </c>
      <c r="N1254" s="9" t="str">
        <f>IFERROR(INDEX(T_CleanCustomers[Channel],MATCH(B1254,T_CleanCustomers[Customer_ID],0)),"Unmatched")</f>
        <v>Direct Sales</v>
      </c>
      <c r="O1254" s="9" t="str">
        <f>IFERROR(INDEX(T_CleanCustomers[Product],MATCH(B1254,T_CleanCustomers[Customer_ID],0)),"Unmatched")</f>
        <v>Toll Solution</v>
      </c>
      <c r="P1254" s="9" t="str">
        <f>IFERROR(INDEX(T_CleanCustomers[Customer_Segment],MATCH(B1254,T_CleanCustomers[Customer_ID],0)),"Unmatched")</f>
        <v>SME</v>
      </c>
    </row>
    <row r="1255" spans="1:16" ht="15" customHeight="1" x14ac:dyDescent="0.2">
      <c r="A1255" s="9" t="s">
        <v>2594</v>
      </c>
      <c r="B1255" s="9" t="s">
        <v>1301</v>
      </c>
      <c r="C1255" s="9" t="b">
        <f>TRUE()</f>
        <v>1</v>
      </c>
      <c r="D1255" s="10">
        <v>45924</v>
      </c>
      <c r="E1255" s="10">
        <v>45901</v>
      </c>
      <c r="F1255" s="9" t="s">
        <v>1423</v>
      </c>
      <c r="G1255" s="11">
        <v>5474.2</v>
      </c>
      <c r="H1255" s="11">
        <v>146.59</v>
      </c>
      <c r="I1255" s="9" t="b">
        <f>TRUE()</f>
        <v>1</v>
      </c>
      <c r="J1255" s="9" t="s">
        <v>1361</v>
      </c>
      <c r="K1255" s="11">
        <v>146.59</v>
      </c>
      <c r="L1255" s="9" t="s">
        <v>18</v>
      </c>
      <c r="M1255" s="9" t="str">
        <f>IFERROR(INDEX(T_CleanCustomers[Sales_Rep_ID],MATCH(B1255,T_CleanCustomers[Customer_ID],0)),"Unmatched")</f>
        <v>REP012</v>
      </c>
      <c r="N1255" s="9" t="str">
        <f>IFERROR(INDEX(T_CleanCustomers[Channel],MATCH(B1255,T_CleanCustomers[Customer_ID],0)),"Unmatched")</f>
        <v>Direct Sales</v>
      </c>
      <c r="O1255" s="9" t="str">
        <f>IFERROR(INDEX(T_CleanCustomers[Product],MATCH(B1255,T_CleanCustomers[Customer_ID],0)),"Unmatched")</f>
        <v>EV Charge Card</v>
      </c>
      <c r="P1255" s="9" t="str">
        <f>IFERROR(INDEX(T_CleanCustomers[Customer_Segment],MATCH(B1255,T_CleanCustomers[Customer_ID],0)),"Unmatched")</f>
        <v>Mid-Market</v>
      </c>
    </row>
    <row r="1256" spans="1:16" ht="15" customHeight="1" x14ac:dyDescent="0.2">
      <c r="A1256" s="9" t="s">
        <v>2595</v>
      </c>
      <c r="B1256" s="9" t="s">
        <v>1301</v>
      </c>
      <c r="C1256" s="9" t="b">
        <f>TRUE()</f>
        <v>1</v>
      </c>
      <c r="D1256" s="10">
        <v>45928</v>
      </c>
      <c r="E1256" s="10">
        <v>45901</v>
      </c>
      <c r="F1256" s="9" t="s">
        <v>1423</v>
      </c>
      <c r="G1256" s="11">
        <v>6954.46</v>
      </c>
      <c r="H1256" s="11">
        <v>187.59</v>
      </c>
      <c r="I1256" s="9" t="b">
        <f>TRUE()</f>
        <v>1</v>
      </c>
      <c r="J1256" s="9" t="s">
        <v>1361</v>
      </c>
      <c r="K1256" s="11">
        <v>187.59</v>
      </c>
      <c r="L1256" s="9" t="s">
        <v>18</v>
      </c>
      <c r="M1256" s="9" t="str">
        <f>IFERROR(INDEX(T_CleanCustomers[Sales_Rep_ID],MATCH(B1256,T_CleanCustomers[Customer_ID],0)),"Unmatched")</f>
        <v>REP012</v>
      </c>
      <c r="N1256" s="9" t="str">
        <f>IFERROR(INDEX(T_CleanCustomers[Channel],MATCH(B1256,T_CleanCustomers[Customer_ID],0)),"Unmatched")</f>
        <v>Direct Sales</v>
      </c>
      <c r="O1256" s="9" t="str">
        <f>IFERROR(INDEX(T_CleanCustomers[Product],MATCH(B1256,T_CleanCustomers[Customer_ID],0)),"Unmatched")</f>
        <v>EV Charge Card</v>
      </c>
      <c r="P1256" s="9" t="str">
        <f>IFERROR(INDEX(T_CleanCustomers[Customer_Segment],MATCH(B1256,T_CleanCustomers[Customer_ID],0)),"Unmatched")</f>
        <v>Mid-Market</v>
      </c>
    </row>
    <row r="1257" spans="1:16" ht="15" customHeight="1" x14ac:dyDescent="0.2">
      <c r="A1257" s="9" t="s">
        <v>2596</v>
      </c>
      <c r="B1257" s="9" t="s">
        <v>1301</v>
      </c>
      <c r="C1257" s="9" t="b">
        <f>TRUE()</f>
        <v>1</v>
      </c>
      <c r="D1257" s="10">
        <v>45961</v>
      </c>
      <c r="E1257" s="10">
        <v>45931</v>
      </c>
      <c r="F1257" s="9" t="s">
        <v>1423</v>
      </c>
      <c r="G1257" s="11">
        <v>13254.12</v>
      </c>
      <c r="H1257" s="11">
        <v>467.44</v>
      </c>
      <c r="I1257" s="9" t="b">
        <f>TRUE()</f>
        <v>1</v>
      </c>
      <c r="J1257" s="9" t="s">
        <v>1361</v>
      </c>
      <c r="K1257" s="11">
        <v>467.44</v>
      </c>
      <c r="L1257" s="9" t="s">
        <v>18</v>
      </c>
      <c r="M1257" s="9" t="str">
        <f>IFERROR(INDEX(T_CleanCustomers[Sales_Rep_ID],MATCH(B1257,T_CleanCustomers[Customer_ID],0)),"Unmatched")</f>
        <v>REP012</v>
      </c>
      <c r="N1257" s="9" t="str">
        <f>IFERROR(INDEX(T_CleanCustomers[Channel],MATCH(B1257,T_CleanCustomers[Customer_ID],0)),"Unmatched")</f>
        <v>Direct Sales</v>
      </c>
      <c r="O1257" s="9" t="str">
        <f>IFERROR(INDEX(T_CleanCustomers[Product],MATCH(B1257,T_CleanCustomers[Customer_ID],0)),"Unmatched")</f>
        <v>EV Charge Card</v>
      </c>
      <c r="P1257" s="9" t="str">
        <f>IFERROR(INDEX(T_CleanCustomers[Customer_Segment],MATCH(B1257,T_CleanCustomers[Customer_ID],0)),"Unmatched")</f>
        <v>Mid-Market</v>
      </c>
    </row>
    <row r="1258" spans="1:16" ht="15" customHeight="1" x14ac:dyDescent="0.2">
      <c r="A1258" s="9" t="s">
        <v>2597</v>
      </c>
      <c r="B1258" s="9" t="s">
        <v>1301</v>
      </c>
      <c r="C1258" s="9" t="b">
        <f>TRUE()</f>
        <v>1</v>
      </c>
      <c r="D1258" s="10">
        <v>45939</v>
      </c>
      <c r="E1258" s="10">
        <v>45931</v>
      </c>
      <c r="F1258" s="9" t="s">
        <v>1423</v>
      </c>
      <c r="G1258" s="11">
        <v>11695.26</v>
      </c>
      <c r="H1258" s="11">
        <v>320.26</v>
      </c>
      <c r="I1258" s="9" t="b">
        <f>TRUE()</f>
        <v>1</v>
      </c>
      <c r="J1258" s="9" t="s">
        <v>1361</v>
      </c>
      <c r="K1258" s="11">
        <v>320.26</v>
      </c>
      <c r="L1258" s="9" t="s">
        <v>18</v>
      </c>
      <c r="M1258" s="9" t="str">
        <f>IFERROR(INDEX(T_CleanCustomers[Sales_Rep_ID],MATCH(B1258,T_CleanCustomers[Customer_ID],0)),"Unmatched")</f>
        <v>REP012</v>
      </c>
      <c r="N1258" s="9" t="str">
        <f>IFERROR(INDEX(T_CleanCustomers[Channel],MATCH(B1258,T_CleanCustomers[Customer_ID],0)),"Unmatched")</f>
        <v>Direct Sales</v>
      </c>
      <c r="O1258" s="9" t="str">
        <f>IFERROR(INDEX(T_CleanCustomers[Product],MATCH(B1258,T_CleanCustomers[Customer_ID],0)),"Unmatched")</f>
        <v>EV Charge Card</v>
      </c>
      <c r="P1258" s="9" t="str">
        <f>IFERROR(INDEX(T_CleanCustomers[Customer_Segment],MATCH(B1258,T_CleanCustomers[Customer_ID],0)),"Unmatched")</f>
        <v>Mid-Market</v>
      </c>
    </row>
    <row r="1259" spans="1:16" ht="15" customHeight="1" x14ac:dyDescent="0.2">
      <c r="A1259" s="9" t="s">
        <v>2598</v>
      </c>
      <c r="B1259" s="9" t="s">
        <v>1301</v>
      </c>
      <c r="C1259" s="9" t="b">
        <f>TRUE()</f>
        <v>1</v>
      </c>
      <c r="D1259" s="10">
        <v>45949</v>
      </c>
      <c r="E1259" s="10">
        <v>45931</v>
      </c>
      <c r="F1259" s="9" t="s">
        <v>1423</v>
      </c>
      <c r="G1259" s="11">
        <v>14572.38</v>
      </c>
      <c r="H1259" s="11">
        <v>389.22</v>
      </c>
      <c r="I1259" s="9" t="b">
        <f>TRUE()</f>
        <v>1</v>
      </c>
      <c r="J1259" s="9" t="s">
        <v>1361</v>
      </c>
      <c r="K1259" s="11">
        <v>389.22</v>
      </c>
      <c r="L1259" s="9" t="s">
        <v>18</v>
      </c>
      <c r="M1259" s="9" t="str">
        <f>IFERROR(INDEX(T_CleanCustomers[Sales_Rep_ID],MATCH(B1259,T_CleanCustomers[Customer_ID],0)),"Unmatched")</f>
        <v>REP012</v>
      </c>
      <c r="N1259" s="9" t="str">
        <f>IFERROR(INDEX(T_CleanCustomers[Channel],MATCH(B1259,T_CleanCustomers[Customer_ID],0)),"Unmatched")</f>
        <v>Direct Sales</v>
      </c>
      <c r="O1259" s="9" t="str">
        <f>IFERROR(INDEX(T_CleanCustomers[Product],MATCH(B1259,T_CleanCustomers[Customer_ID],0)),"Unmatched")</f>
        <v>EV Charge Card</v>
      </c>
      <c r="P1259" s="9" t="str">
        <f>IFERROR(INDEX(T_CleanCustomers[Customer_Segment],MATCH(B1259,T_CleanCustomers[Customer_ID],0)),"Unmatched")</f>
        <v>Mid-Market</v>
      </c>
    </row>
    <row r="1260" spans="1:16" ht="15" customHeight="1" x14ac:dyDescent="0.2">
      <c r="A1260" s="9" t="s">
        <v>2599</v>
      </c>
      <c r="B1260" s="9" t="s">
        <v>1301</v>
      </c>
      <c r="C1260" s="9" t="b">
        <f>TRUE()</f>
        <v>1</v>
      </c>
      <c r="D1260" s="10">
        <v>45978</v>
      </c>
      <c r="E1260" s="10">
        <v>45962</v>
      </c>
      <c r="F1260" s="9" t="s">
        <v>1423</v>
      </c>
      <c r="G1260" s="11">
        <v>8137.8</v>
      </c>
      <c r="H1260" s="11">
        <v>254.22</v>
      </c>
      <c r="I1260" s="9" t="b">
        <f>TRUE()</f>
        <v>1</v>
      </c>
      <c r="J1260" s="9" t="s">
        <v>1361</v>
      </c>
      <c r="K1260" s="11">
        <v>254.22</v>
      </c>
      <c r="L1260" s="9" t="s">
        <v>18</v>
      </c>
      <c r="M1260" s="9" t="str">
        <f>IFERROR(INDEX(T_CleanCustomers[Sales_Rep_ID],MATCH(B1260,T_CleanCustomers[Customer_ID],0)),"Unmatched")</f>
        <v>REP012</v>
      </c>
      <c r="N1260" s="9" t="str">
        <f>IFERROR(INDEX(T_CleanCustomers[Channel],MATCH(B1260,T_CleanCustomers[Customer_ID],0)),"Unmatched")</f>
        <v>Direct Sales</v>
      </c>
      <c r="O1260" s="9" t="str">
        <f>IFERROR(INDEX(T_CleanCustomers[Product],MATCH(B1260,T_CleanCustomers[Customer_ID],0)),"Unmatched")</f>
        <v>EV Charge Card</v>
      </c>
      <c r="P1260" s="9" t="str">
        <f>IFERROR(INDEX(T_CleanCustomers[Customer_Segment],MATCH(B1260,T_CleanCustomers[Customer_ID],0)),"Unmatched")</f>
        <v>Mid-Market</v>
      </c>
    </row>
    <row r="1261" spans="1:16" ht="15" customHeight="1" x14ac:dyDescent="0.2">
      <c r="A1261" s="9" t="s">
        <v>2600</v>
      </c>
      <c r="B1261" s="9" t="s">
        <v>1301</v>
      </c>
      <c r="C1261" s="9" t="b">
        <f>TRUE()</f>
        <v>1</v>
      </c>
      <c r="D1261" s="10">
        <v>45973</v>
      </c>
      <c r="E1261" s="10">
        <v>45962</v>
      </c>
      <c r="F1261" s="9" t="s">
        <v>1423</v>
      </c>
      <c r="G1261" s="11">
        <v>5388.16</v>
      </c>
      <c r="H1261" s="11">
        <v>174.51</v>
      </c>
      <c r="I1261" s="9" t="b">
        <f>TRUE()</f>
        <v>1</v>
      </c>
      <c r="J1261" s="9" t="s">
        <v>1361</v>
      </c>
      <c r="K1261" s="11">
        <v>174.51</v>
      </c>
      <c r="L1261" s="9" t="s">
        <v>18</v>
      </c>
      <c r="M1261" s="9" t="str">
        <f>IFERROR(INDEX(T_CleanCustomers[Sales_Rep_ID],MATCH(B1261,T_CleanCustomers[Customer_ID],0)),"Unmatched")</f>
        <v>REP012</v>
      </c>
      <c r="N1261" s="9" t="str">
        <f>IFERROR(INDEX(T_CleanCustomers[Channel],MATCH(B1261,T_CleanCustomers[Customer_ID],0)),"Unmatched")</f>
        <v>Direct Sales</v>
      </c>
      <c r="O1261" s="9" t="str">
        <f>IFERROR(INDEX(T_CleanCustomers[Product],MATCH(B1261,T_CleanCustomers[Customer_ID],0)),"Unmatched")</f>
        <v>EV Charge Card</v>
      </c>
      <c r="P1261" s="9" t="str">
        <f>IFERROR(INDEX(T_CleanCustomers[Customer_Segment],MATCH(B1261,T_CleanCustomers[Customer_ID],0)),"Unmatched")</f>
        <v>Mid-Market</v>
      </c>
    </row>
    <row r="1262" spans="1:16" ht="15" customHeight="1" x14ac:dyDescent="0.2">
      <c r="A1262" s="9" t="s">
        <v>2601</v>
      </c>
      <c r="B1262" s="9" t="s">
        <v>1301</v>
      </c>
      <c r="C1262" s="9" t="b">
        <f>TRUE()</f>
        <v>1</v>
      </c>
      <c r="D1262" s="10">
        <v>46021</v>
      </c>
      <c r="E1262" s="10">
        <v>45992</v>
      </c>
      <c r="F1262" s="9" t="s">
        <v>1423</v>
      </c>
      <c r="G1262" s="11">
        <v>15133</v>
      </c>
      <c r="H1262" s="11">
        <v>0</v>
      </c>
      <c r="I1262" s="9" t="b">
        <f>TRUE()</f>
        <v>1</v>
      </c>
      <c r="J1262" s="9" t="s">
        <v>1408</v>
      </c>
      <c r="K1262" s="11">
        <v>0</v>
      </c>
      <c r="L1262" s="9" t="s">
        <v>18</v>
      </c>
      <c r="M1262" s="9" t="str">
        <f>IFERROR(INDEX(T_CleanCustomers[Sales_Rep_ID],MATCH(B1262,T_CleanCustomers[Customer_ID],0)),"Unmatched")</f>
        <v>REP012</v>
      </c>
      <c r="N1262" s="9" t="str">
        <f>IFERROR(INDEX(T_CleanCustomers[Channel],MATCH(B1262,T_CleanCustomers[Customer_ID],0)),"Unmatched")</f>
        <v>Direct Sales</v>
      </c>
      <c r="O1262" s="9" t="str">
        <f>IFERROR(INDEX(T_CleanCustomers[Product],MATCH(B1262,T_CleanCustomers[Customer_ID],0)),"Unmatched")</f>
        <v>EV Charge Card</v>
      </c>
      <c r="P1262" s="9" t="str">
        <f>IFERROR(INDEX(T_CleanCustomers[Customer_Segment],MATCH(B1262,T_CleanCustomers[Customer_ID],0)),"Unmatched")</f>
        <v>Mid-Market</v>
      </c>
    </row>
    <row r="1263" spans="1:16" ht="15" customHeight="1" x14ac:dyDescent="0.2">
      <c r="A1263" s="9" t="s">
        <v>2602</v>
      </c>
      <c r="B1263" s="9" t="s">
        <v>1301</v>
      </c>
      <c r="C1263" s="9" t="b">
        <f>TRUE()</f>
        <v>1</v>
      </c>
      <c r="D1263" s="10">
        <v>45998</v>
      </c>
      <c r="E1263" s="10">
        <v>45992</v>
      </c>
      <c r="F1263" s="9" t="s">
        <v>1423</v>
      </c>
      <c r="G1263" s="11">
        <v>11437.48</v>
      </c>
      <c r="H1263" s="11">
        <v>0</v>
      </c>
      <c r="I1263" s="9" t="b">
        <f>TRUE()</f>
        <v>1</v>
      </c>
      <c r="J1263" s="9" t="s">
        <v>1408</v>
      </c>
      <c r="K1263" s="11">
        <v>0</v>
      </c>
      <c r="L1263" s="9" t="s">
        <v>18</v>
      </c>
      <c r="M1263" s="9" t="str">
        <f>IFERROR(INDEX(T_CleanCustomers[Sales_Rep_ID],MATCH(B1263,T_CleanCustomers[Customer_ID],0)),"Unmatched")</f>
        <v>REP012</v>
      </c>
      <c r="N1263" s="9" t="str">
        <f>IFERROR(INDEX(T_CleanCustomers[Channel],MATCH(B1263,T_CleanCustomers[Customer_ID],0)),"Unmatched")</f>
        <v>Direct Sales</v>
      </c>
      <c r="O1263" s="9" t="str">
        <f>IFERROR(INDEX(T_CleanCustomers[Product],MATCH(B1263,T_CleanCustomers[Customer_ID],0)),"Unmatched")</f>
        <v>EV Charge Card</v>
      </c>
      <c r="P1263" s="9" t="str">
        <f>IFERROR(INDEX(T_CleanCustomers[Customer_Segment],MATCH(B1263,T_CleanCustomers[Customer_ID],0)),"Unmatched")</f>
        <v>Mid-Market</v>
      </c>
    </row>
    <row r="1264" spans="1:16" ht="15" customHeight="1" x14ac:dyDescent="0.2">
      <c r="A1264" s="9" t="s">
        <v>2603</v>
      </c>
      <c r="B1264" s="9" t="s">
        <v>1301</v>
      </c>
      <c r="C1264" s="9" t="b">
        <f>TRUE()</f>
        <v>1</v>
      </c>
      <c r="D1264" s="10">
        <v>45993</v>
      </c>
      <c r="E1264" s="10">
        <v>45992</v>
      </c>
      <c r="F1264" s="9" t="s">
        <v>1423</v>
      </c>
      <c r="G1264" s="11">
        <v>8946.84</v>
      </c>
      <c r="H1264" s="11">
        <v>237.99</v>
      </c>
      <c r="I1264" s="9" t="b">
        <f>TRUE()</f>
        <v>1</v>
      </c>
      <c r="J1264" s="9" t="s">
        <v>1361</v>
      </c>
      <c r="K1264" s="11">
        <v>237.99</v>
      </c>
      <c r="L1264" s="9" t="s">
        <v>18</v>
      </c>
      <c r="M1264" s="9" t="str">
        <f>IFERROR(INDEX(T_CleanCustomers[Sales_Rep_ID],MATCH(B1264,T_CleanCustomers[Customer_ID],0)),"Unmatched")</f>
        <v>REP012</v>
      </c>
      <c r="N1264" s="9" t="str">
        <f>IFERROR(INDEX(T_CleanCustomers[Channel],MATCH(B1264,T_CleanCustomers[Customer_ID],0)),"Unmatched")</f>
        <v>Direct Sales</v>
      </c>
      <c r="O1264" s="9" t="str">
        <f>IFERROR(INDEX(T_CleanCustomers[Product],MATCH(B1264,T_CleanCustomers[Customer_ID],0)),"Unmatched")</f>
        <v>EV Charge Card</v>
      </c>
      <c r="P1264" s="9" t="str">
        <f>IFERROR(INDEX(T_CleanCustomers[Customer_Segment],MATCH(B1264,T_CleanCustomers[Customer_ID],0)),"Unmatched")</f>
        <v>Mid-Market</v>
      </c>
    </row>
    <row r="1265" spans="1:16" ht="15" customHeight="1" x14ac:dyDescent="0.2">
      <c r="A1265" s="9" t="s">
        <v>2604</v>
      </c>
      <c r="B1265" s="9" t="s">
        <v>1303</v>
      </c>
      <c r="C1265" s="9" t="b">
        <f>TRUE()</f>
        <v>1</v>
      </c>
      <c r="D1265" s="10">
        <v>45899</v>
      </c>
      <c r="E1265" s="10">
        <v>45870</v>
      </c>
      <c r="F1265" s="9" t="s">
        <v>1360</v>
      </c>
      <c r="G1265" s="11">
        <v>13141.85</v>
      </c>
      <c r="H1265" s="11">
        <v>364.65</v>
      </c>
      <c r="I1265" s="9" t="b">
        <f>TRUE()</f>
        <v>1</v>
      </c>
      <c r="J1265" s="9" t="s">
        <v>1361</v>
      </c>
      <c r="K1265" s="11">
        <v>364.65</v>
      </c>
      <c r="L1265" s="9" t="s">
        <v>18</v>
      </c>
      <c r="M1265" s="9" t="str">
        <f>IFERROR(INDEX(T_CleanCustomers[Sales_Rep_ID],MATCH(B1265,T_CleanCustomers[Customer_ID],0)),"Unmatched")</f>
        <v>REP010</v>
      </c>
      <c r="N1265" s="9" t="str">
        <f>IFERROR(INDEX(T_CleanCustomers[Channel],MATCH(B1265,T_CleanCustomers[Customer_ID],0)),"Unmatched")</f>
        <v>Digital</v>
      </c>
      <c r="O1265" s="9" t="str">
        <f>IFERROR(INDEX(T_CleanCustomers[Product],MATCH(B1265,T_CleanCustomers[Customer_ID],0)),"Unmatched")</f>
        <v>Fuel Card</v>
      </c>
      <c r="P1265" s="9" t="str">
        <f>IFERROR(INDEX(T_CleanCustomers[Customer_Segment],MATCH(B1265,T_CleanCustomers[Customer_ID],0)),"Unmatched")</f>
        <v>Mid-Market</v>
      </c>
    </row>
    <row r="1266" spans="1:16" ht="15" customHeight="1" x14ac:dyDescent="0.2">
      <c r="A1266" s="9" t="s">
        <v>2605</v>
      </c>
      <c r="B1266" s="9" t="s">
        <v>1303</v>
      </c>
      <c r="C1266" s="9" t="b">
        <f>TRUE()</f>
        <v>1</v>
      </c>
      <c r="D1266" s="10">
        <v>45899</v>
      </c>
      <c r="E1266" s="10">
        <v>45870</v>
      </c>
      <c r="F1266" s="9" t="s">
        <v>1360</v>
      </c>
      <c r="G1266" s="11">
        <v>11704.32</v>
      </c>
      <c r="H1266" s="11">
        <v>328.28</v>
      </c>
      <c r="I1266" s="9" t="b">
        <f>TRUE()</f>
        <v>1</v>
      </c>
      <c r="J1266" s="9" t="s">
        <v>1361</v>
      </c>
      <c r="K1266" s="11">
        <v>328.28</v>
      </c>
      <c r="L1266" s="9" t="s">
        <v>18</v>
      </c>
      <c r="M1266" s="9" t="str">
        <f>IFERROR(INDEX(T_CleanCustomers[Sales_Rep_ID],MATCH(B1266,T_CleanCustomers[Customer_ID],0)),"Unmatched")</f>
        <v>REP010</v>
      </c>
      <c r="N1266" s="9" t="str">
        <f>IFERROR(INDEX(T_CleanCustomers[Channel],MATCH(B1266,T_CleanCustomers[Customer_ID],0)),"Unmatched")</f>
        <v>Digital</v>
      </c>
      <c r="O1266" s="9" t="str">
        <f>IFERROR(INDEX(T_CleanCustomers[Product],MATCH(B1266,T_CleanCustomers[Customer_ID],0)),"Unmatched")</f>
        <v>Fuel Card</v>
      </c>
      <c r="P1266" s="9" t="str">
        <f>IFERROR(INDEX(T_CleanCustomers[Customer_Segment],MATCH(B1266,T_CleanCustomers[Customer_ID],0)),"Unmatched")</f>
        <v>Mid-Market</v>
      </c>
    </row>
    <row r="1267" spans="1:16" ht="15" customHeight="1" x14ac:dyDescent="0.2">
      <c r="A1267" s="9" t="s">
        <v>2606</v>
      </c>
      <c r="B1267" s="9" t="s">
        <v>1303</v>
      </c>
      <c r="C1267" s="9" t="b">
        <f>TRUE()</f>
        <v>1</v>
      </c>
      <c r="D1267" s="10">
        <v>45930</v>
      </c>
      <c r="E1267" s="10">
        <v>45901</v>
      </c>
      <c r="F1267" s="9" t="s">
        <v>1360</v>
      </c>
      <c r="G1267" s="11">
        <v>8657.77</v>
      </c>
      <c r="H1267" s="11">
        <v>211.48</v>
      </c>
      <c r="I1267" s="9" t="b">
        <f>TRUE()</f>
        <v>1</v>
      </c>
      <c r="J1267" s="9" t="s">
        <v>1361</v>
      </c>
      <c r="K1267" s="11">
        <v>211.48</v>
      </c>
      <c r="L1267" s="9" t="s">
        <v>18</v>
      </c>
      <c r="M1267" s="9" t="str">
        <f>IFERROR(INDEX(T_CleanCustomers[Sales_Rep_ID],MATCH(B1267,T_CleanCustomers[Customer_ID],0)),"Unmatched")</f>
        <v>REP010</v>
      </c>
      <c r="N1267" s="9" t="str">
        <f>IFERROR(INDEX(T_CleanCustomers[Channel],MATCH(B1267,T_CleanCustomers[Customer_ID],0)),"Unmatched")</f>
        <v>Digital</v>
      </c>
      <c r="O1267" s="9" t="str">
        <f>IFERROR(INDEX(T_CleanCustomers[Product],MATCH(B1267,T_CleanCustomers[Customer_ID],0)),"Unmatched")</f>
        <v>Fuel Card</v>
      </c>
      <c r="P1267" s="9" t="str">
        <f>IFERROR(INDEX(T_CleanCustomers[Customer_Segment],MATCH(B1267,T_CleanCustomers[Customer_ID],0)),"Unmatched")</f>
        <v>Mid-Market</v>
      </c>
    </row>
    <row r="1268" spans="1:16" ht="15" customHeight="1" x14ac:dyDescent="0.2">
      <c r="A1268" s="9" t="s">
        <v>2607</v>
      </c>
      <c r="B1268" s="9" t="s">
        <v>1303</v>
      </c>
      <c r="C1268" s="9" t="b">
        <f>TRUE()</f>
        <v>1</v>
      </c>
      <c r="D1268" s="10">
        <v>45911</v>
      </c>
      <c r="E1268" s="10">
        <v>45901</v>
      </c>
      <c r="F1268" s="9" t="s">
        <v>1360</v>
      </c>
      <c r="G1268" s="11">
        <v>13131.54</v>
      </c>
      <c r="H1268" s="11">
        <v>371.42</v>
      </c>
      <c r="I1268" s="9" t="b">
        <f>TRUE()</f>
        <v>1</v>
      </c>
      <c r="J1268" s="9" t="s">
        <v>1361</v>
      </c>
      <c r="K1268" s="11">
        <v>371.42</v>
      </c>
      <c r="L1268" s="9" t="s">
        <v>18</v>
      </c>
      <c r="M1268" s="9" t="str">
        <f>IFERROR(INDEX(T_CleanCustomers[Sales_Rep_ID],MATCH(B1268,T_CleanCustomers[Customer_ID],0)),"Unmatched")</f>
        <v>REP010</v>
      </c>
      <c r="N1268" s="9" t="str">
        <f>IFERROR(INDEX(T_CleanCustomers[Channel],MATCH(B1268,T_CleanCustomers[Customer_ID],0)),"Unmatched")</f>
        <v>Digital</v>
      </c>
      <c r="O1268" s="9" t="str">
        <f>IFERROR(INDEX(T_CleanCustomers[Product],MATCH(B1268,T_CleanCustomers[Customer_ID],0)),"Unmatched")</f>
        <v>Fuel Card</v>
      </c>
      <c r="P1268" s="9" t="str">
        <f>IFERROR(INDEX(T_CleanCustomers[Customer_Segment],MATCH(B1268,T_CleanCustomers[Customer_ID],0)),"Unmatched")</f>
        <v>Mid-Market</v>
      </c>
    </row>
    <row r="1269" spans="1:16" ht="15" customHeight="1" x14ac:dyDescent="0.2">
      <c r="A1269" s="9" t="s">
        <v>2608</v>
      </c>
      <c r="B1269" s="9" t="s">
        <v>1303</v>
      </c>
      <c r="C1269" s="9" t="b">
        <f>TRUE()</f>
        <v>1</v>
      </c>
      <c r="D1269" s="10">
        <v>45959</v>
      </c>
      <c r="E1269" s="10">
        <v>45931</v>
      </c>
      <c r="F1269" s="9" t="s">
        <v>1360</v>
      </c>
      <c r="G1269" s="11">
        <v>17579.79</v>
      </c>
      <c r="H1269" s="11">
        <v>433</v>
      </c>
      <c r="I1269" s="9" t="b">
        <f>TRUE()</f>
        <v>1</v>
      </c>
      <c r="J1269" s="9" t="s">
        <v>1361</v>
      </c>
      <c r="K1269" s="11">
        <v>433</v>
      </c>
      <c r="L1269" s="9" t="s">
        <v>18</v>
      </c>
      <c r="M1269" s="9" t="str">
        <f>IFERROR(INDEX(T_CleanCustomers[Sales_Rep_ID],MATCH(B1269,T_CleanCustomers[Customer_ID],0)),"Unmatched")</f>
        <v>REP010</v>
      </c>
      <c r="N1269" s="9" t="str">
        <f>IFERROR(INDEX(T_CleanCustomers[Channel],MATCH(B1269,T_CleanCustomers[Customer_ID],0)),"Unmatched")</f>
        <v>Digital</v>
      </c>
      <c r="O1269" s="9" t="str">
        <f>IFERROR(INDEX(T_CleanCustomers[Product],MATCH(B1269,T_CleanCustomers[Customer_ID],0)),"Unmatched")</f>
        <v>Fuel Card</v>
      </c>
      <c r="P1269" s="9" t="str">
        <f>IFERROR(INDEX(T_CleanCustomers[Customer_Segment],MATCH(B1269,T_CleanCustomers[Customer_ID],0)),"Unmatched")</f>
        <v>Mid-Market</v>
      </c>
    </row>
    <row r="1270" spans="1:16" ht="15" customHeight="1" x14ac:dyDescent="0.2">
      <c r="A1270" s="9" t="s">
        <v>2609</v>
      </c>
      <c r="B1270" s="9" t="s">
        <v>1303</v>
      </c>
      <c r="C1270" s="9" t="b">
        <f>TRUE()</f>
        <v>1</v>
      </c>
      <c r="D1270" s="10">
        <v>45963</v>
      </c>
      <c r="E1270" s="10">
        <v>45962</v>
      </c>
      <c r="F1270" s="9" t="s">
        <v>1360</v>
      </c>
      <c r="G1270" s="11">
        <v>8121.08</v>
      </c>
      <c r="H1270" s="11">
        <v>204.67</v>
      </c>
      <c r="I1270" s="9" t="b">
        <f>TRUE()</f>
        <v>1</v>
      </c>
      <c r="J1270" s="9" t="s">
        <v>1361</v>
      </c>
      <c r="K1270" s="11">
        <v>204.67</v>
      </c>
      <c r="L1270" s="9" t="s">
        <v>18</v>
      </c>
      <c r="M1270" s="9" t="str">
        <f>IFERROR(INDEX(T_CleanCustomers[Sales_Rep_ID],MATCH(B1270,T_CleanCustomers[Customer_ID],0)),"Unmatched")</f>
        <v>REP010</v>
      </c>
      <c r="N1270" s="9" t="str">
        <f>IFERROR(INDEX(T_CleanCustomers[Channel],MATCH(B1270,T_CleanCustomers[Customer_ID],0)),"Unmatched")</f>
        <v>Digital</v>
      </c>
      <c r="O1270" s="9" t="str">
        <f>IFERROR(INDEX(T_CleanCustomers[Product],MATCH(B1270,T_CleanCustomers[Customer_ID],0)),"Unmatched")</f>
        <v>Fuel Card</v>
      </c>
      <c r="P1270" s="9" t="str">
        <f>IFERROR(INDEX(T_CleanCustomers[Customer_Segment],MATCH(B1270,T_CleanCustomers[Customer_ID],0)),"Unmatched")</f>
        <v>Mid-Market</v>
      </c>
    </row>
    <row r="1271" spans="1:16" ht="15" customHeight="1" x14ac:dyDescent="0.2">
      <c r="A1271" s="9" t="s">
        <v>2610</v>
      </c>
      <c r="B1271" s="9" t="s">
        <v>1303</v>
      </c>
      <c r="C1271" s="9" t="b">
        <f>TRUE()</f>
        <v>1</v>
      </c>
      <c r="D1271" s="10">
        <v>45974</v>
      </c>
      <c r="E1271" s="10">
        <v>45962</v>
      </c>
      <c r="F1271" s="9" t="s">
        <v>1360</v>
      </c>
      <c r="G1271" s="11">
        <v>6307.37</v>
      </c>
      <c r="H1271" s="11">
        <v>135.61000000000001</v>
      </c>
      <c r="I1271" s="9" t="b">
        <f>TRUE()</f>
        <v>1</v>
      </c>
      <c r="J1271" s="9" t="s">
        <v>1361</v>
      </c>
      <c r="K1271" s="11">
        <v>135.61000000000001</v>
      </c>
      <c r="L1271" s="9" t="s">
        <v>18</v>
      </c>
      <c r="M1271" s="9" t="str">
        <f>IFERROR(INDEX(T_CleanCustomers[Sales_Rep_ID],MATCH(B1271,T_CleanCustomers[Customer_ID],0)),"Unmatched")</f>
        <v>REP010</v>
      </c>
      <c r="N1271" s="9" t="str">
        <f>IFERROR(INDEX(T_CleanCustomers[Channel],MATCH(B1271,T_CleanCustomers[Customer_ID],0)),"Unmatched")</f>
        <v>Digital</v>
      </c>
      <c r="O1271" s="9" t="str">
        <f>IFERROR(INDEX(T_CleanCustomers[Product],MATCH(B1271,T_CleanCustomers[Customer_ID],0)),"Unmatched")</f>
        <v>Fuel Card</v>
      </c>
      <c r="P1271" s="9" t="str">
        <f>IFERROR(INDEX(T_CleanCustomers[Customer_Segment],MATCH(B1271,T_CleanCustomers[Customer_ID],0)),"Unmatched")</f>
        <v>Mid-Market</v>
      </c>
    </row>
    <row r="1272" spans="1:16" ht="15" customHeight="1" x14ac:dyDescent="0.2">
      <c r="A1272" s="9" t="s">
        <v>2611</v>
      </c>
      <c r="B1272" s="9" t="s">
        <v>1303</v>
      </c>
      <c r="C1272" s="9" t="b">
        <f>TRUE()</f>
        <v>1</v>
      </c>
      <c r="D1272" s="10">
        <v>45977</v>
      </c>
      <c r="E1272" s="10">
        <v>45962</v>
      </c>
      <c r="F1272" s="9" t="s">
        <v>1360</v>
      </c>
      <c r="G1272" s="11">
        <v>14568.44</v>
      </c>
      <c r="H1272" s="11">
        <v>360.82</v>
      </c>
      <c r="I1272" s="9" t="b">
        <f>TRUE()</f>
        <v>1</v>
      </c>
      <c r="J1272" s="9" t="s">
        <v>1361</v>
      </c>
      <c r="K1272" s="11">
        <v>360.82</v>
      </c>
      <c r="L1272" s="9" t="s">
        <v>18</v>
      </c>
      <c r="M1272" s="9" t="str">
        <f>IFERROR(INDEX(T_CleanCustomers[Sales_Rep_ID],MATCH(B1272,T_CleanCustomers[Customer_ID],0)),"Unmatched")</f>
        <v>REP010</v>
      </c>
      <c r="N1272" s="9" t="str">
        <f>IFERROR(INDEX(T_CleanCustomers[Channel],MATCH(B1272,T_CleanCustomers[Customer_ID],0)),"Unmatched")</f>
        <v>Digital</v>
      </c>
      <c r="O1272" s="9" t="str">
        <f>IFERROR(INDEX(T_CleanCustomers[Product],MATCH(B1272,T_CleanCustomers[Customer_ID],0)),"Unmatched")</f>
        <v>Fuel Card</v>
      </c>
      <c r="P1272" s="9" t="str">
        <f>IFERROR(INDEX(T_CleanCustomers[Customer_Segment],MATCH(B1272,T_CleanCustomers[Customer_ID],0)),"Unmatched")</f>
        <v>Mid-Market</v>
      </c>
    </row>
    <row r="1273" spans="1:16" ht="15" customHeight="1" x14ac:dyDescent="0.2">
      <c r="A1273" s="9" t="s">
        <v>2612</v>
      </c>
      <c r="B1273" s="9" t="s">
        <v>1303</v>
      </c>
      <c r="C1273" s="9" t="b">
        <f>TRUE()</f>
        <v>1</v>
      </c>
      <c r="D1273" s="10">
        <v>46005</v>
      </c>
      <c r="E1273" s="10">
        <v>45992</v>
      </c>
      <c r="F1273" s="9" t="s">
        <v>1360</v>
      </c>
      <c r="G1273" s="11">
        <v>15381.92</v>
      </c>
      <c r="H1273" s="11">
        <v>428.19</v>
      </c>
      <c r="I1273" s="9" t="b">
        <f>TRUE()</f>
        <v>1</v>
      </c>
      <c r="J1273" s="9" t="s">
        <v>1361</v>
      </c>
      <c r="K1273" s="11">
        <v>428.19</v>
      </c>
      <c r="L1273" s="9" t="s">
        <v>18</v>
      </c>
      <c r="M1273" s="9" t="str">
        <f>IFERROR(INDEX(T_CleanCustomers[Sales_Rep_ID],MATCH(B1273,T_CleanCustomers[Customer_ID],0)),"Unmatched")</f>
        <v>REP010</v>
      </c>
      <c r="N1273" s="9" t="str">
        <f>IFERROR(INDEX(T_CleanCustomers[Channel],MATCH(B1273,T_CleanCustomers[Customer_ID],0)),"Unmatched")</f>
        <v>Digital</v>
      </c>
      <c r="O1273" s="9" t="str">
        <f>IFERROR(INDEX(T_CleanCustomers[Product],MATCH(B1273,T_CleanCustomers[Customer_ID],0)),"Unmatched")</f>
        <v>Fuel Card</v>
      </c>
      <c r="P1273" s="9" t="str">
        <f>IFERROR(INDEX(T_CleanCustomers[Customer_Segment],MATCH(B1273,T_CleanCustomers[Customer_ID],0)),"Unmatched")</f>
        <v>Mid-Market</v>
      </c>
    </row>
    <row r="1274" spans="1:16" ht="15" customHeight="1" x14ac:dyDescent="0.2">
      <c r="A1274" s="9" t="s">
        <v>2613</v>
      </c>
      <c r="B1274" s="9" t="s">
        <v>1304</v>
      </c>
      <c r="C1274" s="9" t="b">
        <f>TRUE()</f>
        <v>1</v>
      </c>
      <c r="D1274" s="10">
        <v>45776</v>
      </c>
      <c r="E1274" s="10">
        <v>45748</v>
      </c>
      <c r="F1274" s="9" t="s">
        <v>1373</v>
      </c>
      <c r="G1274" s="11">
        <v>1825.29</v>
      </c>
      <c r="H1274" s="11">
        <v>29.9</v>
      </c>
      <c r="I1274" s="9" t="b">
        <f>TRUE()</f>
        <v>1</v>
      </c>
      <c r="J1274" s="9" t="s">
        <v>1361</v>
      </c>
      <c r="K1274" s="11">
        <v>29.9</v>
      </c>
      <c r="L1274" s="9" t="s">
        <v>22</v>
      </c>
      <c r="M1274" s="9" t="str">
        <f>IFERROR(INDEX(T_CleanCustomers[Sales_Rep_ID],MATCH(B1274,T_CleanCustomers[Customer_ID],0)),"Unmatched")</f>
        <v>REP006</v>
      </c>
      <c r="N1274" s="9" t="str">
        <f>IFERROR(INDEX(T_CleanCustomers[Channel],MATCH(B1274,T_CleanCustomers[Customer_ID],0)),"Unmatched")</f>
        <v>Telesales</v>
      </c>
      <c r="O1274" s="9" t="str">
        <f>IFERROR(INDEX(T_CleanCustomers[Product],MATCH(B1274,T_CleanCustomers[Customer_ID],0)),"Unmatched")</f>
        <v>Toll Solution</v>
      </c>
      <c r="P1274" s="9" t="str">
        <f>IFERROR(INDEX(T_CleanCustomers[Customer_Segment],MATCH(B1274,T_CleanCustomers[Customer_ID],0)),"Unmatched")</f>
        <v>SME</v>
      </c>
    </row>
    <row r="1275" spans="1:16" ht="15" customHeight="1" x14ac:dyDescent="0.2">
      <c r="A1275" s="9" t="s">
        <v>2614</v>
      </c>
      <c r="B1275" s="9" t="s">
        <v>1304</v>
      </c>
      <c r="C1275" s="9" t="b">
        <f>TRUE()</f>
        <v>1</v>
      </c>
      <c r="D1275" s="10">
        <v>45782</v>
      </c>
      <c r="E1275" s="10">
        <v>45778</v>
      </c>
      <c r="F1275" s="9" t="s">
        <v>1373</v>
      </c>
      <c r="G1275" s="11">
        <v>2179</v>
      </c>
      <c r="H1275" s="11">
        <v>35.1</v>
      </c>
      <c r="I1275" s="9" t="b">
        <f>TRUE()</f>
        <v>1</v>
      </c>
      <c r="J1275" s="9" t="s">
        <v>1361</v>
      </c>
      <c r="K1275" s="11">
        <v>35.1</v>
      </c>
      <c r="L1275" s="9" t="s">
        <v>22</v>
      </c>
      <c r="M1275" s="9" t="str">
        <f>IFERROR(INDEX(T_CleanCustomers[Sales_Rep_ID],MATCH(B1275,T_CleanCustomers[Customer_ID],0)),"Unmatched")</f>
        <v>REP006</v>
      </c>
      <c r="N1275" s="9" t="str">
        <f>IFERROR(INDEX(T_CleanCustomers[Channel],MATCH(B1275,T_CleanCustomers[Customer_ID],0)),"Unmatched")</f>
        <v>Telesales</v>
      </c>
      <c r="O1275" s="9" t="str">
        <f>IFERROR(INDEX(T_CleanCustomers[Product],MATCH(B1275,T_CleanCustomers[Customer_ID],0)),"Unmatched")</f>
        <v>Toll Solution</v>
      </c>
      <c r="P1275" s="9" t="str">
        <f>IFERROR(INDEX(T_CleanCustomers[Customer_Segment],MATCH(B1275,T_CleanCustomers[Customer_ID],0)),"Unmatched")</f>
        <v>SME</v>
      </c>
    </row>
    <row r="1276" spans="1:16" ht="15" customHeight="1" x14ac:dyDescent="0.2">
      <c r="A1276" s="9" t="s">
        <v>2615</v>
      </c>
      <c r="B1276" s="9" t="s">
        <v>1304</v>
      </c>
      <c r="C1276" s="9" t="b">
        <f>TRUE()</f>
        <v>1</v>
      </c>
      <c r="D1276" s="10">
        <v>45793</v>
      </c>
      <c r="E1276" s="10">
        <v>45778</v>
      </c>
      <c r="F1276" s="9" t="s">
        <v>1373</v>
      </c>
      <c r="G1276" s="11">
        <v>5007.5200000000004</v>
      </c>
      <c r="H1276" s="11">
        <v>78.75</v>
      </c>
      <c r="I1276" s="9" t="b">
        <f>TRUE()</f>
        <v>1</v>
      </c>
      <c r="J1276" s="9" t="s">
        <v>1361</v>
      </c>
      <c r="K1276" s="11">
        <v>78.75</v>
      </c>
      <c r="L1276" s="9" t="s">
        <v>22</v>
      </c>
      <c r="M1276" s="9" t="str">
        <f>IFERROR(INDEX(T_CleanCustomers[Sales_Rep_ID],MATCH(B1276,T_CleanCustomers[Customer_ID],0)),"Unmatched")</f>
        <v>REP006</v>
      </c>
      <c r="N1276" s="9" t="str">
        <f>IFERROR(INDEX(T_CleanCustomers[Channel],MATCH(B1276,T_CleanCustomers[Customer_ID],0)),"Unmatched")</f>
        <v>Telesales</v>
      </c>
      <c r="O1276" s="9" t="str">
        <f>IFERROR(INDEX(T_CleanCustomers[Product],MATCH(B1276,T_CleanCustomers[Customer_ID],0)),"Unmatched")</f>
        <v>Toll Solution</v>
      </c>
      <c r="P1276" s="9" t="str">
        <f>IFERROR(INDEX(T_CleanCustomers[Customer_Segment],MATCH(B1276,T_CleanCustomers[Customer_ID],0)),"Unmatched")</f>
        <v>SME</v>
      </c>
    </row>
    <row r="1277" spans="1:16" ht="15" customHeight="1" x14ac:dyDescent="0.2">
      <c r="A1277" s="9" t="s">
        <v>2616</v>
      </c>
      <c r="B1277" s="9" t="s">
        <v>1304</v>
      </c>
      <c r="C1277" s="9" t="b">
        <f>TRUE()</f>
        <v>1</v>
      </c>
      <c r="D1277" s="10">
        <v>45803</v>
      </c>
      <c r="E1277" s="10">
        <v>45778</v>
      </c>
      <c r="F1277" s="9" t="s">
        <v>1373</v>
      </c>
      <c r="G1277" s="11">
        <v>4725.97</v>
      </c>
      <c r="H1277" s="11">
        <v>88.37</v>
      </c>
      <c r="I1277" s="9" t="b">
        <f>TRUE()</f>
        <v>1</v>
      </c>
      <c r="J1277" s="9" t="s">
        <v>1361</v>
      </c>
      <c r="K1277" s="11">
        <v>88.37</v>
      </c>
      <c r="L1277" s="9" t="s">
        <v>22</v>
      </c>
      <c r="M1277" s="9" t="str">
        <f>IFERROR(INDEX(T_CleanCustomers[Sales_Rep_ID],MATCH(B1277,T_CleanCustomers[Customer_ID],0)),"Unmatched")</f>
        <v>REP006</v>
      </c>
      <c r="N1277" s="9" t="str">
        <f>IFERROR(INDEX(T_CleanCustomers[Channel],MATCH(B1277,T_CleanCustomers[Customer_ID],0)),"Unmatched")</f>
        <v>Telesales</v>
      </c>
      <c r="O1277" s="9" t="str">
        <f>IFERROR(INDEX(T_CleanCustomers[Product],MATCH(B1277,T_CleanCustomers[Customer_ID],0)),"Unmatched")</f>
        <v>Toll Solution</v>
      </c>
      <c r="P1277" s="9" t="str">
        <f>IFERROR(INDEX(T_CleanCustomers[Customer_Segment],MATCH(B1277,T_CleanCustomers[Customer_ID],0)),"Unmatched")</f>
        <v>SME</v>
      </c>
    </row>
    <row r="1278" spans="1:16" ht="15" customHeight="1" x14ac:dyDescent="0.2">
      <c r="A1278" s="9" t="s">
        <v>121</v>
      </c>
      <c r="B1278" s="9" t="s">
        <v>1437</v>
      </c>
      <c r="C1278" s="9" t="b">
        <f>FALSE()</f>
        <v>0</v>
      </c>
      <c r="D1278" s="10">
        <v>45834</v>
      </c>
      <c r="E1278" s="10">
        <v>45809</v>
      </c>
      <c r="F1278" s="9" t="s">
        <v>1373</v>
      </c>
      <c r="G1278" s="11">
        <v>4430.1899999999996</v>
      </c>
      <c r="H1278" s="11">
        <v>79.06</v>
      </c>
      <c r="I1278" s="9" t="b">
        <f>TRUE()</f>
        <v>1</v>
      </c>
      <c r="J1278" s="9" t="s">
        <v>1361</v>
      </c>
      <c r="K1278" s="11">
        <v>0</v>
      </c>
      <c r="L1278" s="9" t="s">
        <v>22</v>
      </c>
      <c r="M1278" s="9" t="str">
        <f>IFERROR(INDEX(T_CleanCustomers[Sales_Rep_ID],MATCH(B1278,T_CleanCustomers[Customer_ID],0)),"Unmatched")</f>
        <v>Unmatched</v>
      </c>
      <c r="N1278" s="9" t="str">
        <f>IFERROR(INDEX(T_CleanCustomers[Channel],MATCH(B1278,T_CleanCustomers[Customer_ID],0)),"Unmatched")</f>
        <v>Unmatched</v>
      </c>
      <c r="O1278" s="9" t="str">
        <f>IFERROR(INDEX(T_CleanCustomers[Product],MATCH(B1278,T_CleanCustomers[Customer_ID],0)),"Unmatched")</f>
        <v>Unmatched</v>
      </c>
      <c r="P1278" s="9" t="str">
        <f>IFERROR(INDEX(T_CleanCustomers[Customer_Segment],MATCH(B1278,T_CleanCustomers[Customer_ID],0)),"Unmatched")</f>
        <v>Unmatched</v>
      </c>
    </row>
    <row r="1279" spans="1:16" ht="15" customHeight="1" x14ac:dyDescent="0.2">
      <c r="A1279" s="9" t="s">
        <v>2617</v>
      </c>
      <c r="B1279" s="9" t="s">
        <v>1304</v>
      </c>
      <c r="C1279" s="9" t="b">
        <f>TRUE()</f>
        <v>1</v>
      </c>
      <c r="D1279" s="10">
        <v>45846</v>
      </c>
      <c r="E1279" s="10">
        <v>45839</v>
      </c>
      <c r="F1279" s="9" t="s">
        <v>1373</v>
      </c>
      <c r="G1279" s="11">
        <v>3595.29</v>
      </c>
      <c r="H1279" s="11">
        <v>69.89</v>
      </c>
      <c r="I1279" s="9" t="b">
        <f>TRUE()</f>
        <v>1</v>
      </c>
      <c r="J1279" s="9" t="s">
        <v>1361</v>
      </c>
      <c r="K1279" s="11">
        <v>69.89</v>
      </c>
      <c r="L1279" s="9" t="s">
        <v>22</v>
      </c>
      <c r="M1279" s="9" t="str">
        <f>IFERROR(INDEX(T_CleanCustomers[Sales_Rep_ID],MATCH(B1279,T_CleanCustomers[Customer_ID],0)),"Unmatched")</f>
        <v>REP006</v>
      </c>
      <c r="N1279" s="9" t="str">
        <f>IFERROR(INDEX(T_CleanCustomers[Channel],MATCH(B1279,T_CleanCustomers[Customer_ID],0)),"Unmatched")</f>
        <v>Telesales</v>
      </c>
      <c r="O1279" s="9" t="str">
        <f>IFERROR(INDEX(T_CleanCustomers[Product],MATCH(B1279,T_CleanCustomers[Customer_ID],0)),"Unmatched")</f>
        <v>Toll Solution</v>
      </c>
      <c r="P1279" s="9" t="str">
        <f>IFERROR(INDEX(T_CleanCustomers[Customer_Segment],MATCH(B1279,T_CleanCustomers[Customer_ID],0)),"Unmatched")</f>
        <v>SME</v>
      </c>
    </row>
    <row r="1280" spans="1:16" ht="15" customHeight="1" x14ac:dyDescent="0.2">
      <c r="A1280" s="9" t="s">
        <v>2618</v>
      </c>
      <c r="B1280" s="9" t="s">
        <v>1304</v>
      </c>
      <c r="C1280" s="9" t="b">
        <f>TRUE()</f>
        <v>1</v>
      </c>
      <c r="D1280" s="10">
        <v>45857</v>
      </c>
      <c r="E1280" s="10">
        <v>45839</v>
      </c>
      <c r="F1280" s="9" t="s">
        <v>1373</v>
      </c>
      <c r="G1280" s="11">
        <v>1387.16</v>
      </c>
      <c r="H1280" s="11">
        <v>24.84</v>
      </c>
      <c r="I1280" s="9" t="b">
        <f>TRUE()</f>
        <v>1</v>
      </c>
      <c r="J1280" s="9" t="s">
        <v>1361</v>
      </c>
      <c r="K1280" s="11">
        <v>24.84</v>
      </c>
      <c r="L1280" s="9" t="s">
        <v>22</v>
      </c>
      <c r="M1280" s="9" t="str">
        <f>IFERROR(INDEX(T_CleanCustomers[Sales_Rep_ID],MATCH(B1280,T_CleanCustomers[Customer_ID],0)),"Unmatched")</f>
        <v>REP006</v>
      </c>
      <c r="N1280" s="9" t="str">
        <f>IFERROR(INDEX(T_CleanCustomers[Channel],MATCH(B1280,T_CleanCustomers[Customer_ID],0)),"Unmatched")</f>
        <v>Telesales</v>
      </c>
      <c r="O1280" s="9" t="str">
        <f>IFERROR(INDEX(T_CleanCustomers[Product],MATCH(B1280,T_CleanCustomers[Customer_ID],0)),"Unmatched")</f>
        <v>Toll Solution</v>
      </c>
      <c r="P1280" s="9" t="str">
        <f>IFERROR(INDEX(T_CleanCustomers[Customer_Segment],MATCH(B1280,T_CleanCustomers[Customer_ID],0)),"Unmatched")</f>
        <v>SME</v>
      </c>
    </row>
    <row r="1281" spans="1:16" ht="15" customHeight="1" x14ac:dyDescent="0.2">
      <c r="A1281" s="9" t="s">
        <v>2619</v>
      </c>
      <c r="B1281" s="9" t="s">
        <v>1304</v>
      </c>
      <c r="C1281" s="9" t="b">
        <f>TRUE()</f>
        <v>1</v>
      </c>
      <c r="D1281" s="10">
        <v>45854</v>
      </c>
      <c r="E1281" s="10">
        <v>45839</v>
      </c>
      <c r="F1281" s="9" t="s">
        <v>1373</v>
      </c>
      <c r="G1281" s="11">
        <v>3956.35</v>
      </c>
      <c r="H1281" s="11">
        <v>74.069999999999993</v>
      </c>
      <c r="I1281" s="9" t="b">
        <f>TRUE()</f>
        <v>1</v>
      </c>
      <c r="J1281" s="9" t="s">
        <v>1361</v>
      </c>
      <c r="K1281" s="11">
        <v>74.069999999999993</v>
      </c>
      <c r="L1281" s="9" t="s">
        <v>22</v>
      </c>
      <c r="M1281" s="9" t="str">
        <f>IFERROR(INDEX(T_CleanCustomers[Sales_Rep_ID],MATCH(B1281,T_CleanCustomers[Customer_ID],0)),"Unmatched")</f>
        <v>REP006</v>
      </c>
      <c r="N1281" s="9" t="str">
        <f>IFERROR(INDEX(T_CleanCustomers[Channel],MATCH(B1281,T_CleanCustomers[Customer_ID],0)),"Unmatched")</f>
        <v>Telesales</v>
      </c>
      <c r="O1281" s="9" t="str">
        <f>IFERROR(INDEX(T_CleanCustomers[Product],MATCH(B1281,T_CleanCustomers[Customer_ID],0)),"Unmatched")</f>
        <v>Toll Solution</v>
      </c>
      <c r="P1281" s="9" t="str">
        <f>IFERROR(INDEX(T_CleanCustomers[Customer_Segment],MATCH(B1281,T_CleanCustomers[Customer_ID],0)),"Unmatched")</f>
        <v>SME</v>
      </c>
    </row>
    <row r="1282" spans="1:16" ht="15" customHeight="1" x14ac:dyDescent="0.2">
      <c r="A1282" s="9" t="s">
        <v>2620</v>
      </c>
      <c r="B1282" s="9" t="s">
        <v>1304</v>
      </c>
      <c r="C1282" s="9" t="b">
        <f>TRUE()</f>
        <v>1</v>
      </c>
      <c r="D1282" s="10">
        <v>45889</v>
      </c>
      <c r="E1282" s="10">
        <v>45870</v>
      </c>
      <c r="F1282" s="9" t="s">
        <v>1373</v>
      </c>
      <c r="G1282" s="11">
        <v>4787.12</v>
      </c>
      <c r="H1282" s="11">
        <v>74.28</v>
      </c>
      <c r="I1282" s="9" t="b">
        <f>TRUE()</f>
        <v>1</v>
      </c>
      <c r="J1282" s="9" t="s">
        <v>1361</v>
      </c>
      <c r="K1282" s="11">
        <v>74.28</v>
      </c>
      <c r="L1282" s="9" t="s">
        <v>22</v>
      </c>
      <c r="M1282" s="9" t="str">
        <f>IFERROR(INDEX(T_CleanCustomers[Sales_Rep_ID],MATCH(B1282,T_CleanCustomers[Customer_ID],0)),"Unmatched")</f>
        <v>REP006</v>
      </c>
      <c r="N1282" s="9" t="str">
        <f>IFERROR(INDEX(T_CleanCustomers[Channel],MATCH(B1282,T_CleanCustomers[Customer_ID],0)),"Unmatched")</f>
        <v>Telesales</v>
      </c>
      <c r="O1282" s="9" t="str">
        <f>IFERROR(INDEX(T_CleanCustomers[Product],MATCH(B1282,T_CleanCustomers[Customer_ID],0)),"Unmatched")</f>
        <v>Toll Solution</v>
      </c>
      <c r="P1282" s="9" t="str">
        <f>IFERROR(INDEX(T_CleanCustomers[Customer_Segment],MATCH(B1282,T_CleanCustomers[Customer_ID],0)),"Unmatched")</f>
        <v>SME</v>
      </c>
    </row>
    <row r="1283" spans="1:16" ht="15" customHeight="1" x14ac:dyDescent="0.2">
      <c r="A1283" s="9" t="s">
        <v>2621</v>
      </c>
      <c r="B1283" s="9" t="s">
        <v>1304</v>
      </c>
      <c r="C1283" s="9" t="b">
        <f>TRUE()</f>
        <v>1</v>
      </c>
      <c r="D1283" s="10">
        <v>45901</v>
      </c>
      <c r="E1283" s="10">
        <v>45901</v>
      </c>
      <c r="F1283" s="9" t="s">
        <v>1373</v>
      </c>
      <c r="G1283" s="11">
        <v>4769.53</v>
      </c>
      <c r="H1283" s="11">
        <v>98.62</v>
      </c>
      <c r="I1283" s="9" t="b">
        <f>TRUE()</f>
        <v>1</v>
      </c>
      <c r="J1283" s="9" t="s">
        <v>1361</v>
      </c>
      <c r="K1283" s="11">
        <v>98.62</v>
      </c>
      <c r="L1283" s="9" t="s">
        <v>22</v>
      </c>
      <c r="M1283" s="9" t="str">
        <f>IFERROR(INDEX(T_CleanCustomers[Sales_Rep_ID],MATCH(B1283,T_CleanCustomers[Customer_ID],0)),"Unmatched")</f>
        <v>REP006</v>
      </c>
      <c r="N1283" s="9" t="str">
        <f>IFERROR(INDEX(T_CleanCustomers[Channel],MATCH(B1283,T_CleanCustomers[Customer_ID],0)),"Unmatched")</f>
        <v>Telesales</v>
      </c>
      <c r="O1283" s="9" t="str">
        <f>IFERROR(INDEX(T_CleanCustomers[Product],MATCH(B1283,T_CleanCustomers[Customer_ID],0)),"Unmatched")</f>
        <v>Toll Solution</v>
      </c>
      <c r="P1283" s="9" t="str">
        <f>IFERROR(INDEX(T_CleanCustomers[Customer_Segment],MATCH(B1283,T_CleanCustomers[Customer_ID],0)),"Unmatched")</f>
        <v>SME</v>
      </c>
    </row>
    <row r="1284" spans="1:16" ht="15" customHeight="1" x14ac:dyDescent="0.2">
      <c r="A1284" s="9" t="s">
        <v>2622</v>
      </c>
      <c r="B1284" s="9" t="s">
        <v>1304</v>
      </c>
      <c r="C1284" s="9" t="b">
        <f>TRUE()</f>
        <v>1</v>
      </c>
      <c r="D1284" s="10">
        <v>45901</v>
      </c>
      <c r="E1284" s="10">
        <v>45901</v>
      </c>
      <c r="F1284" s="9" t="s">
        <v>1373</v>
      </c>
      <c r="G1284" s="11">
        <v>4612.0600000000004</v>
      </c>
      <c r="H1284" s="11">
        <v>86.94</v>
      </c>
      <c r="I1284" s="9" t="b">
        <f>TRUE()</f>
        <v>1</v>
      </c>
      <c r="J1284" s="9" t="s">
        <v>1361</v>
      </c>
      <c r="K1284" s="11">
        <v>86.94</v>
      </c>
      <c r="L1284" s="9" t="s">
        <v>22</v>
      </c>
      <c r="M1284" s="9" t="str">
        <f>IFERROR(INDEX(T_CleanCustomers[Sales_Rep_ID],MATCH(B1284,T_CleanCustomers[Customer_ID],0)),"Unmatched")</f>
        <v>REP006</v>
      </c>
      <c r="N1284" s="9" t="str">
        <f>IFERROR(INDEX(T_CleanCustomers[Channel],MATCH(B1284,T_CleanCustomers[Customer_ID],0)),"Unmatched")</f>
        <v>Telesales</v>
      </c>
      <c r="O1284" s="9" t="str">
        <f>IFERROR(INDEX(T_CleanCustomers[Product],MATCH(B1284,T_CleanCustomers[Customer_ID],0)),"Unmatched")</f>
        <v>Toll Solution</v>
      </c>
      <c r="P1284" s="9" t="str">
        <f>IFERROR(INDEX(T_CleanCustomers[Customer_Segment],MATCH(B1284,T_CleanCustomers[Customer_ID],0)),"Unmatched")</f>
        <v>SME</v>
      </c>
    </row>
    <row r="1285" spans="1:16" ht="15" customHeight="1" x14ac:dyDescent="0.2">
      <c r="A1285" s="9" t="s">
        <v>2623</v>
      </c>
      <c r="B1285" s="9" t="s">
        <v>1304</v>
      </c>
      <c r="C1285" s="9" t="b">
        <f>TRUE()</f>
        <v>1</v>
      </c>
      <c r="D1285" s="10">
        <v>45901</v>
      </c>
      <c r="E1285" s="10">
        <v>45901</v>
      </c>
      <c r="F1285" s="9" t="s">
        <v>1373</v>
      </c>
      <c r="G1285" s="11">
        <v>5017.53</v>
      </c>
      <c r="H1285" s="11">
        <v>82.73</v>
      </c>
      <c r="I1285" s="9" t="b">
        <f>TRUE()</f>
        <v>1</v>
      </c>
      <c r="J1285" s="9" t="s">
        <v>1361</v>
      </c>
      <c r="K1285" s="11">
        <v>82.73</v>
      </c>
      <c r="L1285" s="9" t="s">
        <v>22</v>
      </c>
      <c r="M1285" s="9" t="str">
        <f>IFERROR(INDEX(T_CleanCustomers[Sales_Rep_ID],MATCH(B1285,T_CleanCustomers[Customer_ID],0)),"Unmatched")</f>
        <v>REP006</v>
      </c>
      <c r="N1285" s="9" t="str">
        <f>IFERROR(INDEX(T_CleanCustomers[Channel],MATCH(B1285,T_CleanCustomers[Customer_ID],0)),"Unmatched")</f>
        <v>Telesales</v>
      </c>
      <c r="O1285" s="9" t="str">
        <f>IFERROR(INDEX(T_CleanCustomers[Product],MATCH(B1285,T_CleanCustomers[Customer_ID],0)),"Unmatched")</f>
        <v>Toll Solution</v>
      </c>
      <c r="P1285" s="9" t="str">
        <f>IFERROR(INDEX(T_CleanCustomers[Customer_Segment],MATCH(B1285,T_CleanCustomers[Customer_ID],0)),"Unmatched")</f>
        <v>SME</v>
      </c>
    </row>
    <row r="1286" spans="1:16" ht="15" customHeight="1" x14ac:dyDescent="0.2">
      <c r="A1286" s="9" t="s">
        <v>2624</v>
      </c>
      <c r="B1286" s="9" t="s">
        <v>1305</v>
      </c>
      <c r="C1286" s="9" t="b">
        <f>TRUE()</f>
        <v>1</v>
      </c>
      <c r="D1286" s="10">
        <v>45908</v>
      </c>
      <c r="E1286" s="10">
        <v>45901</v>
      </c>
      <c r="F1286" s="9" t="s">
        <v>1360</v>
      </c>
      <c r="G1286" s="11">
        <v>43646.75</v>
      </c>
      <c r="H1286" s="11">
        <v>1030.45</v>
      </c>
      <c r="I1286" s="9" t="b">
        <f>TRUE()</f>
        <v>1</v>
      </c>
      <c r="J1286" s="9" t="s">
        <v>1361</v>
      </c>
      <c r="K1286" s="11">
        <v>1030.45</v>
      </c>
      <c r="L1286" s="9" t="s">
        <v>20</v>
      </c>
      <c r="M1286" s="9" t="str">
        <f>IFERROR(INDEX(T_CleanCustomers[Sales_Rep_ID],MATCH(B1286,T_CleanCustomers[Customer_ID],0)),"Unmatched")</f>
        <v>REP001</v>
      </c>
      <c r="N1286" s="9" t="str">
        <f>IFERROR(INDEX(T_CleanCustomers[Channel],MATCH(B1286,T_CleanCustomers[Customer_ID],0)),"Unmatched")</f>
        <v>Direct Sales</v>
      </c>
      <c r="O1286" s="9" t="str">
        <f>IFERROR(INDEX(T_CleanCustomers[Product],MATCH(B1286,T_CleanCustomers[Customer_ID],0)),"Unmatched")</f>
        <v>Fuel Card</v>
      </c>
      <c r="P1286" s="9" t="str">
        <f>IFERROR(INDEX(T_CleanCustomers[Customer_Segment],MATCH(B1286,T_CleanCustomers[Customer_ID],0)),"Unmatched")</f>
        <v>Enterprise</v>
      </c>
    </row>
    <row r="1287" spans="1:16" ht="15" customHeight="1" x14ac:dyDescent="0.2">
      <c r="A1287" s="9" t="s">
        <v>2625</v>
      </c>
      <c r="B1287" s="9" t="s">
        <v>1305</v>
      </c>
      <c r="C1287" s="9" t="b">
        <f>TRUE()</f>
        <v>1</v>
      </c>
      <c r="D1287" s="10">
        <v>45922</v>
      </c>
      <c r="E1287" s="10">
        <v>45901</v>
      </c>
      <c r="F1287" s="9" t="s">
        <v>1360</v>
      </c>
      <c r="G1287" s="11">
        <v>57899.33</v>
      </c>
      <c r="H1287" s="11">
        <v>1546.32</v>
      </c>
      <c r="I1287" s="9" t="b">
        <f>TRUE()</f>
        <v>1</v>
      </c>
      <c r="J1287" s="9" t="s">
        <v>1361</v>
      </c>
      <c r="K1287" s="11">
        <v>1546.32</v>
      </c>
      <c r="L1287" s="9" t="s">
        <v>20</v>
      </c>
      <c r="M1287" s="9" t="str">
        <f>IFERROR(INDEX(T_CleanCustomers[Sales_Rep_ID],MATCH(B1287,T_CleanCustomers[Customer_ID],0)),"Unmatched")</f>
        <v>REP001</v>
      </c>
      <c r="N1287" s="9" t="str">
        <f>IFERROR(INDEX(T_CleanCustomers[Channel],MATCH(B1287,T_CleanCustomers[Customer_ID],0)),"Unmatched")</f>
        <v>Direct Sales</v>
      </c>
      <c r="O1287" s="9" t="str">
        <f>IFERROR(INDEX(T_CleanCustomers[Product],MATCH(B1287,T_CleanCustomers[Customer_ID],0)),"Unmatched")</f>
        <v>Fuel Card</v>
      </c>
      <c r="P1287" s="9" t="str">
        <f>IFERROR(INDEX(T_CleanCustomers[Customer_Segment],MATCH(B1287,T_CleanCustomers[Customer_ID],0)),"Unmatched")</f>
        <v>Enterprise</v>
      </c>
    </row>
    <row r="1288" spans="1:16" ht="15" customHeight="1" x14ac:dyDescent="0.2">
      <c r="A1288" s="9" t="s">
        <v>2626</v>
      </c>
      <c r="B1288" s="9" t="s">
        <v>1305</v>
      </c>
      <c r="C1288" s="9" t="b">
        <f>TRUE()</f>
        <v>1</v>
      </c>
      <c r="D1288" s="10">
        <v>45940</v>
      </c>
      <c r="E1288" s="10">
        <v>45931</v>
      </c>
      <c r="F1288" s="9" t="s">
        <v>1360</v>
      </c>
      <c r="G1288" s="11">
        <v>28691.75</v>
      </c>
      <c r="H1288" s="11">
        <v>737.33</v>
      </c>
      <c r="I1288" s="9" t="b">
        <f>TRUE()</f>
        <v>1</v>
      </c>
      <c r="J1288" s="9" t="s">
        <v>1361</v>
      </c>
      <c r="K1288" s="11">
        <v>737.33</v>
      </c>
      <c r="L1288" s="9" t="s">
        <v>20</v>
      </c>
      <c r="M1288" s="9" t="str">
        <f>IFERROR(INDEX(T_CleanCustomers[Sales_Rep_ID],MATCH(B1288,T_CleanCustomers[Customer_ID],0)),"Unmatched")</f>
        <v>REP001</v>
      </c>
      <c r="N1288" s="9" t="str">
        <f>IFERROR(INDEX(T_CleanCustomers[Channel],MATCH(B1288,T_CleanCustomers[Customer_ID],0)),"Unmatched")</f>
        <v>Direct Sales</v>
      </c>
      <c r="O1288" s="9" t="str">
        <f>IFERROR(INDEX(T_CleanCustomers[Product],MATCH(B1288,T_CleanCustomers[Customer_ID],0)),"Unmatched")</f>
        <v>Fuel Card</v>
      </c>
      <c r="P1288" s="9" t="str">
        <f>IFERROR(INDEX(T_CleanCustomers[Customer_Segment],MATCH(B1288,T_CleanCustomers[Customer_ID],0)),"Unmatched")</f>
        <v>Enterprise</v>
      </c>
    </row>
    <row r="1289" spans="1:16" ht="15" customHeight="1" x14ac:dyDescent="0.2">
      <c r="A1289" s="9" t="s">
        <v>2627</v>
      </c>
      <c r="B1289" s="9" t="s">
        <v>1305</v>
      </c>
      <c r="C1289" s="9" t="b">
        <f>TRUE()</f>
        <v>1</v>
      </c>
      <c r="D1289" s="10">
        <v>45954</v>
      </c>
      <c r="E1289" s="10">
        <v>45931</v>
      </c>
      <c r="F1289" s="9" t="s">
        <v>1360</v>
      </c>
      <c r="G1289" s="11">
        <v>54290.27</v>
      </c>
      <c r="H1289" s="11">
        <v>1158.3599999999999</v>
      </c>
      <c r="I1289" s="9" t="b">
        <f>TRUE()</f>
        <v>1</v>
      </c>
      <c r="J1289" s="9" t="s">
        <v>1361</v>
      </c>
      <c r="K1289" s="11">
        <v>1158.3599999999999</v>
      </c>
      <c r="L1289" s="9" t="s">
        <v>20</v>
      </c>
      <c r="M1289" s="9" t="str">
        <f>IFERROR(INDEX(T_CleanCustomers[Sales_Rep_ID],MATCH(B1289,T_CleanCustomers[Customer_ID],0)),"Unmatched")</f>
        <v>REP001</v>
      </c>
      <c r="N1289" s="9" t="str">
        <f>IFERROR(INDEX(T_CleanCustomers[Channel],MATCH(B1289,T_CleanCustomers[Customer_ID],0)),"Unmatched")</f>
        <v>Direct Sales</v>
      </c>
      <c r="O1289" s="9" t="str">
        <f>IFERROR(INDEX(T_CleanCustomers[Product],MATCH(B1289,T_CleanCustomers[Customer_ID],0)),"Unmatched")</f>
        <v>Fuel Card</v>
      </c>
      <c r="P1289" s="9" t="str">
        <f>IFERROR(INDEX(T_CleanCustomers[Customer_Segment],MATCH(B1289,T_CleanCustomers[Customer_ID],0)),"Unmatched")</f>
        <v>Enterprise</v>
      </c>
    </row>
    <row r="1290" spans="1:16" ht="15" customHeight="1" x14ac:dyDescent="0.2">
      <c r="A1290" s="9" t="s">
        <v>2628</v>
      </c>
      <c r="B1290" s="9" t="s">
        <v>1305</v>
      </c>
      <c r="C1290" s="9" t="b">
        <f>TRUE()</f>
        <v>1</v>
      </c>
      <c r="D1290" s="10">
        <v>45991</v>
      </c>
      <c r="E1290" s="10">
        <v>45962</v>
      </c>
      <c r="F1290" s="9" t="s">
        <v>1360</v>
      </c>
      <c r="G1290" s="11">
        <v>29203.18</v>
      </c>
      <c r="H1290" s="11">
        <v>691.7</v>
      </c>
      <c r="I1290" s="9" t="b">
        <f>TRUE()</f>
        <v>1</v>
      </c>
      <c r="J1290" s="9" t="s">
        <v>1361</v>
      </c>
      <c r="K1290" s="11">
        <v>691.7</v>
      </c>
      <c r="L1290" s="9" t="s">
        <v>20</v>
      </c>
      <c r="M1290" s="9" t="str">
        <f>IFERROR(INDEX(T_CleanCustomers[Sales_Rep_ID],MATCH(B1290,T_CleanCustomers[Customer_ID],0)),"Unmatched")</f>
        <v>REP001</v>
      </c>
      <c r="N1290" s="9" t="str">
        <f>IFERROR(INDEX(T_CleanCustomers[Channel],MATCH(B1290,T_CleanCustomers[Customer_ID],0)),"Unmatched")</f>
        <v>Direct Sales</v>
      </c>
      <c r="O1290" s="9" t="str">
        <f>IFERROR(INDEX(T_CleanCustomers[Product],MATCH(B1290,T_CleanCustomers[Customer_ID],0)),"Unmatched")</f>
        <v>Fuel Card</v>
      </c>
      <c r="P1290" s="9" t="str">
        <f>IFERROR(INDEX(T_CleanCustomers[Customer_Segment],MATCH(B1290,T_CleanCustomers[Customer_ID],0)),"Unmatched")</f>
        <v>Enterprise</v>
      </c>
    </row>
    <row r="1291" spans="1:16" ht="15" customHeight="1" x14ac:dyDescent="0.2">
      <c r="A1291" s="9" t="s">
        <v>2629</v>
      </c>
      <c r="B1291" s="9" t="s">
        <v>1305</v>
      </c>
      <c r="C1291" s="9" t="b">
        <f>TRUE()</f>
        <v>1</v>
      </c>
      <c r="D1291" s="10">
        <v>45998</v>
      </c>
      <c r="E1291" s="10">
        <v>45992</v>
      </c>
      <c r="F1291" s="9" t="s">
        <v>1360</v>
      </c>
      <c r="G1291" s="11">
        <v>59148.67</v>
      </c>
      <c r="H1291" s="11">
        <v>0</v>
      </c>
      <c r="I1291" s="9" t="b">
        <f>TRUE()</f>
        <v>1</v>
      </c>
      <c r="J1291" s="9" t="s">
        <v>1408</v>
      </c>
      <c r="K1291" s="11">
        <v>0</v>
      </c>
      <c r="L1291" s="9" t="s">
        <v>20</v>
      </c>
      <c r="M1291" s="9" t="str">
        <f>IFERROR(INDEX(T_CleanCustomers[Sales_Rep_ID],MATCH(B1291,T_CleanCustomers[Customer_ID],0)),"Unmatched")</f>
        <v>REP001</v>
      </c>
      <c r="N1291" s="9" t="str">
        <f>IFERROR(INDEX(T_CleanCustomers[Channel],MATCH(B1291,T_CleanCustomers[Customer_ID],0)),"Unmatched")</f>
        <v>Direct Sales</v>
      </c>
      <c r="O1291" s="9" t="str">
        <f>IFERROR(INDEX(T_CleanCustomers[Product],MATCH(B1291,T_CleanCustomers[Customer_ID],0)),"Unmatched")</f>
        <v>Fuel Card</v>
      </c>
      <c r="P1291" s="9" t="str">
        <f>IFERROR(INDEX(T_CleanCustomers[Customer_Segment],MATCH(B1291,T_CleanCustomers[Customer_ID],0)),"Unmatched")</f>
        <v>Enterprise</v>
      </c>
    </row>
    <row r="1292" spans="1:16" ht="15" customHeight="1" x14ac:dyDescent="0.2">
      <c r="A1292" s="9" t="s">
        <v>2630</v>
      </c>
      <c r="B1292" s="9" t="s">
        <v>1305</v>
      </c>
      <c r="C1292" s="9" t="b">
        <f>TRUE()</f>
        <v>1</v>
      </c>
      <c r="D1292" s="10">
        <v>45992</v>
      </c>
      <c r="E1292" s="10">
        <v>45992</v>
      </c>
      <c r="F1292" s="9" t="s">
        <v>1360</v>
      </c>
      <c r="G1292" s="11">
        <v>28705.74</v>
      </c>
      <c r="H1292" s="11">
        <v>726.23</v>
      </c>
      <c r="I1292" s="9" t="b">
        <f>TRUE()</f>
        <v>1</v>
      </c>
      <c r="J1292" s="9" t="s">
        <v>1361</v>
      </c>
      <c r="K1292" s="11">
        <v>726.23</v>
      </c>
      <c r="L1292" s="9" t="s">
        <v>20</v>
      </c>
      <c r="M1292" s="9" t="str">
        <f>IFERROR(INDEX(T_CleanCustomers[Sales_Rep_ID],MATCH(B1292,T_CleanCustomers[Customer_ID],0)),"Unmatched")</f>
        <v>REP001</v>
      </c>
      <c r="N1292" s="9" t="str">
        <f>IFERROR(INDEX(T_CleanCustomers[Channel],MATCH(B1292,T_CleanCustomers[Customer_ID],0)),"Unmatched")</f>
        <v>Direct Sales</v>
      </c>
      <c r="O1292" s="9" t="str">
        <f>IFERROR(INDEX(T_CleanCustomers[Product],MATCH(B1292,T_CleanCustomers[Customer_ID],0)),"Unmatched")</f>
        <v>Fuel Card</v>
      </c>
      <c r="P1292" s="9" t="str">
        <f>IFERROR(INDEX(T_CleanCustomers[Customer_Segment],MATCH(B1292,T_CleanCustomers[Customer_ID],0)),"Unmatched")</f>
        <v>Enterprise</v>
      </c>
    </row>
    <row r="1293" spans="1:16" ht="15" customHeight="1" x14ac:dyDescent="0.2">
      <c r="A1293" s="9" t="s">
        <v>2631</v>
      </c>
      <c r="B1293" s="9" t="s">
        <v>1306</v>
      </c>
      <c r="C1293" s="9" t="b">
        <f>TRUE()</f>
        <v>1</v>
      </c>
      <c r="D1293" s="10">
        <v>45999</v>
      </c>
      <c r="E1293" s="10">
        <v>45992</v>
      </c>
      <c r="F1293" s="9" t="s">
        <v>1481</v>
      </c>
      <c r="G1293" s="11">
        <v>3420.9</v>
      </c>
      <c r="H1293" s="11">
        <v>81.53</v>
      </c>
      <c r="I1293" s="9" t="b">
        <f>TRUE()</f>
        <v>1</v>
      </c>
      <c r="J1293" s="9" t="s">
        <v>1361</v>
      </c>
      <c r="K1293" s="11">
        <v>81.53</v>
      </c>
      <c r="L1293" s="9" t="s">
        <v>21</v>
      </c>
      <c r="M1293" s="9" t="str">
        <f>IFERROR(INDEX(T_CleanCustomers[Sales_Rep_ID],MATCH(B1293,T_CleanCustomers[Customer_ID],0)),"Unmatched")</f>
        <v>REP007</v>
      </c>
      <c r="N1293" s="9" t="str">
        <f>IFERROR(INDEX(T_CleanCustomers[Channel],MATCH(B1293,T_CleanCustomers[Customer_ID],0)),"Unmatched")</f>
        <v>Direct Sales</v>
      </c>
      <c r="O1293" s="9" t="str">
        <f>IFERROR(INDEX(T_CleanCustomers[Product],MATCH(B1293,T_CleanCustomers[Customer_ID],0)),"Unmatched")</f>
        <v>Fleet Expense Card</v>
      </c>
      <c r="P1293" s="9" t="str">
        <f>IFERROR(INDEX(T_CleanCustomers[Customer_Segment],MATCH(B1293,T_CleanCustomers[Customer_ID],0)),"Unmatched")</f>
        <v>SME</v>
      </c>
    </row>
    <row r="1294" spans="1:16" ht="15" customHeight="1" x14ac:dyDescent="0.2">
      <c r="A1294" s="9" t="s">
        <v>2632</v>
      </c>
      <c r="B1294" s="9" t="s">
        <v>1306</v>
      </c>
      <c r="C1294" s="9" t="b">
        <f>TRUE()</f>
        <v>1</v>
      </c>
      <c r="D1294" s="10">
        <v>45997</v>
      </c>
      <c r="E1294" s="10">
        <v>45992</v>
      </c>
      <c r="F1294" s="9" t="s">
        <v>1481</v>
      </c>
      <c r="G1294" s="11">
        <v>3566.71</v>
      </c>
      <c r="H1294" s="11">
        <v>86.16</v>
      </c>
      <c r="I1294" s="9" t="b">
        <f>TRUE()</f>
        <v>1</v>
      </c>
      <c r="J1294" s="9" t="s">
        <v>1361</v>
      </c>
      <c r="K1294" s="11">
        <v>86.16</v>
      </c>
      <c r="L1294" s="9" t="s">
        <v>21</v>
      </c>
      <c r="M1294" s="9" t="str">
        <f>IFERROR(INDEX(T_CleanCustomers[Sales_Rep_ID],MATCH(B1294,T_CleanCustomers[Customer_ID],0)),"Unmatched")</f>
        <v>REP007</v>
      </c>
      <c r="N1294" s="9" t="str">
        <f>IFERROR(INDEX(T_CleanCustomers[Channel],MATCH(B1294,T_CleanCustomers[Customer_ID],0)),"Unmatched")</f>
        <v>Direct Sales</v>
      </c>
      <c r="O1294" s="9" t="str">
        <f>IFERROR(INDEX(T_CleanCustomers[Product],MATCH(B1294,T_CleanCustomers[Customer_ID],0)),"Unmatched")</f>
        <v>Fleet Expense Card</v>
      </c>
      <c r="P1294" s="9" t="str">
        <f>IFERROR(INDEX(T_CleanCustomers[Customer_Segment],MATCH(B1294,T_CleanCustomers[Customer_ID],0)),"Unmatched")</f>
        <v>SME</v>
      </c>
    </row>
    <row r="1295" spans="1:16" ht="15" customHeight="1" x14ac:dyDescent="0.2">
      <c r="A1295" s="9" t="s">
        <v>2633</v>
      </c>
      <c r="B1295" s="9" t="s">
        <v>1307</v>
      </c>
      <c r="C1295" s="9" t="b">
        <f>TRUE()</f>
        <v>1</v>
      </c>
      <c r="D1295" s="10">
        <v>45746</v>
      </c>
      <c r="E1295" s="10">
        <v>45717</v>
      </c>
      <c r="F1295" s="9" t="s">
        <v>1360</v>
      </c>
      <c r="G1295" s="11">
        <v>3626.96</v>
      </c>
      <c r="H1295" s="11">
        <v>78.58</v>
      </c>
      <c r="I1295" s="9" t="b">
        <f>TRUE()</f>
        <v>1</v>
      </c>
      <c r="J1295" s="9" t="s">
        <v>1361</v>
      </c>
      <c r="K1295" s="11">
        <v>78.58</v>
      </c>
      <c r="L1295" s="9" t="s">
        <v>18</v>
      </c>
      <c r="M1295" s="9" t="str">
        <f>IFERROR(INDEX(T_CleanCustomers[Sales_Rep_ID],MATCH(B1295,T_CleanCustomers[Customer_ID],0)),"Unmatched")</f>
        <v>REP012</v>
      </c>
      <c r="N1295" s="9" t="str">
        <f>IFERROR(INDEX(T_CleanCustomers[Channel],MATCH(B1295,T_CleanCustomers[Customer_ID],0)),"Unmatched")</f>
        <v>Digital</v>
      </c>
      <c r="O1295" s="9" t="str">
        <f>IFERROR(INDEX(T_CleanCustomers[Product],MATCH(B1295,T_CleanCustomers[Customer_ID],0)),"Unmatched")</f>
        <v>Fuel Card</v>
      </c>
      <c r="P1295" s="9" t="str">
        <f>IFERROR(INDEX(T_CleanCustomers[Customer_Segment],MATCH(B1295,T_CleanCustomers[Customer_ID],0)),"Unmatched")</f>
        <v>SME</v>
      </c>
    </row>
    <row r="1296" spans="1:16" ht="15" customHeight="1" x14ac:dyDescent="0.2">
      <c r="A1296" s="9" t="s">
        <v>2634</v>
      </c>
      <c r="B1296" s="9" t="s">
        <v>1307</v>
      </c>
      <c r="C1296" s="9" t="b">
        <f>TRUE()</f>
        <v>1</v>
      </c>
      <c r="D1296" s="10">
        <v>45743</v>
      </c>
      <c r="E1296" s="10">
        <v>45717</v>
      </c>
      <c r="F1296" s="9" t="s">
        <v>1360</v>
      </c>
      <c r="G1296" s="11">
        <v>3179.96</v>
      </c>
      <c r="H1296" s="11">
        <v>90.19</v>
      </c>
      <c r="I1296" s="9" t="b">
        <f>TRUE()</f>
        <v>1</v>
      </c>
      <c r="J1296" s="9" t="s">
        <v>1361</v>
      </c>
      <c r="K1296" s="11">
        <v>90.19</v>
      </c>
      <c r="L1296" s="9" t="s">
        <v>18</v>
      </c>
      <c r="M1296" s="9" t="str">
        <f>IFERROR(INDEX(T_CleanCustomers[Sales_Rep_ID],MATCH(B1296,T_CleanCustomers[Customer_ID],0)),"Unmatched")</f>
        <v>REP012</v>
      </c>
      <c r="N1296" s="9" t="str">
        <f>IFERROR(INDEX(T_CleanCustomers[Channel],MATCH(B1296,T_CleanCustomers[Customer_ID],0)),"Unmatched")</f>
        <v>Digital</v>
      </c>
      <c r="O1296" s="9" t="str">
        <f>IFERROR(INDEX(T_CleanCustomers[Product],MATCH(B1296,T_CleanCustomers[Customer_ID],0)),"Unmatched")</f>
        <v>Fuel Card</v>
      </c>
      <c r="P1296" s="9" t="str">
        <f>IFERROR(INDEX(T_CleanCustomers[Customer_Segment],MATCH(B1296,T_CleanCustomers[Customer_ID],0)),"Unmatched")</f>
        <v>SME</v>
      </c>
    </row>
    <row r="1297" spans="1:16" ht="15" customHeight="1" x14ac:dyDescent="0.2">
      <c r="A1297" s="9" t="s">
        <v>2635</v>
      </c>
      <c r="B1297" s="9" t="s">
        <v>1307</v>
      </c>
      <c r="C1297" s="9" t="b">
        <f>TRUE()</f>
        <v>1</v>
      </c>
      <c r="D1297" s="10">
        <v>45753</v>
      </c>
      <c r="E1297" s="10">
        <v>45748</v>
      </c>
      <c r="F1297" s="9" t="s">
        <v>1360</v>
      </c>
      <c r="G1297" s="11">
        <v>1276.93</v>
      </c>
      <c r="H1297" s="11">
        <v>28.63</v>
      </c>
      <c r="I1297" s="9" t="b">
        <f>TRUE()</f>
        <v>1</v>
      </c>
      <c r="J1297" s="9" t="s">
        <v>1361</v>
      </c>
      <c r="K1297" s="11">
        <v>28.63</v>
      </c>
      <c r="L1297" s="9" t="s">
        <v>18</v>
      </c>
      <c r="M1297" s="9" t="str">
        <f>IFERROR(INDEX(T_CleanCustomers[Sales_Rep_ID],MATCH(B1297,T_CleanCustomers[Customer_ID],0)),"Unmatched")</f>
        <v>REP012</v>
      </c>
      <c r="N1297" s="9" t="str">
        <f>IFERROR(INDEX(T_CleanCustomers[Channel],MATCH(B1297,T_CleanCustomers[Customer_ID],0)),"Unmatched")</f>
        <v>Digital</v>
      </c>
      <c r="O1297" s="9" t="str">
        <f>IFERROR(INDEX(T_CleanCustomers[Product],MATCH(B1297,T_CleanCustomers[Customer_ID],0)),"Unmatched")</f>
        <v>Fuel Card</v>
      </c>
      <c r="P1297" s="9" t="str">
        <f>IFERROR(INDEX(T_CleanCustomers[Customer_Segment],MATCH(B1297,T_CleanCustomers[Customer_ID],0)),"Unmatched")</f>
        <v>SME</v>
      </c>
    </row>
    <row r="1298" spans="1:16" ht="15" customHeight="1" x14ac:dyDescent="0.2">
      <c r="A1298" s="9" t="s">
        <v>2636</v>
      </c>
      <c r="B1298" s="9" t="s">
        <v>1307</v>
      </c>
      <c r="C1298" s="9" t="b">
        <f>TRUE()</f>
        <v>1</v>
      </c>
      <c r="D1298" s="10">
        <v>45754</v>
      </c>
      <c r="E1298" s="10">
        <v>45748</v>
      </c>
      <c r="F1298" s="9" t="s">
        <v>1360</v>
      </c>
      <c r="G1298" s="11">
        <v>4690.2700000000004</v>
      </c>
      <c r="H1298" s="11">
        <v>113.95</v>
      </c>
      <c r="I1298" s="9" t="b">
        <f>TRUE()</f>
        <v>1</v>
      </c>
      <c r="J1298" s="9" t="s">
        <v>1361</v>
      </c>
      <c r="K1298" s="11">
        <v>113.95</v>
      </c>
      <c r="L1298" s="9" t="s">
        <v>18</v>
      </c>
      <c r="M1298" s="9" t="str">
        <f>IFERROR(INDEX(T_CleanCustomers[Sales_Rep_ID],MATCH(B1298,T_CleanCustomers[Customer_ID],0)),"Unmatched")</f>
        <v>REP012</v>
      </c>
      <c r="N1298" s="9" t="str">
        <f>IFERROR(INDEX(T_CleanCustomers[Channel],MATCH(B1298,T_CleanCustomers[Customer_ID],0)),"Unmatched")</f>
        <v>Digital</v>
      </c>
      <c r="O1298" s="9" t="str">
        <f>IFERROR(INDEX(T_CleanCustomers[Product],MATCH(B1298,T_CleanCustomers[Customer_ID],0)),"Unmatched")</f>
        <v>Fuel Card</v>
      </c>
      <c r="P1298" s="9" t="str">
        <f>IFERROR(INDEX(T_CleanCustomers[Customer_Segment],MATCH(B1298,T_CleanCustomers[Customer_ID],0)),"Unmatched")</f>
        <v>SME</v>
      </c>
    </row>
    <row r="1299" spans="1:16" ht="15" customHeight="1" x14ac:dyDescent="0.2">
      <c r="A1299" s="9" t="s">
        <v>2637</v>
      </c>
      <c r="B1299" s="9" t="s">
        <v>1307</v>
      </c>
      <c r="C1299" s="9" t="b">
        <f>TRUE()</f>
        <v>1</v>
      </c>
      <c r="D1299" s="10">
        <v>45796</v>
      </c>
      <c r="E1299" s="10">
        <v>45778</v>
      </c>
      <c r="F1299" s="9" t="s">
        <v>1360</v>
      </c>
      <c r="G1299" s="11">
        <v>2248.11</v>
      </c>
      <c r="H1299" s="11">
        <v>55.13</v>
      </c>
      <c r="I1299" s="9" t="b">
        <f>TRUE()</f>
        <v>1</v>
      </c>
      <c r="J1299" s="9" t="s">
        <v>1361</v>
      </c>
      <c r="K1299" s="11">
        <v>55.13</v>
      </c>
      <c r="L1299" s="9" t="s">
        <v>18</v>
      </c>
      <c r="M1299" s="9" t="str">
        <f>IFERROR(INDEX(T_CleanCustomers[Sales_Rep_ID],MATCH(B1299,T_CleanCustomers[Customer_ID],0)),"Unmatched")</f>
        <v>REP012</v>
      </c>
      <c r="N1299" s="9" t="str">
        <f>IFERROR(INDEX(T_CleanCustomers[Channel],MATCH(B1299,T_CleanCustomers[Customer_ID],0)),"Unmatched")</f>
        <v>Digital</v>
      </c>
      <c r="O1299" s="9" t="str">
        <f>IFERROR(INDEX(T_CleanCustomers[Product],MATCH(B1299,T_CleanCustomers[Customer_ID],0)),"Unmatched")</f>
        <v>Fuel Card</v>
      </c>
      <c r="P1299" s="9" t="str">
        <f>IFERROR(INDEX(T_CleanCustomers[Customer_Segment],MATCH(B1299,T_CleanCustomers[Customer_ID],0)),"Unmatched")</f>
        <v>SME</v>
      </c>
    </row>
    <row r="1300" spans="1:16" ht="15" customHeight="1" x14ac:dyDescent="0.2">
      <c r="A1300" s="9" t="s">
        <v>2638</v>
      </c>
      <c r="B1300" s="9" t="s">
        <v>1307</v>
      </c>
      <c r="C1300" s="9" t="b">
        <f>TRUE()</f>
        <v>1</v>
      </c>
      <c r="D1300" s="10">
        <v>45834</v>
      </c>
      <c r="E1300" s="10">
        <v>45809</v>
      </c>
      <c r="F1300" s="9" t="s">
        <v>1360</v>
      </c>
      <c r="G1300" s="11">
        <v>4570.08</v>
      </c>
      <c r="H1300" s="11">
        <v>127.96</v>
      </c>
      <c r="I1300" s="9" t="b">
        <f>TRUE()</f>
        <v>1</v>
      </c>
      <c r="J1300" s="9" t="s">
        <v>1361</v>
      </c>
      <c r="K1300" s="11">
        <v>127.96</v>
      </c>
      <c r="L1300" s="9" t="s">
        <v>18</v>
      </c>
      <c r="M1300" s="9" t="str">
        <f>IFERROR(INDEX(T_CleanCustomers[Sales_Rep_ID],MATCH(B1300,T_CleanCustomers[Customer_ID],0)),"Unmatched")</f>
        <v>REP012</v>
      </c>
      <c r="N1300" s="9" t="str">
        <f>IFERROR(INDEX(T_CleanCustomers[Channel],MATCH(B1300,T_CleanCustomers[Customer_ID],0)),"Unmatched")</f>
        <v>Digital</v>
      </c>
      <c r="O1300" s="9" t="str">
        <f>IFERROR(INDEX(T_CleanCustomers[Product],MATCH(B1300,T_CleanCustomers[Customer_ID],0)),"Unmatched")</f>
        <v>Fuel Card</v>
      </c>
      <c r="P1300" s="9" t="str">
        <f>IFERROR(INDEX(T_CleanCustomers[Customer_Segment],MATCH(B1300,T_CleanCustomers[Customer_ID],0)),"Unmatched")</f>
        <v>SME</v>
      </c>
    </row>
    <row r="1301" spans="1:16" ht="15" customHeight="1" x14ac:dyDescent="0.2">
      <c r="A1301" s="9" t="s">
        <v>2639</v>
      </c>
      <c r="B1301" s="9" t="s">
        <v>1307</v>
      </c>
      <c r="C1301" s="9" t="b">
        <f>TRUE()</f>
        <v>1</v>
      </c>
      <c r="D1301" s="10">
        <v>45863</v>
      </c>
      <c r="E1301" s="10">
        <v>45839</v>
      </c>
      <c r="F1301" s="9" t="s">
        <v>1360</v>
      </c>
      <c r="G1301" s="11">
        <v>3252.7</v>
      </c>
      <c r="H1301" s="11">
        <v>72.45</v>
      </c>
      <c r="I1301" s="9" t="b">
        <f>TRUE()</f>
        <v>1</v>
      </c>
      <c r="J1301" s="9" t="s">
        <v>1361</v>
      </c>
      <c r="K1301" s="11">
        <v>72.45</v>
      </c>
      <c r="L1301" s="9" t="s">
        <v>18</v>
      </c>
      <c r="M1301" s="9" t="str">
        <f>IFERROR(INDEX(T_CleanCustomers[Sales_Rep_ID],MATCH(B1301,T_CleanCustomers[Customer_ID],0)),"Unmatched")</f>
        <v>REP012</v>
      </c>
      <c r="N1301" s="9" t="str">
        <f>IFERROR(INDEX(T_CleanCustomers[Channel],MATCH(B1301,T_CleanCustomers[Customer_ID],0)),"Unmatched")</f>
        <v>Digital</v>
      </c>
      <c r="O1301" s="9" t="str">
        <f>IFERROR(INDEX(T_CleanCustomers[Product],MATCH(B1301,T_CleanCustomers[Customer_ID],0)),"Unmatched")</f>
        <v>Fuel Card</v>
      </c>
      <c r="P1301" s="9" t="str">
        <f>IFERROR(INDEX(T_CleanCustomers[Customer_Segment],MATCH(B1301,T_CleanCustomers[Customer_ID],0)),"Unmatched")</f>
        <v>SME</v>
      </c>
    </row>
    <row r="1302" spans="1:16" ht="15" customHeight="1" x14ac:dyDescent="0.2">
      <c r="A1302" s="9" t="s">
        <v>2640</v>
      </c>
      <c r="B1302" s="9" t="s">
        <v>1307</v>
      </c>
      <c r="C1302" s="9" t="b">
        <f>TRUE()</f>
        <v>1</v>
      </c>
      <c r="D1302" s="10">
        <v>45858</v>
      </c>
      <c r="E1302" s="10">
        <v>45839</v>
      </c>
      <c r="F1302" s="9" t="s">
        <v>1360</v>
      </c>
      <c r="G1302" s="11">
        <v>4586.1899999999996</v>
      </c>
      <c r="H1302" s="11">
        <v>128.55000000000001</v>
      </c>
      <c r="I1302" s="9" t="b">
        <f>TRUE()</f>
        <v>1</v>
      </c>
      <c r="J1302" s="9" t="s">
        <v>1361</v>
      </c>
      <c r="K1302" s="11">
        <v>128.55000000000001</v>
      </c>
      <c r="L1302" s="9" t="s">
        <v>18</v>
      </c>
      <c r="M1302" s="9" t="str">
        <f>IFERROR(INDEX(T_CleanCustomers[Sales_Rep_ID],MATCH(B1302,T_CleanCustomers[Customer_ID],0)),"Unmatched")</f>
        <v>REP012</v>
      </c>
      <c r="N1302" s="9" t="str">
        <f>IFERROR(INDEX(T_CleanCustomers[Channel],MATCH(B1302,T_CleanCustomers[Customer_ID],0)),"Unmatched")</f>
        <v>Digital</v>
      </c>
      <c r="O1302" s="9" t="str">
        <f>IFERROR(INDEX(T_CleanCustomers[Product],MATCH(B1302,T_CleanCustomers[Customer_ID],0)),"Unmatched")</f>
        <v>Fuel Card</v>
      </c>
      <c r="P1302" s="9" t="str">
        <f>IFERROR(INDEX(T_CleanCustomers[Customer_Segment],MATCH(B1302,T_CleanCustomers[Customer_ID],0)),"Unmatched")</f>
        <v>SME</v>
      </c>
    </row>
    <row r="1303" spans="1:16" ht="15" customHeight="1" x14ac:dyDescent="0.2">
      <c r="A1303" s="9" t="s">
        <v>2641</v>
      </c>
      <c r="B1303" s="9" t="s">
        <v>1307</v>
      </c>
      <c r="C1303" s="9" t="b">
        <f>TRUE()</f>
        <v>1</v>
      </c>
      <c r="D1303" s="10">
        <v>45842</v>
      </c>
      <c r="E1303" s="10">
        <v>45839</v>
      </c>
      <c r="F1303" s="9" t="s">
        <v>1360</v>
      </c>
      <c r="G1303" s="11">
        <v>1759.65</v>
      </c>
      <c r="H1303" s="11">
        <v>39.93</v>
      </c>
      <c r="I1303" s="9" t="b">
        <f>TRUE()</f>
        <v>1</v>
      </c>
      <c r="J1303" s="9" t="s">
        <v>1361</v>
      </c>
      <c r="K1303" s="11">
        <v>39.93</v>
      </c>
      <c r="L1303" s="9" t="s">
        <v>18</v>
      </c>
      <c r="M1303" s="9" t="str">
        <f>IFERROR(INDEX(T_CleanCustomers[Sales_Rep_ID],MATCH(B1303,T_CleanCustomers[Customer_ID],0)),"Unmatched")</f>
        <v>REP012</v>
      </c>
      <c r="N1303" s="9" t="str">
        <f>IFERROR(INDEX(T_CleanCustomers[Channel],MATCH(B1303,T_CleanCustomers[Customer_ID],0)),"Unmatched")</f>
        <v>Digital</v>
      </c>
      <c r="O1303" s="9" t="str">
        <f>IFERROR(INDEX(T_CleanCustomers[Product],MATCH(B1303,T_CleanCustomers[Customer_ID],0)),"Unmatched")</f>
        <v>Fuel Card</v>
      </c>
      <c r="P1303" s="9" t="str">
        <f>IFERROR(INDEX(T_CleanCustomers[Customer_Segment],MATCH(B1303,T_CleanCustomers[Customer_ID],0)),"Unmatched")</f>
        <v>SME</v>
      </c>
    </row>
    <row r="1304" spans="1:16" ht="15" customHeight="1" x14ac:dyDescent="0.2">
      <c r="A1304" s="9" t="s">
        <v>2642</v>
      </c>
      <c r="B1304" s="9" t="s">
        <v>1307</v>
      </c>
      <c r="C1304" s="9" t="b">
        <f>TRUE()</f>
        <v>1</v>
      </c>
      <c r="D1304" s="10">
        <v>45870</v>
      </c>
      <c r="E1304" s="10">
        <v>45870</v>
      </c>
      <c r="F1304" s="9" t="s">
        <v>1360</v>
      </c>
      <c r="G1304" s="11">
        <v>1878.84</v>
      </c>
      <c r="H1304" s="11">
        <v>41.11</v>
      </c>
      <c r="I1304" s="9" t="b">
        <f>TRUE()</f>
        <v>1</v>
      </c>
      <c r="J1304" s="9" t="s">
        <v>1361</v>
      </c>
      <c r="K1304" s="11">
        <v>41.11</v>
      </c>
      <c r="L1304" s="9" t="s">
        <v>18</v>
      </c>
      <c r="M1304" s="9" t="str">
        <f>IFERROR(INDEX(T_CleanCustomers[Sales_Rep_ID],MATCH(B1304,T_CleanCustomers[Customer_ID],0)),"Unmatched")</f>
        <v>REP012</v>
      </c>
      <c r="N1304" s="9" t="str">
        <f>IFERROR(INDEX(T_CleanCustomers[Channel],MATCH(B1304,T_CleanCustomers[Customer_ID],0)),"Unmatched")</f>
        <v>Digital</v>
      </c>
      <c r="O1304" s="9" t="str">
        <f>IFERROR(INDEX(T_CleanCustomers[Product],MATCH(B1304,T_CleanCustomers[Customer_ID],0)),"Unmatched")</f>
        <v>Fuel Card</v>
      </c>
      <c r="P1304" s="9" t="str">
        <f>IFERROR(INDEX(T_CleanCustomers[Customer_Segment],MATCH(B1304,T_CleanCustomers[Customer_ID],0)),"Unmatched")</f>
        <v>SME</v>
      </c>
    </row>
    <row r="1305" spans="1:16" ht="15" customHeight="1" x14ac:dyDescent="0.2">
      <c r="A1305" s="9" t="s">
        <v>2643</v>
      </c>
      <c r="B1305" s="9" t="s">
        <v>1307</v>
      </c>
      <c r="C1305" s="9" t="b">
        <f>TRUE()</f>
        <v>1</v>
      </c>
      <c r="D1305" s="10">
        <v>45888</v>
      </c>
      <c r="E1305" s="10">
        <v>45870</v>
      </c>
      <c r="F1305" s="9" t="s">
        <v>1360</v>
      </c>
      <c r="G1305" s="11">
        <v>2760.84</v>
      </c>
      <c r="H1305" s="11">
        <v>61.76</v>
      </c>
      <c r="I1305" s="9" t="b">
        <f>TRUE()</f>
        <v>1</v>
      </c>
      <c r="J1305" s="9" t="s">
        <v>1361</v>
      </c>
      <c r="K1305" s="11">
        <v>61.76</v>
      </c>
      <c r="L1305" s="9" t="s">
        <v>18</v>
      </c>
      <c r="M1305" s="9" t="str">
        <f>IFERROR(INDEX(T_CleanCustomers[Sales_Rep_ID],MATCH(B1305,T_CleanCustomers[Customer_ID],0)),"Unmatched")</f>
        <v>REP012</v>
      </c>
      <c r="N1305" s="9" t="str">
        <f>IFERROR(INDEX(T_CleanCustomers[Channel],MATCH(B1305,T_CleanCustomers[Customer_ID],0)),"Unmatched")</f>
        <v>Digital</v>
      </c>
      <c r="O1305" s="9" t="str">
        <f>IFERROR(INDEX(T_CleanCustomers[Product],MATCH(B1305,T_CleanCustomers[Customer_ID],0)),"Unmatched")</f>
        <v>Fuel Card</v>
      </c>
      <c r="P1305" s="9" t="str">
        <f>IFERROR(INDEX(T_CleanCustomers[Customer_Segment],MATCH(B1305,T_CleanCustomers[Customer_ID],0)),"Unmatched")</f>
        <v>SME</v>
      </c>
    </row>
    <row r="1306" spans="1:16" ht="15" customHeight="1" x14ac:dyDescent="0.2">
      <c r="A1306" s="9" t="s">
        <v>2644</v>
      </c>
      <c r="B1306" s="9" t="s">
        <v>1307</v>
      </c>
      <c r="C1306" s="9" t="b">
        <f>TRUE()</f>
        <v>1</v>
      </c>
      <c r="D1306" s="10">
        <v>45891</v>
      </c>
      <c r="E1306" s="10">
        <v>45870</v>
      </c>
      <c r="F1306" s="9" t="s">
        <v>1360</v>
      </c>
      <c r="G1306" s="11">
        <v>3077.09</v>
      </c>
      <c r="H1306" s="11">
        <v>74.58</v>
      </c>
      <c r="I1306" s="9" t="b">
        <f>TRUE()</f>
        <v>1</v>
      </c>
      <c r="J1306" s="9" t="s">
        <v>1361</v>
      </c>
      <c r="K1306" s="11">
        <v>74.58</v>
      </c>
      <c r="L1306" s="9" t="s">
        <v>18</v>
      </c>
      <c r="M1306" s="9" t="str">
        <f>IFERROR(INDEX(T_CleanCustomers[Sales_Rep_ID],MATCH(B1306,T_CleanCustomers[Customer_ID],0)),"Unmatched")</f>
        <v>REP012</v>
      </c>
      <c r="N1306" s="9" t="str">
        <f>IFERROR(INDEX(T_CleanCustomers[Channel],MATCH(B1306,T_CleanCustomers[Customer_ID],0)),"Unmatched")</f>
        <v>Digital</v>
      </c>
      <c r="O1306" s="9" t="str">
        <f>IFERROR(INDEX(T_CleanCustomers[Product],MATCH(B1306,T_CleanCustomers[Customer_ID],0)),"Unmatched")</f>
        <v>Fuel Card</v>
      </c>
      <c r="P1306" s="9" t="str">
        <f>IFERROR(INDEX(T_CleanCustomers[Customer_Segment],MATCH(B1306,T_CleanCustomers[Customer_ID],0)),"Unmatched")</f>
        <v>SME</v>
      </c>
    </row>
    <row r="1307" spans="1:16" ht="15" customHeight="1" x14ac:dyDescent="0.2">
      <c r="A1307" s="9" t="s">
        <v>2645</v>
      </c>
      <c r="B1307" s="9" t="s">
        <v>1307</v>
      </c>
      <c r="C1307" s="9" t="b">
        <f>TRUE()</f>
        <v>1</v>
      </c>
      <c r="D1307" s="10">
        <v>45914</v>
      </c>
      <c r="E1307" s="10">
        <v>45901</v>
      </c>
      <c r="F1307" s="9" t="s">
        <v>1360</v>
      </c>
      <c r="G1307" s="11">
        <v>3731.8</v>
      </c>
      <c r="H1307" s="11">
        <v>87.84</v>
      </c>
      <c r="I1307" s="9" t="b">
        <f>TRUE()</f>
        <v>1</v>
      </c>
      <c r="J1307" s="9" t="s">
        <v>1361</v>
      </c>
      <c r="K1307" s="11">
        <v>87.84</v>
      </c>
      <c r="L1307" s="9" t="s">
        <v>18</v>
      </c>
      <c r="M1307" s="9" t="str">
        <f>IFERROR(INDEX(T_CleanCustomers[Sales_Rep_ID],MATCH(B1307,T_CleanCustomers[Customer_ID],0)),"Unmatched")</f>
        <v>REP012</v>
      </c>
      <c r="N1307" s="9" t="str">
        <f>IFERROR(INDEX(T_CleanCustomers[Channel],MATCH(B1307,T_CleanCustomers[Customer_ID],0)),"Unmatched")</f>
        <v>Digital</v>
      </c>
      <c r="O1307" s="9" t="str">
        <f>IFERROR(INDEX(T_CleanCustomers[Product],MATCH(B1307,T_CleanCustomers[Customer_ID],0)),"Unmatched")</f>
        <v>Fuel Card</v>
      </c>
      <c r="P1307" s="9" t="str">
        <f>IFERROR(INDEX(T_CleanCustomers[Customer_Segment],MATCH(B1307,T_CleanCustomers[Customer_ID],0)),"Unmatched")</f>
        <v>SME</v>
      </c>
    </row>
    <row r="1308" spans="1:16" ht="15" customHeight="1" x14ac:dyDescent="0.2">
      <c r="A1308" s="9" t="s">
        <v>2646</v>
      </c>
      <c r="B1308" s="9" t="s">
        <v>1307</v>
      </c>
      <c r="C1308" s="9" t="b">
        <f>TRUE()</f>
        <v>1</v>
      </c>
      <c r="D1308" s="10">
        <v>45940</v>
      </c>
      <c r="E1308" s="10">
        <v>45931</v>
      </c>
      <c r="F1308" s="9" t="s">
        <v>1360</v>
      </c>
      <c r="G1308" s="11">
        <v>2730.36</v>
      </c>
      <c r="H1308" s="11">
        <v>69.89</v>
      </c>
      <c r="I1308" s="9" t="b">
        <f>TRUE()</f>
        <v>1</v>
      </c>
      <c r="J1308" s="9" t="s">
        <v>1361</v>
      </c>
      <c r="K1308" s="11">
        <v>69.89</v>
      </c>
      <c r="L1308" s="9" t="s">
        <v>18</v>
      </c>
      <c r="M1308" s="9" t="str">
        <f>IFERROR(INDEX(T_CleanCustomers[Sales_Rep_ID],MATCH(B1308,T_CleanCustomers[Customer_ID],0)),"Unmatched")</f>
        <v>REP012</v>
      </c>
      <c r="N1308" s="9" t="str">
        <f>IFERROR(INDEX(T_CleanCustomers[Channel],MATCH(B1308,T_CleanCustomers[Customer_ID],0)),"Unmatched")</f>
        <v>Digital</v>
      </c>
      <c r="O1308" s="9" t="str">
        <f>IFERROR(INDEX(T_CleanCustomers[Product],MATCH(B1308,T_CleanCustomers[Customer_ID],0)),"Unmatched")</f>
        <v>Fuel Card</v>
      </c>
      <c r="P1308" s="9" t="str">
        <f>IFERROR(INDEX(T_CleanCustomers[Customer_Segment],MATCH(B1308,T_CleanCustomers[Customer_ID],0)),"Unmatched")</f>
        <v>SME</v>
      </c>
    </row>
    <row r="1309" spans="1:16" ht="15" customHeight="1" x14ac:dyDescent="0.2">
      <c r="A1309" s="9" t="s">
        <v>2647</v>
      </c>
      <c r="B1309" s="9" t="s">
        <v>1307</v>
      </c>
      <c r="C1309" s="9" t="b">
        <f>TRUE()</f>
        <v>1</v>
      </c>
      <c r="D1309" s="10">
        <v>45948</v>
      </c>
      <c r="E1309" s="10">
        <v>45931</v>
      </c>
      <c r="F1309" s="9" t="s">
        <v>1360</v>
      </c>
      <c r="G1309" s="11">
        <v>2650.78</v>
      </c>
      <c r="H1309" s="11">
        <v>64.8</v>
      </c>
      <c r="I1309" s="9" t="b">
        <f>TRUE()</f>
        <v>1</v>
      </c>
      <c r="J1309" s="9" t="s">
        <v>1361</v>
      </c>
      <c r="K1309" s="11">
        <v>64.8</v>
      </c>
      <c r="L1309" s="9" t="s">
        <v>18</v>
      </c>
      <c r="M1309" s="9" t="str">
        <f>IFERROR(INDEX(T_CleanCustomers[Sales_Rep_ID],MATCH(B1309,T_CleanCustomers[Customer_ID],0)),"Unmatched")</f>
        <v>REP012</v>
      </c>
      <c r="N1309" s="9" t="str">
        <f>IFERROR(INDEX(T_CleanCustomers[Channel],MATCH(B1309,T_CleanCustomers[Customer_ID],0)),"Unmatched")</f>
        <v>Digital</v>
      </c>
      <c r="O1309" s="9" t="str">
        <f>IFERROR(INDEX(T_CleanCustomers[Product],MATCH(B1309,T_CleanCustomers[Customer_ID],0)),"Unmatched")</f>
        <v>Fuel Card</v>
      </c>
      <c r="P1309" s="9" t="str">
        <f>IFERROR(INDEX(T_CleanCustomers[Customer_Segment],MATCH(B1309,T_CleanCustomers[Customer_ID],0)),"Unmatched")</f>
        <v>SME</v>
      </c>
    </row>
    <row r="1310" spans="1:16" ht="15" customHeight="1" x14ac:dyDescent="0.2">
      <c r="A1310" s="9" t="s">
        <v>2648</v>
      </c>
      <c r="B1310" s="9" t="s">
        <v>1307</v>
      </c>
      <c r="C1310" s="9" t="b">
        <f>TRUE()</f>
        <v>1</v>
      </c>
      <c r="D1310" s="10">
        <v>45989</v>
      </c>
      <c r="E1310" s="10">
        <v>45962</v>
      </c>
      <c r="F1310" s="9" t="s">
        <v>1360</v>
      </c>
      <c r="G1310" s="11">
        <v>3729.5</v>
      </c>
      <c r="H1310" s="11">
        <v>85.1</v>
      </c>
      <c r="I1310" s="9" t="b">
        <f>TRUE()</f>
        <v>1</v>
      </c>
      <c r="J1310" s="9" t="s">
        <v>1361</v>
      </c>
      <c r="K1310" s="11">
        <v>85.1</v>
      </c>
      <c r="L1310" s="9" t="s">
        <v>18</v>
      </c>
      <c r="M1310" s="9" t="str">
        <f>IFERROR(INDEX(T_CleanCustomers[Sales_Rep_ID],MATCH(B1310,T_CleanCustomers[Customer_ID],0)),"Unmatched")</f>
        <v>REP012</v>
      </c>
      <c r="N1310" s="9" t="str">
        <f>IFERROR(INDEX(T_CleanCustomers[Channel],MATCH(B1310,T_CleanCustomers[Customer_ID],0)),"Unmatched")</f>
        <v>Digital</v>
      </c>
      <c r="O1310" s="9" t="str">
        <f>IFERROR(INDEX(T_CleanCustomers[Product],MATCH(B1310,T_CleanCustomers[Customer_ID],0)),"Unmatched")</f>
        <v>Fuel Card</v>
      </c>
      <c r="P1310" s="9" t="str">
        <f>IFERROR(INDEX(T_CleanCustomers[Customer_Segment],MATCH(B1310,T_CleanCustomers[Customer_ID],0)),"Unmatched")</f>
        <v>SME</v>
      </c>
    </row>
    <row r="1311" spans="1:16" ht="15" customHeight="1" x14ac:dyDescent="0.2">
      <c r="A1311" s="9" t="s">
        <v>2649</v>
      </c>
      <c r="B1311" s="9" t="s">
        <v>1307</v>
      </c>
      <c r="C1311" s="9" t="b">
        <f>TRUE()</f>
        <v>1</v>
      </c>
      <c r="D1311" s="10">
        <v>45993</v>
      </c>
      <c r="E1311" s="10">
        <v>45992</v>
      </c>
      <c r="F1311" s="9" t="s">
        <v>1360</v>
      </c>
      <c r="G1311" s="11">
        <v>4199.84</v>
      </c>
      <c r="H1311" s="11">
        <v>94.15</v>
      </c>
      <c r="I1311" s="9" t="b">
        <f>TRUE()</f>
        <v>1</v>
      </c>
      <c r="J1311" s="9" t="s">
        <v>1361</v>
      </c>
      <c r="K1311" s="11">
        <v>94.15</v>
      </c>
      <c r="L1311" s="9" t="s">
        <v>18</v>
      </c>
      <c r="M1311" s="9" t="str">
        <f>IFERROR(INDEX(T_CleanCustomers[Sales_Rep_ID],MATCH(B1311,T_CleanCustomers[Customer_ID],0)),"Unmatched")</f>
        <v>REP012</v>
      </c>
      <c r="N1311" s="9" t="str">
        <f>IFERROR(INDEX(T_CleanCustomers[Channel],MATCH(B1311,T_CleanCustomers[Customer_ID],0)),"Unmatched")</f>
        <v>Digital</v>
      </c>
      <c r="O1311" s="9" t="str">
        <f>IFERROR(INDEX(T_CleanCustomers[Product],MATCH(B1311,T_CleanCustomers[Customer_ID],0)),"Unmatched")</f>
        <v>Fuel Card</v>
      </c>
      <c r="P1311" s="9" t="str">
        <f>IFERROR(INDEX(T_CleanCustomers[Customer_Segment],MATCH(B1311,T_CleanCustomers[Customer_ID],0)),"Unmatched")</f>
        <v>SME</v>
      </c>
    </row>
    <row r="1312" spans="1:16" ht="15" customHeight="1" x14ac:dyDescent="0.2">
      <c r="A1312" s="9" t="s">
        <v>2650</v>
      </c>
      <c r="B1312" s="9" t="s">
        <v>1308</v>
      </c>
      <c r="C1312" s="9" t="b">
        <f>TRUE()</f>
        <v>1</v>
      </c>
      <c r="D1312" s="10">
        <v>45991</v>
      </c>
      <c r="E1312" s="10">
        <v>45962</v>
      </c>
      <c r="F1312" s="9" t="s">
        <v>1360</v>
      </c>
      <c r="G1312" s="11">
        <v>10082.200000000001</v>
      </c>
      <c r="H1312" s="11">
        <v>286.42</v>
      </c>
      <c r="I1312" s="9" t="b">
        <f>TRUE()</f>
        <v>1</v>
      </c>
      <c r="J1312" s="9" t="s">
        <v>1361</v>
      </c>
      <c r="K1312" s="11">
        <v>286.42</v>
      </c>
      <c r="L1312" s="9" t="s">
        <v>21</v>
      </c>
      <c r="M1312" s="9" t="str">
        <f>IFERROR(INDEX(T_CleanCustomers[Sales_Rep_ID],MATCH(B1312,T_CleanCustomers[Customer_ID],0)),"Unmatched")</f>
        <v>REP999</v>
      </c>
      <c r="N1312" s="9" t="str">
        <f>IFERROR(INDEX(T_CleanCustomers[Channel],MATCH(B1312,T_CleanCustomers[Customer_ID],0)),"Unmatched")</f>
        <v>Direct Sales</v>
      </c>
      <c r="O1312" s="9" t="str">
        <f>IFERROR(INDEX(T_CleanCustomers[Product],MATCH(B1312,T_CleanCustomers[Customer_ID],0)),"Unmatched")</f>
        <v>Fuel Card</v>
      </c>
      <c r="P1312" s="9" t="str">
        <f>IFERROR(INDEX(T_CleanCustomers[Customer_Segment],MATCH(B1312,T_CleanCustomers[Customer_ID],0)),"Unmatched")</f>
        <v>Mid-Market</v>
      </c>
    </row>
    <row r="1313" spans="1:16" ht="15" customHeight="1" x14ac:dyDescent="0.2">
      <c r="A1313" s="9" t="s">
        <v>2651</v>
      </c>
      <c r="B1313" s="9" t="s">
        <v>1308</v>
      </c>
      <c r="C1313" s="9" t="b">
        <f>TRUE()</f>
        <v>1</v>
      </c>
      <c r="D1313" s="10">
        <v>45988</v>
      </c>
      <c r="E1313" s="10">
        <v>45962</v>
      </c>
      <c r="F1313" s="9" t="s">
        <v>1360</v>
      </c>
      <c r="G1313" s="11">
        <v>8166.65</v>
      </c>
      <c r="H1313" s="11">
        <v>202.11</v>
      </c>
      <c r="I1313" s="9" t="b">
        <f>TRUE()</f>
        <v>1</v>
      </c>
      <c r="J1313" s="9" t="s">
        <v>1361</v>
      </c>
      <c r="K1313" s="11">
        <v>202.11</v>
      </c>
      <c r="L1313" s="9" t="s">
        <v>21</v>
      </c>
      <c r="M1313" s="9" t="str">
        <f>IFERROR(INDEX(T_CleanCustomers[Sales_Rep_ID],MATCH(B1313,T_CleanCustomers[Customer_ID],0)),"Unmatched")</f>
        <v>REP999</v>
      </c>
      <c r="N1313" s="9" t="str">
        <f>IFERROR(INDEX(T_CleanCustomers[Channel],MATCH(B1313,T_CleanCustomers[Customer_ID],0)),"Unmatched")</f>
        <v>Direct Sales</v>
      </c>
      <c r="O1313" s="9" t="str">
        <f>IFERROR(INDEX(T_CleanCustomers[Product],MATCH(B1313,T_CleanCustomers[Customer_ID],0)),"Unmatched")</f>
        <v>Fuel Card</v>
      </c>
      <c r="P1313" s="9" t="str">
        <f>IFERROR(INDEX(T_CleanCustomers[Customer_Segment],MATCH(B1313,T_CleanCustomers[Customer_ID],0)),"Unmatched")</f>
        <v>Mid-Market</v>
      </c>
    </row>
    <row r="1314" spans="1:16" ht="15" customHeight="1" x14ac:dyDescent="0.2">
      <c r="A1314" s="9" t="s">
        <v>2652</v>
      </c>
      <c r="B1314" s="9" t="s">
        <v>1308</v>
      </c>
      <c r="C1314" s="9" t="b">
        <f>TRUE()</f>
        <v>1</v>
      </c>
      <c r="D1314" s="10">
        <v>46012</v>
      </c>
      <c r="E1314" s="10">
        <v>45992</v>
      </c>
      <c r="F1314" s="9" t="s">
        <v>1360</v>
      </c>
      <c r="G1314" s="11">
        <v>14614.37</v>
      </c>
      <c r="H1314" s="11">
        <v>341.43</v>
      </c>
      <c r="I1314" s="9" t="b">
        <f>TRUE()</f>
        <v>1</v>
      </c>
      <c r="J1314" s="9" t="s">
        <v>1361</v>
      </c>
      <c r="K1314" s="11">
        <v>341.43</v>
      </c>
      <c r="L1314" s="9" t="s">
        <v>21</v>
      </c>
      <c r="M1314" s="9" t="str">
        <f>IFERROR(INDEX(T_CleanCustomers[Sales_Rep_ID],MATCH(B1314,T_CleanCustomers[Customer_ID],0)),"Unmatched")</f>
        <v>REP999</v>
      </c>
      <c r="N1314" s="9" t="str">
        <f>IFERROR(INDEX(T_CleanCustomers[Channel],MATCH(B1314,T_CleanCustomers[Customer_ID],0)),"Unmatched")</f>
        <v>Direct Sales</v>
      </c>
      <c r="O1314" s="9" t="str">
        <f>IFERROR(INDEX(T_CleanCustomers[Product],MATCH(B1314,T_CleanCustomers[Customer_ID],0)),"Unmatched")</f>
        <v>Fuel Card</v>
      </c>
      <c r="P1314" s="9" t="str">
        <f>IFERROR(INDEX(T_CleanCustomers[Customer_Segment],MATCH(B1314,T_CleanCustomers[Customer_ID],0)),"Unmatched")</f>
        <v>Mid-Market</v>
      </c>
    </row>
    <row r="1315" spans="1:16" ht="15" customHeight="1" x14ac:dyDescent="0.2">
      <c r="A1315" s="9" t="s">
        <v>2653</v>
      </c>
      <c r="B1315" s="9" t="s">
        <v>1308</v>
      </c>
      <c r="C1315" s="9" t="b">
        <f>TRUE()</f>
        <v>1</v>
      </c>
      <c r="D1315" s="10">
        <v>46004</v>
      </c>
      <c r="E1315" s="10">
        <v>45992</v>
      </c>
      <c r="F1315" s="9" t="s">
        <v>1360</v>
      </c>
      <c r="G1315" s="11">
        <v>15552.55</v>
      </c>
      <c r="H1315" s="11">
        <v>338.96</v>
      </c>
      <c r="I1315" s="9" t="b">
        <f>TRUE()</f>
        <v>1</v>
      </c>
      <c r="J1315" s="9" t="s">
        <v>1361</v>
      </c>
      <c r="K1315" s="11">
        <v>338.96</v>
      </c>
      <c r="L1315" s="9" t="s">
        <v>21</v>
      </c>
      <c r="M1315" s="9" t="str">
        <f>IFERROR(INDEX(T_CleanCustomers[Sales_Rep_ID],MATCH(B1315,T_CleanCustomers[Customer_ID],0)),"Unmatched")</f>
        <v>REP999</v>
      </c>
      <c r="N1315" s="9" t="str">
        <f>IFERROR(INDEX(T_CleanCustomers[Channel],MATCH(B1315,T_CleanCustomers[Customer_ID],0)),"Unmatched")</f>
        <v>Direct Sales</v>
      </c>
      <c r="O1315" s="9" t="str">
        <f>IFERROR(INDEX(T_CleanCustomers[Product],MATCH(B1315,T_CleanCustomers[Customer_ID],0)),"Unmatched")</f>
        <v>Fuel Card</v>
      </c>
      <c r="P1315" s="9" t="str">
        <f>IFERROR(INDEX(T_CleanCustomers[Customer_Segment],MATCH(B1315,T_CleanCustomers[Customer_ID],0)),"Unmatched")</f>
        <v>Mid-Market</v>
      </c>
    </row>
    <row r="1316" spans="1:16" ht="15" customHeight="1" x14ac:dyDescent="0.2">
      <c r="A1316" s="9" t="s">
        <v>2654</v>
      </c>
      <c r="B1316" s="9" t="s">
        <v>1309</v>
      </c>
      <c r="C1316" s="9" t="b">
        <f>TRUE()</f>
        <v>1</v>
      </c>
      <c r="D1316" s="10">
        <v>45806</v>
      </c>
      <c r="E1316" s="10">
        <v>45778</v>
      </c>
      <c r="F1316" s="9" t="s">
        <v>1481</v>
      </c>
      <c r="G1316" s="11">
        <v>4493.6000000000004</v>
      </c>
      <c r="H1316" s="11">
        <v>119.08</v>
      </c>
      <c r="I1316" s="9" t="b">
        <f>TRUE()</f>
        <v>1</v>
      </c>
      <c r="J1316" s="9" t="s">
        <v>1361</v>
      </c>
      <c r="K1316" s="11">
        <v>119.08</v>
      </c>
      <c r="L1316" s="9" t="s">
        <v>20</v>
      </c>
      <c r="M1316" s="9" t="str">
        <f>IFERROR(INDEX(T_CleanCustomers[Sales_Rep_ID],MATCH(B1316,T_CleanCustomers[Customer_ID],0)),"Unmatched")</f>
        <v>REP001</v>
      </c>
      <c r="N1316" s="9" t="str">
        <f>IFERROR(INDEX(T_CleanCustomers[Channel],MATCH(B1316,T_CleanCustomers[Customer_ID],0)),"Unmatched")</f>
        <v>Direct Sales</v>
      </c>
      <c r="O1316" s="9" t="str">
        <f>IFERROR(INDEX(T_CleanCustomers[Product],MATCH(B1316,T_CleanCustomers[Customer_ID],0)),"Unmatched")</f>
        <v>Fleet Expense Card</v>
      </c>
      <c r="P1316" s="9" t="str">
        <f>IFERROR(INDEX(T_CleanCustomers[Customer_Segment],MATCH(B1316,T_CleanCustomers[Customer_ID],0)),"Unmatched")</f>
        <v>SME</v>
      </c>
    </row>
    <row r="1317" spans="1:16" ht="15" customHeight="1" x14ac:dyDescent="0.2">
      <c r="A1317" s="9" t="s">
        <v>2655</v>
      </c>
      <c r="B1317" s="9" t="s">
        <v>1309</v>
      </c>
      <c r="C1317" s="9" t="b">
        <f>TRUE()</f>
        <v>1</v>
      </c>
      <c r="D1317" s="10">
        <v>45805</v>
      </c>
      <c r="E1317" s="10">
        <v>45778</v>
      </c>
      <c r="F1317" s="9" t="s">
        <v>1479</v>
      </c>
      <c r="G1317" s="11">
        <v>3033.52</v>
      </c>
      <c r="H1317" s="11">
        <v>78.62</v>
      </c>
      <c r="I1317" s="9" t="b">
        <f>TRUE()</f>
        <v>1</v>
      </c>
      <c r="J1317" s="9" t="s">
        <v>1361</v>
      </c>
      <c r="K1317" s="11">
        <v>78.62</v>
      </c>
      <c r="L1317" s="9" t="s">
        <v>20</v>
      </c>
      <c r="M1317" s="9" t="str">
        <f>IFERROR(INDEX(T_CleanCustomers[Sales_Rep_ID],MATCH(B1317,T_CleanCustomers[Customer_ID],0)),"Unmatched")</f>
        <v>REP001</v>
      </c>
      <c r="N1317" s="9" t="str">
        <f>IFERROR(INDEX(T_CleanCustomers[Channel],MATCH(B1317,T_CleanCustomers[Customer_ID],0)),"Unmatched")</f>
        <v>Direct Sales</v>
      </c>
      <c r="O1317" s="9" t="str">
        <f>IFERROR(INDEX(T_CleanCustomers[Product],MATCH(B1317,T_CleanCustomers[Customer_ID],0)),"Unmatched")</f>
        <v>Fleet Expense Card</v>
      </c>
      <c r="P1317" s="9" t="str">
        <f>IFERROR(INDEX(T_CleanCustomers[Customer_Segment],MATCH(B1317,T_CleanCustomers[Customer_ID],0)),"Unmatched")</f>
        <v>SME</v>
      </c>
    </row>
    <row r="1318" spans="1:16" ht="15" customHeight="1" x14ac:dyDescent="0.2">
      <c r="A1318" s="9" t="s">
        <v>2656</v>
      </c>
      <c r="B1318" s="9" t="s">
        <v>1309</v>
      </c>
      <c r="C1318" s="9" t="b">
        <f>TRUE()</f>
        <v>1</v>
      </c>
      <c r="D1318" s="10">
        <v>45799</v>
      </c>
      <c r="E1318" s="10">
        <v>45778</v>
      </c>
      <c r="F1318" s="9" t="s">
        <v>1481</v>
      </c>
      <c r="G1318" s="11">
        <v>5146.33</v>
      </c>
      <c r="H1318" s="11">
        <v>137.88999999999999</v>
      </c>
      <c r="I1318" s="9" t="b">
        <f>TRUE()</f>
        <v>1</v>
      </c>
      <c r="J1318" s="9" t="s">
        <v>1361</v>
      </c>
      <c r="K1318" s="11">
        <v>137.88999999999999</v>
      </c>
      <c r="L1318" s="9" t="s">
        <v>20</v>
      </c>
      <c r="M1318" s="9" t="str">
        <f>IFERROR(INDEX(T_CleanCustomers[Sales_Rep_ID],MATCH(B1318,T_CleanCustomers[Customer_ID],0)),"Unmatched")</f>
        <v>REP001</v>
      </c>
      <c r="N1318" s="9" t="str">
        <f>IFERROR(INDEX(T_CleanCustomers[Channel],MATCH(B1318,T_CleanCustomers[Customer_ID],0)),"Unmatched")</f>
        <v>Direct Sales</v>
      </c>
      <c r="O1318" s="9" t="str">
        <f>IFERROR(INDEX(T_CleanCustomers[Product],MATCH(B1318,T_CleanCustomers[Customer_ID],0)),"Unmatched")</f>
        <v>Fleet Expense Card</v>
      </c>
      <c r="P1318" s="9" t="str">
        <f>IFERROR(INDEX(T_CleanCustomers[Customer_Segment],MATCH(B1318,T_CleanCustomers[Customer_ID],0)),"Unmatched")</f>
        <v>SME</v>
      </c>
    </row>
    <row r="1319" spans="1:16" ht="15" customHeight="1" x14ac:dyDescent="0.2">
      <c r="A1319" s="9" t="s">
        <v>2657</v>
      </c>
      <c r="B1319" s="9" t="s">
        <v>1309</v>
      </c>
      <c r="C1319" s="9" t="b">
        <f>TRUE()</f>
        <v>1</v>
      </c>
      <c r="D1319" s="10">
        <v>45809</v>
      </c>
      <c r="E1319" s="10">
        <v>45809</v>
      </c>
      <c r="F1319" s="9" t="s">
        <v>1481</v>
      </c>
      <c r="G1319" s="11">
        <v>1762.23</v>
      </c>
      <c r="H1319" s="11">
        <v>47.74</v>
      </c>
      <c r="I1319" s="9" t="b">
        <f>TRUE()</f>
        <v>1</v>
      </c>
      <c r="J1319" s="9" t="s">
        <v>1361</v>
      </c>
      <c r="K1319" s="11">
        <v>47.74</v>
      </c>
      <c r="L1319" s="9" t="s">
        <v>20</v>
      </c>
      <c r="M1319" s="9" t="str">
        <f>IFERROR(INDEX(T_CleanCustomers[Sales_Rep_ID],MATCH(B1319,T_CleanCustomers[Customer_ID],0)),"Unmatched")</f>
        <v>REP001</v>
      </c>
      <c r="N1319" s="9" t="str">
        <f>IFERROR(INDEX(T_CleanCustomers[Channel],MATCH(B1319,T_CleanCustomers[Customer_ID],0)),"Unmatched")</f>
        <v>Direct Sales</v>
      </c>
      <c r="O1319" s="9" t="str">
        <f>IFERROR(INDEX(T_CleanCustomers[Product],MATCH(B1319,T_CleanCustomers[Customer_ID],0)),"Unmatched")</f>
        <v>Fleet Expense Card</v>
      </c>
      <c r="P1319" s="9" t="str">
        <f>IFERROR(INDEX(T_CleanCustomers[Customer_Segment],MATCH(B1319,T_CleanCustomers[Customer_ID],0)),"Unmatched")</f>
        <v>SME</v>
      </c>
    </row>
    <row r="1320" spans="1:16" ht="15" customHeight="1" x14ac:dyDescent="0.2">
      <c r="A1320" s="9" t="s">
        <v>2658</v>
      </c>
      <c r="B1320" s="9" t="s">
        <v>1309</v>
      </c>
      <c r="C1320" s="9" t="b">
        <f>TRUE()</f>
        <v>1</v>
      </c>
      <c r="D1320" s="10">
        <v>45867</v>
      </c>
      <c r="E1320" s="10">
        <v>45839</v>
      </c>
      <c r="F1320" s="9" t="s">
        <v>1360</v>
      </c>
      <c r="G1320" s="11">
        <v>5233.22</v>
      </c>
      <c r="H1320" s="11">
        <v>124.62</v>
      </c>
      <c r="I1320" s="9" t="b">
        <f>TRUE()</f>
        <v>1</v>
      </c>
      <c r="J1320" s="9" t="s">
        <v>1361</v>
      </c>
      <c r="K1320" s="11">
        <v>124.62</v>
      </c>
      <c r="L1320" s="9" t="s">
        <v>20</v>
      </c>
      <c r="M1320" s="9" t="str">
        <f>IFERROR(INDEX(T_CleanCustomers[Sales_Rep_ID],MATCH(B1320,T_CleanCustomers[Customer_ID],0)),"Unmatched")</f>
        <v>REP001</v>
      </c>
      <c r="N1320" s="9" t="str">
        <f>IFERROR(INDEX(T_CleanCustomers[Channel],MATCH(B1320,T_CleanCustomers[Customer_ID],0)),"Unmatched")</f>
        <v>Direct Sales</v>
      </c>
      <c r="O1320" s="9" t="str">
        <f>IFERROR(INDEX(T_CleanCustomers[Product],MATCH(B1320,T_CleanCustomers[Customer_ID],0)),"Unmatched")</f>
        <v>Fleet Expense Card</v>
      </c>
      <c r="P1320" s="9" t="str">
        <f>IFERROR(INDEX(T_CleanCustomers[Customer_Segment],MATCH(B1320,T_CleanCustomers[Customer_ID],0)),"Unmatched")</f>
        <v>SME</v>
      </c>
    </row>
    <row r="1321" spans="1:16" ht="15" customHeight="1" x14ac:dyDescent="0.2">
      <c r="A1321" s="9" t="s">
        <v>2659</v>
      </c>
      <c r="B1321" s="9" t="s">
        <v>1309</v>
      </c>
      <c r="C1321" s="9" t="b">
        <f>TRUE()</f>
        <v>1</v>
      </c>
      <c r="D1321" s="10">
        <v>45869</v>
      </c>
      <c r="E1321" s="10">
        <v>45839</v>
      </c>
      <c r="F1321" s="9" t="s">
        <v>1481</v>
      </c>
      <c r="G1321" s="11">
        <v>2233.9899999999998</v>
      </c>
      <c r="H1321" s="11">
        <v>0</v>
      </c>
      <c r="I1321" s="9" t="b">
        <f>TRUE()</f>
        <v>1</v>
      </c>
      <c r="J1321" s="9" t="s">
        <v>1408</v>
      </c>
      <c r="K1321" s="11">
        <v>0</v>
      </c>
      <c r="L1321" s="9" t="s">
        <v>20</v>
      </c>
      <c r="M1321" s="9" t="str">
        <f>IFERROR(INDEX(T_CleanCustomers[Sales_Rep_ID],MATCH(B1321,T_CleanCustomers[Customer_ID],0)),"Unmatched")</f>
        <v>REP001</v>
      </c>
      <c r="N1321" s="9" t="str">
        <f>IFERROR(INDEX(T_CleanCustomers[Channel],MATCH(B1321,T_CleanCustomers[Customer_ID],0)),"Unmatched")</f>
        <v>Direct Sales</v>
      </c>
      <c r="O1321" s="9" t="str">
        <f>IFERROR(INDEX(T_CleanCustomers[Product],MATCH(B1321,T_CleanCustomers[Customer_ID],0)),"Unmatched")</f>
        <v>Fleet Expense Card</v>
      </c>
      <c r="P1321" s="9" t="str">
        <f>IFERROR(INDEX(T_CleanCustomers[Customer_Segment],MATCH(B1321,T_CleanCustomers[Customer_ID],0)),"Unmatched")</f>
        <v>SME</v>
      </c>
    </row>
    <row r="1322" spans="1:16" ht="15" customHeight="1" x14ac:dyDescent="0.2">
      <c r="A1322" s="9" t="s">
        <v>2660</v>
      </c>
      <c r="B1322" s="9" t="s">
        <v>1309</v>
      </c>
      <c r="C1322" s="9" t="b">
        <f>TRUE()</f>
        <v>1</v>
      </c>
      <c r="D1322" s="10">
        <v>45863</v>
      </c>
      <c r="E1322" s="10">
        <v>45839</v>
      </c>
      <c r="F1322" s="9" t="s">
        <v>1479</v>
      </c>
      <c r="G1322" s="11">
        <v>5005.82</v>
      </c>
      <c r="H1322" s="11">
        <v>131.72</v>
      </c>
      <c r="I1322" s="9" t="b">
        <f>TRUE()</f>
        <v>1</v>
      </c>
      <c r="J1322" s="9" t="s">
        <v>1361</v>
      </c>
      <c r="K1322" s="11">
        <v>131.72</v>
      </c>
      <c r="L1322" s="9" t="s">
        <v>20</v>
      </c>
      <c r="M1322" s="9" t="str">
        <f>IFERROR(INDEX(T_CleanCustomers[Sales_Rep_ID],MATCH(B1322,T_CleanCustomers[Customer_ID],0)),"Unmatched")</f>
        <v>REP001</v>
      </c>
      <c r="N1322" s="9" t="str">
        <f>IFERROR(INDEX(T_CleanCustomers[Channel],MATCH(B1322,T_CleanCustomers[Customer_ID],0)),"Unmatched")</f>
        <v>Direct Sales</v>
      </c>
      <c r="O1322" s="9" t="str">
        <f>IFERROR(INDEX(T_CleanCustomers[Product],MATCH(B1322,T_CleanCustomers[Customer_ID],0)),"Unmatched")</f>
        <v>Fleet Expense Card</v>
      </c>
      <c r="P1322" s="9" t="str">
        <f>IFERROR(INDEX(T_CleanCustomers[Customer_Segment],MATCH(B1322,T_CleanCustomers[Customer_ID],0)),"Unmatched")</f>
        <v>SME</v>
      </c>
    </row>
    <row r="1323" spans="1:16" ht="15" customHeight="1" x14ac:dyDescent="0.2">
      <c r="A1323" s="9" t="s">
        <v>2661</v>
      </c>
      <c r="B1323" s="9" t="s">
        <v>1309</v>
      </c>
      <c r="C1323" s="9" t="b">
        <f>TRUE()</f>
        <v>1</v>
      </c>
      <c r="D1323" s="10">
        <v>45870</v>
      </c>
      <c r="E1323" s="10">
        <v>45870</v>
      </c>
      <c r="F1323" s="9" t="s">
        <v>1360</v>
      </c>
      <c r="G1323" s="11">
        <v>3931.99</v>
      </c>
      <c r="H1323" s="11">
        <v>108.78</v>
      </c>
      <c r="I1323" s="9" t="b">
        <f>TRUE()</f>
        <v>1</v>
      </c>
      <c r="J1323" s="9" t="s">
        <v>1361</v>
      </c>
      <c r="K1323" s="11">
        <v>108.78</v>
      </c>
      <c r="L1323" s="9" t="s">
        <v>20</v>
      </c>
      <c r="M1323" s="9" t="str">
        <f>IFERROR(INDEX(T_CleanCustomers[Sales_Rep_ID],MATCH(B1323,T_CleanCustomers[Customer_ID],0)),"Unmatched")</f>
        <v>REP001</v>
      </c>
      <c r="N1323" s="9" t="str">
        <f>IFERROR(INDEX(T_CleanCustomers[Channel],MATCH(B1323,T_CleanCustomers[Customer_ID],0)),"Unmatched")</f>
        <v>Direct Sales</v>
      </c>
      <c r="O1323" s="9" t="str">
        <f>IFERROR(INDEX(T_CleanCustomers[Product],MATCH(B1323,T_CleanCustomers[Customer_ID],0)),"Unmatched")</f>
        <v>Fleet Expense Card</v>
      </c>
      <c r="P1323" s="9" t="str">
        <f>IFERROR(INDEX(T_CleanCustomers[Customer_Segment],MATCH(B1323,T_CleanCustomers[Customer_ID],0)),"Unmatched")</f>
        <v>SME</v>
      </c>
    </row>
    <row r="1324" spans="1:16" ht="15" customHeight="1" x14ac:dyDescent="0.2">
      <c r="A1324" s="9" t="s">
        <v>2662</v>
      </c>
      <c r="B1324" s="9" t="s">
        <v>1309</v>
      </c>
      <c r="C1324" s="9" t="b">
        <f>TRUE()</f>
        <v>1</v>
      </c>
      <c r="D1324" s="10">
        <v>45904</v>
      </c>
      <c r="E1324" s="10">
        <v>45901</v>
      </c>
      <c r="F1324" s="9" t="s">
        <v>1360</v>
      </c>
      <c r="G1324" s="11">
        <v>3269.84</v>
      </c>
      <c r="H1324" s="11">
        <v>93.27</v>
      </c>
      <c r="I1324" s="9" t="b">
        <f>TRUE()</f>
        <v>1</v>
      </c>
      <c r="J1324" s="9" t="s">
        <v>1361</v>
      </c>
      <c r="K1324" s="11">
        <v>93.27</v>
      </c>
      <c r="L1324" s="9" t="s">
        <v>20</v>
      </c>
      <c r="M1324" s="9" t="str">
        <f>IFERROR(INDEX(T_CleanCustomers[Sales_Rep_ID],MATCH(B1324,T_CleanCustomers[Customer_ID],0)),"Unmatched")</f>
        <v>REP001</v>
      </c>
      <c r="N1324" s="9" t="str">
        <f>IFERROR(INDEX(T_CleanCustomers[Channel],MATCH(B1324,T_CleanCustomers[Customer_ID],0)),"Unmatched")</f>
        <v>Direct Sales</v>
      </c>
      <c r="O1324" s="9" t="str">
        <f>IFERROR(INDEX(T_CleanCustomers[Product],MATCH(B1324,T_CleanCustomers[Customer_ID],0)),"Unmatched")</f>
        <v>Fleet Expense Card</v>
      </c>
      <c r="P1324" s="9" t="str">
        <f>IFERROR(INDEX(T_CleanCustomers[Customer_Segment],MATCH(B1324,T_CleanCustomers[Customer_ID],0)),"Unmatched")</f>
        <v>SME</v>
      </c>
    </row>
    <row r="1325" spans="1:16" ht="15" customHeight="1" x14ac:dyDescent="0.2">
      <c r="A1325" s="9" t="s">
        <v>2663</v>
      </c>
      <c r="B1325" s="9" t="s">
        <v>1309</v>
      </c>
      <c r="C1325" s="9" t="b">
        <f>TRUE()</f>
        <v>1</v>
      </c>
      <c r="D1325" s="10">
        <v>45959</v>
      </c>
      <c r="E1325" s="10">
        <v>45931</v>
      </c>
      <c r="F1325" s="9" t="s">
        <v>1479</v>
      </c>
      <c r="G1325" s="11">
        <v>4825.7700000000004</v>
      </c>
      <c r="H1325" s="11">
        <v>114.56</v>
      </c>
      <c r="I1325" s="9" t="b">
        <f>TRUE()</f>
        <v>1</v>
      </c>
      <c r="J1325" s="9" t="s">
        <v>1361</v>
      </c>
      <c r="K1325" s="11">
        <v>114.56</v>
      </c>
      <c r="L1325" s="9" t="s">
        <v>20</v>
      </c>
      <c r="M1325" s="9" t="str">
        <f>IFERROR(INDEX(T_CleanCustomers[Sales_Rep_ID],MATCH(B1325,T_CleanCustomers[Customer_ID],0)),"Unmatched")</f>
        <v>REP001</v>
      </c>
      <c r="N1325" s="9" t="str">
        <f>IFERROR(INDEX(T_CleanCustomers[Channel],MATCH(B1325,T_CleanCustomers[Customer_ID],0)),"Unmatched")</f>
        <v>Direct Sales</v>
      </c>
      <c r="O1325" s="9" t="str">
        <f>IFERROR(INDEX(T_CleanCustomers[Product],MATCH(B1325,T_CleanCustomers[Customer_ID],0)),"Unmatched")</f>
        <v>Fleet Expense Card</v>
      </c>
      <c r="P1325" s="9" t="str">
        <f>IFERROR(INDEX(T_CleanCustomers[Customer_Segment],MATCH(B1325,T_CleanCustomers[Customer_ID],0)),"Unmatched")</f>
        <v>SME</v>
      </c>
    </row>
    <row r="1326" spans="1:16" ht="15" customHeight="1" x14ac:dyDescent="0.2">
      <c r="A1326" s="9" t="s">
        <v>2664</v>
      </c>
      <c r="B1326" s="9" t="s">
        <v>1309</v>
      </c>
      <c r="C1326" s="9" t="b">
        <f>TRUE()</f>
        <v>1</v>
      </c>
      <c r="D1326" s="10">
        <v>45985</v>
      </c>
      <c r="E1326" s="10">
        <v>45962</v>
      </c>
      <c r="F1326" s="9" t="s">
        <v>1479</v>
      </c>
      <c r="G1326" s="11">
        <v>2337.75</v>
      </c>
      <c r="H1326" s="11">
        <v>67.790000000000006</v>
      </c>
      <c r="I1326" s="9" t="b">
        <f>TRUE()</f>
        <v>1</v>
      </c>
      <c r="J1326" s="9" t="s">
        <v>1361</v>
      </c>
      <c r="K1326" s="11">
        <v>67.790000000000006</v>
      </c>
      <c r="L1326" s="9" t="s">
        <v>20</v>
      </c>
      <c r="M1326" s="9" t="str">
        <f>IFERROR(INDEX(T_CleanCustomers[Sales_Rep_ID],MATCH(B1326,T_CleanCustomers[Customer_ID],0)),"Unmatched")</f>
        <v>REP001</v>
      </c>
      <c r="N1326" s="9" t="str">
        <f>IFERROR(INDEX(T_CleanCustomers[Channel],MATCH(B1326,T_CleanCustomers[Customer_ID],0)),"Unmatched")</f>
        <v>Direct Sales</v>
      </c>
      <c r="O1326" s="9" t="str">
        <f>IFERROR(INDEX(T_CleanCustomers[Product],MATCH(B1326,T_CleanCustomers[Customer_ID],0)),"Unmatched")</f>
        <v>Fleet Expense Card</v>
      </c>
      <c r="P1326" s="9" t="str">
        <f>IFERROR(INDEX(T_CleanCustomers[Customer_Segment],MATCH(B1326,T_CleanCustomers[Customer_ID],0)),"Unmatched")</f>
        <v>SME</v>
      </c>
    </row>
    <row r="1327" spans="1:16" ht="15" customHeight="1" x14ac:dyDescent="0.2">
      <c r="A1327" s="9" t="s">
        <v>2665</v>
      </c>
      <c r="B1327" s="9" t="s">
        <v>1309</v>
      </c>
      <c r="C1327" s="9" t="b">
        <f>TRUE()</f>
        <v>1</v>
      </c>
      <c r="D1327" s="10">
        <v>45963</v>
      </c>
      <c r="E1327" s="10">
        <v>45962</v>
      </c>
      <c r="F1327" s="9" t="s">
        <v>1360</v>
      </c>
      <c r="G1327" s="11">
        <v>4503.04</v>
      </c>
      <c r="H1327" s="11">
        <v>130.91999999999999</v>
      </c>
      <c r="I1327" s="9" t="b">
        <f>TRUE()</f>
        <v>1</v>
      </c>
      <c r="J1327" s="9" t="s">
        <v>1361</v>
      </c>
      <c r="K1327" s="11">
        <v>130.91999999999999</v>
      </c>
      <c r="L1327" s="9" t="s">
        <v>20</v>
      </c>
      <c r="M1327" s="9" t="str">
        <f>IFERROR(INDEX(T_CleanCustomers[Sales_Rep_ID],MATCH(B1327,T_CleanCustomers[Customer_ID],0)),"Unmatched")</f>
        <v>REP001</v>
      </c>
      <c r="N1327" s="9" t="str">
        <f>IFERROR(INDEX(T_CleanCustomers[Channel],MATCH(B1327,T_CleanCustomers[Customer_ID],0)),"Unmatched")</f>
        <v>Direct Sales</v>
      </c>
      <c r="O1327" s="9" t="str">
        <f>IFERROR(INDEX(T_CleanCustomers[Product],MATCH(B1327,T_CleanCustomers[Customer_ID],0)),"Unmatched")</f>
        <v>Fleet Expense Card</v>
      </c>
      <c r="P1327" s="9" t="str">
        <f>IFERROR(INDEX(T_CleanCustomers[Customer_Segment],MATCH(B1327,T_CleanCustomers[Customer_ID],0)),"Unmatched")</f>
        <v>SME</v>
      </c>
    </row>
    <row r="1328" spans="1:16" ht="15" customHeight="1" x14ac:dyDescent="0.2">
      <c r="A1328" s="9" t="s">
        <v>2666</v>
      </c>
      <c r="B1328" s="9" t="s">
        <v>1309</v>
      </c>
      <c r="C1328" s="9" t="b">
        <f>TRUE()</f>
        <v>1</v>
      </c>
      <c r="D1328" s="10">
        <v>45998</v>
      </c>
      <c r="E1328" s="10">
        <v>45992</v>
      </c>
      <c r="F1328" s="9" t="s">
        <v>1360</v>
      </c>
      <c r="G1328" s="11">
        <v>4690.42</v>
      </c>
      <c r="H1328" s="11">
        <v>112.82</v>
      </c>
      <c r="I1328" s="9" t="b">
        <f>TRUE()</f>
        <v>1</v>
      </c>
      <c r="J1328" s="9" t="s">
        <v>1361</v>
      </c>
      <c r="K1328" s="11">
        <v>112.82</v>
      </c>
      <c r="L1328" s="9" t="s">
        <v>20</v>
      </c>
      <c r="M1328" s="9" t="str">
        <f>IFERROR(INDEX(T_CleanCustomers[Sales_Rep_ID],MATCH(B1328,T_CleanCustomers[Customer_ID],0)),"Unmatched")</f>
        <v>REP001</v>
      </c>
      <c r="N1328" s="9" t="str">
        <f>IFERROR(INDEX(T_CleanCustomers[Channel],MATCH(B1328,T_CleanCustomers[Customer_ID],0)),"Unmatched")</f>
        <v>Direct Sales</v>
      </c>
      <c r="O1328" s="9" t="str">
        <f>IFERROR(INDEX(T_CleanCustomers[Product],MATCH(B1328,T_CleanCustomers[Customer_ID],0)),"Unmatched")</f>
        <v>Fleet Expense Card</v>
      </c>
      <c r="P1328" s="9" t="str">
        <f>IFERROR(INDEX(T_CleanCustomers[Customer_Segment],MATCH(B1328,T_CleanCustomers[Customer_ID],0)),"Unmatched")</f>
        <v>SME</v>
      </c>
    </row>
    <row r="1329" spans="1:16" ht="15" customHeight="1" x14ac:dyDescent="0.2">
      <c r="A1329" s="9" t="s">
        <v>2667</v>
      </c>
      <c r="B1329" s="9" t="s">
        <v>1309</v>
      </c>
      <c r="C1329" s="9" t="b">
        <f>TRUE()</f>
        <v>1</v>
      </c>
      <c r="D1329" s="10">
        <v>45995</v>
      </c>
      <c r="E1329" s="10">
        <v>45992</v>
      </c>
      <c r="F1329" s="9" t="s">
        <v>1481</v>
      </c>
      <c r="G1329" s="11">
        <v>4432.08</v>
      </c>
      <c r="H1329" s="11">
        <v>113.78</v>
      </c>
      <c r="I1329" s="9" t="b">
        <f>TRUE()</f>
        <v>1</v>
      </c>
      <c r="J1329" s="9" t="s">
        <v>1361</v>
      </c>
      <c r="K1329" s="11">
        <v>113.78</v>
      </c>
      <c r="L1329" s="9" t="s">
        <v>20</v>
      </c>
      <c r="M1329" s="9" t="str">
        <f>IFERROR(INDEX(T_CleanCustomers[Sales_Rep_ID],MATCH(B1329,T_CleanCustomers[Customer_ID],0)),"Unmatched")</f>
        <v>REP001</v>
      </c>
      <c r="N1329" s="9" t="str">
        <f>IFERROR(INDEX(T_CleanCustomers[Channel],MATCH(B1329,T_CleanCustomers[Customer_ID],0)),"Unmatched")</f>
        <v>Direct Sales</v>
      </c>
      <c r="O1329" s="9" t="str">
        <f>IFERROR(INDEX(T_CleanCustomers[Product],MATCH(B1329,T_CleanCustomers[Customer_ID],0)),"Unmatched")</f>
        <v>Fleet Expense Card</v>
      </c>
      <c r="P1329" s="9" t="str">
        <f>IFERROR(INDEX(T_CleanCustomers[Customer_Segment],MATCH(B1329,T_CleanCustomers[Customer_ID],0)),"Unmatched")</f>
        <v>SME</v>
      </c>
    </row>
    <row r="1330" spans="1:16" ht="15" customHeight="1" x14ac:dyDescent="0.2">
      <c r="A1330" s="9" t="s">
        <v>2668</v>
      </c>
      <c r="B1330" s="9" t="s">
        <v>1312</v>
      </c>
      <c r="C1330" s="9" t="b">
        <f>TRUE()</f>
        <v>1</v>
      </c>
      <c r="D1330" s="10">
        <v>45836</v>
      </c>
      <c r="E1330" s="10">
        <v>45809</v>
      </c>
      <c r="F1330" s="9" t="s">
        <v>1360</v>
      </c>
      <c r="G1330" s="11">
        <v>16522.97</v>
      </c>
      <c r="H1330" s="11">
        <v>424.96</v>
      </c>
      <c r="I1330" s="9" t="b">
        <f>TRUE()</f>
        <v>1</v>
      </c>
      <c r="J1330" s="9" t="s">
        <v>1361</v>
      </c>
      <c r="K1330" s="11">
        <v>424.96</v>
      </c>
      <c r="L1330" s="9" t="s">
        <v>21</v>
      </c>
      <c r="M1330" s="9" t="str">
        <f>IFERROR(INDEX(T_CleanCustomers[Sales_Rep_ID],MATCH(B1330,T_CleanCustomers[Customer_ID],0)),"Unmatched")</f>
        <v>REP009</v>
      </c>
      <c r="N1330" s="9" t="str">
        <f>IFERROR(INDEX(T_CleanCustomers[Channel],MATCH(B1330,T_CleanCustomers[Customer_ID],0)),"Unmatched")</f>
        <v>Digital</v>
      </c>
      <c r="O1330" s="9" t="str">
        <f>IFERROR(INDEX(T_CleanCustomers[Product],MATCH(B1330,T_CleanCustomers[Customer_ID],0)),"Unmatched")</f>
        <v>Fuel Card</v>
      </c>
      <c r="P1330" s="9" t="str">
        <f>IFERROR(INDEX(T_CleanCustomers[Customer_Segment],MATCH(B1330,T_CleanCustomers[Customer_ID],0)),"Unmatched")</f>
        <v>Mid-Market</v>
      </c>
    </row>
    <row r="1331" spans="1:16" ht="15" customHeight="1" x14ac:dyDescent="0.2">
      <c r="A1331" s="9" t="s">
        <v>2669</v>
      </c>
      <c r="B1331" s="9" t="s">
        <v>1312</v>
      </c>
      <c r="C1331" s="9" t="b">
        <f>TRUE()</f>
        <v>1</v>
      </c>
      <c r="D1331" s="10">
        <v>45859</v>
      </c>
      <c r="E1331" s="10">
        <v>45839</v>
      </c>
      <c r="F1331" s="9" t="s">
        <v>1360</v>
      </c>
      <c r="G1331" s="11">
        <v>10722.96</v>
      </c>
      <c r="H1331" s="11">
        <v>249.06</v>
      </c>
      <c r="I1331" s="9" t="b">
        <f>TRUE()</f>
        <v>1</v>
      </c>
      <c r="J1331" s="9" t="s">
        <v>1361</v>
      </c>
      <c r="K1331" s="11">
        <v>249.06</v>
      </c>
      <c r="L1331" s="9" t="s">
        <v>21</v>
      </c>
      <c r="M1331" s="9" t="str">
        <f>IFERROR(INDEX(T_CleanCustomers[Sales_Rep_ID],MATCH(B1331,T_CleanCustomers[Customer_ID],0)),"Unmatched")</f>
        <v>REP009</v>
      </c>
      <c r="N1331" s="9" t="str">
        <f>IFERROR(INDEX(T_CleanCustomers[Channel],MATCH(B1331,T_CleanCustomers[Customer_ID],0)),"Unmatched")</f>
        <v>Digital</v>
      </c>
      <c r="O1331" s="9" t="str">
        <f>IFERROR(INDEX(T_CleanCustomers[Product],MATCH(B1331,T_CleanCustomers[Customer_ID],0)),"Unmatched")</f>
        <v>Fuel Card</v>
      </c>
      <c r="P1331" s="9" t="str">
        <f>IFERROR(INDEX(T_CleanCustomers[Customer_Segment],MATCH(B1331,T_CleanCustomers[Customer_ID],0)),"Unmatched")</f>
        <v>Mid-Market</v>
      </c>
    </row>
    <row r="1332" spans="1:16" ht="15" customHeight="1" x14ac:dyDescent="0.2">
      <c r="A1332" s="9" t="s">
        <v>113</v>
      </c>
      <c r="B1332" s="9" t="s">
        <v>1312</v>
      </c>
      <c r="C1332" s="9" t="b">
        <f>TRUE()</f>
        <v>1</v>
      </c>
      <c r="D1332" s="10">
        <v>45846</v>
      </c>
      <c r="E1332" s="10">
        <v>45839</v>
      </c>
      <c r="F1332" s="9" t="s">
        <v>1360</v>
      </c>
      <c r="G1332" s="11">
        <v>7850.1</v>
      </c>
      <c r="H1332" s="11">
        <v>211.13</v>
      </c>
      <c r="I1332" s="9" t="b">
        <f>TRUE()</f>
        <v>1</v>
      </c>
      <c r="J1332" s="9" t="s">
        <v>1361</v>
      </c>
      <c r="K1332" s="11">
        <v>211.13</v>
      </c>
      <c r="L1332" s="9" t="s">
        <v>21</v>
      </c>
      <c r="M1332" s="9" t="str">
        <f>IFERROR(INDEX(T_CleanCustomers[Sales_Rep_ID],MATCH(B1332,T_CleanCustomers[Customer_ID],0)),"Unmatched")</f>
        <v>REP009</v>
      </c>
      <c r="N1332" s="9" t="str">
        <f>IFERROR(INDEX(T_CleanCustomers[Channel],MATCH(B1332,T_CleanCustomers[Customer_ID],0)),"Unmatched")</f>
        <v>Digital</v>
      </c>
      <c r="O1332" s="9" t="str">
        <f>IFERROR(INDEX(T_CleanCustomers[Product],MATCH(B1332,T_CleanCustomers[Customer_ID],0)),"Unmatched")</f>
        <v>Fuel Card</v>
      </c>
      <c r="P1332" s="9" t="str">
        <f>IFERROR(INDEX(T_CleanCustomers[Customer_Segment],MATCH(B1332,T_CleanCustomers[Customer_ID],0)),"Unmatched")</f>
        <v>Mid-Market</v>
      </c>
    </row>
    <row r="1333" spans="1:16" ht="15" customHeight="1" x14ac:dyDescent="0.2">
      <c r="A1333" s="9" t="s">
        <v>2670</v>
      </c>
      <c r="B1333" s="9" t="s">
        <v>1312</v>
      </c>
      <c r="C1333" s="9" t="b">
        <f>TRUE()</f>
        <v>1</v>
      </c>
      <c r="D1333" s="10">
        <v>45888</v>
      </c>
      <c r="E1333" s="10">
        <v>45870</v>
      </c>
      <c r="F1333" s="9" t="s">
        <v>1360</v>
      </c>
      <c r="G1333" s="11">
        <v>9172.91</v>
      </c>
      <c r="H1333" s="11">
        <v>261.19</v>
      </c>
      <c r="I1333" s="9" t="b">
        <f>TRUE()</f>
        <v>1</v>
      </c>
      <c r="J1333" s="9" t="s">
        <v>1361</v>
      </c>
      <c r="K1333" s="11">
        <v>261.19</v>
      </c>
      <c r="L1333" s="9" t="s">
        <v>21</v>
      </c>
      <c r="M1333" s="9" t="str">
        <f>IFERROR(INDEX(T_CleanCustomers[Sales_Rep_ID],MATCH(B1333,T_CleanCustomers[Customer_ID],0)),"Unmatched")</f>
        <v>REP009</v>
      </c>
      <c r="N1333" s="9" t="str">
        <f>IFERROR(INDEX(T_CleanCustomers[Channel],MATCH(B1333,T_CleanCustomers[Customer_ID],0)),"Unmatched")</f>
        <v>Digital</v>
      </c>
      <c r="O1333" s="9" t="str">
        <f>IFERROR(INDEX(T_CleanCustomers[Product],MATCH(B1333,T_CleanCustomers[Customer_ID],0)),"Unmatched")</f>
        <v>Fuel Card</v>
      </c>
      <c r="P1333" s="9" t="str">
        <f>IFERROR(INDEX(T_CleanCustomers[Customer_Segment],MATCH(B1333,T_CleanCustomers[Customer_ID],0)),"Unmatched")</f>
        <v>Mid-Market</v>
      </c>
    </row>
    <row r="1334" spans="1:16" ht="15" customHeight="1" x14ac:dyDescent="0.2">
      <c r="A1334" s="9" t="s">
        <v>2671</v>
      </c>
      <c r="B1334" s="9" t="s">
        <v>1312</v>
      </c>
      <c r="C1334" s="9" t="b">
        <f>TRUE()</f>
        <v>1</v>
      </c>
      <c r="D1334" s="10">
        <v>45916</v>
      </c>
      <c r="E1334" s="10">
        <v>45901</v>
      </c>
      <c r="F1334" s="9" t="s">
        <v>1360</v>
      </c>
      <c r="G1334" s="11">
        <v>12101.11</v>
      </c>
      <c r="H1334" s="11">
        <v>313.72000000000003</v>
      </c>
      <c r="I1334" s="9" t="b">
        <f>TRUE()</f>
        <v>1</v>
      </c>
      <c r="J1334" s="9" t="s">
        <v>1361</v>
      </c>
      <c r="K1334" s="11">
        <v>313.72000000000003</v>
      </c>
      <c r="L1334" s="9" t="s">
        <v>21</v>
      </c>
      <c r="M1334" s="9" t="str">
        <f>IFERROR(INDEX(T_CleanCustomers[Sales_Rep_ID],MATCH(B1334,T_CleanCustomers[Customer_ID],0)),"Unmatched")</f>
        <v>REP009</v>
      </c>
      <c r="N1334" s="9" t="str">
        <f>IFERROR(INDEX(T_CleanCustomers[Channel],MATCH(B1334,T_CleanCustomers[Customer_ID],0)),"Unmatched")</f>
        <v>Digital</v>
      </c>
      <c r="O1334" s="9" t="str">
        <f>IFERROR(INDEX(T_CleanCustomers[Product],MATCH(B1334,T_CleanCustomers[Customer_ID],0)),"Unmatched")</f>
        <v>Fuel Card</v>
      </c>
      <c r="P1334" s="9" t="str">
        <f>IFERROR(INDEX(T_CleanCustomers[Customer_Segment],MATCH(B1334,T_CleanCustomers[Customer_ID],0)),"Unmatched")</f>
        <v>Mid-Market</v>
      </c>
    </row>
    <row r="1335" spans="1:16" ht="15" customHeight="1" x14ac:dyDescent="0.2">
      <c r="A1335" s="9" t="s">
        <v>2672</v>
      </c>
      <c r="B1335" s="9" t="s">
        <v>1312</v>
      </c>
      <c r="C1335" s="9" t="b">
        <f>TRUE()</f>
        <v>1</v>
      </c>
      <c r="D1335" s="10">
        <v>45914</v>
      </c>
      <c r="E1335" s="10">
        <v>45901</v>
      </c>
      <c r="F1335" s="9" t="s">
        <v>1360</v>
      </c>
      <c r="G1335" s="11">
        <v>14274.87</v>
      </c>
      <c r="H1335" s="11">
        <v>326.22000000000003</v>
      </c>
      <c r="I1335" s="9" t="b">
        <f>TRUE()</f>
        <v>1</v>
      </c>
      <c r="J1335" s="9" t="s">
        <v>1361</v>
      </c>
      <c r="K1335" s="11">
        <v>326.22000000000003</v>
      </c>
      <c r="L1335" s="9" t="s">
        <v>21</v>
      </c>
      <c r="M1335" s="9" t="str">
        <f>IFERROR(INDEX(T_CleanCustomers[Sales_Rep_ID],MATCH(B1335,T_CleanCustomers[Customer_ID],0)),"Unmatched")</f>
        <v>REP009</v>
      </c>
      <c r="N1335" s="9" t="str">
        <f>IFERROR(INDEX(T_CleanCustomers[Channel],MATCH(B1335,T_CleanCustomers[Customer_ID],0)),"Unmatched")</f>
        <v>Digital</v>
      </c>
      <c r="O1335" s="9" t="str">
        <f>IFERROR(INDEX(T_CleanCustomers[Product],MATCH(B1335,T_CleanCustomers[Customer_ID],0)),"Unmatched")</f>
        <v>Fuel Card</v>
      </c>
      <c r="P1335" s="9" t="str">
        <f>IFERROR(INDEX(T_CleanCustomers[Customer_Segment],MATCH(B1335,T_CleanCustomers[Customer_ID],0)),"Unmatched")</f>
        <v>Mid-Market</v>
      </c>
    </row>
    <row r="1336" spans="1:16" ht="15" customHeight="1" x14ac:dyDescent="0.2">
      <c r="A1336" s="9" t="s">
        <v>2673</v>
      </c>
      <c r="B1336" s="9" t="s">
        <v>1312</v>
      </c>
      <c r="C1336" s="9" t="b">
        <f>TRUE()</f>
        <v>1</v>
      </c>
      <c r="D1336" s="10">
        <v>45937</v>
      </c>
      <c r="E1336" s="10">
        <v>45931</v>
      </c>
      <c r="F1336" s="9" t="s">
        <v>1360</v>
      </c>
      <c r="G1336" s="11">
        <v>4493.1000000000004</v>
      </c>
      <c r="H1336" s="11">
        <v>117.2</v>
      </c>
      <c r="I1336" s="9" t="b">
        <f>TRUE()</f>
        <v>1</v>
      </c>
      <c r="J1336" s="9" t="s">
        <v>1361</v>
      </c>
      <c r="K1336" s="11">
        <v>117.2</v>
      </c>
      <c r="L1336" s="9" t="s">
        <v>21</v>
      </c>
      <c r="M1336" s="9" t="str">
        <f>IFERROR(INDEX(T_CleanCustomers[Sales_Rep_ID],MATCH(B1336,T_CleanCustomers[Customer_ID],0)),"Unmatched")</f>
        <v>REP009</v>
      </c>
      <c r="N1336" s="9" t="str">
        <f>IFERROR(INDEX(T_CleanCustomers[Channel],MATCH(B1336,T_CleanCustomers[Customer_ID],0)),"Unmatched")</f>
        <v>Digital</v>
      </c>
      <c r="O1336" s="9" t="str">
        <f>IFERROR(INDEX(T_CleanCustomers[Product],MATCH(B1336,T_CleanCustomers[Customer_ID],0)),"Unmatched")</f>
        <v>Fuel Card</v>
      </c>
      <c r="P1336" s="9" t="str">
        <f>IFERROR(INDEX(T_CleanCustomers[Customer_Segment],MATCH(B1336,T_CleanCustomers[Customer_ID],0)),"Unmatched")</f>
        <v>Mid-Market</v>
      </c>
    </row>
    <row r="1337" spans="1:16" ht="15" customHeight="1" x14ac:dyDescent="0.2">
      <c r="A1337" s="9" t="s">
        <v>2674</v>
      </c>
      <c r="B1337" s="9" t="s">
        <v>1312</v>
      </c>
      <c r="C1337" s="9" t="b">
        <f>TRUE()</f>
        <v>1</v>
      </c>
      <c r="D1337" s="10">
        <v>45972</v>
      </c>
      <c r="E1337" s="10">
        <v>45962</v>
      </c>
      <c r="F1337" s="9" t="s">
        <v>1360</v>
      </c>
      <c r="G1337" s="11">
        <v>14313.35</v>
      </c>
      <c r="H1337" s="11">
        <v>351.32</v>
      </c>
      <c r="I1337" s="9" t="b">
        <f>TRUE()</f>
        <v>1</v>
      </c>
      <c r="J1337" s="9" t="s">
        <v>1361</v>
      </c>
      <c r="K1337" s="11">
        <v>351.32</v>
      </c>
      <c r="L1337" s="9" t="s">
        <v>21</v>
      </c>
      <c r="M1337" s="9" t="str">
        <f>IFERROR(INDEX(T_CleanCustomers[Sales_Rep_ID],MATCH(B1337,T_CleanCustomers[Customer_ID],0)),"Unmatched")</f>
        <v>REP009</v>
      </c>
      <c r="N1337" s="9" t="str">
        <f>IFERROR(INDEX(T_CleanCustomers[Channel],MATCH(B1337,T_CleanCustomers[Customer_ID],0)),"Unmatched")</f>
        <v>Digital</v>
      </c>
      <c r="O1337" s="9" t="str">
        <f>IFERROR(INDEX(T_CleanCustomers[Product],MATCH(B1337,T_CleanCustomers[Customer_ID],0)),"Unmatched")</f>
        <v>Fuel Card</v>
      </c>
      <c r="P1337" s="9" t="str">
        <f>IFERROR(INDEX(T_CleanCustomers[Customer_Segment],MATCH(B1337,T_CleanCustomers[Customer_ID],0)),"Unmatched")</f>
        <v>Mid-Market</v>
      </c>
    </row>
    <row r="1338" spans="1:16" ht="15" customHeight="1" x14ac:dyDescent="0.2">
      <c r="A1338" s="9" t="s">
        <v>2675</v>
      </c>
      <c r="B1338" s="9" t="s">
        <v>1312</v>
      </c>
      <c r="C1338" s="9" t="b">
        <f>TRUE()</f>
        <v>1</v>
      </c>
      <c r="D1338" s="10">
        <v>46006</v>
      </c>
      <c r="E1338" s="10">
        <v>45992</v>
      </c>
      <c r="F1338" s="9" t="s">
        <v>1360</v>
      </c>
      <c r="G1338" s="11">
        <v>17537.95</v>
      </c>
      <c r="H1338" s="11">
        <v>462.33</v>
      </c>
      <c r="I1338" s="9" t="b">
        <f>TRUE()</f>
        <v>1</v>
      </c>
      <c r="J1338" s="9" t="s">
        <v>1361</v>
      </c>
      <c r="K1338" s="11">
        <v>462.33</v>
      </c>
      <c r="L1338" s="9" t="s">
        <v>21</v>
      </c>
      <c r="M1338" s="9" t="str">
        <f>IFERROR(INDEX(T_CleanCustomers[Sales_Rep_ID],MATCH(B1338,T_CleanCustomers[Customer_ID],0)),"Unmatched")</f>
        <v>REP009</v>
      </c>
      <c r="N1338" s="9" t="str">
        <f>IFERROR(INDEX(T_CleanCustomers[Channel],MATCH(B1338,T_CleanCustomers[Customer_ID],0)),"Unmatched")</f>
        <v>Digital</v>
      </c>
      <c r="O1338" s="9" t="str">
        <f>IFERROR(INDEX(T_CleanCustomers[Product],MATCH(B1338,T_CleanCustomers[Customer_ID],0)),"Unmatched")</f>
        <v>Fuel Card</v>
      </c>
      <c r="P1338" s="9" t="str">
        <f>IFERROR(INDEX(T_CleanCustomers[Customer_Segment],MATCH(B1338,T_CleanCustomers[Customer_ID],0)),"Unmatched")</f>
        <v>Mid-Market</v>
      </c>
    </row>
    <row r="1339" spans="1:16" ht="15" customHeight="1" x14ac:dyDescent="0.2">
      <c r="A1339" s="9" t="s">
        <v>2676</v>
      </c>
      <c r="B1339" s="9" t="s">
        <v>1312</v>
      </c>
      <c r="C1339" s="9" t="b">
        <f>TRUE()</f>
        <v>1</v>
      </c>
      <c r="D1339" s="10">
        <v>46002</v>
      </c>
      <c r="E1339" s="10">
        <v>45992</v>
      </c>
      <c r="F1339" s="9" t="s">
        <v>1360</v>
      </c>
      <c r="G1339" s="11">
        <v>9762.89</v>
      </c>
      <c r="H1339" s="11">
        <v>241.88</v>
      </c>
      <c r="I1339" s="9" t="b">
        <f>TRUE()</f>
        <v>1</v>
      </c>
      <c r="J1339" s="9" t="s">
        <v>1361</v>
      </c>
      <c r="K1339" s="11">
        <v>241.88</v>
      </c>
      <c r="L1339" s="9" t="s">
        <v>21</v>
      </c>
      <c r="M1339" s="9" t="str">
        <f>IFERROR(INDEX(T_CleanCustomers[Sales_Rep_ID],MATCH(B1339,T_CleanCustomers[Customer_ID],0)),"Unmatched")</f>
        <v>REP009</v>
      </c>
      <c r="N1339" s="9" t="str">
        <f>IFERROR(INDEX(T_CleanCustomers[Channel],MATCH(B1339,T_CleanCustomers[Customer_ID],0)),"Unmatched")</f>
        <v>Digital</v>
      </c>
      <c r="O1339" s="9" t="str">
        <f>IFERROR(INDEX(T_CleanCustomers[Product],MATCH(B1339,T_CleanCustomers[Customer_ID],0)),"Unmatched")</f>
        <v>Fuel Card</v>
      </c>
      <c r="P1339" s="9" t="str">
        <f>IFERROR(INDEX(T_CleanCustomers[Customer_Segment],MATCH(B1339,T_CleanCustomers[Customer_ID],0)),"Unmatched")</f>
        <v>Mid-Market</v>
      </c>
    </row>
    <row r="1340" spans="1:16" ht="15" customHeight="1" x14ac:dyDescent="0.2">
      <c r="A1340" s="9" t="s">
        <v>2677</v>
      </c>
      <c r="B1340" s="9" t="s">
        <v>1312</v>
      </c>
      <c r="C1340" s="9" t="b">
        <f>TRUE()</f>
        <v>1</v>
      </c>
      <c r="D1340" s="10">
        <v>45992</v>
      </c>
      <c r="E1340" s="10">
        <v>45992</v>
      </c>
      <c r="F1340" s="9" t="s">
        <v>1360</v>
      </c>
      <c r="G1340" s="11">
        <v>6570.57</v>
      </c>
      <c r="H1340" s="11">
        <v>176.13</v>
      </c>
      <c r="I1340" s="9" t="b">
        <f>TRUE()</f>
        <v>1</v>
      </c>
      <c r="J1340" s="9" t="s">
        <v>1361</v>
      </c>
      <c r="K1340" s="11">
        <v>176.13</v>
      </c>
      <c r="L1340" s="9" t="s">
        <v>21</v>
      </c>
      <c r="M1340" s="9" t="str">
        <f>IFERROR(INDEX(T_CleanCustomers[Sales_Rep_ID],MATCH(B1340,T_CleanCustomers[Customer_ID],0)),"Unmatched")</f>
        <v>REP009</v>
      </c>
      <c r="N1340" s="9" t="str">
        <f>IFERROR(INDEX(T_CleanCustomers[Channel],MATCH(B1340,T_CleanCustomers[Customer_ID],0)),"Unmatched")</f>
        <v>Digital</v>
      </c>
      <c r="O1340" s="9" t="str">
        <f>IFERROR(INDEX(T_CleanCustomers[Product],MATCH(B1340,T_CleanCustomers[Customer_ID],0)),"Unmatched")</f>
        <v>Fuel Card</v>
      </c>
      <c r="P1340" s="9" t="str">
        <f>IFERROR(INDEX(T_CleanCustomers[Customer_Segment],MATCH(B1340,T_CleanCustomers[Customer_ID],0)),"Unmatched")</f>
        <v>Mid-Market</v>
      </c>
    </row>
    <row r="1341" spans="1:16" ht="15" customHeight="1" x14ac:dyDescent="0.2">
      <c r="A1341" s="9" t="s">
        <v>2678</v>
      </c>
      <c r="B1341" s="9" t="s">
        <v>91</v>
      </c>
      <c r="C1341" s="9" t="b">
        <f>TRUE()</f>
        <v>1</v>
      </c>
      <c r="D1341" s="10">
        <v>45714</v>
      </c>
      <c r="E1341" s="10">
        <v>45689</v>
      </c>
      <c r="F1341" s="9" t="s">
        <v>1360</v>
      </c>
      <c r="G1341" s="11">
        <v>3094.96</v>
      </c>
      <c r="H1341" s="11">
        <v>81.55</v>
      </c>
      <c r="I1341" s="9" t="b">
        <f>TRUE()</f>
        <v>1</v>
      </c>
      <c r="J1341" s="9" t="s">
        <v>1361</v>
      </c>
      <c r="K1341" s="11">
        <v>81.55</v>
      </c>
      <c r="L1341" s="9" t="s">
        <v>20</v>
      </c>
      <c r="M1341" s="9" t="str">
        <f>IFERROR(INDEX(T_CleanCustomers[Sales_Rep_ID],MATCH(B1341,T_CleanCustomers[Customer_ID],0)),"Unmatched")</f>
        <v>REP003</v>
      </c>
      <c r="N1341" s="9" t="str">
        <f>IFERROR(INDEX(T_CleanCustomers[Channel],MATCH(B1341,T_CleanCustomers[Customer_ID],0)),"Unmatched")</f>
        <v>Digital</v>
      </c>
      <c r="O1341" s="9" t="str">
        <f>IFERROR(INDEX(T_CleanCustomers[Product],MATCH(B1341,T_CleanCustomers[Customer_ID],0)),"Unmatched")</f>
        <v>Fuel Card</v>
      </c>
      <c r="P1341" s="9" t="str">
        <f>IFERROR(INDEX(T_CleanCustomers[Customer_Segment],MATCH(B1341,T_CleanCustomers[Customer_ID],0)),"Unmatched")</f>
        <v>Unclassified</v>
      </c>
    </row>
    <row r="1342" spans="1:16" ht="15" customHeight="1" x14ac:dyDescent="0.2">
      <c r="A1342" s="9" t="s">
        <v>2679</v>
      </c>
      <c r="B1342" s="9" t="s">
        <v>91</v>
      </c>
      <c r="C1342" s="9" t="b">
        <f>TRUE()</f>
        <v>1</v>
      </c>
      <c r="D1342" s="10">
        <v>45726</v>
      </c>
      <c r="E1342" s="10">
        <v>45717</v>
      </c>
      <c r="F1342" s="9" t="s">
        <v>1360</v>
      </c>
      <c r="G1342" s="11">
        <v>2307.31</v>
      </c>
      <c r="H1342" s="11">
        <v>62.61</v>
      </c>
      <c r="I1342" s="9" t="b">
        <f>TRUE()</f>
        <v>1</v>
      </c>
      <c r="J1342" s="9" t="s">
        <v>1361</v>
      </c>
      <c r="K1342" s="11">
        <v>62.61</v>
      </c>
      <c r="L1342" s="9" t="s">
        <v>20</v>
      </c>
      <c r="M1342" s="9" t="str">
        <f>IFERROR(INDEX(T_CleanCustomers[Sales_Rep_ID],MATCH(B1342,T_CleanCustomers[Customer_ID],0)),"Unmatched")</f>
        <v>REP003</v>
      </c>
      <c r="N1342" s="9" t="str">
        <f>IFERROR(INDEX(T_CleanCustomers[Channel],MATCH(B1342,T_CleanCustomers[Customer_ID],0)),"Unmatched")</f>
        <v>Digital</v>
      </c>
      <c r="O1342" s="9" t="str">
        <f>IFERROR(INDEX(T_CleanCustomers[Product],MATCH(B1342,T_CleanCustomers[Customer_ID],0)),"Unmatched")</f>
        <v>Fuel Card</v>
      </c>
      <c r="P1342" s="9" t="str">
        <f>IFERROR(INDEX(T_CleanCustomers[Customer_Segment],MATCH(B1342,T_CleanCustomers[Customer_ID],0)),"Unmatched")</f>
        <v>Unclassified</v>
      </c>
    </row>
    <row r="1343" spans="1:16" ht="15" customHeight="1" x14ac:dyDescent="0.2">
      <c r="A1343" s="9" t="s">
        <v>2680</v>
      </c>
      <c r="B1343" s="9" t="s">
        <v>91</v>
      </c>
      <c r="C1343" s="9" t="b">
        <f>TRUE()</f>
        <v>1</v>
      </c>
      <c r="D1343" s="10">
        <v>45732</v>
      </c>
      <c r="E1343" s="10">
        <v>45717</v>
      </c>
      <c r="F1343" s="9" t="s">
        <v>1360</v>
      </c>
      <c r="G1343" s="11">
        <v>2711.55</v>
      </c>
      <c r="H1343" s="11">
        <v>73.239999999999995</v>
      </c>
      <c r="I1343" s="9" t="b">
        <f>TRUE()</f>
        <v>1</v>
      </c>
      <c r="J1343" s="9" t="s">
        <v>1361</v>
      </c>
      <c r="K1343" s="11">
        <v>73.239999999999995</v>
      </c>
      <c r="L1343" s="9" t="s">
        <v>20</v>
      </c>
      <c r="M1343" s="9" t="str">
        <f>IFERROR(INDEX(T_CleanCustomers[Sales_Rep_ID],MATCH(B1343,T_CleanCustomers[Customer_ID],0)),"Unmatched")</f>
        <v>REP003</v>
      </c>
      <c r="N1343" s="9" t="str">
        <f>IFERROR(INDEX(T_CleanCustomers[Channel],MATCH(B1343,T_CleanCustomers[Customer_ID],0)),"Unmatched")</f>
        <v>Digital</v>
      </c>
      <c r="O1343" s="9" t="str">
        <f>IFERROR(INDEX(T_CleanCustomers[Product],MATCH(B1343,T_CleanCustomers[Customer_ID],0)),"Unmatched")</f>
        <v>Fuel Card</v>
      </c>
      <c r="P1343" s="9" t="str">
        <f>IFERROR(INDEX(T_CleanCustomers[Customer_Segment],MATCH(B1343,T_CleanCustomers[Customer_ID],0)),"Unmatched")</f>
        <v>Unclassified</v>
      </c>
    </row>
    <row r="1344" spans="1:16" ht="15" customHeight="1" x14ac:dyDescent="0.2">
      <c r="A1344" s="9" t="s">
        <v>2681</v>
      </c>
      <c r="B1344" s="9" t="s">
        <v>91</v>
      </c>
      <c r="C1344" s="9" t="b">
        <f>TRUE()</f>
        <v>1</v>
      </c>
      <c r="D1344" s="10">
        <v>45772</v>
      </c>
      <c r="E1344" s="10">
        <v>45748</v>
      </c>
      <c r="F1344" s="9" t="s">
        <v>1360</v>
      </c>
      <c r="G1344" s="11">
        <v>2465.41</v>
      </c>
      <c r="H1344" s="11">
        <v>70.33</v>
      </c>
      <c r="I1344" s="9" t="b">
        <f>TRUE()</f>
        <v>1</v>
      </c>
      <c r="J1344" s="9" t="s">
        <v>1361</v>
      </c>
      <c r="K1344" s="11">
        <v>70.33</v>
      </c>
      <c r="L1344" s="9" t="s">
        <v>20</v>
      </c>
      <c r="M1344" s="9" t="str">
        <f>IFERROR(INDEX(T_CleanCustomers[Sales_Rep_ID],MATCH(B1344,T_CleanCustomers[Customer_ID],0)),"Unmatched")</f>
        <v>REP003</v>
      </c>
      <c r="N1344" s="9" t="str">
        <f>IFERROR(INDEX(T_CleanCustomers[Channel],MATCH(B1344,T_CleanCustomers[Customer_ID],0)),"Unmatched")</f>
        <v>Digital</v>
      </c>
      <c r="O1344" s="9" t="str">
        <f>IFERROR(INDEX(T_CleanCustomers[Product],MATCH(B1344,T_CleanCustomers[Customer_ID],0)),"Unmatched")</f>
        <v>Fuel Card</v>
      </c>
      <c r="P1344" s="9" t="str">
        <f>IFERROR(INDEX(T_CleanCustomers[Customer_Segment],MATCH(B1344,T_CleanCustomers[Customer_ID],0)),"Unmatched")</f>
        <v>Unclassified</v>
      </c>
    </row>
    <row r="1345" spans="1:16" ht="15" customHeight="1" x14ac:dyDescent="0.2">
      <c r="A1345" s="9" t="s">
        <v>2682</v>
      </c>
      <c r="B1345" s="9" t="s">
        <v>91</v>
      </c>
      <c r="C1345" s="9" t="b">
        <f>TRUE()</f>
        <v>1</v>
      </c>
      <c r="D1345" s="10">
        <v>45764</v>
      </c>
      <c r="E1345" s="10">
        <v>45748</v>
      </c>
      <c r="F1345" s="9" t="s">
        <v>1360</v>
      </c>
      <c r="G1345" s="11">
        <v>3333.72</v>
      </c>
      <c r="H1345" s="11">
        <v>80.040000000000006</v>
      </c>
      <c r="I1345" s="9" t="b">
        <f>TRUE()</f>
        <v>1</v>
      </c>
      <c r="J1345" s="9" t="s">
        <v>1361</v>
      </c>
      <c r="K1345" s="11">
        <v>80.040000000000006</v>
      </c>
      <c r="L1345" s="9" t="s">
        <v>20</v>
      </c>
      <c r="M1345" s="9" t="str">
        <f>IFERROR(INDEX(T_CleanCustomers[Sales_Rep_ID],MATCH(B1345,T_CleanCustomers[Customer_ID],0)),"Unmatched")</f>
        <v>REP003</v>
      </c>
      <c r="N1345" s="9" t="str">
        <f>IFERROR(INDEX(T_CleanCustomers[Channel],MATCH(B1345,T_CleanCustomers[Customer_ID],0)),"Unmatched")</f>
        <v>Digital</v>
      </c>
      <c r="O1345" s="9" t="str">
        <f>IFERROR(INDEX(T_CleanCustomers[Product],MATCH(B1345,T_CleanCustomers[Customer_ID],0)),"Unmatched")</f>
        <v>Fuel Card</v>
      </c>
      <c r="P1345" s="9" t="str">
        <f>IFERROR(INDEX(T_CleanCustomers[Customer_Segment],MATCH(B1345,T_CleanCustomers[Customer_ID],0)),"Unmatched")</f>
        <v>Unclassified</v>
      </c>
    </row>
    <row r="1346" spans="1:16" ht="15" customHeight="1" x14ac:dyDescent="0.2">
      <c r="A1346" s="9" t="s">
        <v>2683</v>
      </c>
      <c r="B1346" s="9" t="s">
        <v>91</v>
      </c>
      <c r="C1346" s="9" t="b">
        <f>TRUE()</f>
        <v>1</v>
      </c>
      <c r="D1346" s="10">
        <v>45800</v>
      </c>
      <c r="E1346" s="10">
        <v>45778</v>
      </c>
      <c r="F1346" s="9" t="s">
        <v>1360</v>
      </c>
      <c r="G1346" s="11">
        <v>2484.21</v>
      </c>
      <c r="H1346" s="11">
        <v>67.150000000000006</v>
      </c>
      <c r="I1346" s="9" t="b">
        <f>TRUE()</f>
        <v>1</v>
      </c>
      <c r="J1346" s="9" t="s">
        <v>1361</v>
      </c>
      <c r="K1346" s="11">
        <v>67.150000000000006</v>
      </c>
      <c r="L1346" s="9" t="s">
        <v>20</v>
      </c>
      <c r="M1346" s="9" t="str">
        <f>IFERROR(INDEX(T_CleanCustomers[Sales_Rep_ID],MATCH(B1346,T_CleanCustomers[Customer_ID],0)),"Unmatched")</f>
        <v>REP003</v>
      </c>
      <c r="N1346" s="9" t="str">
        <f>IFERROR(INDEX(T_CleanCustomers[Channel],MATCH(B1346,T_CleanCustomers[Customer_ID],0)),"Unmatched")</f>
        <v>Digital</v>
      </c>
      <c r="O1346" s="9" t="str">
        <f>IFERROR(INDEX(T_CleanCustomers[Product],MATCH(B1346,T_CleanCustomers[Customer_ID],0)),"Unmatched")</f>
        <v>Fuel Card</v>
      </c>
      <c r="P1346" s="9" t="str">
        <f>IFERROR(INDEX(T_CleanCustomers[Customer_Segment],MATCH(B1346,T_CleanCustomers[Customer_ID],0)),"Unmatched")</f>
        <v>Unclassified</v>
      </c>
    </row>
    <row r="1347" spans="1:16" ht="15" customHeight="1" x14ac:dyDescent="0.2">
      <c r="A1347" s="9" t="s">
        <v>2684</v>
      </c>
      <c r="B1347" s="9" t="s">
        <v>91</v>
      </c>
      <c r="C1347" s="9" t="b">
        <f>TRUE()</f>
        <v>1</v>
      </c>
      <c r="D1347" s="10">
        <v>45803</v>
      </c>
      <c r="E1347" s="10">
        <v>45778</v>
      </c>
      <c r="F1347" s="9" t="s">
        <v>1360</v>
      </c>
      <c r="G1347" s="11">
        <v>2998.69</v>
      </c>
      <c r="H1347" s="11">
        <v>66.14</v>
      </c>
      <c r="I1347" s="9" t="b">
        <f>TRUE()</f>
        <v>1</v>
      </c>
      <c r="J1347" s="9" t="s">
        <v>1361</v>
      </c>
      <c r="K1347" s="11">
        <v>66.14</v>
      </c>
      <c r="L1347" s="9" t="s">
        <v>20</v>
      </c>
      <c r="M1347" s="9" t="str">
        <f>IFERROR(INDEX(T_CleanCustomers[Sales_Rep_ID],MATCH(B1347,T_CleanCustomers[Customer_ID],0)),"Unmatched")</f>
        <v>REP003</v>
      </c>
      <c r="N1347" s="9" t="str">
        <f>IFERROR(INDEX(T_CleanCustomers[Channel],MATCH(B1347,T_CleanCustomers[Customer_ID],0)),"Unmatched")</f>
        <v>Digital</v>
      </c>
      <c r="O1347" s="9" t="str">
        <f>IFERROR(INDEX(T_CleanCustomers[Product],MATCH(B1347,T_CleanCustomers[Customer_ID],0)),"Unmatched")</f>
        <v>Fuel Card</v>
      </c>
      <c r="P1347" s="9" t="str">
        <f>IFERROR(INDEX(T_CleanCustomers[Customer_Segment],MATCH(B1347,T_CleanCustomers[Customer_ID],0)),"Unmatched")</f>
        <v>Unclassified</v>
      </c>
    </row>
    <row r="1348" spans="1:16" ht="15" customHeight="1" x14ac:dyDescent="0.2">
      <c r="A1348" s="9" t="s">
        <v>2685</v>
      </c>
      <c r="B1348" s="9" t="s">
        <v>91</v>
      </c>
      <c r="C1348" s="9" t="b">
        <f>TRUE()</f>
        <v>1</v>
      </c>
      <c r="D1348" s="10">
        <v>45833</v>
      </c>
      <c r="E1348" s="10">
        <v>45809</v>
      </c>
      <c r="F1348" s="9" t="s">
        <v>1360</v>
      </c>
      <c r="G1348" s="11">
        <v>3245.62</v>
      </c>
      <c r="H1348" s="11">
        <v>69.48</v>
      </c>
      <c r="I1348" s="9" t="b">
        <f>TRUE()</f>
        <v>1</v>
      </c>
      <c r="J1348" s="9" t="s">
        <v>1361</v>
      </c>
      <c r="K1348" s="11">
        <v>69.48</v>
      </c>
      <c r="L1348" s="9" t="s">
        <v>20</v>
      </c>
      <c r="M1348" s="9" t="str">
        <f>IFERROR(INDEX(T_CleanCustomers[Sales_Rep_ID],MATCH(B1348,T_CleanCustomers[Customer_ID],0)),"Unmatched")</f>
        <v>REP003</v>
      </c>
      <c r="N1348" s="9" t="str">
        <f>IFERROR(INDEX(T_CleanCustomers[Channel],MATCH(B1348,T_CleanCustomers[Customer_ID],0)),"Unmatched")</f>
        <v>Digital</v>
      </c>
      <c r="O1348" s="9" t="str">
        <f>IFERROR(INDEX(T_CleanCustomers[Product],MATCH(B1348,T_CleanCustomers[Customer_ID],0)),"Unmatched")</f>
        <v>Fuel Card</v>
      </c>
      <c r="P1348" s="9" t="str">
        <f>IFERROR(INDEX(T_CleanCustomers[Customer_Segment],MATCH(B1348,T_CleanCustomers[Customer_ID],0)),"Unmatched")</f>
        <v>Unclassified</v>
      </c>
    </row>
    <row r="1349" spans="1:16" ht="15" customHeight="1" x14ac:dyDescent="0.2">
      <c r="A1349" s="9" t="s">
        <v>2686</v>
      </c>
      <c r="B1349" s="9" t="s">
        <v>91</v>
      </c>
      <c r="C1349" s="9" t="b">
        <f>TRUE()</f>
        <v>1</v>
      </c>
      <c r="D1349" s="10">
        <v>45821</v>
      </c>
      <c r="E1349" s="10">
        <v>45809</v>
      </c>
      <c r="F1349" s="9" t="s">
        <v>1360</v>
      </c>
      <c r="G1349" s="11">
        <v>2492.8000000000002</v>
      </c>
      <c r="H1349" s="11">
        <v>60.75</v>
      </c>
      <c r="I1349" s="9" t="b">
        <f>TRUE()</f>
        <v>1</v>
      </c>
      <c r="J1349" s="9" t="s">
        <v>1361</v>
      </c>
      <c r="K1349" s="11">
        <v>60.75</v>
      </c>
      <c r="L1349" s="9" t="s">
        <v>20</v>
      </c>
      <c r="M1349" s="9" t="str">
        <f>IFERROR(INDEX(T_CleanCustomers[Sales_Rep_ID],MATCH(B1349,T_CleanCustomers[Customer_ID],0)),"Unmatched")</f>
        <v>REP003</v>
      </c>
      <c r="N1349" s="9" t="str">
        <f>IFERROR(INDEX(T_CleanCustomers[Channel],MATCH(B1349,T_CleanCustomers[Customer_ID],0)),"Unmatched")</f>
        <v>Digital</v>
      </c>
      <c r="O1349" s="9" t="str">
        <f>IFERROR(INDEX(T_CleanCustomers[Product],MATCH(B1349,T_CleanCustomers[Customer_ID],0)),"Unmatched")</f>
        <v>Fuel Card</v>
      </c>
      <c r="P1349" s="9" t="str">
        <f>IFERROR(INDEX(T_CleanCustomers[Customer_Segment],MATCH(B1349,T_CleanCustomers[Customer_ID],0)),"Unmatched")</f>
        <v>Unclassified</v>
      </c>
    </row>
    <row r="1350" spans="1:16" ht="15" customHeight="1" x14ac:dyDescent="0.2">
      <c r="A1350" s="9" t="s">
        <v>2687</v>
      </c>
      <c r="B1350" s="9" t="s">
        <v>91</v>
      </c>
      <c r="C1350" s="9" t="b">
        <f>TRUE()</f>
        <v>1</v>
      </c>
      <c r="D1350" s="10">
        <v>45849</v>
      </c>
      <c r="E1350" s="10">
        <v>45839</v>
      </c>
      <c r="F1350" s="9" t="s">
        <v>1360</v>
      </c>
      <c r="G1350" s="11">
        <v>2302.2399999999998</v>
      </c>
      <c r="H1350" s="11">
        <v>52.31</v>
      </c>
      <c r="I1350" s="9" t="b">
        <f>TRUE()</f>
        <v>1</v>
      </c>
      <c r="J1350" s="9" t="s">
        <v>1361</v>
      </c>
      <c r="K1350" s="11">
        <v>52.31</v>
      </c>
      <c r="L1350" s="9" t="s">
        <v>20</v>
      </c>
      <c r="M1350" s="9" t="str">
        <f>IFERROR(INDEX(T_CleanCustomers[Sales_Rep_ID],MATCH(B1350,T_CleanCustomers[Customer_ID],0)),"Unmatched")</f>
        <v>REP003</v>
      </c>
      <c r="N1350" s="9" t="str">
        <f>IFERROR(INDEX(T_CleanCustomers[Channel],MATCH(B1350,T_CleanCustomers[Customer_ID],0)),"Unmatched")</f>
        <v>Digital</v>
      </c>
      <c r="O1350" s="9" t="str">
        <f>IFERROR(INDEX(T_CleanCustomers[Product],MATCH(B1350,T_CleanCustomers[Customer_ID],0)),"Unmatched")</f>
        <v>Fuel Card</v>
      </c>
      <c r="P1350" s="9" t="str">
        <f>IFERROR(INDEX(T_CleanCustomers[Customer_Segment],MATCH(B1350,T_CleanCustomers[Customer_ID],0)),"Unmatched")</f>
        <v>Unclassified</v>
      </c>
    </row>
    <row r="1351" spans="1:16" ht="15" customHeight="1" x14ac:dyDescent="0.2">
      <c r="A1351" s="9" t="s">
        <v>2688</v>
      </c>
      <c r="B1351" s="9" t="s">
        <v>91</v>
      </c>
      <c r="C1351" s="9" t="b">
        <f>TRUE()</f>
        <v>1</v>
      </c>
      <c r="D1351" s="10">
        <v>45850</v>
      </c>
      <c r="E1351" s="10">
        <v>45839</v>
      </c>
      <c r="F1351" s="9" t="s">
        <v>1360</v>
      </c>
      <c r="G1351" s="11">
        <v>1949.84</v>
      </c>
      <c r="H1351" s="11">
        <v>46.17</v>
      </c>
      <c r="I1351" s="9" t="b">
        <f>TRUE()</f>
        <v>1</v>
      </c>
      <c r="J1351" s="9" t="s">
        <v>1361</v>
      </c>
      <c r="K1351" s="11">
        <v>46.17</v>
      </c>
      <c r="L1351" s="9" t="s">
        <v>20</v>
      </c>
      <c r="M1351" s="9" t="str">
        <f>IFERROR(INDEX(T_CleanCustomers[Sales_Rep_ID],MATCH(B1351,T_CleanCustomers[Customer_ID],0)),"Unmatched")</f>
        <v>REP003</v>
      </c>
      <c r="N1351" s="9" t="str">
        <f>IFERROR(INDEX(T_CleanCustomers[Channel],MATCH(B1351,T_CleanCustomers[Customer_ID],0)),"Unmatched")</f>
        <v>Digital</v>
      </c>
      <c r="O1351" s="9" t="str">
        <f>IFERROR(INDEX(T_CleanCustomers[Product],MATCH(B1351,T_CleanCustomers[Customer_ID],0)),"Unmatched")</f>
        <v>Fuel Card</v>
      </c>
      <c r="P1351" s="9" t="str">
        <f>IFERROR(INDEX(T_CleanCustomers[Customer_Segment],MATCH(B1351,T_CleanCustomers[Customer_ID],0)),"Unmatched")</f>
        <v>Unclassified</v>
      </c>
    </row>
    <row r="1352" spans="1:16" ht="15" customHeight="1" x14ac:dyDescent="0.2">
      <c r="A1352" s="9" t="s">
        <v>2689</v>
      </c>
      <c r="B1352" s="9" t="s">
        <v>91</v>
      </c>
      <c r="C1352" s="9" t="b">
        <f>TRUE()</f>
        <v>1</v>
      </c>
      <c r="D1352" s="10">
        <v>45883</v>
      </c>
      <c r="E1352" s="10">
        <v>45870</v>
      </c>
      <c r="F1352" s="9" t="s">
        <v>1360</v>
      </c>
      <c r="G1352" s="11">
        <v>1290.04</v>
      </c>
      <c r="H1352" s="11">
        <v>30.18</v>
      </c>
      <c r="I1352" s="9" t="b">
        <f>TRUE()</f>
        <v>1</v>
      </c>
      <c r="J1352" s="9" t="s">
        <v>1361</v>
      </c>
      <c r="K1352" s="11">
        <v>30.18</v>
      </c>
      <c r="L1352" s="9" t="s">
        <v>20</v>
      </c>
      <c r="M1352" s="9" t="str">
        <f>IFERROR(INDEX(T_CleanCustomers[Sales_Rep_ID],MATCH(B1352,T_CleanCustomers[Customer_ID],0)),"Unmatched")</f>
        <v>REP003</v>
      </c>
      <c r="N1352" s="9" t="str">
        <f>IFERROR(INDEX(T_CleanCustomers[Channel],MATCH(B1352,T_CleanCustomers[Customer_ID],0)),"Unmatched")</f>
        <v>Digital</v>
      </c>
      <c r="O1352" s="9" t="str">
        <f>IFERROR(INDEX(T_CleanCustomers[Product],MATCH(B1352,T_CleanCustomers[Customer_ID],0)),"Unmatched")</f>
        <v>Fuel Card</v>
      </c>
      <c r="P1352" s="9" t="str">
        <f>IFERROR(INDEX(T_CleanCustomers[Customer_Segment],MATCH(B1352,T_CleanCustomers[Customer_ID],0)),"Unmatched")</f>
        <v>Unclassified</v>
      </c>
    </row>
    <row r="1353" spans="1:16" ht="15" customHeight="1" x14ac:dyDescent="0.2">
      <c r="A1353" s="9" t="s">
        <v>2690</v>
      </c>
      <c r="B1353" s="9" t="s">
        <v>91</v>
      </c>
      <c r="C1353" s="9" t="b">
        <f>TRUE()</f>
        <v>1</v>
      </c>
      <c r="D1353" s="10">
        <v>45878</v>
      </c>
      <c r="E1353" s="10">
        <v>45870</v>
      </c>
      <c r="F1353" s="9" t="s">
        <v>1360</v>
      </c>
      <c r="G1353" s="11">
        <v>4756.8</v>
      </c>
      <c r="H1353" s="11">
        <v>128.01</v>
      </c>
      <c r="I1353" s="9" t="b">
        <f>TRUE()</f>
        <v>1</v>
      </c>
      <c r="J1353" s="9" t="s">
        <v>1361</v>
      </c>
      <c r="K1353" s="11">
        <v>128.01</v>
      </c>
      <c r="L1353" s="9" t="s">
        <v>20</v>
      </c>
      <c r="M1353" s="9" t="str">
        <f>IFERROR(INDEX(T_CleanCustomers[Sales_Rep_ID],MATCH(B1353,T_CleanCustomers[Customer_ID],0)),"Unmatched")</f>
        <v>REP003</v>
      </c>
      <c r="N1353" s="9" t="str">
        <f>IFERROR(INDEX(T_CleanCustomers[Channel],MATCH(B1353,T_CleanCustomers[Customer_ID],0)),"Unmatched")</f>
        <v>Digital</v>
      </c>
      <c r="O1353" s="9" t="str">
        <f>IFERROR(INDEX(T_CleanCustomers[Product],MATCH(B1353,T_CleanCustomers[Customer_ID],0)),"Unmatched")</f>
        <v>Fuel Card</v>
      </c>
      <c r="P1353" s="9" t="str">
        <f>IFERROR(INDEX(T_CleanCustomers[Customer_Segment],MATCH(B1353,T_CleanCustomers[Customer_ID],0)),"Unmatched")</f>
        <v>Unclassified</v>
      </c>
    </row>
    <row r="1354" spans="1:16" ht="15" customHeight="1" x14ac:dyDescent="0.2">
      <c r="A1354" s="9" t="s">
        <v>2691</v>
      </c>
      <c r="B1354" s="9" t="s">
        <v>91</v>
      </c>
      <c r="C1354" s="9" t="b">
        <f>TRUE()</f>
        <v>1</v>
      </c>
      <c r="D1354" s="10">
        <v>45896</v>
      </c>
      <c r="E1354" s="10">
        <v>45870</v>
      </c>
      <c r="F1354" s="9" t="s">
        <v>1360</v>
      </c>
      <c r="G1354" s="11">
        <v>4891.6400000000003</v>
      </c>
      <c r="H1354" s="11">
        <v>111.74</v>
      </c>
      <c r="I1354" s="9" t="b">
        <f>TRUE()</f>
        <v>1</v>
      </c>
      <c r="J1354" s="9" t="s">
        <v>1361</v>
      </c>
      <c r="K1354" s="11">
        <v>111.74</v>
      </c>
      <c r="L1354" s="9" t="s">
        <v>20</v>
      </c>
      <c r="M1354" s="9" t="str">
        <f>IFERROR(INDEX(T_CleanCustomers[Sales_Rep_ID],MATCH(B1354,T_CleanCustomers[Customer_ID],0)),"Unmatched")</f>
        <v>REP003</v>
      </c>
      <c r="N1354" s="9" t="str">
        <f>IFERROR(INDEX(T_CleanCustomers[Channel],MATCH(B1354,T_CleanCustomers[Customer_ID],0)),"Unmatched")</f>
        <v>Digital</v>
      </c>
      <c r="O1354" s="9" t="str">
        <f>IFERROR(INDEX(T_CleanCustomers[Product],MATCH(B1354,T_CleanCustomers[Customer_ID],0)),"Unmatched")</f>
        <v>Fuel Card</v>
      </c>
      <c r="P1354" s="9" t="str">
        <f>IFERROR(INDEX(T_CleanCustomers[Customer_Segment],MATCH(B1354,T_CleanCustomers[Customer_ID],0)),"Unmatched")</f>
        <v>Unclassified</v>
      </c>
    </row>
    <row r="1355" spans="1:16" ht="15" customHeight="1" x14ac:dyDescent="0.2">
      <c r="A1355" s="9" t="s">
        <v>2692</v>
      </c>
      <c r="B1355" s="9" t="s">
        <v>91</v>
      </c>
      <c r="C1355" s="9" t="b">
        <f>TRUE()</f>
        <v>1</v>
      </c>
      <c r="D1355" s="10">
        <v>45913</v>
      </c>
      <c r="E1355" s="10">
        <v>45901</v>
      </c>
      <c r="F1355" s="9" t="s">
        <v>1360</v>
      </c>
      <c r="G1355" s="11">
        <v>3845.87</v>
      </c>
      <c r="H1355" s="11">
        <v>93.26</v>
      </c>
      <c r="I1355" s="9" t="b">
        <f>TRUE()</f>
        <v>1</v>
      </c>
      <c r="J1355" s="9" t="s">
        <v>1361</v>
      </c>
      <c r="K1355" s="11">
        <v>93.26</v>
      </c>
      <c r="L1355" s="9" t="s">
        <v>20</v>
      </c>
      <c r="M1355" s="9" t="str">
        <f>IFERROR(INDEX(T_CleanCustomers[Sales_Rep_ID],MATCH(B1355,T_CleanCustomers[Customer_ID],0)),"Unmatched")</f>
        <v>REP003</v>
      </c>
      <c r="N1355" s="9" t="str">
        <f>IFERROR(INDEX(T_CleanCustomers[Channel],MATCH(B1355,T_CleanCustomers[Customer_ID],0)),"Unmatched")</f>
        <v>Digital</v>
      </c>
      <c r="O1355" s="9" t="str">
        <f>IFERROR(INDEX(T_CleanCustomers[Product],MATCH(B1355,T_CleanCustomers[Customer_ID],0)),"Unmatched")</f>
        <v>Fuel Card</v>
      </c>
      <c r="P1355" s="9" t="str">
        <f>IFERROR(INDEX(T_CleanCustomers[Customer_Segment],MATCH(B1355,T_CleanCustomers[Customer_ID],0)),"Unmatched")</f>
        <v>Unclassified</v>
      </c>
    </row>
    <row r="1356" spans="1:16" ht="15" customHeight="1" x14ac:dyDescent="0.2">
      <c r="A1356" s="9" t="s">
        <v>2693</v>
      </c>
      <c r="B1356" s="9" t="s">
        <v>91</v>
      </c>
      <c r="C1356" s="9" t="b">
        <f>TRUE()</f>
        <v>1</v>
      </c>
      <c r="D1356" s="10">
        <v>45925</v>
      </c>
      <c r="E1356" s="10">
        <v>45901</v>
      </c>
      <c r="F1356" s="9" t="s">
        <v>1360</v>
      </c>
      <c r="G1356" s="11">
        <v>5039.3100000000004</v>
      </c>
      <c r="H1356" s="11">
        <v>110.81</v>
      </c>
      <c r="I1356" s="9" t="b">
        <f>TRUE()</f>
        <v>1</v>
      </c>
      <c r="J1356" s="9" t="s">
        <v>1361</v>
      </c>
      <c r="K1356" s="11">
        <v>110.81</v>
      </c>
      <c r="L1356" s="9" t="s">
        <v>20</v>
      </c>
      <c r="M1356" s="9" t="str">
        <f>IFERROR(INDEX(T_CleanCustomers[Sales_Rep_ID],MATCH(B1356,T_CleanCustomers[Customer_ID],0)),"Unmatched")</f>
        <v>REP003</v>
      </c>
      <c r="N1356" s="9" t="str">
        <f>IFERROR(INDEX(T_CleanCustomers[Channel],MATCH(B1356,T_CleanCustomers[Customer_ID],0)),"Unmatched")</f>
        <v>Digital</v>
      </c>
      <c r="O1356" s="9" t="str">
        <f>IFERROR(INDEX(T_CleanCustomers[Product],MATCH(B1356,T_CleanCustomers[Customer_ID],0)),"Unmatched")</f>
        <v>Fuel Card</v>
      </c>
      <c r="P1356" s="9" t="str">
        <f>IFERROR(INDEX(T_CleanCustomers[Customer_Segment],MATCH(B1356,T_CleanCustomers[Customer_ID],0)),"Unmatched")</f>
        <v>Unclassified</v>
      </c>
    </row>
    <row r="1357" spans="1:16" ht="15" customHeight="1" x14ac:dyDescent="0.2">
      <c r="A1357" s="9" t="s">
        <v>2694</v>
      </c>
      <c r="B1357" s="9" t="s">
        <v>91</v>
      </c>
      <c r="C1357" s="9" t="b">
        <f>TRUE()</f>
        <v>1</v>
      </c>
      <c r="D1357" s="10">
        <v>45920</v>
      </c>
      <c r="E1357" s="10">
        <v>45901</v>
      </c>
      <c r="F1357" s="9" t="s">
        <v>1360</v>
      </c>
      <c r="G1357" s="11">
        <v>2106.9299999999998</v>
      </c>
      <c r="H1357" s="11">
        <v>49.71</v>
      </c>
      <c r="I1357" s="9" t="b">
        <f>TRUE()</f>
        <v>1</v>
      </c>
      <c r="J1357" s="9" t="s">
        <v>1361</v>
      </c>
      <c r="K1357" s="11">
        <v>49.71</v>
      </c>
      <c r="L1357" s="9" t="s">
        <v>20</v>
      </c>
      <c r="M1357" s="9" t="str">
        <f>IFERROR(INDEX(T_CleanCustomers[Sales_Rep_ID],MATCH(B1357,T_CleanCustomers[Customer_ID],0)),"Unmatched")</f>
        <v>REP003</v>
      </c>
      <c r="N1357" s="9" t="str">
        <f>IFERROR(INDEX(T_CleanCustomers[Channel],MATCH(B1357,T_CleanCustomers[Customer_ID],0)),"Unmatched")</f>
        <v>Digital</v>
      </c>
      <c r="O1357" s="9" t="str">
        <f>IFERROR(INDEX(T_CleanCustomers[Product],MATCH(B1357,T_CleanCustomers[Customer_ID],0)),"Unmatched")</f>
        <v>Fuel Card</v>
      </c>
      <c r="P1357" s="9" t="str">
        <f>IFERROR(INDEX(T_CleanCustomers[Customer_Segment],MATCH(B1357,T_CleanCustomers[Customer_ID],0)),"Unmatched")</f>
        <v>Unclassified</v>
      </c>
    </row>
    <row r="1358" spans="1:16" ht="15" customHeight="1" x14ac:dyDescent="0.2">
      <c r="A1358" s="9" t="s">
        <v>2695</v>
      </c>
      <c r="B1358" s="9" t="s">
        <v>91</v>
      </c>
      <c r="C1358" s="9" t="b">
        <f>TRUE()</f>
        <v>1</v>
      </c>
      <c r="D1358" s="10">
        <v>45935</v>
      </c>
      <c r="E1358" s="10">
        <v>45931</v>
      </c>
      <c r="F1358" s="9" t="s">
        <v>1360</v>
      </c>
      <c r="G1358" s="11">
        <v>3525.92</v>
      </c>
      <c r="H1358" s="11">
        <v>95.53</v>
      </c>
      <c r="I1358" s="9" t="b">
        <f>TRUE()</f>
        <v>1</v>
      </c>
      <c r="J1358" s="9" t="s">
        <v>1361</v>
      </c>
      <c r="K1358" s="11">
        <v>95.53</v>
      </c>
      <c r="L1358" s="9" t="s">
        <v>20</v>
      </c>
      <c r="M1358" s="9" t="str">
        <f>IFERROR(INDEX(T_CleanCustomers[Sales_Rep_ID],MATCH(B1358,T_CleanCustomers[Customer_ID],0)),"Unmatched")</f>
        <v>REP003</v>
      </c>
      <c r="N1358" s="9" t="str">
        <f>IFERROR(INDEX(T_CleanCustomers[Channel],MATCH(B1358,T_CleanCustomers[Customer_ID],0)),"Unmatched")</f>
        <v>Digital</v>
      </c>
      <c r="O1358" s="9" t="str">
        <f>IFERROR(INDEX(T_CleanCustomers[Product],MATCH(B1358,T_CleanCustomers[Customer_ID],0)),"Unmatched")</f>
        <v>Fuel Card</v>
      </c>
      <c r="P1358" s="9" t="str">
        <f>IFERROR(INDEX(T_CleanCustomers[Customer_Segment],MATCH(B1358,T_CleanCustomers[Customer_ID],0)),"Unmatched")</f>
        <v>Unclassified</v>
      </c>
    </row>
    <row r="1359" spans="1:16" ht="15" customHeight="1" x14ac:dyDescent="0.2">
      <c r="A1359" s="9" t="s">
        <v>2696</v>
      </c>
      <c r="B1359" s="9" t="s">
        <v>91</v>
      </c>
      <c r="C1359" s="9" t="b">
        <f>TRUE()</f>
        <v>1</v>
      </c>
      <c r="D1359" s="10">
        <v>45945</v>
      </c>
      <c r="E1359" s="10">
        <v>45931</v>
      </c>
      <c r="F1359" s="9" t="s">
        <v>1360</v>
      </c>
      <c r="G1359" s="11">
        <v>2403.81</v>
      </c>
      <c r="H1359" s="11">
        <v>0</v>
      </c>
      <c r="I1359" s="9" t="b">
        <f>TRUE()</f>
        <v>1</v>
      </c>
      <c r="J1359" s="9" t="s">
        <v>1408</v>
      </c>
      <c r="K1359" s="11">
        <v>0</v>
      </c>
      <c r="L1359" s="9" t="s">
        <v>20</v>
      </c>
      <c r="M1359" s="9" t="str">
        <f>IFERROR(INDEX(T_CleanCustomers[Sales_Rep_ID],MATCH(B1359,T_CleanCustomers[Customer_ID],0)),"Unmatched")</f>
        <v>REP003</v>
      </c>
      <c r="N1359" s="9" t="str">
        <f>IFERROR(INDEX(T_CleanCustomers[Channel],MATCH(B1359,T_CleanCustomers[Customer_ID],0)),"Unmatched")</f>
        <v>Digital</v>
      </c>
      <c r="O1359" s="9" t="str">
        <f>IFERROR(INDEX(T_CleanCustomers[Product],MATCH(B1359,T_CleanCustomers[Customer_ID],0)),"Unmatched")</f>
        <v>Fuel Card</v>
      </c>
      <c r="P1359" s="9" t="str">
        <f>IFERROR(INDEX(T_CleanCustomers[Customer_Segment],MATCH(B1359,T_CleanCustomers[Customer_ID],0)),"Unmatched")</f>
        <v>Unclassified</v>
      </c>
    </row>
    <row r="1360" spans="1:16" ht="15" customHeight="1" x14ac:dyDescent="0.2">
      <c r="A1360" s="9" t="s">
        <v>2697</v>
      </c>
      <c r="B1360" s="9" t="s">
        <v>91</v>
      </c>
      <c r="C1360" s="9" t="b">
        <f>TRUE()</f>
        <v>1</v>
      </c>
      <c r="D1360" s="10">
        <v>45933</v>
      </c>
      <c r="E1360" s="10">
        <v>45931</v>
      </c>
      <c r="F1360" s="9" t="s">
        <v>1360</v>
      </c>
      <c r="G1360" s="11">
        <v>4877.25</v>
      </c>
      <c r="H1360" s="11">
        <v>130.57</v>
      </c>
      <c r="I1360" s="9" t="b">
        <f>TRUE()</f>
        <v>1</v>
      </c>
      <c r="J1360" s="9" t="s">
        <v>1361</v>
      </c>
      <c r="K1360" s="11">
        <v>130.57</v>
      </c>
      <c r="L1360" s="9" t="s">
        <v>20</v>
      </c>
      <c r="M1360" s="9" t="str">
        <f>IFERROR(INDEX(T_CleanCustomers[Sales_Rep_ID],MATCH(B1360,T_CleanCustomers[Customer_ID],0)),"Unmatched")</f>
        <v>REP003</v>
      </c>
      <c r="N1360" s="9" t="str">
        <f>IFERROR(INDEX(T_CleanCustomers[Channel],MATCH(B1360,T_CleanCustomers[Customer_ID],0)),"Unmatched")</f>
        <v>Digital</v>
      </c>
      <c r="O1360" s="9" t="str">
        <f>IFERROR(INDEX(T_CleanCustomers[Product],MATCH(B1360,T_CleanCustomers[Customer_ID],0)),"Unmatched")</f>
        <v>Fuel Card</v>
      </c>
      <c r="P1360" s="9" t="str">
        <f>IFERROR(INDEX(T_CleanCustomers[Customer_Segment],MATCH(B1360,T_CleanCustomers[Customer_ID],0)),"Unmatched")</f>
        <v>Unclassified</v>
      </c>
    </row>
    <row r="1361" spans="1:16" ht="15" customHeight="1" x14ac:dyDescent="0.2">
      <c r="A1361" s="9" t="s">
        <v>2698</v>
      </c>
      <c r="B1361" s="9" t="s">
        <v>91</v>
      </c>
      <c r="C1361" s="9" t="b">
        <f>TRUE()</f>
        <v>1</v>
      </c>
      <c r="D1361" s="10">
        <v>45974</v>
      </c>
      <c r="E1361" s="10">
        <v>45962</v>
      </c>
      <c r="F1361" s="9" t="s">
        <v>1360</v>
      </c>
      <c r="G1361" s="11">
        <v>2960.02</v>
      </c>
      <c r="H1361" s="11">
        <v>74.81</v>
      </c>
      <c r="I1361" s="9" t="b">
        <f>TRUE()</f>
        <v>1</v>
      </c>
      <c r="J1361" s="9" t="s">
        <v>1361</v>
      </c>
      <c r="K1361" s="11">
        <v>74.81</v>
      </c>
      <c r="L1361" s="9" t="s">
        <v>20</v>
      </c>
      <c r="M1361" s="9" t="str">
        <f>IFERROR(INDEX(T_CleanCustomers[Sales_Rep_ID],MATCH(B1361,T_CleanCustomers[Customer_ID],0)),"Unmatched")</f>
        <v>REP003</v>
      </c>
      <c r="N1361" s="9" t="str">
        <f>IFERROR(INDEX(T_CleanCustomers[Channel],MATCH(B1361,T_CleanCustomers[Customer_ID],0)),"Unmatched")</f>
        <v>Digital</v>
      </c>
      <c r="O1361" s="9" t="str">
        <f>IFERROR(INDEX(T_CleanCustomers[Product],MATCH(B1361,T_CleanCustomers[Customer_ID],0)),"Unmatched")</f>
        <v>Fuel Card</v>
      </c>
      <c r="P1361" s="9" t="str">
        <f>IFERROR(INDEX(T_CleanCustomers[Customer_Segment],MATCH(B1361,T_CleanCustomers[Customer_ID],0)),"Unmatched")</f>
        <v>Unclassified</v>
      </c>
    </row>
    <row r="1362" spans="1:16" ht="15" customHeight="1" x14ac:dyDescent="0.2">
      <c r="A1362" s="9" t="s">
        <v>2699</v>
      </c>
      <c r="B1362" s="9" t="s">
        <v>91</v>
      </c>
      <c r="C1362" s="9" t="b">
        <f>TRUE()</f>
        <v>1</v>
      </c>
      <c r="D1362" s="10">
        <v>46009</v>
      </c>
      <c r="E1362" s="10">
        <v>45992</v>
      </c>
      <c r="F1362" s="9" t="s">
        <v>1360</v>
      </c>
      <c r="G1362" s="11">
        <v>5039.82</v>
      </c>
      <c r="H1362" s="11">
        <v>129.33000000000001</v>
      </c>
      <c r="I1362" s="9" t="b">
        <f>TRUE()</f>
        <v>1</v>
      </c>
      <c r="J1362" s="9" t="s">
        <v>1361</v>
      </c>
      <c r="K1362" s="11">
        <v>129.33000000000001</v>
      </c>
      <c r="L1362" s="9" t="s">
        <v>20</v>
      </c>
      <c r="M1362" s="9" t="str">
        <f>IFERROR(INDEX(T_CleanCustomers[Sales_Rep_ID],MATCH(B1362,T_CleanCustomers[Customer_ID],0)),"Unmatched")</f>
        <v>REP003</v>
      </c>
      <c r="N1362" s="9" t="str">
        <f>IFERROR(INDEX(T_CleanCustomers[Channel],MATCH(B1362,T_CleanCustomers[Customer_ID],0)),"Unmatched")</f>
        <v>Digital</v>
      </c>
      <c r="O1362" s="9" t="str">
        <f>IFERROR(INDEX(T_CleanCustomers[Product],MATCH(B1362,T_CleanCustomers[Customer_ID],0)),"Unmatched")</f>
        <v>Fuel Card</v>
      </c>
      <c r="P1362" s="9" t="str">
        <f>IFERROR(INDEX(T_CleanCustomers[Customer_Segment],MATCH(B1362,T_CleanCustomers[Customer_ID],0)),"Unmatched")</f>
        <v>Unclassified</v>
      </c>
    </row>
    <row r="1363" spans="1:16" ht="15" customHeight="1" x14ac:dyDescent="0.2">
      <c r="A1363" s="9" t="s">
        <v>2700</v>
      </c>
      <c r="B1363" s="9" t="s">
        <v>1313</v>
      </c>
      <c r="C1363" s="9" t="b">
        <f>TRUE()</f>
        <v>1</v>
      </c>
      <c r="D1363" s="10">
        <v>46017</v>
      </c>
      <c r="E1363" s="10">
        <v>45992</v>
      </c>
      <c r="F1363" s="9" t="s">
        <v>1423</v>
      </c>
      <c r="G1363" s="11">
        <v>12763.13</v>
      </c>
      <c r="H1363" s="11">
        <v>447.71</v>
      </c>
      <c r="I1363" s="9" t="b">
        <f>TRUE()</f>
        <v>1</v>
      </c>
      <c r="J1363" s="9" t="s">
        <v>1361</v>
      </c>
      <c r="K1363" s="11">
        <v>447.71</v>
      </c>
      <c r="L1363" s="9" t="s">
        <v>21</v>
      </c>
      <c r="M1363" s="9" t="str">
        <f>IFERROR(INDEX(T_CleanCustomers[Sales_Rep_ID],MATCH(B1363,T_CleanCustomers[Customer_ID],0)),"Unmatched")</f>
        <v>REP009</v>
      </c>
      <c r="N1363" s="9" t="str">
        <f>IFERROR(INDEX(T_CleanCustomers[Channel],MATCH(B1363,T_CleanCustomers[Customer_ID],0)),"Unmatched")</f>
        <v>Referral</v>
      </c>
      <c r="O1363" s="9" t="str">
        <f>IFERROR(INDEX(T_CleanCustomers[Product],MATCH(B1363,T_CleanCustomers[Customer_ID],0)),"Unmatched")</f>
        <v>EV Charge Card</v>
      </c>
      <c r="P1363" s="9" t="str">
        <f>IFERROR(INDEX(T_CleanCustomers[Customer_Segment],MATCH(B1363,T_CleanCustomers[Customer_ID],0)),"Unmatched")</f>
        <v>Mid-Market</v>
      </c>
    </row>
    <row r="1364" spans="1:16" ht="15" customHeight="1" x14ac:dyDescent="0.2">
      <c r="A1364" s="9" t="s">
        <v>2701</v>
      </c>
      <c r="B1364" s="9" t="s">
        <v>1313</v>
      </c>
      <c r="C1364" s="9" t="b">
        <f>TRUE()</f>
        <v>1</v>
      </c>
      <c r="D1364" s="10">
        <v>46022</v>
      </c>
      <c r="E1364" s="10">
        <v>45992</v>
      </c>
      <c r="F1364" s="9" t="s">
        <v>1423</v>
      </c>
      <c r="G1364" s="11">
        <v>15008.58</v>
      </c>
      <c r="H1364" s="11">
        <v>472.15</v>
      </c>
      <c r="I1364" s="9" t="b">
        <f>TRUE()</f>
        <v>1</v>
      </c>
      <c r="J1364" s="9" t="s">
        <v>1361</v>
      </c>
      <c r="K1364" s="11">
        <v>472.15</v>
      </c>
      <c r="L1364" s="9" t="s">
        <v>21</v>
      </c>
      <c r="M1364" s="9" t="str">
        <f>IFERROR(INDEX(T_CleanCustomers[Sales_Rep_ID],MATCH(B1364,T_CleanCustomers[Customer_ID],0)),"Unmatched")</f>
        <v>REP009</v>
      </c>
      <c r="N1364" s="9" t="str">
        <f>IFERROR(INDEX(T_CleanCustomers[Channel],MATCH(B1364,T_CleanCustomers[Customer_ID],0)),"Unmatched")</f>
        <v>Referral</v>
      </c>
      <c r="O1364" s="9" t="str">
        <f>IFERROR(INDEX(T_CleanCustomers[Product],MATCH(B1364,T_CleanCustomers[Customer_ID],0)),"Unmatched")</f>
        <v>EV Charge Card</v>
      </c>
      <c r="P1364" s="9" t="str">
        <f>IFERROR(INDEX(T_CleanCustomers[Customer_Segment],MATCH(B1364,T_CleanCustomers[Customer_ID],0)),"Unmatched")</f>
        <v>Mid-Market</v>
      </c>
    </row>
    <row r="1365" spans="1:16" ht="15" customHeight="1" x14ac:dyDescent="0.2">
      <c r="A1365" s="9" t="s">
        <v>2702</v>
      </c>
      <c r="B1365" s="9" t="s">
        <v>1313</v>
      </c>
      <c r="C1365" s="9" t="b">
        <f>TRUE()</f>
        <v>1</v>
      </c>
      <c r="D1365" s="10">
        <v>46011</v>
      </c>
      <c r="E1365" s="10">
        <v>45992</v>
      </c>
      <c r="F1365" s="9" t="s">
        <v>1423</v>
      </c>
      <c r="G1365" s="11">
        <v>4863.21</v>
      </c>
      <c r="H1365" s="11">
        <v>138.66999999999999</v>
      </c>
      <c r="I1365" s="9" t="b">
        <f>TRUE()</f>
        <v>1</v>
      </c>
      <c r="J1365" s="9" t="s">
        <v>1361</v>
      </c>
      <c r="K1365" s="11">
        <v>138.66999999999999</v>
      </c>
      <c r="L1365" s="9" t="s">
        <v>21</v>
      </c>
      <c r="M1365" s="9" t="str">
        <f>IFERROR(INDEX(T_CleanCustomers[Sales_Rep_ID],MATCH(B1365,T_CleanCustomers[Customer_ID],0)),"Unmatched")</f>
        <v>REP009</v>
      </c>
      <c r="N1365" s="9" t="str">
        <f>IFERROR(INDEX(T_CleanCustomers[Channel],MATCH(B1365,T_CleanCustomers[Customer_ID],0)),"Unmatched")</f>
        <v>Referral</v>
      </c>
      <c r="O1365" s="9" t="str">
        <f>IFERROR(INDEX(T_CleanCustomers[Product],MATCH(B1365,T_CleanCustomers[Customer_ID],0)),"Unmatched")</f>
        <v>EV Charge Card</v>
      </c>
      <c r="P1365" s="9" t="str">
        <f>IFERROR(INDEX(T_CleanCustomers[Customer_Segment],MATCH(B1365,T_CleanCustomers[Customer_ID],0)),"Unmatched")</f>
        <v>Mid-Market</v>
      </c>
    </row>
    <row r="1366" spans="1:16" ht="15" customHeight="1" x14ac:dyDescent="0.2">
      <c r="A1366" s="9" t="s">
        <v>2703</v>
      </c>
      <c r="B1366" s="9" t="s">
        <v>1314</v>
      </c>
      <c r="C1366" s="9" t="b">
        <f>TRUE()</f>
        <v>1</v>
      </c>
      <c r="D1366" s="10">
        <v>45917</v>
      </c>
      <c r="E1366" s="10">
        <v>45901</v>
      </c>
      <c r="F1366" s="9" t="s">
        <v>1373</v>
      </c>
      <c r="G1366" s="11">
        <v>4201.41</v>
      </c>
      <c r="H1366" s="11">
        <v>76.94</v>
      </c>
      <c r="I1366" s="9" t="b">
        <f>TRUE()</f>
        <v>1</v>
      </c>
      <c r="J1366" s="9" t="s">
        <v>1361</v>
      </c>
      <c r="K1366" s="11">
        <v>76.94</v>
      </c>
      <c r="L1366" s="9" t="s">
        <v>21</v>
      </c>
      <c r="M1366" s="9" t="str">
        <f>IFERROR(INDEX(T_CleanCustomers[Sales_Rep_ID],MATCH(B1366,T_CleanCustomers[Customer_ID],0)),"Unmatched")</f>
        <v>REP009</v>
      </c>
      <c r="N1366" s="9" t="str">
        <f>IFERROR(INDEX(T_CleanCustomers[Channel],MATCH(B1366,T_CleanCustomers[Customer_ID],0)),"Unmatched")</f>
        <v>Telesales</v>
      </c>
      <c r="O1366" s="9" t="str">
        <f>IFERROR(INDEX(T_CleanCustomers[Product],MATCH(B1366,T_CleanCustomers[Customer_ID],0)),"Unmatched")</f>
        <v>Toll Solution</v>
      </c>
      <c r="P1366" s="9" t="str">
        <f>IFERROR(INDEX(T_CleanCustomers[Customer_Segment],MATCH(B1366,T_CleanCustomers[Customer_ID],0)),"Unmatched")</f>
        <v>SME</v>
      </c>
    </row>
    <row r="1367" spans="1:16" ht="15" customHeight="1" x14ac:dyDescent="0.2">
      <c r="A1367" s="9" t="s">
        <v>2704</v>
      </c>
      <c r="B1367" s="9" t="s">
        <v>1314</v>
      </c>
      <c r="C1367" s="9" t="b">
        <f>TRUE()</f>
        <v>1</v>
      </c>
      <c r="D1367" s="10">
        <v>45901</v>
      </c>
      <c r="E1367" s="10">
        <v>45901</v>
      </c>
      <c r="F1367" s="9" t="s">
        <v>1373</v>
      </c>
      <c r="G1367" s="11">
        <v>4917.24</v>
      </c>
      <c r="H1367" s="11">
        <v>75.55</v>
      </c>
      <c r="I1367" s="9" t="b">
        <f>TRUE()</f>
        <v>1</v>
      </c>
      <c r="J1367" s="9" t="s">
        <v>1361</v>
      </c>
      <c r="K1367" s="11">
        <v>75.55</v>
      </c>
      <c r="L1367" s="9" t="s">
        <v>21</v>
      </c>
      <c r="M1367" s="9" t="str">
        <f>IFERROR(INDEX(T_CleanCustomers[Sales_Rep_ID],MATCH(B1367,T_CleanCustomers[Customer_ID],0)),"Unmatched")</f>
        <v>REP009</v>
      </c>
      <c r="N1367" s="9" t="str">
        <f>IFERROR(INDEX(T_CleanCustomers[Channel],MATCH(B1367,T_CleanCustomers[Customer_ID],0)),"Unmatched")</f>
        <v>Telesales</v>
      </c>
      <c r="O1367" s="9" t="str">
        <f>IFERROR(INDEX(T_CleanCustomers[Product],MATCH(B1367,T_CleanCustomers[Customer_ID],0)),"Unmatched")</f>
        <v>Toll Solution</v>
      </c>
      <c r="P1367" s="9" t="str">
        <f>IFERROR(INDEX(T_CleanCustomers[Customer_Segment],MATCH(B1367,T_CleanCustomers[Customer_ID],0)),"Unmatched")</f>
        <v>SME</v>
      </c>
    </row>
    <row r="1368" spans="1:16" ht="15" customHeight="1" x14ac:dyDescent="0.2">
      <c r="A1368" s="9" t="s">
        <v>2705</v>
      </c>
      <c r="B1368" s="9" t="s">
        <v>1314</v>
      </c>
      <c r="C1368" s="9" t="b">
        <f>TRUE()</f>
        <v>1</v>
      </c>
      <c r="D1368" s="10">
        <v>45951</v>
      </c>
      <c r="E1368" s="10">
        <v>45931</v>
      </c>
      <c r="F1368" s="9" t="s">
        <v>1373</v>
      </c>
      <c r="G1368" s="11">
        <v>2133.63</v>
      </c>
      <c r="H1368" s="11">
        <v>35.4</v>
      </c>
      <c r="I1368" s="9" t="b">
        <f>TRUE()</f>
        <v>1</v>
      </c>
      <c r="J1368" s="9" t="s">
        <v>1361</v>
      </c>
      <c r="K1368" s="11">
        <v>35.4</v>
      </c>
      <c r="L1368" s="9" t="s">
        <v>21</v>
      </c>
      <c r="M1368" s="9" t="str">
        <f>IFERROR(INDEX(T_CleanCustomers[Sales_Rep_ID],MATCH(B1368,T_CleanCustomers[Customer_ID],0)),"Unmatched")</f>
        <v>REP009</v>
      </c>
      <c r="N1368" s="9" t="str">
        <f>IFERROR(INDEX(T_CleanCustomers[Channel],MATCH(B1368,T_CleanCustomers[Customer_ID],0)),"Unmatched")</f>
        <v>Telesales</v>
      </c>
      <c r="O1368" s="9" t="str">
        <f>IFERROR(INDEX(T_CleanCustomers[Product],MATCH(B1368,T_CleanCustomers[Customer_ID],0)),"Unmatched")</f>
        <v>Toll Solution</v>
      </c>
      <c r="P1368" s="9" t="str">
        <f>IFERROR(INDEX(T_CleanCustomers[Customer_Segment],MATCH(B1368,T_CleanCustomers[Customer_ID],0)),"Unmatched")</f>
        <v>SME</v>
      </c>
    </row>
    <row r="1369" spans="1:16" ht="15" customHeight="1" x14ac:dyDescent="0.2">
      <c r="A1369" s="9" t="s">
        <v>2706</v>
      </c>
      <c r="B1369" s="9" t="s">
        <v>1314</v>
      </c>
      <c r="C1369" s="9" t="b">
        <f>TRUE()</f>
        <v>1</v>
      </c>
      <c r="D1369" s="10">
        <v>45985</v>
      </c>
      <c r="E1369" s="10">
        <v>45962</v>
      </c>
      <c r="F1369" s="9" t="s">
        <v>1373</v>
      </c>
      <c r="G1369" s="11">
        <v>5041.33</v>
      </c>
      <c r="H1369" s="11">
        <v>99.3</v>
      </c>
      <c r="I1369" s="9" t="b">
        <f>TRUE()</f>
        <v>1</v>
      </c>
      <c r="J1369" s="9" t="s">
        <v>1361</v>
      </c>
      <c r="K1369" s="11">
        <v>99.3</v>
      </c>
      <c r="L1369" s="9" t="s">
        <v>21</v>
      </c>
      <c r="M1369" s="9" t="str">
        <f>IFERROR(INDEX(T_CleanCustomers[Sales_Rep_ID],MATCH(B1369,T_CleanCustomers[Customer_ID],0)),"Unmatched")</f>
        <v>REP009</v>
      </c>
      <c r="N1369" s="9" t="str">
        <f>IFERROR(INDEX(T_CleanCustomers[Channel],MATCH(B1369,T_CleanCustomers[Customer_ID],0)),"Unmatched")</f>
        <v>Telesales</v>
      </c>
      <c r="O1369" s="9" t="str">
        <f>IFERROR(INDEX(T_CleanCustomers[Product],MATCH(B1369,T_CleanCustomers[Customer_ID],0)),"Unmatched")</f>
        <v>Toll Solution</v>
      </c>
      <c r="P1369" s="9" t="str">
        <f>IFERROR(INDEX(T_CleanCustomers[Customer_Segment],MATCH(B1369,T_CleanCustomers[Customer_ID],0)),"Unmatched")</f>
        <v>SME</v>
      </c>
    </row>
    <row r="1370" spans="1:16" ht="15" customHeight="1" x14ac:dyDescent="0.2">
      <c r="A1370" s="9" t="s">
        <v>2707</v>
      </c>
      <c r="B1370" s="9" t="s">
        <v>1314</v>
      </c>
      <c r="C1370" s="9" t="b">
        <f>TRUE()</f>
        <v>1</v>
      </c>
      <c r="D1370" s="10">
        <v>45971</v>
      </c>
      <c r="E1370" s="10">
        <v>45962</v>
      </c>
      <c r="F1370" s="9" t="s">
        <v>1373</v>
      </c>
      <c r="G1370" s="11">
        <v>4796.5</v>
      </c>
      <c r="H1370" s="11">
        <v>75.430000000000007</v>
      </c>
      <c r="I1370" s="9" t="b">
        <f>TRUE()</f>
        <v>1</v>
      </c>
      <c r="J1370" s="9" t="s">
        <v>1361</v>
      </c>
      <c r="K1370" s="11">
        <v>75.430000000000007</v>
      </c>
      <c r="L1370" s="9" t="s">
        <v>21</v>
      </c>
      <c r="M1370" s="9" t="str">
        <f>IFERROR(INDEX(T_CleanCustomers[Sales_Rep_ID],MATCH(B1370,T_CleanCustomers[Customer_ID],0)),"Unmatched")</f>
        <v>REP009</v>
      </c>
      <c r="N1370" s="9" t="str">
        <f>IFERROR(INDEX(T_CleanCustomers[Channel],MATCH(B1370,T_CleanCustomers[Customer_ID],0)),"Unmatched")</f>
        <v>Telesales</v>
      </c>
      <c r="O1370" s="9" t="str">
        <f>IFERROR(INDEX(T_CleanCustomers[Product],MATCH(B1370,T_CleanCustomers[Customer_ID],0)),"Unmatched")</f>
        <v>Toll Solution</v>
      </c>
      <c r="P1370" s="9" t="str">
        <f>IFERROR(INDEX(T_CleanCustomers[Customer_Segment],MATCH(B1370,T_CleanCustomers[Customer_ID],0)),"Unmatched")</f>
        <v>SME</v>
      </c>
    </row>
    <row r="1371" spans="1:16" ht="15" customHeight="1" x14ac:dyDescent="0.2">
      <c r="A1371" s="9" t="s">
        <v>2708</v>
      </c>
      <c r="B1371" s="9" t="s">
        <v>1314</v>
      </c>
      <c r="C1371" s="9" t="b">
        <f>TRUE()</f>
        <v>1</v>
      </c>
      <c r="D1371" s="10">
        <v>46012</v>
      </c>
      <c r="E1371" s="10">
        <v>45992</v>
      </c>
      <c r="F1371" s="9" t="s">
        <v>1373</v>
      </c>
      <c r="G1371" s="11">
        <v>2392.96</v>
      </c>
      <c r="H1371" s="11">
        <v>40.06</v>
      </c>
      <c r="I1371" s="9" t="b">
        <f>TRUE()</f>
        <v>1</v>
      </c>
      <c r="J1371" s="9" t="s">
        <v>1361</v>
      </c>
      <c r="K1371" s="11">
        <v>40.06</v>
      </c>
      <c r="L1371" s="9" t="s">
        <v>21</v>
      </c>
      <c r="M1371" s="9" t="str">
        <f>IFERROR(INDEX(T_CleanCustomers[Sales_Rep_ID],MATCH(B1371,T_CleanCustomers[Customer_ID],0)),"Unmatched")</f>
        <v>REP009</v>
      </c>
      <c r="N1371" s="9" t="str">
        <f>IFERROR(INDEX(T_CleanCustomers[Channel],MATCH(B1371,T_CleanCustomers[Customer_ID],0)),"Unmatched")</f>
        <v>Telesales</v>
      </c>
      <c r="O1371" s="9" t="str">
        <f>IFERROR(INDEX(T_CleanCustomers[Product],MATCH(B1371,T_CleanCustomers[Customer_ID],0)),"Unmatched")</f>
        <v>Toll Solution</v>
      </c>
      <c r="P1371" s="9" t="str">
        <f>IFERROR(INDEX(T_CleanCustomers[Customer_Segment],MATCH(B1371,T_CleanCustomers[Customer_ID],0)),"Unmatched")</f>
        <v>SME</v>
      </c>
    </row>
    <row r="1372" spans="1:16" ht="15" customHeight="1" x14ac:dyDescent="0.2">
      <c r="A1372" s="9" t="s">
        <v>2709</v>
      </c>
      <c r="B1372" s="9" t="s">
        <v>1314</v>
      </c>
      <c r="C1372" s="9" t="b">
        <f>TRUE()</f>
        <v>1</v>
      </c>
      <c r="D1372" s="10">
        <v>46021</v>
      </c>
      <c r="E1372" s="10">
        <v>45992</v>
      </c>
      <c r="F1372" s="9" t="s">
        <v>1373</v>
      </c>
      <c r="G1372" s="11">
        <v>2768.82</v>
      </c>
      <c r="H1372" s="11">
        <v>47.78</v>
      </c>
      <c r="I1372" s="9" t="b">
        <f>TRUE()</f>
        <v>1</v>
      </c>
      <c r="J1372" s="9" t="s">
        <v>1361</v>
      </c>
      <c r="K1372" s="11">
        <v>47.78</v>
      </c>
      <c r="L1372" s="9" t="s">
        <v>21</v>
      </c>
      <c r="M1372" s="9" t="str">
        <f>IFERROR(INDEX(T_CleanCustomers[Sales_Rep_ID],MATCH(B1372,T_CleanCustomers[Customer_ID],0)),"Unmatched")</f>
        <v>REP009</v>
      </c>
      <c r="N1372" s="9" t="str">
        <f>IFERROR(INDEX(T_CleanCustomers[Channel],MATCH(B1372,T_CleanCustomers[Customer_ID],0)),"Unmatched")</f>
        <v>Telesales</v>
      </c>
      <c r="O1372" s="9" t="str">
        <f>IFERROR(INDEX(T_CleanCustomers[Product],MATCH(B1372,T_CleanCustomers[Customer_ID],0)),"Unmatched")</f>
        <v>Toll Solution</v>
      </c>
      <c r="P1372" s="9" t="str">
        <f>IFERROR(INDEX(T_CleanCustomers[Customer_Segment],MATCH(B1372,T_CleanCustomers[Customer_ID],0)),"Unmatched")</f>
        <v>SME</v>
      </c>
    </row>
    <row r="1373" spans="1:16" ht="15" customHeight="1" x14ac:dyDescent="0.2">
      <c r="A1373" s="9" t="s">
        <v>2710</v>
      </c>
      <c r="B1373" s="9" t="s">
        <v>1317</v>
      </c>
      <c r="C1373" s="9" t="b">
        <f>TRUE()</f>
        <v>1</v>
      </c>
      <c r="D1373" s="10">
        <v>45732</v>
      </c>
      <c r="E1373" s="10">
        <v>45717</v>
      </c>
      <c r="F1373" s="9" t="s">
        <v>1360</v>
      </c>
      <c r="G1373" s="11">
        <v>3091.99</v>
      </c>
      <c r="H1373" s="11">
        <v>77.58</v>
      </c>
      <c r="I1373" s="9" t="b">
        <f>TRUE()</f>
        <v>1</v>
      </c>
      <c r="J1373" s="9" t="s">
        <v>1361</v>
      </c>
      <c r="K1373" s="11">
        <v>77.58</v>
      </c>
      <c r="L1373" s="9" t="s">
        <v>21</v>
      </c>
      <c r="M1373" s="9" t="str">
        <f>IFERROR(INDEX(T_CleanCustomers[Sales_Rep_ID],MATCH(B1373,T_CleanCustomers[Customer_ID],0)),"Unmatched")</f>
        <v>REP008</v>
      </c>
      <c r="N1373" s="9" t="str">
        <f>IFERROR(INDEX(T_CleanCustomers[Channel],MATCH(B1373,T_CleanCustomers[Customer_ID],0)),"Unmatched")</f>
        <v>Referral</v>
      </c>
      <c r="O1373" s="9" t="str">
        <f>IFERROR(INDEX(T_CleanCustomers[Product],MATCH(B1373,T_CleanCustomers[Customer_ID],0)),"Unmatched")</f>
        <v>Fuel Card</v>
      </c>
      <c r="P1373" s="9" t="str">
        <f>IFERROR(INDEX(T_CleanCustomers[Customer_Segment],MATCH(B1373,T_CleanCustomers[Customer_ID],0)),"Unmatched")</f>
        <v>SME</v>
      </c>
    </row>
    <row r="1374" spans="1:16" ht="15" customHeight="1" x14ac:dyDescent="0.2">
      <c r="A1374" s="9" t="s">
        <v>2711</v>
      </c>
      <c r="B1374" s="9" t="s">
        <v>1317</v>
      </c>
      <c r="C1374" s="9" t="b">
        <f>TRUE()</f>
        <v>1</v>
      </c>
      <c r="D1374" s="10">
        <v>45735</v>
      </c>
      <c r="E1374" s="10">
        <v>45717</v>
      </c>
      <c r="F1374" s="9" t="s">
        <v>1360</v>
      </c>
      <c r="G1374" s="11">
        <v>3145.12</v>
      </c>
      <c r="H1374" s="11">
        <v>85.68</v>
      </c>
      <c r="I1374" s="9" t="b">
        <f>TRUE()</f>
        <v>1</v>
      </c>
      <c r="J1374" s="9" t="s">
        <v>1361</v>
      </c>
      <c r="K1374" s="11">
        <v>85.68</v>
      </c>
      <c r="L1374" s="9" t="s">
        <v>21</v>
      </c>
      <c r="M1374" s="9" t="str">
        <f>IFERROR(INDEX(T_CleanCustomers[Sales_Rep_ID],MATCH(B1374,T_CleanCustomers[Customer_ID],0)),"Unmatched")</f>
        <v>REP008</v>
      </c>
      <c r="N1374" s="9" t="str">
        <f>IFERROR(INDEX(T_CleanCustomers[Channel],MATCH(B1374,T_CleanCustomers[Customer_ID],0)),"Unmatched")</f>
        <v>Referral</v>
      </c>
      <c r="O1374" s="9" t="str">
        <f>IFERROR(INDEX(T_CleanCustomers[Product],MATCH(B1374,T_CleanCustomers[Customer_ID],0)),"Unmatched")</f>
        <v>Fuel Card</v>
      </c>
      <c r="P1374" s="9" t="str">
        <f>IFERROR(INDEX(T_CleanCustomers[Customer_Segment],MATCH(B1374,T_CleanCustomers[Customer_ID],0)),"Unmatched")</f>
        <v>SME</v>
      </c>
    </row>
    <row r="1375" spans="1:16" ht="15" customHeight="1" x14ac:dyDescent="0.2">
      <c r="A1375" s="9" t="s">
        <v>2712</v>
      </c>
      <c r="B1375" s="9" t="s">
        <v>1317</v>
      </c>
      <c r="C1375" s="9" t="b">
        <f>TRUE()</f>
        <v>1</v>
      </c>
      <c r="D1375" s="10">
        <v>45745</v>
      </c>
      <c r="E1375" s="10">
        <v>45717</v>
      </c>
      <c r="F1375" s="9" t="s">
        <v>1360</v>
      </c>
      <c r="G1375" s="11">
        <v>4279.3900000000003</v>
      </c>
      <c r="H1375" s="11">
        <v>101.28</v>
      </c>
      <c r="I1375" s="9" t="b">
        <f>TRUE()</f>
        <v>1</v>
      </c>
      <c r="J1375" s="9" t="s">
        <v>1361</v>
      </c>
      <c r="K1375" s="11">
        <v>101.28</v>
      </c>
      <c r="L1375" s="9" t="s">
        <v>21</v>
      </c>
      <c r="M1375" s="9" t="str">
        <f>IFERROR(INDEX(T_CleanCustomers[Sales_Rep_ID],MATCH(B1375,T_CleanCustomers[Customer_ID],0)),"Unmatched")</f>
        <v>REP008</v>
      </c>
      <c r="N1375" s="9" t="str">
        <f>IFERROR(INDEX(T_CleanCustomers[Channel],MATCH(B1375,T_CleanCustomers[Customer_ID],0)),"Unmatched")</f>
        <v>Referral</v>
      </c>
      <c r="O1375" s="9" t="str">
        <f>IFERROR(INDEX(T_CleanCustomers[Product],MATCH(B1375,T_CleanCustomers[Customer_ID],0)),"Unmatched")</f>
        <v>Fuel Card</v>
      </c>
      <c r="P1375" s="9" t="str">
        <f>IFERROR(INDEX(T_CleanCustomers[Customer_Segment],MATCH(B1375,T_CleanCustomers[Customer_ID],0)),"Unmatched")</f>
        <v>SME</v>
      </c>
    </row>
    <row r="1376" spans="1:16" ht="15" customHeight="1" x14ac:dyDescent="0.2">
      <c r="A1376" s="9" t="s">
        <v>2713</v>
      </c>
      <c r="B1376" s="9" t="s">
        <v>1317</v>
      </c>
      <c r="C1376" s="9" t="b">
        <f>TRUE()</f>
        <v>1</v>
      </c>
      <c r="D1376" s="10">
        <v>45757</v>
      </c>
      <c r="E1376" s="10">
        <v>45748</v>
      </c>
      <c r="F1376" s="9" t="s">
        <v>1360</v>
      </c>
      <c r="G1376" s="11">
        <v>1784.79</v>
      </c>
      <c r="H1376" s="11">
        <v>44.37</v>
      </c>
      <c r="I1376" s="9" t="b">
        <f>TRUE()</f>
        <v>1</v>
      </c>
      <c r="J1376" s="9" t="s">
        <v>1361</v>
      </c>
      <c r="K1376" s="11">
        <v>44.37</v>
      </c>
      <c r="L1376" s="9" t="s">
        <v>21</v>
      </c>
      <c r="M1376" s="9" t="str">
        <f>IFERROR(INDEX(T_CleanCustomers[Sales_Rep_ID],MATCH(B1376,T_CleanCustomers[Customer_ID],0)),"Unmatched")</f>
        <v>REP008</v>
      </c>
      <c r="N1376" s="9" t="str">
        <f>IFERROR(INDEX(T_CleanCustomers[Channel],MATCH(B1376,T_CleanCustomers[Customer_ID],0)),"Unmatched")</f>
        <v>Referral</v>
      </c>
      <c r="O1376" s="9" t="str">
        <f>IFERROR(INDEX(T_CleanCustomers[Product],MATCH(B1376,T_CleanCustomers[Customer_ID],0)),"Unmatched")</f>
        <v>Fuel Card</v>
      </c>
      <c r="P1376" s="9" t="str">
        <f>IFERROR(INDEX(T_CleanCustomers[Customer_Segment],MATCH(B1376,T_CleanCustomers[Customer_ID],0)),"Unmatched")</f>
        <v>SME</v>
      </c>
    </row>
    <row r="1377" spans="1:16" ht="15" customHeight="1" x14ac:dyDescent="0.2">
      <c r="A1377" s="9" t="s">
        <v>2714</v>
      </c>
      <c r="B1377" s="9" t="s">
        <v>1317</v>
      </c>
      <c r="C1377" s="9" t="b">
        <f>TRUE()</f>
        <v>1</v>
      </c>
      <c r="D1377" s="10">
        <v>45806</v>
      </c>
      <c r="E1377" s="10">
        <v>45778</v>
      </c>
      <c r="F1377" s="9" t="s">
        <v>1360</v>
      </c>
      <c r="G1377" s="11">
        <v>4323.24</v>
      </c>
      <c r="H1377" s="11">
        <v>111.63</v>
      </c>
      <c r="I1377" s="9" t="b">
        <f>TRUE()</f>
        <v>1</v>
      </c>
      <c r="J1377" s="9" t="s">
        <v>1361</v>
      </c>
      <c r="K1377" s="11">
        <v>111.63</v>
      </c>
      <c r="L1377" s="9" t="s">
        <v>21</v>
      </c>
      <c r="M1377" s="9" t="str">
        <f>IFERROR(INDEX(T_CleanCustomers[Sales_Rep_ID],MATCH(B1377,T_CleanCustomers[Customer_ID],0)),"Unmatched")</f>
        <v>REP008</v>
      </c>
      <c r="N1377" s="9" t="str">
        <f>IFERROR(INDEX(T_CleanCustomers[Channel],MATCH(B1377,T_CleanCustomers[Customer_ID],0)),"Unmatched")</f>
        <v>Referral</v>
      </c>
      <c r="O1377" s="9" t="str">
        <f>IFERROR(INDEX(T_CleanCustomers[Product],MATCH(B1377,T_CleanCustomers[Customer_ID],0)),"Unmatched")</f>
        <v>Fuel Card</v>
      </c>
      <c r="P1377" s="9" t="str">
        <f>IFERROR(INDEX(T_CleanCustomers[Customer_Segment],MATCH(B1377,T_CleanCustomers[Customer_ID],0)),"Unmatched")</f>
        <v>SME</v>
      </c>
    </row>
    <row r="1378" spans="1:16" ht="15" customHeight="1" x14ac:dyDescent="0.2">
      <c r="A1378" s="9" t="s">
        <v>2715</v>
      </c>
      <c r="B1378" s="9" t="s">
        <v>1317</v>
      </c>
      <c r="C1378" s="9" t="b">
        <f>TRUE()</f>
        <v>1</v>
      </c>
      <c r="D1378" s="10">
        <v>45802</v>
      </c>
      <c r="E1378" s="10">
        <v>45778</v>
      </c>
      <c r="F1378" s="9" t="s">
        <v>1360</v>
      </c>
      <c r="G1378" s="11">
        <v>2129.5</v>
      </c>
      <c r="H1378" s="11">
        <v>57.89</v>
      </c>
      <c r="I1378" s="9" t="b">
        <f>TRUE()</f>
        <v>1</v>
      </c>
      <c r="J1378" s="9" t="s">
        <v>1361</v>
      </c>
      <c r="K1378" s="11">
        <v>57.89</v>
      </c>
      <c r="L1378" s="9" t="s">
        <v>21</v>
      </c>
      <c r="M1378" s="9" t="str">
        <f>IFERROR(INDEX(T_CleanCustomers[Sales_Rep_ID],MATCH(B1378,T_CleanCustomers[Customer_ID],0)),"Unmatched")</f>
        <v>REP008</v>
      </c>
      <c r="N1378" s="9" t="str">
        <f>IFERROR(INDEX(T_CleanCustomers[Channel],MATCH(B1378,T_CleanCustomers[Customer_ID],0)),"Unmatched")</f>
        <v>Referral</v>
      </c>
      <c r="O1378" s="9" t="str">
        <f>IFERROR(INDEX(T_CleanCustomers[Product],MATCH(B1378,T_CleanCustomers[Customer_ID],0)),"Unmatched")</f>
        <v>Fuel Card</v>
      </c>
      <c r="P1378" s="9" t="str">
        <f>IFERROR(INDEX(T_CleanCustomers[Customer_Segment],MATCH(B1378,T_CleanCustomers[Customer_ID],0)),"Unmatched")</f>
        <v>SME</v>
      </c>
    </row>
    <row r="1379" spans="1:16" ht="15" customHeight="1" x14ac:dyDescent="0.2">
      <c r="A1379" s="9" t="s">
        <v>2716</v>
      </c>
      <c r="B1379" s="9" t="s">
        <v>1317</v>
      </c>
      <c r="C1379" s="9" t="b">
        <f>TRUE()</f>
        <v>1</v>
      </c>
      <c r="D1379" s="10">
        <v>45795</v>
      </c>
      <c r="E1379" s="10">
        <v>45778</v>
      </c>
      <c r="F1379" s="9" t="s">
        <v>1360</v>
      </c>
      <c r="G1379" s="11">
        <v>1725.93</v>
      </c>
      <c r="H1379" s="11">
        <v>48.56</v>
      </c>
      <c r="I1379" s="9" t="b">
        <f>TRUE()</f>
        <v>1</v>
      </c>
      <c r="J1379" s="9" t="s">
        <v>1361</v>
      </c>
      <c r="K1379" s="11">
        <v>48.56</v>
      </c>
      <c r="L1379" s="9" t="s">
        <v>21</v>
      </c>
      <c r="M1379" s="9" t="str">
        <f>IFERROR(INDEX(T_CleanCustomers[Sales_Rep_ID],MATCH(B1379,T_CleanCustomers[Customer_ID],0)),"Unmatched")</f>
        <v>REP008</v>
      </c>
      <c r="N1379" s="9" t="str">
        <f>IFERROR(INDEX(T_CleanCustomers[Channel],MATCH(B1379,T_CleanCustomers[Customer_ID],0)),"Unmatched")</f>
        <v>Referral</v>
      </c>
      <c r="O1379" s="9" t="str">
        <f>IFERROR(INDEX(T_CleanCustomers[Product],MATCH(B1379,T_CleanCustomers[Customer_ID],0)),"Unmatched")</f>
        <v>Fuel Card</v>
      </c>
      <c r="P1379" s="9" t="str">
        <f>IFERROR(INDEX(T_CleanCustomers[Customer_Segment],MATCH(B1379,T_CleanCustomers[Customer_ID],0)),"Unmatched")</f>
        <v>SME</v>
      </c>
    </row>
    <row r="1380" spans="1:16" ht="15" customHeight="1" x14ac:dyDescent="0.2">
      <c r="A1380" s="9" t="s">
        <v>2717</v>
      </c>
      <c r="B1380" s="9" t="s">
        <v>1317</v>
      </c>
      <c r="C1380" s="9" t="b">
        <f>TRUE()</f>
        <v>1</v>
      </c>
      <c r="D1380" s="10">
        <v>45831</v>
      </c>
      <c r="E1380" s="10">
        <v>45809</v>
      </c>
      <c r="F1380" s="9" t="s">
        <v>1360</v>
      </c>
      <c r="G1380" s="11">
        <v>5075.09</v>
      </c>
      <c r="H1380" s="11">
        <v>119.09</v>
      </c>
      <c r="I1380" s="9" t="b">
        <f>TRUE()</f>
        <v>1</v>
      </c>
      <c r="J1380" s="9" t="s">
        <v>1361</v>
      </c>
      <c r="K1380" s="11">
        <v>119.09</v>
      </c>
      <c r="L1380" s="9" t="s">
        <v>21</v>
      </c>
      <c r="M1380" s="9" t="str">
        <f>IFERROR(INDEX(T_CleanCustomers[Sales_Rep_ID],MATCH(B1380,T_CleanCustomers[Customer_ID],0)),"Unmatched")</f>
        <v>REP008</v>
      </c>
      <c r="N1380" s="9" t="str">
        <f>IFERROR(INDEX(T_CleanCustomers[Channel],MATCH(B1380,T_CleanCustomers[Customer_ID],0)),"Unmatched")</f>
        <v>Referral</v>
      </c>
      <c r="O1380" s="9" t="str">
        <f>IFERROR(INDEX(T_CleanCustomers[Product],MATCH(B1380,T_CleanCustomers[Customer_ID],0)),"Unmatched")</f>
        <v>Fuel Card</v>
      </c>
      <c r="P1380" s="9" t="str">
        <f>IFERROR(INDEX(T_CleanCustomers[Customer_Segment],MATCH(B1380,T_CleanCustomers[Customer_ID],0)),"Unmatched")</f>
        <v>SME</v>
      </c>
    </row>
    <row r="1381" spans="1:16" ht="15" customHeight="1" x14ac:dyDescent="0.2">
      <c r="A1381" s="9" t="s">
        <v>2718</v>
      </c>
      <c r="B1381" s="9" t="s">
        <v>1317</v>
      </c>
      <c r="C1381" s="9" t="b">
        <f>TRUE()</f>
        <v>1</v>
      </c>
      <c r="D1381" s="10">
        <v>45818</v>
      </c>
      <c r="E1381" s="10">
        <v>45809</v>
      </c>
      <c r="F1381" s="9" t="s">
        <v>1360</v>
      </c>
      <c r="G1381" s="11">
        <v>4598.13</v>
      </c>
      <c r="H1381" s="11">
        <v>130.78</v>
      </c>
      <c r="I1381" s="9" t="b">
        <f>TRUE()</f>
        <v>1</v>
      </c>
      <c r="J1381" s="9" t="s">
        <v>1361</v>
      </c>
      <c r="K1381" s="11">
        <v>130.78</v>
      </c>
      <c r="L1381" s="9" t="s">
        <v>21</v>
      </c>
      <c r="M1381" s="9" t="str">
        <f>IFERROR(INDEX(T_CleanCustomers[Sales_Rep_ID],MATCH(B1381,T_CleanCustomers[Customer_ID],0)),"Unmatched")</f>
        <v>REP008</v>
      </c>
      <c r="N1381" s="9" t="str">
        <f>IFERROR(INDEX(T_CleanCustomers[Channel],MATCH(B1381,T_CleanCustomers[Customer_ID],0)),"Unmatched")</f>
        <v>Referral</v>
      </c>
      <c r="O1381" s="9" t="str">
        <f>IFERROR(INDEX(T_CleanCustomers[Product],MATCH(B1381,T_CleanCustomers[Customer_ID],0)),"Unmatched")</f>
        <v>Fuel Card</v>
      </c>
      <c r="P1381" s="9" t="str">
        <f>IFERROR(INDEX(T_CleanCustomers[Customer_Segment],MATCH(B1381,T_CleanCustomers[Customer_ID],0)),"Unmatched")</f>
        <v>SME</v>
      </c>
    </row>
    <row r="1382" spans="1:16" ht="15" customHeight="1" x14ac:dyDescent="0.2">
      <c r="A1382" s="9" t="s">
        <v>2719</v>
      </c>
      <c r="B1382" s="9" t="s">
        <v>1317</v>
      </c>
      <c r="C1382" s="9" t="b">
        <f>TRUE()</f>
        <v>1</v>
      </c>
      <c r="D1382" s="10">
        <v>45855</v>
      </c>
      <c r="E1382" s="10">
        <v>45839</v>
      </c>
      <c r="F1382" s="9" t="s">
        <v>1360</v>
      </c>
      <c r="G1382" s="11">
        <v>4391.75</v>
      </c>
      <c r="H1382" s="11">
        <v>121.37</v>
      </c>
      <c r="I1382" s="9" t="b">
        <f>TRUE()</f>
        <v>1</v>
      </c>
      <c r="J1382" s="9" t="s">
        <v>1361</v>
      </c>
      <c r="K1382" s="11">
        <v>121.37</v>
      </c>
      <c r="L1382" s="9" t="s">
        <v>21</v>
      </c>
      <c r="M1382" s="9" t="str">
        <f>IFERROR(INDEX(T_CleanCustomers[Sales_Rep_ID],MATCH(B1382,T_CleanCustomers[Customer_ID],0)),"Unmatched")</f>
        <v>REP008</v>
      </c>
      <c r="N1382" s="9" t="str">
        <f>IFERROR(INDEX(T_CleanCustomers[Channel],MATCH(B1382,T_CleanCustomers[Customer_ID],0)),"Unmatched")</f>
        <v>Referral</v>
      </c>
      <c r="O1382" s="9" t="str">
        <f>IFERROR(INDEX(T_CleanCustomers[Product],MATCH(B1382,T_CleanCustomers[Customer_ID],0)),"Unmatched")</f>
        <v>Fuel Card</v>
      </c>
      <c r="P1382" s="9" t="str">
        <f>IFERROR(INDEX(T_CleanCustomers[Customer_Segment],MATCH(B1382,T_CleanCustomers[Customer_ID],0)),"Unmatched")</f>
        <v>SME</v>
      </c>
    </row>
    <row r="1383" spans="1:16" ht="15" customHeight="1" x14ac:dyDescent="0.2">
      <c r="A1383" s="9" t="s">
        <v>2720</v>
      </c>
      <c r="B1383" s="9" t="s">
        <v>1317</v>
      </c>
      <c r="C1383" s="9" t="b">
        <f>TRUE()</f>
        <v>1</v>
      </c>
      <c r="D1383" s="10">
        <v>45852</v>
      </c>
      <c r="E1383" s="10">
        <v>45839</v>
      </c>
      <c r="F1383" s="9" t="s">
        <v>1360</v>
      </c>
      <c r="G1383" s="11">
        <v>2127.21</v>
      </c>
      <c r="H1383" s="11">
        <v>45.93</v>
      </c>
      <c r="I1383" s="9" t="b">
        <f>TRUE()</f>
        <v>1</v>
      </c>
      <c r="J1383" s="9" t="s">
        <v>1361</v>
      </c>
      <c r="K1383" s="11">
        <v>45.93</v>
      </c>
      <c r="L1383" s="9" t="s">
        <v>21</v>
      </c>
      <c r="M1383" s="9" t="str">
        <f>IFERROR(INDEX(T_CleanCustomers[Sales_Rep_ID],MATCH(B1383,T_CleanCustomers[Customer_ID],0)),"Unmatched")</f>
        <v>REP008</v>
      </c>
      <c r="N1383" s="9" t="str">
        <f>IFERROR(INDEX(T_CleanCustomers[Channel],MATCH(B1383,T_CleanCustomers[Customer_ID],0)),"Unmatched")</f>
        <v>Referral</v>
      </c>
      <c r="O1383" s="9" t="str">
        <f>IFERROR(INDEX(T_CleanCustomers[Product],MATCH(B1383,T_CleanCustomers[Customer_ID],0)),"Unmatched")</f>
        <v>Fuel Card</v>
      </c>
      <c r="P1383" s="9" t="str">
        <f>IFERROR(INDEX(T_CleanCustomers[Customer_Segment],MATCH(B1383,T_CleanCustomers[Customer_ID],0)),"Unmatched")</f>
        <v>SME</v>
      </c>
    </row>
    <row r="1384" spans="1:16" ht="15" customHeight="1" x14ac:dyDescent="0.2">
      <c r="A1384" s="9" t="s">
        <v>2721</v>
      </c>
      <c r="B1384" s="9" t="s">
        <v>1317</v>
      </c>
      <c r="C1384" s="9" t="b">
        <f>TRUE()</f>
        <v>1</v>
      </c>
      <c r="D1384" s="10">
        <v>45880</v>
      </c>
      <c r="E1384" s="10">
        <v>45870</v>
      </c>
      <c r="F1384" s="9" t="s">
        <v>1360</v>
      </c>
      <c r="G1384" s="11">
        <v>3942.17</v>
      </c>
      <c r="H1384" s="11">
        <v>106.46</v>
      </c>
      <c r="I1384" s="9" t="b">
        <f>TRUE()</f>
        <v>1</v>
      </c>
      <c r="J1384" s="9" t="s">
        <v>1361</v>
      </c>
      <c r="K1384" s="11">
        <v>106.46</v>
      </c>
      <c r="L1384" s="9" t="s">
        <v>21</v>
      </c>
      <c r="M1384" s="9" t="str">
        <f>IFERROR(INDEX(T_CleanCustomers[Sales_Rep_ID],MATCH(B1384,T_CleanCustomers[Customer_ID],0)),"Unmatched")</f>
        <v>REP008</v>
      </c>
      <c r="N1384" s="9" t="str">
        <f>IFERROR(INDEX(T_CleanCustomers[Channel],MATCH(B1384,T_CleanCustomers[Customer_ID],0)),"Unmatched")</f>
        <v>Referral</v>
      </c>
      <c r="O1384" s="9" t="str">
        <f>IFERROR(INDEX(T_CleanCustomers[Product],MATCH(B1384,T_CleanCustomers[Customer_ID],0)),"Unmatched")</f>
        <v>Fuel Card</v>
      </c>
      <c r="P1384" s="9" t="str">
        <f>IFERROR(INDEX(T_CleanCustomers[Customer_Segment],MATCH(B1384,T_CleanCustomers[Customer_ID],0)),"Unmatched")</f>
        <v>SME</v>
      </c>
    </row>
    <row r="1385" spans="1:16" ht="15" customHeight="1" x14ac:dyDescent="0.2">
      <c r="A1385" s="9" t="s">
        <v>2722</v>
      </c>
      <c r="B1385" s="9" t="s">
        <v>1317</v>
      </c>
      <c r="C1385" s="9" t="b">
        <f>TRUE()</f>
        <v>1</v>
      </c>
      <c r="D1385" s="10">
        <v>45913</v>
      </c>
      <c r="E1385" s="10">
        <v>45901</v>
      </c>
      <c r="F1385" s="9" t="s">
        <v>1360</v>
      </c>
      <c r="G1385" s="11">
        <v>1498.86</v>
      </c>
      <c r="H1385" s="11">
        <v>0</v>
      </c>
      <c r="I1385" s="9" t="b">
        <f>TRUE()</f>
        <v>1</v>
      </c>
      <c r="J1385" s="9" t="s">
        <v>1408</v>
      </c>
      <c r="K1385" s="11">
        <v>0</v>
      </c>
      <c r="L1385" s="9" t="s">
        <v>21</v>
      </c>
      <c r="M1385" s="9" t="str">
        <f>IFERROR(INDEX(T_CleanCustomers[Sales_Rep_ID],MATCH(B1385,T_CleanCustomers[Customer_ID],0)),"Unmatched")</f>
        <v>REP008</v>
      </c>
      <c r="N1385" s="9" t="str">
        <f>IFERROR(INDEX(T_CleanCustomers[Channel],MATCH(B1385,T_CleanCustomers[Customer_ID],0)),"Unmatched")</f>
        <v>Referral</v>
      </c>
      <c r="O1385" s="9" t="str">
        <f>IFERROR(INDEX(T_CleanCustomers[Product],MATCH(B1385,T_CleanCustomers[Customer_ID],0)),"Unmatched")</f>
        <v>Fuel Card</v>
      </c>
      <c r="P1385" s="9" t="str">
        <f>IFERROR(INDEX(T_CleanCustomers[Customer_Segment],MATCH(B1385,T_CleanCustomers[Customer_ID],0)),"Unmatched")</f>
        <v>SME</v>
      </c>
    </row>
    <row r="1386" spans="1:16" ht="15" customHeight="1" x14ac:dyDescent="0.2">
      <c r="A1386" s="9" t="s">
        <v>2723</v>
      </c>
      <c r="B1386" s="9" t="s">
        <v>1317</v>
      </c>
      <c r="C1386" s="9" t="b">
        <f>TRUE()</f>
        <v>1</v>
      </c>
      <c r="D1386" s="10">
        <v>45922</v>
      </c>
      <c r="E1386" s="10">
        <v>45901</v>
      </c>
      <c r="F1386" s="9" t="s">
        <v>1360</v>
      </c>
      <c r="G1386" s="11">
        <v>2424.8000000000002</v>
      </c>
      <c r="H1386" s="11">
        <v>68.510000000000005</v>
      </c>
      <c r="I1386" s="9" t="b">
        <f>TRUE()</f>
        <v>1</v>
      </c>
      <c r="J1386" s="9" t="s">
        <v>1361</v>
      </c>
      <c r="K1386" s="11">
        <v>68.510000000000005</v>
      </c>
      <c r="L1386" s="9" t="s">
        <v>21</v>
      </c>
      <c r="M1386" s="9" t="str">
        <f>IFERROR(INDEX(T_CleanCustomers[Sales_Rep_ID],MATCH(B1386,T_CleanCustomers[Customer_ID],0)),"Unmatched")</f>
        <v>REP008</v>
      </c>
      <c r="N1386" s="9" t="str">
        <f>IFERROR(INDEX(T_CleanCustomers[Channel],MATCH(B1386,T_CleanCustomers[Customer_ID],0)),"Unmatched")</f>
        <v>Referral</v>
      </c>
      <c r="O1386" s="9" t="str">
        <f>IFERROR(INDEX(T_CleanCustomers[Product],MATCH(B1386,T_CleanCustomers[Customer_ID],0)),"Unmatched")</f>
        <v>Fuel Card</v>
      </c>
      <c r="P1386" s="9" t="str">
        <f>IFERROR(INDEX(T_CleanCustomers[Customer_Segment],MATCH(B1386,T_CleanCustomers[Customer_ID],0)),"Unmatched")</f>
        <v>SME</v>
      </c>
    </row>
    <row r="1387" spans="1:16" ht="15" customHeight="1" x14ac:dyDescent="0.2">
      <c r="A1387" s="9" t="s">
        <v>2724</v>
      </c>
      <c r="B1387" s="9" t="s">
        <v>1317</v>
      </c>
      <c r="C1387" s="9" t="b">
        <f>TRUE()</f>
        <v>1</v>
      </c>
      <c r="D1387" s="10">
        <v>45955</v>
      </c>
      <c r="E1387" s="10">
        <v>45931</v>
      </c>
      <c r="F1387" s="9" t="s">
        <v>1360</v>
      </c>
      <c r="G1387" s="11">
        <v>1828.03</v>
      </c>
      <c r="H1387" s="11">
        <v>0</v>
      </c>
      <c r="I1387" s="9" t="b">
        <f>TRUE()</f>
        <v>1</v>
      </c>
      <c r="J1387" s="9" t="s">
        <v>1408</v>
      </c>
      <c r="K1387" s="11">
        <v>0</v>
      </c>
      <c r="L1387" s="9" t="s">
        <v>21</v>
      </c>
      <c r="M1387" s="9" t="str">
        <f>IFERROR(INDEX(T_CleanCustomers[Sales_Rep_ID],MATCH(B1387,T_CleanCustomers[Customer_ID],0)),"Unmatched")</f>
        <v>REP008</v>
      </c>
      <c r="N1387" s="9" t="str">
        <f>IFERROR(INDEX(T_CleanCustomers[Channel],MATCH(B1387,T_CleanCustomers[Customer_ID],0)),"Unmatched")</f>
        <v>Referral</v>
      </c>
      <c r="O1387" s="9" t="str">
        <f>IFERROR(INDEX(T_CleanCustomers[Product],MATCH(B1387,T_CleanCustomers[Customer_ID],0)),"Unmatched")</f>
        <v>Fuel Card</v>
      </c>
      <c r="P1387" s="9" t="str">
        <f>IFERROR(INDEX(T_CleanCustomers[Customer_Segment],MATCH(B1387,T_CleanCustomers[Customer_ID],0)),"Unmatched")</f>
        <v>SME</v>
      </c>
    </row>
    <row r="1388" spans="1:16" ht="15" customHeight="1" x14ac:dyDescent="0.2">
      <c r="A1388" s="9" t="s">
        <v>2725</v>
      </c>
      <c r="B1388" s="9" t="s">
        <v>1317</v>
      </c>
      <c r="C1388" s="9" t="b">
        <f>TRUE()</f>
        <v>1</v>
      </c>
      <c r="D1388" s="10">
        <v>45962</v>
      </c>
      <c r="E1388" s="10">
        <v>45962</v>
      </c>
      <c r="F1388" s="9" t="s">
        <v>1360</v>
      </c>
      <c r="G1388" s="11">
        <v>2974.44</v>
      </c>
      <c r="H1388" s="11">
        <v>67.81</v>
      </c>
      <c r="I1388" s="9" t="b">
        <f>TRUE()</f>
        <v>1</v>
      </c>
      <c r="J1388" s="9" t="s">
        <v>1361</v>
      </c>
      <c r="K1388" s="11">
        <v>67.81</v>
      </c>
      <c r="L1388" s="9" t="s">
        <v>21</v>
      </c>
      <c r="M1388" s="9" t="str">
        <f>IFERROR(INDEX(T_CleanCustomers[Sales_Rep_ID],MATCH(B1388,T_CleanCustomers[Customer_ID],0)),"Unmatched")</f>
        <v>REP008</v>
      </c>
      <c r="N1388" s="9" t="str">
        <f>IFERROR(INDEX(T_CleanCustomers[Channel],MATCH(B1388,T_CleanCustomers[Customer_ID],0)),"Unmatched")</f>
        <v>Referral</v>
      </c>
      <c r="O1388" s="9" t="str">
        <f>IFERROR(INDEX(T_CleanCustomers[Product],MATCH(B1388,T_CleanCustomers[Customer_ID],0)),"Unmatched")</f>
        <v>Fuel Card</v>
      </c>
      <c r="P1388" s="9" t="str">
        <f>IFERROR(INDEX(T_CleanCustomers[Customer_Segment],MATCH(B1388,T_CleanCustomers[Customer_ID],0)),"Unmatched")</f>
        <v>SME</v>
      </c>
    </row>
    <row r="1389" spans="1:16" ht="15" customHeight="1" x14ac:dyDescent="0.2">
      <c r="A1389" s="9" t="s">
        <v>2726</v>
      </c>
      <c r="B1389" s="9" t="s">
        <v>1317</v>
      </c>
      <c r="C1389" s="9" t="b">
        <f>TRUE()</f>
        <v>1</v>
      </c>
      <c r="D1389" s="10">
        <v>45962</v>
      </c>
      <c r="E1389" s="10">
        <v>45962</v>
      </c>
      <c r="F1389" s="9" t="s">
        <v>1360</v>
      </c>
      <c r="G1389" s="11">
        <v>2736.75</v>
      </c>
      <c r="H1389" s="11">
        <v>76.459999999999994</v>
      </c>
      <c r="I1389" s="9" t="b">
        <f>TRUE()</f>
        <v>1</v>
      </c>
      <c r="J1389" s="9" t="s">
        <v>1361</v>
      </c>
      <c r="K1389" s="11">
        <v>76.459999999999994</v>
      </c>
      <c r="L1389" s="9" t="s">
        <v>21</v>
      </c>
      <c r="M1389" s="9" t="str">
        <f>IFERROR(INDEX(T_CleanCustomers[Sales_Rep_ID],MATCH(B1389,T_CleanCustomers[Customer_ID],0)),"Unmatched")</f>
        <v>REP008</v>
      </c>
      <c r="N1389" s="9" t="str">
        <f>IFERROR(INDEX(T_CleanCustomers[Channel],MATCH(B1389,T_CleanCustomers[Customer_ID],0)),"Unmatched")</f>
        <v>Referral</v>
      </c>
      <c r="O1389" s="9" t="str">
        <f>IFERROR(INDEX(T_CleanCustomers[Product],MATCH(B1389,T_CleanCustomers[Customer_ID],0)),"Unmatched")</f>
        <v>Fuel Card</v>
      </c>
      <c r="P1389" s="9" t="str">
        <f>IFERROR(INDEX(T_CleanCustomers[Customer_Segment],MATCH(B1389,T_CleanCustomers[Customer_ID],0)),"Unmatched")</f>
        <v>SME</v>
      </c>
    </row>
    <row r="1390" spans="1:16" ht="15" customHeight="1" x14ac:dyDescent="0.2">
      <c r="A1390" s="9" t="s">
        <v>2727</v>
      </c>
      <c r="B1390" s="9" t="s">
        <v>1317</v>
      </c>
      <c r="C1390" s="9" t="b">
        <f>TRUE()</f>
        <v>1</v>
      </c>
      <c r="D1390" s="10">
        <v>45980</v>
      </c>
      <c r="E1390" s="10">
        <v>45962</v>
      </c>
      <c r="F1390" s="9" t="s">
        <v>1360</v>
      </c>
      <c r="G1390" s="11">
        <v>2898.04</v>
      </c>
      <c r="H1390" s="11">
        <v>72.75</v>
      </c>
      <c r="I1390" s="9" t="b">
        <f>TRUE()</f>
        <v>1</v>
      </c>
      <c r="J1390" s="9" t="s">
        <v>1361</v>
      </c>
      <c r="K1390" s="11">
        <v>72.75</v>
      </c>
      <c r="L1390" s="9" t="s">
        <v>21</v>
      </c>
      <c r="M1390" s="9" t="str">
        <f>IFERROR(INDEX(T_CleanCustomers[Sales_Rep_ID],MATCH(B1390,T_CleanCustomers[Customer_ID],0)),"Unmatched")</f>
        <v>REP008</v>
      </c>
      <c r="N1390" s="9" t="str">
        <f>IFERROR(INDEX(T_CleanCustomers[Channel],MATCH(B1390,T_CleanCustomers[Customer_ID],0)),"Unmatched")</f>
        <v>Referral</v>
      </c>
      <c r="O1390" s="9" t="str">
        <f>IFERROR(INDEX(T_CleanCustomers[Product],MATCH(B1390,T_CleanCustomers[Customer_ID],0)),"Unmatched")</f>
        <v>Fuel Card</v>
      </c>
      <c r="P1390" s="9" t="str">
        <f>IFERROR(INDEX(T_CleanCustomers[Customer_Segment],MATCH(B1390,T_CleanCustomers[Customer_ID],0)),"Unmatched")</f>
        <v>SME</v>
      </c>
    </row>
    <row r="1391" spans="1:16" ht="15" customHeight="1" x14ac:dyDescent="0.2">
      <c r="A1391" s="9" t="s">
        <v>2728</v>
      </c>
      <c r="B1391" s="9" t="s">
        <v>1317</v>
      </c>
      <c r="C1391" s="9" t="b">
        <f>TRUE()</f>
        <v>1</v>
      </c>
      <c r="D1391" s="10">
        <v>46010</v>
      </c>
      <c r="E1391" s="10">
        <v>45992</v>
      </c>
      <c r="F1391" s="9" t="s">
        <v>1360</v>
      </c>
      <c r="G1391" s="11">
        <v>4990.1000000000004</v>
      </c>
      <c r="H1391" s="11">
        <v>123.15</v>
      </c>
      <c r="I1391" s="9" t="b">
        <f>TRUE()</f>
        <v>1</v>
      </c>
      <c r="J1391" s="9" t="s">
        <v>1361</v>
      </c>
      <c r="K1391" s="11">
        <v>123.15</v>
      </c>
      <c r="L1391" s="9" t="s">
        <v>21</v>
      </c>
      <c r="M1391" s="9" t="str">
        <f>IFERROR(INDEX(T_CleanCustomers[Sales_Rep_ID],MATCH(B1391,T_CleanCustomers[Customer_ID],0)),"Unmatched")</f>
        <v>REP008</v>
      </c>
      <c r="N1391" s="9" t="str">
        <f>IFERROR(INDEX(T_CleanCustomers[Channel],MATCH(B1391,T_CleanCustomers[Customer_ID],0)),"Unmatched")</f>
        <v>Referral</v>
      </c>
      <c r="O1391" s="9" t="str">
        <f>IFERROR(INDEX(T_CleanCustomers[Product],MATCH(B1391,T_CleanCustomers[Customer_ID],0)),"Unmatched")</f>
        <v>Fuel Card</v>
      </c>
      <c r="P1391" s="9" t="str">
        <f>IFERROR(INDEX(T_CleanCustomers[Customer_Segment],MATCH(B1391,T_CleanCustomers[Customer_ID],0)),"Unmatched")</f>
        <v>SME</v>
      </c>
    </row>
    <row r="1392" spans="1:16" ht="15" customHeight="1" x14ac:dyDescent="0.2">
      <c r="A1392" s="9" t="s">
        <v>2729</v>
      </c>
      <c r="B1392" s="9" t="s">
        <v>1317</v>
      </c>
      <c r="C1392" s="9" t="b">
        <f>TRUE()</f>
        <v>1</v>
      </c>
      <c r="D1392" s="10">
        <v>45993</v>
      </c>
      <c r="E1392" s="10">
        <v>45992</v>
      </c>
      <c r="F1392" s="9" t="s">
        <v>1360</v>
      </c>
      <c r="G1392" s="11">
        <v>2791.24</v>
      </c>
      <c r="H1392" s="11">
        <v>61.76</v>
      </c>
      <c r="I1392" s="9" t="b">
        <f>TRUE()</f>
        <v>1</v>
      </c>
      <c r="J1392" s="9" t="s">
        <v>1361</v>
      </c>
      <c r="K1392" s="11">
        <v>61.76</v>
      </c>
      <c r="L1392" s="9" t="s">
        <v>21</v>
      </c>
      <c r="M1392" s="9" t="str">
        <f>IFERROR(INDEX(T_CleanCustomers[Sales_Rep_ID],MATCH(B1392,T_CleanCustomers[Customer_ID],0)),"Unmatched")</f>
        <v>REP008</v>
      </c>
      <c r="N1392" s="9" t="str">
        <f>IFERROR(INDEX(T_CleanCustomers[Channel],MATCH(B1392,T_CleanCustomers[Customer_ID],0)),"Unmatched")</f>
        <v>Referral</v>
      </c>
      <c r="O1392" s="9" t="str">
        <f>IFERROR(INDEX(T_CleanCustomers[Product],MATCH(B1392,T_CleanCustomers[Customer_ID],0)),"Unmatched")</f>
        <v>Fuel Card</v>
      </c>
      <c r="P1392" s="9" t="str">
        <f>IFERROR(INDEX(T_CleanCustomers[Customer_Segment],MATCH(B1392,T_CleanCustomers[Customer_ID],0)),"Unmatched")</f>
        <v>SME</v>
      </c>
    </row>
    <row r="1393" spans="1:16" ht="15" customHeight="1" x14ac:dyDescent="0.2">
      <c r="A1393" s="9" t="s">
        <v>2730</v>
      </c>
      <c r="B1393" s="9" t="s">
        <v>104</v>
      </c>
      <c r="C1393" s="9" t="b">
        <f>TRUE()</f>
        <v>1</v>
      </c>
      <c r="D1393" s="10">
        <v>45866</v>
      </c>
      <c r="E1393" s="10">
        <v>45839</v>
      </c>
      <c r="F1393" s="9" t="s">
        <v>1423</v>
      </c>
      <c r="G1393" s="11">
        <v>16942.77</v>
      </c>
      <c r="H1393" s="11">
        <v>502.04</v>
      </c>
      <c r="I1393" s="9" t="b">
        <f>TRUE()</f>
        <v>1</v>
      </c>
      <c r="J1393" s="9" t="s">
        <v>1361</v>
      </c>
      <c r="K1393" s="11">
        <v>502.04</v>
      </c>
      <c r="L1393" s="9" t="s">
        <v>21</v>
      </c>
      <c r="M1393" s="9" t="str">
        <f>IFERROR(INDEX(T_CleanCustomers[Sales_Rep_ID],MATCH(B1393,T_CleanCustomers[Customer_ID],0)),"Unmatched")</f>
        <v>REP009</v>
      </c>
      <c r="N1393" s="9" t="str">
        <f>IFERROR(INDEX(T_CleanCustomers[Channel],MATCH(B1393,T_CleanCustomers[Customer_ID],0)),"Unmatched")</f>
        <v>Direct Sales</v>
      </c>
      <c r="O1393" s="9" t="str">
        <f>IFERROR(INDEX(T_CleanCustomers[Product],MATCH(B1393,T_CleanCustomers[Customer_ID],0)),"Unmatched")</f>
        <v>EV Charge Card</v>
      </c>
      <c r="P1393" s="9" t="str">
        <f>IFERROR(INDEX(T_CleanCustomers[Customer_Segment],MATCH(B1393,T_CleanCustomers[Customer_ID],0)),"Unmatched")</f>
        <v>Mid-Market</v>
      </c>
    </row>
    <row r="1394" spans="1:16" ht="15" customHeight="1" x14ac:dyDescent="0.2">
      <c r="A1394" s="9" t="s">
        <v>2731</v>
      </c>
      <c r="B1394" s="9" t="s">
        <v>104</v>
      </c>
      <c r="C1394" s="9" t="b">
        <f>TRUE()</f>
        <v>1</v>
      </c>
      <c r="D1394" s="10">
        <v>45853</v>
      </c>
      <c r="E1394" s="10">
        <v>45839</v>
      </c>
      <c r="F1394" s="9" t="s">
        <v>1423</v>
      </c>
      <c r="G1394" s="11">
        <v>13683.3</v>
      </c>
      <c r="H1394" s="11">
        <v>405.95</v>
      </c>
      <c r="I1394" s="9" t="b">
        <f>TRUE()</f>
        <v>1</v>
      </c>
      <c r="J1394" s="9" t="s">
        <v>1361</v>
      </c>
      <c r="K1394" s="11">
        <v>405.95</v>
      </c>
      <c r="L1394" s="9" t="s">
        <v>21</v>
      </c>
      <c r="M1394" s="9" t="str">
        <f>IFERROR(INDEX(T_CleanCustomers[Sales_Rep_ID],MATCH(B1394,T_CleanCustomers[Customer_ID],0)),"Unmatched")</f>
        <v>REP009</v>
      </c>
      <c r="N1394" s="9" t="str">
        <f>IFERROR(INDEX(T_CleanCustomers[Channel],MATCH(B1394,T_CleanCustomers[Customer_ID],0)),"Unmatched")</f>
        <v>Direct Sales</v>
      </c>
      <c r="O1394" s="9" t="str">
        <f>IFERROR(INDEX(T_CleanCustomers[Product],MATCH(B1394,T_CleanCustomers[Customer_ID],0)),"Unmatched")</f>
        <v>EV Charge Card</v>
      </c>
      <c r="P1394" s="9" t="str">
        <f>IFERROR(INDEX(T_CleanCustomers[Customer_Segment],MATCH(B1394,T_CleanCustomers[Customer_ID],0)),"Unmatched")</f>
        <v>Mid-Market</v>
      </c>
    </row>
    <row r="1395" spans="1:16" ht="15" customHeight="1" x14ac:dyDescent="0.2">
      <c r="A1395" s="9" t="s">
        <v>2732</v>
      </c>
      <c r="B1395" s="9" t="s">
        <v>104</v>
      </c>
      <c r="C1395" s="9" t="b">
        <f>TRUE()</f>
        <v>1</v>
      </c>
      <c r="D1395" s="10">
        <v>45880</v>
      </c>
      <c r="E1395" s="10">
        <v>45870</v>
      </c>
      <c r="F1395" s="9" t="s">
        <v>1423</v>
      </c>
      <c r="G1395" s="11">
        <v>16512.75</v>
      </c>
      <c r="H1395" s="11">
        <v>472.55</v>
      </c>
      <c r="I1395" s="9" t="b">
        <f>TRUE()</f>
        <v>1</v>
      </c>
      <c r="J1395" s="9" t="s">
        <v>1361</v>
      </c>
      <c r="K1395" s="11">
        <v>472.55</v>
      </c>
      <c r="L1395" s="9" t="s">
        <v>21</v>
      </c>
      <c r="M1395" s="9" t="str">
        <f>IFERROR(INDEX(T_CleanCustomers[Sales_Rep_ID],MATCH(B1395,T_CleanCustomers[Customer_ID],0)),"Unmatched")</f>
        <v>REP009</v>
      </c>
      <c r="N1395" s="9" t="str">
        <f>IFERROR(INDEX(T_CleanCustomers[Channel],MATCH(B1395,T_CleanCustomers[Customer_ID],0)),"Unmatched")</f>
        <v>Direct Sales</v>
      </c>
      <c r="O1395" s="9" t="str">
        <f>IFERROR(INDEX(T_CleanCustomers[Product],MATCH(B1395,T_CleanCustomers[Customer_ID],0)),"Unmatched")</f>
        <v>EV Charge Card</v>
      </c>
      <c r="P1395" s="9" t="str">
        <f>IFERROR(INDEX(T_CleanCustomers[Customer_Segment],MATCH(B1395,T_CleanCustomers[Customer_ID],0)),"Unmatched")</f>
        <v>Mid-Market</v>
      </c>
    </row>
    <row r="1396" spans="1:16" ht="15" customHeight="1" x14ac:dyDescent="0.2">
      <c r="A1396" s="9" t="s">
        <v>2733</v>
      </c>
      <c r="B1396" s="9" t="s">
        <v>104</v>
      </c>
      <c r="C1396" s="9" t="b">
        <f>TRUE()</f>
        <v>1</v>
      </c>
      <c r="D1396" s="10">
        <v>45899</v>
      </c>
      <c r="E1396" s="10">
        <v>45870</v>
      </c>
      <c r="F1396" s="9" t="s">
        <v>1423</v>
      </c>
      <c r="G1396" s="11">
        <v>6434.01</v>
      </c>
      <c r="H1396" s="11">
        <v>207.82</v>
      </c>
      <c r="I1396" s="9" t="b">
        <f>TRUE()</f>
        <v>1</v>
      </c>
      <c r="J1396" s="9" t="s">
        <v>1361</v>
      </c>
      <c r="K1396" s="11">
        <v>207.82</v>
      </c>
      <c r="L1396" s="9" t="s">
        <v>21</v>
      </c>
      <c r="M1396" s="9" t="str">
        <f>IFERROR(INDEX(T_CleanCustomers[Sales_Rep_ID],MATCH(B1396,T_CleanCustomers[Customer_ID],0)),"Unmatched")</f>
        <v>REP009</v>
      </c>
      <c r="N1396" s="9" t="str">
        <f>IFERROR(INDEX(T_CleanCustomers[Channel],MATCH(B1396,T_CleanCustomers[Customer_ID],0)),"Unmatched")</f>
        <v>Direct Sales</v>
      </c>
      <c r="O1396" s="9" t="str">
        <f>IFERROR(INDEX(T_CleanCustomers[Product],MATCH(B1396,T_CleanCustomers[Customer_ID],0)),"Unmatched")</f>
        <v>EV Charge Card</v>
      </c>
      <c r="P1396" s="9" t="str">
        <f>IFERROR(INDEX(T_CleanCustomers[Customer_Segment],MATCH(B1396,T_CleanCustomers[Customer_ID],0)),"Unmatched")</f>
        <v>Mid-Market</v>
      </c>
    </row>
    <row r="1397" spans="1:16" ht="15" customHeight="1" x14ac:dyDescent="0.2">
      <c r="A1397" s="9" t="s">
        <v>2734</v>
      </c>
      <c r="B1397" s="9" t="s">
        <v>104</v>
      </c>
      <c r="C1397" s="9" t="b">
        <f>TRUE()</f>
        <v>1</v>
      </c>
      <c r="D1397" s="10">
        <v>45927</v>
      </c>
      <c r="E1397" s="10">
        <v>45901</v>
      </c>
      <c r="F1397" s="9" t="s">
        <v>1423</v>
      </c>
      <c r="G1397" s="11">
        <v>8768.5400000000009</v>
      </c>
      <c r="H1397" s="11">
        <v>295.13</v>
      </c>
      <c r="I1397" s="9" t="b">
        <f>TRUE()</f>
        <v>1</v>
      </c>
      <c r="J1397" s="9" t="s">
        <v>1361</v>
      </c>
      <c r="K1397" s="11">
        <v>295.13</v>
      </c>
      <c r="L1397" s="9" t="s">
        <v>21</v>
      </c>
      <c r="M1397" s="9" t="str">
        <f>IFERROR(INDEX(T_CleanCustomers[Sales_Rep_ID],MATCH(B1397,T_CleanCustomers[Customer_ID],0)),"Unmatched")</f>
        <v>REP009</v>
      </c>
      <c r="N1397" s="9" t="str">
        <f>IFERROR(INDEX(T_CleanCustomers[Channel],MATCH(B1397,T_CleanCustomers[Customer_ID],0)),"Unmatched")</f>
        <v>Direct Sales</v>
      </c>
      <c r="O1397" s="9" t="str">
        <f>IFERROR(INDEX(T_CleanCustomers[Product],MATCH(B1397,T_CleanCustomers[Customer_ID],0)),"Unmatched")</f>
        <v>EV Charge Card</v>
      </c>
      <c r="P1397" s="9" t="str">
        <f>IFERROR(INDEX(T_CleanCustomers[Customer_Segment],MATCH(B1397,T_CleanCustomers[Customer_ID],0)),"Unmatched")</f>
        <v>Mid-Market</v>
      </c>
    </row>
    <row r="1398" spans="1:16" ht="15" customHeight="1" x14ac:dyDescent="0.2">
      <c r="A1398" s="9" t="s">
        <v>2735</v>
      </c>
      <c r="B1398" s="9" t="s">
        <v>104</v>
      </c>
      <c r="C1398" s="9" t="b">
        <f>TRUE()</f>
        <v>1</v>
      </c>
      <c r="D1398" s="10">
        <v>45912</v>
      </c>
      <c r="E1398" s="10">
        <v>45901</v>
      </c>
      <c r="F1398" s="9" t="s">
        <v>1423</v>
      </c>
      <c r="G1398" s="11">
        <v>9002.4500000000007</v>
      </c>
      <c r="H1398" s="11">
        <v>239.04</v>
      </c>
      <c r="I1398" s="9" t="b">
        <f>TRUE()</f>
        <v>1</v>
      </c>
      <c r="J1398" s="9" t="s">
        <v>1361</v>
      </c>
      <c r="K1398" s="11">
        <v>239.04</v>
      </c>
      <c r="L1398" s="9" t="s">
        <v>21</v>
      </c>
      <c r="M1398" s="9" t="str">
        <f>IFERROR(INDEX(T_CleanCustomers[Sales_Rep_ID],MATCH(B1398,T_CleanCustomers[Customer_ID],0)),"Unmatched")</f>
        <v>REP009</v>
      </c>
      <c r="N1398" s="9" t="str">
        <f>IFERROR(INDEX(T_CleanCustomers[Channel],MATCH(B1398,T_CleanCustomers[Customer_ID],0)),"Unmatched")</f>
        <v>Direct Sales</v>
      </c>
      <c r="O1398" s="9" t="str">
        <f>IFERROR(INDEX(T_CleanCustomers[Product],MATCH(B1398,T_CleanCustomers[Customer_ID],0)),"Unmatched")</f>
        <v>EV Charge Card</v>
      </c>
      <c r="P1398" s="9" t="str">
        <f>IFERROR(INDEX(T_CleanCustomers[Customer_Segment],MATCH(B1398,T_CleanCustomers[Customer_ID],0)),"Unmatched")</f>
        <v>Mid-Market</v>
      </c>
    </row>
    <row r="1399" spans="1:16" ht="15" customHeight="1" x14ac:dyDescent="0.2">
      <c r="A1399" s="9" t="s">
        <v>2736</v>
      </c>
      <c r="B1399" s="9" t="s">
        <v>104</v>
      </c>
      <c r="C1399" s="9" t="b">
        <f>TRUE()</f>
        <v>1</v>
      </c>
      <c r="D1399" s="10">
        <v>45938</v>
      </c>
      <c r="E1399" s="10">
        <v>45931</v>
      </c>
      <c r="F1399" s="9" t="s">
        <v>1423</v>
      </c>
      <c r="G1399" s="11">
        <v>5796.85</v>
      </c>
      <c r="H1399" s="11">
        <v>196.74</v>
      </c>
      <c r="I1399" s="9" t="b">
        <f>TRUE()</f>
        <v>1</v>
      </c>
      <c r="J1399" s="9" t="s">
        <v>1361</v>
      </c>
      <c r="K1399" s="11">
        <v>196.74</v>
      </c>
      <c r="L1399" s="9" t="s">
        <v>21</v>
      </c>
      <c r="M1399" s="9" t="str">
        <f>IFERROR(INDEX(T_CleanCustomers[Sales_Rep_ID],MATCH(B1399,T_CleanCustomers[Customer_ID],0)),"Unmatched")</f>
        <v>REP009</v>
      </c>
      <c r="N1399" s="9" t="str">
        <f>IFERROR(INDEX(T_CleanCustomers[Channel],MATCH(B1399,T_CleanCustomers[Customer_ID],0)),"Unmatched")</f>
        <v>Direct Sales</v>
      </c>
      <c r="O1399" s="9" t="str">
        <f>IFERROR(INDEX(T_CleanCustomers[Product],MATCH(B1399,T_CleanCustomers[Customer_ID],0)),"Unmatched")</f>
        <v>EV Charge Card</v>
      </c>
      <c r="P1399" s="9" t="str">
        <f>IFERROR(INDEX(T_CleanCustomers[Customer_Segment],MATCH(B1399,T_CleanCustomers[Customer_ID],0)),"Unmatched")</f>
        <v>Mid-Market</v>
      </c>
    </row>
    <row r="1400" spans="1:16" ht="15" customHeight="1" x14ac:dyDescent="0.2">
      <c r="A1400" s="9" t="s">
        <v>114</v>
      </c>
      <c r="B1400" s="9" t="s">
        <v>104</v>
      </c>
      <c r="C1400" s="9" t="b">
        <f>TRUE()</f>
        <v>1</v>
      </c>
      <c r="D1400" s="10">
        <v>45955</v>
      </c>
      <c r="E1400" s="10">
        <v>45931</v>
      </c>
      <c r="F1400" s="9" t="s">
        <v>1423</v>
      </c>
      <c r="G1400" s="11">
        <v>12601.23</v>
      </c>
      <c r="H1400" s="11">
        <v>333.07</v>
      </c>
      <c r="I1400" s="9" t="b">
        <f>TRUE()</f>
        <v>1</v>
      </c>
      <c r="J1400" s="9" t="s">
        <v>1361</v>
      </c>
      <c r="K1400" s="11">
        <v>333.07</v>
      </c>
      <c r="L1400" s="9" t="s">
        <v>21</v>
      </c>
      <c r="M1400" s="9" t="str">
        <f>IFERROR(INDEX(T_CleanCustomers[Sales_Rep_ID],MATCH(B1400,T_CleanCustomers[Customer_ID],0)),"Unmatched")</f>
        <v>REP009</v>
      </c>
      <c r="N1400" s="9" t="str">
        <f>IFERROR(INDEX(T_CleanCustomers[Channel],MATCH(B1400,T_CleanCustomers[Customer_ID],0)),"Unmatched")</f>
        <v>Direct Sales</v>
      </c>
      <c r="O1400" s="9" t="str">
        <f>IFERROR(INDEX(T_CleanCustomers[Product],MATCH(B1400,T_CleanCustomers[Customer_ID],0)),"Unmatched")</f>
        <v>EV Charge Card</v>
      </c>
      <c r="P1400" s="9" t="str">
        <f>IFERROR(INDEX(T_CleanCustomers[Customer_Segment],MATCH(B1400,T_CleanCustomers[Customer_ID],0)),"Unmatched")</f>
        <v>Mid-Market</v>
      </c>
    </row>
    <row r="1401" spans="1:16" ht="15" customHeight="1" x14ac:dyDescent="0.2">
      <c r="A1401" s="9" t="s">
        <v>2737</v>
      </c>
      <c r="B1401" s="9" t="s">
        <v>104</v>
      </c>
      <c r="C1401" s="9" t="b">
        <f>TRUE()</f>
        <v>1</v>
      </c>
      <c r="D1401" s="10">
        <v>45931</v>
      </c>
      <c r="E1401" s="10">
        <v>45931</v>
      </c>
      <c r="F1401" s="9" t="s">
        <v>1423</v>
      </c>
      <c r="G1401" s="11">
        <v>5260.6</v>
      </c>
      <c r="H1401" s="11">
        <v>172.77</v>
      </c>
      <c r="I1401" s="9" t="b">
        <f>TRUE()</f>
        <v>1</v>
      </c>
      <c r="J1401" s="9" t="s">
        <v>1361</v>
      </c>
      <c r="K1401" s="11">
        <v>172.77</v>
      </c>
      <c r="L1401" s="9" t="s">
        <v>21</v>
      </c>
      <c r="M1401" s="9" t="str">
        <f>IFERROR(INDEX(T_CleanCustomers[Sales_Rep_ID],MATCH(B1401,T_CleanCustomers[Customer_ID],0)),"Unmatched")</f>
        <v>REP009</v>
      </c>
      <c r="N1401" s="9" t="str">
        <f>IFERROR(INDEX(T_CleanCustomers[Channel],MATCH(B1401,T_CleanCustomers[Customer_ID],0)),"Unmatched")</f>
        <v>Direct Sales</v>
      </c>
      <c r="O1401" s="9" t="str">
        <f>IFERROR(INDEX(T_CleanCustomers[Product],MATCH(B1401,T_CleanCustomers[Customer_ID],0)),"Unmatched")</f>
        <v>EV Charge Card</v>
      </c>
      <c r="P1401" s="9" t="str">
        <f>IFERROR(INDEX(T_CleanCustomers[Customer_Segment],MATCH(B1401,T_CleanCustomers[Customer_ID],0)),"Unmatched")</f>
        <v>Mid-Market</v>
      </c>
    </row>
    <row r="1402" spans="1:16" ht="15" customHeight="1" x14ac:dyDescent="0.2">
      <c r="A1402" s="9" t="s">
        <v>2738</v>
      </c>
      <c r="B1402" s="9" t="s">
        <v>104</v>
      </c>
      <c r="C1402" s="9" t="b">
        <f>TRUE()</f>
        <v>1</v>
      </c>
      <c r="D1402" s="10">
        <v>45977</v>
      </c>
      <c r="E1402" s="10">
        <v>45962</v>
      </c>
      <c r="F1402" s="9" t="s">
        <v>1423</v>
      </c>
      <c r="G1402" s="11">
        <v>14552.17</v>
      </c>
      <c r="H1402" s="11">
        <v>390.46</v>
      </c>
      <c r="I1402" s="9" t="b">
        <f>TRUE()</f>
        <v>1</v>
      </c>
      <c r="J1402" s="9" t="s">
        <v>1361</v>
      </c>
      <c r="K1402" s="11">
        <v>390.46</v>
      </c>
      <c r="L1402" s="9" t="s">
        <v>21</v>
      </c>
      <c r="M1402" s="9" t="str">
        <f>IFERROR(INDEX(T_CleanCustomers[Sales_Rep_ID],MATCH(B1402,T_CleanCustomers[Customer_ID],0)),"Unmatched")</f>
        <v>REP009</v>
      </c>
      <c r="N1402" s="9" t="str">
        <f>IFERROR(INDEX(T_CleanCustomers[Channel],MATCH(B1402,T_CleanCustomers[Customer_ID],0)),"Unmatched")</f>
        <v>Direct Sales</v>
      </c>
      <c r="O1402" s="9" t="str">
        <f>IFERROR(INDEX(T_CleanCustomers[Product],MATCH(B1402,T_CleanCustomers[Customer_ID],0)),"Unmatched")</f>
        <v>EV Charge Card</v>
      </c>
      <c r="P1402" s="9" t="str">
        <f>IFERROR(INDEX(T_CleanCustomers[Customer_Segment],MATCH(B1402,T_CleanCustomers[Customer_ID],0)),"Unmatched")</f>
        <v>Mid-Market</v>
      </c>
    </row>
    <row r="1403" spans="1:16" ht="15" customHeight="1" x14ac:dyDescent="0.2">
      <c r="A1403" s="9" t="s">
        <v>2739</v>
      </c>
      <c r="B1403" s="9" t="s">
        <v>104</v>
      </c>
      <c r="C1403" s="9" t="b">
        <f>TRUE()</f>
        <v>1</v>
      </c>
      <c r="D1403" s="10">
        <v>45981</v>
      </c>
      <c r="E1403" s="10">
        <v>45962</v>
      </c>
      <c r="F1403" s="9" t="s">
        <v>1423</v>
      </c>
      <c r="G1403" s="11">
        <v>11387.67</v>
      </c>
      <c r="H1403" s="11">
        <v>316.43</v>
      </c>
      <c r="I1403" s="9" t="b">
        <f>TRUE()</f>
        <v>1</v>
      </c>
      <c r="J1403" s="9" t="s">
        <v>1361</v>
      </c>
      <c r="K1403" s="11">
        <v>316.43</v>
      </c>
      <c r="L1403" s="9" t="s">
        <v>21</v>
      </c>
      <c r="M1403" s="9" t="str">
        <f>IFERROR(INDEX(T_CleanCustomers[Sales_Rep_ID],MATCH(B1403,T_CleanCustomers[Customer_ID],0)),"Unmatched")</f>
        <v>REP009</v>
      </c>
      <c r="N1403" s="9" t="str">
        <f>IFERROR(INDEX(T_CleanCustomers[Channel],MATCH(B1403,T_CleanCustomers[Customer_ID],0)),"Unmatched")</f>
        <v>Direct Sales</v>
      </c>
      <c r="O1403" s="9" t="str">
        <f>IFERROR(INDEX(T_CleanCustomers[Product],MATCH(B1403,T_CleanCustomers[Customer_ID],0)),"Unmatched")</f>
        <v>EV Charge Card</v>
      </c>
      <c r="P1403" s="9" t="str">
        <f>IFERROR(INDEX(T_CleanCustomers[Customer_Segment],MATCH(B1403,T_CleanCustomers[Customer_ID],0)),"Unmatched")</f>
        <v>Mid-Market</v>
      </c>
    </row>
    <row r="1404" spans="1:16" ht="15" customHeight="1" x14ac:dyDescent="0.2">
      <c r="A1404" s="9" t="s">
        <v>2740</v>
      </c>
      <c r="B1404" s="9" t="s">
        <v>104</v>
      </c>
      <c r="C1404" s="9" t="b">
        <f>TRUE()</f>
        <v>1</v>
      </c>
      <c r="D1404" s="10">
        <v>45970</v>
      </c>
      <c r="E1404" s="10">
        <v>45962</v>
      </c>
      <c r="F1404" s="9" t="s">
        <v>1423</v>
      </c>
      <c r="G1404" s="11">
        <v>16267.03</v>
      </c>
      <c r="H1404" s="11">
        <v>446.38</v>
      </c>
      <c r="I1404" s="9" t="b">
        <f>TRUE()</f>
        <v>1</v>
      </c>
      <c r="J1404" s="9" t="s">
        <v>1361</v>
      </c>
      <c r="K1404" s="11">
        <v>446.38</v>
      </c>
      <c r="L1404" s="9" t="s">
        <v>21</v>
      </c>
      <c r="M1404" s="9" t="str">
        <f>IFERROR(INDEX(T_CleanCustomers[Sales_Rep_ID],MATCH(B1404,T_CleanCustomers[Customer_ID],0)),"Unmatched")</f>
        <v>REP009</v>
      </c>
      <c r="N1404" s="9" t="str">
        <f>IFERROR(INDEX(T_CleanCustomers[Channel],MATCH(B1404,T_CleanCustomers[Customer_ID],0)),"Unmatched")</f>
        <v>Direct Sales</v>
      </c>
      <c r="O1404" s="9" t="str">
        <f>IFERROR(INDEX(T_CleanCustomers[Product],MATCH(B1404,T_CleanCustomers[Customer_ID],0)),"Unmatched")</f>
        <v>EV Charge Card</v>
      </c>
      <c r="P1404" s="9" t="str">
        <f>IFERROR(INDEX(T_CleanCustomers[Customer_Segment],MATCH(B1404,T_CleanCustomers[Customer_ID],0)),"Unmatched")</f>
        <v>Mid-Market</v>
      </c>
    </row>
    <row r="1405" spans="1:16" ht="15" customHeight="1" x14ac:dyDescent="0.2">
      <c r="A1405" s="9" t="s">
        <v>2741</v>
      </c>
      <c r="B1405" s="9" t="s">
        <v>104</v>
      </c>
      <c r="C1405" s="9" t="b">
        <f>TRUE()</f>
        <v>1</v>
      </c>
      <c r="D1405" s="10">
        <v>46013</v>
      </c>
      <c r="E1405" s="10">
        <v>45992</v>
      </c>
      <c r="F1405" s="9" t="s">
        <v>1423</v>
      </c>
      <c r="G1405" s="11">
        <v>5120.42</v>
      </c>
      <c r="H1405" s="11">
        <v>168.35</v>
      </c>
      <c r="I1405" s="9" t="b">
        <f>TRUE()</f>
        <v>1</v>
      </c>
      <c r="J1405" s="9" t="s">
        <v>1361</v>
      </c>
      <c r="K1405" s="11">
        <v>168.35</v>
      </c>
      <c r="L1405" s="9" t="s">
        <v>21</v>
      </c>
      <c r="M1405" s="9" t="str">
        <f>IFERROR(INDEX(T_CleanCustomers[Sales_Rep_ID],MATCH(B1405,T_CleanCustomers[Customer_ID],0)),"Unmatched")</f>
        <v>REP009</v>
      </c>
      <c r="N1405" s="9" t="str">
        <f>IFERROR(INDEX(T_CleanCustomers[Channel],MATCH(B1405,T_CleanCustomers[Customer_ID],0)),"Unmatched")</f>
        <v>Direct Sales</v>
      </c>
      <c r="O1405" s="9" t="str">
        <f>IFERROR(INDEX(T_CleanCustomers[Product],MATCH(B1405,T_CleanCustomers[Customer_ID],0)),"Unmatched")</f>
        <v>EV Charge Card</v>
      </c>
      <c r="P1405" s="9" t="str">
        <f>IFERROR(INDEX(T_CleanCustomers[Customer_Segment],MATCH(B1405,T_CleanCustomers[Customer_ID],0)),"Unmatched")</f>
        <v>Mid-Market</v>
      </c>
    </row>
    <row r="1406" spans="1:16" ht="15" customHeight="1" x14ac:dyDescent="0.2">
      <c r="A1406" s="9" t="s">
        <v>2742</v>
      </c>
      <c r="B1406" s="9" t="s">
        <v>95</v>
      </c>
      <c r="C1406" s="9" t="b">
        <f>TRUE()</f>
        <v>1</v>
      </c>
      <c r="D1406" s="10">
        <v>45851</v>
      </c>
      <c r="E1406" s="10">
        <v>45839</v>
      </c>
      <c r="F1406" s="9" t="s">
        <v>1360</v>
      </c>
      <c r="G1406" s="11">
        <v>30246.880000000001</v>
      </c>
      <c r="H1406" s="11">
        <v>833.5</v>
      </c>
      <c r="I1406" s="9" t="b">
        <f>TRUE()</f>
        <v>1</v>
      </c>
      <c r="J1406" s="9" t="s">
        <v>1361</v>
      </c>
      <c r="K1406" s="11">
        <v>833.5</v>
      </c>
      <c r="L1406" s="9" t="s">
        <v>19</v>
      </c>
      <c r="M1406" s="9" t="str">
        <f>IFERROR(INDEX(T_CleanCustomers[Sales_Rep_ID],MATCH(B1406,T_CleanCustomers[Customer_ID],0)),"Unmatched")</f>
        <v>REP015</v>
      </c>
      <c r="N1406" s="9" t="str">
        <f>IFERROR(INDEX(T_CleanCustomers[Channel],MATCH(B1406,T_CleanCustomers[Customer_ID],0)),"Unmatched")</f>
        <v>Partner</v>
      </c>
      <c r="O1406" s="9" t="str">
        <f>IFERROR(INDEX(T_CleanCustomers[Product],MATCH(B1406,T_CleanCustomers[Customer_ID],0)),"Unmatched")</f>
        <v>Fleet Expense Card</v>
      </c>
      <c r="P1406" s="9" t="str">
        <f>IFERROR(INDEX(T_CleanCustomers[Customer_Segment],MATCH(B1406,T_CleanCustomers[Customer_ID],0)),"Unmatched")</f>
        <v>Enterprise</v>
      </c>
    </row>
    <row r="1407" spans="1:16" ht="15" customHeight="1" x14ac:dyDescent="0.2">
      <c r="A1407" s="9" t="s">
        <v>2743</v>
      </c>
      <c r="B1407" s="9" t="s">
        <v>95</v>
      </c>
      <c r="C1407" s="9" t="b">
        <f>TRUE()</f>
        <v>1</v>
      </c>
      <c r="D1407" s="10">
        <v>45848</v>
      </c>
      <c r="E1407" s="10">
        <v>45839</v>
      </c>
      <c r="F1407" s="9" t="s">
        <v>1360</v>
      </c>
      <c r="G1407" s="11">
        <v>18853.91</v>
      </c>
      <c r="H1407" s="11">
        <v>475.15</v>
      </c>
      <c r="I1407" s="9" t="b">
        <f>TRUE()</f>
        <v>1</v>
      </c>
      <c r="J1407" s="9" t="s">
        <v>1361</v>
      </c>
      <c r="K1407" s="11">
        <v>475.15</v>
      </c>
      <c r="L1407" s="9" t="s">
        <v>19</v>
      </c>
      <c r="M1407" s="9" t="str">
        <f>IFERROR(INDEX(T_CleanCustomers[Sales_Rep_ID],MATCH(B1407,T_CleanCustomers[Customer_ID],0)),"Unmatched")</f>
        <v>REP015</v>
      </c>
      <c r="N1407" s="9" t="str">
        <f>IFERROR(INDEX(T_CleanCustomers[Channel],MATCH(B1407,T_CleanCustomers[Customer_ID],0)),"Unmatched")</f>
        <v>Partner</v>
      </c>
      <c r="O1407" s="9" t="str">
        <f>IFERROR(INDEX(T_CleanCustomers[Product],MATCH(B1407,T_CleanCustomers[Customer_ID],0)),"Unmatched")</f>
        <v>Fleet Expense Card</v>
      </c>
      <c r="P1407" s="9" t="str">
        <f>IFERROR(INDEX(T_CleanCustomers[Customer_Segment],MATCH(B1407,T_CleanCustomers[Customer_ID],0)),"Unmatched")</f>
        <v>Enterprise</v>
      </c>
    </row>
    <row r="1408" spans="1:16" ht="15" customHeight="1" x14ac:dyDescent="0.2">
      <c r="A1408" s="9" t="s">
        <v>2744</v>
      </c>
      <c r="B1408" s="9" t="s">
        <v>95</v>
      </c>
      <c r="C1408" s="9" t="b">
        <f>TRUE()</f>
        <v>1</v>
      </c>
      <c r="D1408" s="10">
        <v>45874</v>
      </c>
      <c r="E1408" s="10">
        <v>45870</v>
      </c>
      <c r="F1408" s="9" t="s">
        <v>1481</v>
      </c>
      <c r="G1408" s="11">
        <v>32129.58</v>
      </c>
      <c r="H1408" s="11">
        <v>972.33</v>
      </c>
      <c r="I1408" s="9" t="b">
        <f>TRUE()</f>
        <v>1</v>
      </c>
      <c r="J1408" s="9" t="s">
        <v>1361</v>
      </c>
      <c r="K1408" s="11">
        <v>972.33</v>
      </c>
      <c r="L1408" s="9" t="s">
        <v>19</v>
      </c>
      <c r="M1408" s="9" t="str">
        <f>IFERROR(INDEX(T_CleanCustomers[Sales_Rep_ID],MATCH(B1408,T_CleanCustomers[Customer_ID],0)),"Unmatched")</f>
        <v>REP015</v>
      </c>
      <c r="N1408" s="9" t="str">
        <f>IFERROR(INDEX(T_CleanCustomers[Channel],MATCH(B1408,T_CleanCustomers[Customer_ID],0)),"Unmatched")</f>
        <v>Partner</v>
      </c>
      <c r="O1408" s="9" t="str">
        <f>IFERROR(INDEX(T_CleanCustomers[Product],MATCH(B1408,T_CleanCustomers[Customer_ID],0)),"Unmatched")</f>
        <v>Fleet Expense Card</v>
      </c>
      <c r="P1408" s="9" t="str">
        <f>IFERROR(INDEX(T_CleanCustomers[Customer_Segment],MATCH(B1408,T_CleanCustomers[Customer_ID],0)),"Unmatched")</f>
        <v>Enterprise</v>
      </c>
    </row>
    <row r="1409" spans="1:16" ht="15" customHeight="1" x14ac:dyDescent="0.2">
      <c r="A1409" s="9" t="s">
        <v>2745</v>
      </c>
      <c r="B1409" s="9" t="s">
        <v>95</v>
      </c>
      <c r="C1409" s="9" t="b">
        <f>TRUE()</f>
        <v>1</v>
      </c>
      <c r="D1409" s="10">
        <v>45919</v>
      </c>
      <c r="E1409" s="10">
        <v>45901</v>
      </c>
      <c r="F1409" s="9" t="s">
        <v>1360</v>
      </c>
      <c r="G1409" s="11">
        <v>18197.47</v>
      </c>
      <c r="H1409" s="11">
        <v>525.33000000000004</v>
      </c>
      <c r="I1409" s="9" t="b">
        <f>TRUE()</f>
        <v>1</v>
      </c>
      <c r="J1409" s="9" t="s">
        <v>1361</v>
      </c>
      <c r="K1409" s="11">
        <v>525.33000000000004</v>
      </c>
      <c r="L1409" s="9" t="s">
        <v>19</v>
      </c>
      <c r="M1409" s="9" t="str">
        <f>IFERROR(INDEX(T_CleanCustomers[Sales_Rep_ID],MATCH(B1409,T_CleanCustomers[Customer_ID],0)),"Unmatched")</f>
        <v>REP015</v>
      </c>
      <c r="N1409" s="9" t="str">
        <f>IFERROR(INDEX(T_CleanCustomers[Channel],MATCH(B1409,T_CleanCustomers[Customer_ID],0)),"Unmatched")</f>
        <v>Partner</v>
      </c>
      <c r="O1409" s="9" t="str">
        <f>IFERROR(INDEX(T_CleanCustomers[Product],MATCH(B1409,T_CleanCustomers[Customer_ID],0)),"Unmatched")</f>
        <v>Fleet Expense Card</v>
      </c>
      <c r="P1409" s="9" t="str">
        <f>IFERROR(INDEX(T_CleanCustomers[Customer_Segment],MATCH(B1409,T_CleanCustomers[Customer_ID],0)),"Unmatched")</f>
        <v>Enterprise</v>
      </c>
    </row>
    <row r="1410" spans="1:16" ht="15" customHeight="1" x14ac:dyDescent="0.2">
      <c r="A1410" s="9" t="s">
        <v>2746</v>
      </c>
      <c r="B1410" s="9" t="s">
        <v>95</v>
      </c>
      <c r="C1410" s="9" t="b">
        <f>TRUE()</f>
        <v>1</v>
      </c>
      <c r="D1410" s="10">
        <v>45934</v>
      </c>
      <c r="E1410" s="10">
        <v>45931</v>
      </c>
      <c r="F1410" s="9" t="s">
        <v>1360</v>
      </c>
      <c r="G1410" s="11">
        <v>61327.22</v>
      </c>
      <c r="H1410" s="11">
        <v>1776.14</v>
      </c>
      <c r="I1410" s="9" t="b">
        <f>TRUE()</f>
        <v>1</v>
      </c>
      <c r="J1410" s="9" t="s">
        <v>1361</v>
      </c>
      <c r="K1410" s="11">
        <v>1776.14</v>
      </c>
      <c r="L1410" s="9" t="s">
        <v>19</v>
      </c>
      <c r="M1410" s="9" t="str">
        <f>IFERROR(INDEX(T_CleanCustomers[Sales_Rep_ID],MATCH(B1410,T_CleanCustomers[Customer_ID],0)),"Unmatched")</f>
        <v>REP015</v>
      </c>
      <c r="N1410" s="9" t="str">
        <f>IFERROR(INDEX(T_CleanCustomers[Channel],MATCH(B1410,T_CleanCustomers[Customer_ID],0)),"Unmatched")</f>
        <v>Partner</v>
      </c>
      <c r="O1410" s="9" t="str">
        <f>IFERROR(INDEX(T_CleanCustomers[Product],MATCH(B1410,T_CleanCustomers[Customer_ID],0)),"Unmatched")</f>
        <v>Fleet Expense Card</v>
      </c>
      <c r="P1410" s="9" t="str">
        <f>IFERROR(INDEX(T_CleanCustomers[Customer_Segment],MATCH(B1410,T_CleanCustomers[Customer_ID],0)),"Unmatched")</f>
        <v>Enterprise</v>
      </c>
    </row>
    <row r="1411" spans="1:16" ht="15" customHeight="1" x14ac:dyDescent="0.2">
      <c r="A1411" s="9" t="s">
        <v>2747</v>
      </c>
      <c r="B1411" s="9" t="s">
        <v>95</v>
      </c>
      <c r="C1411" s="9" t="b">
        <f>TRUE()</f>
        <v>1</v>
      </c>
      <c r="D1411" s="10">
        <v>45985</v>
      </c>
      <c r="E1411" s="10">
        <v>45962</v>
      </c>
      <c r="F1411" s="9" t="s">
        <v>1481</v>
      </c>
      <c r="G1411" s="11">
        <v>45880.92</v>
      </c>
      <c r="H1411" s="11">
        <v>1294.1400000000001</v>
      </c>
      <c r="I1411" s="9" t="b">
        <f>TRUE()</f>
        <v>1</v>
      </c>
      <c r="J1411" s="9" t="s">
        <v>1361</v>
      </c>
      <c r="K1411" s="11">
        <v>1294.1400000000001</v>
      </c>
      <c r="L1411" s="9" t="s">
        <v>19</v>
      </c>
      <c r="M1411" s="9" t="str">
        <f>IFERROR(INDEX(T_CleanCustomers[Sales_Rep_ID],MATCH(B1411,T_CleanCustomers[Customer_ID],0)),"Unmatched")</f>
        <v>REP015</v>
      </c>
      <c r="N1411" s="9" t="str">
        <f>IFERROR(INDEX(T_CleanCustomers[Channel],MATCH(B1411,T_CleanCustomers[Customer_ID],0)),"Unmatched")</f>
        <v>Partner</v>
      </c>
      <c r="O1411" s="9" t="str">
        <f>IFERROR(INDEX(T_CleanCustomers[Product],MATCH(B1411,T_CleanCustomers[Customer_ID],0)),"Unmatched")</f>
        <v>Fleet Expense Card</v>
      </c>
      <c r="P1411" s="9" t="str">
        <f>IFERROR(INDEX(T_CleanCustomers[Customer_Segment],MATCH(B1411,T_CleanCustomers[Customer_ID],0)),"Unmatched")</f>
        <v>Enterprise</v>
      </c>
    </row>
    <row r="1412" spans="1:16" ht="15" customHeight="1" x14ac:dyDescent="0.2">
      <c r="A1412" s="9" t="s">
        <v>2748</v>
      </c>
      <c r="B1412" s="9" t="s">
        <v>95</v>
      </c>
      <c r="C1412" s="9" t="b">
        <f>TRUE()</f>
        <v>1</v>
      </c>
      <c r="D1412" s="10">
        <v>46014</v>
      </c>
      <c r="E1412" s="10">
        <v>45992</v>
      </c>
      <c r="F1412" s="9" t="s">
        <v>1360</v>
      </c>
      <c r="G1412" s="11">
        <v>29732.62</v>
      </c>
      <c r="H1412" s="11">
        <v>801.73</v>
      </c>
      <c r="I1412" s="9" t="b">
        <f>TRUE()</f>
        <v>1</v>
      </c>
      <c r="J1412" s="9" t="s">
        <v>1361</v>
      </c>
      <c r="K1412" s="11">
        <v>801.73</v>
      </c>
      <c r="L1412" s="9" t="s">
        <v>19</v>
      </c>
      <c r="M1412" s="9" t="str">
        <f>IFERROR(INDEX(T_CleanCustomers[Sales_Rep_ID],MATCH(B1412,T_CleanCustomers[Customer_ID],0)),"Unmatched")</f>
        <v>REP015</v>
      </c>
      <c r="N1412" s="9" t="str">
        <f>IFERROR(INDEX(T_CleanCustomers[Channel],MATCH(B1412,T_CleanCustomers[Customer_ID],0)),"Unmatched")</f>
        <v>Partner</v>
      </c>
      <c r="O1412" s="9" t="str">
        <f>IFERROR(INDEX(T_CleanCustomers[Product],MATCH(B1412,T_CleanCustomers[Customer_ID],0)),"Unmatched")</f>
        <v>Fleet Expense Card</v>
      </c>
      <c r="P1412" s="9" t="str">
        <f>IFERROR(INDEX(T_CleanCustomers[Customer_Segment],MATCH(B1412,T_CleanCustomers[Customer_ID],0)),"Unmatched")</f>
        <v>Enterprise</v>
      </c>
    </row>
    <row r="1413" spans="1:16" ht="15" customHeight="1" x14ac:dyDescent="0.2">
      <c r="A1413" s="9" t="s">
        <v>2749</v>
      </c>
      <c r="B1413" s="9" t="s">
        <v>1321</v>
      </c>
      <c r="C1413" s="9" t="b">
        <f>TRUE()</f>
        <v>1</v>
      </c>
      <c r="D1413" s="10">
        <v>45790</v>
      </c>
      <c r="E1413" s="10">
        <v>45778</v>
      </c>
      <c r="F1413" s="9" t="s">
        <v>1360</v>
      </c>
      <c r="G1413" s="11">
        <v>4249.41</v>
      </c>
      <c r="H1413" s="11">
        <v>100.57</v>
      </c>
      <c r="I1413" s="9" t="b">
        <f>TRUE()</f>
        <v>1</v>
      </c>
      <c r="J1413" s="9" t="s">
        <v>1361</v>
      </c>
      <c r="K1413" s="11">
        <v>100.57</v>
      </c>
      <c r="L1413" s="9" t="s">
        <v>20</v>
      </c>
      <c r="M1413" s="9" t="str">
        <f>IFERROR(INDEX(T_CleanCustomers[Sales_Rep_ID],MATCH(B1413,T_CleanCustomers[Customer_ID],0)),"Unmatched")</f>
        <v>REP003</v>
      </c>
      <c r="N1413" s="9" t="str">
        <f>IFERROR(INDEX(T_CleanCustomers[Channel],MATCH(B1413,T_CleanCustomers[Customer_ID],0)),"Unmatched")</f>
        <v>Direct Sales</v>
      </c>
      <c r="O1413" s="9" t="str">
        <f>IFERROR(INDEX(T_CleanCustomers[Product],MATCH(B1413,T_CleanCustomers[Customer_ID],0)),"Unmatched")</f>
        <v>Fuel Card</v>
      </c>
      <c r="P1413" s="9" t="str">
        <f>IFERROR(INDEX(T_CleanCustomers[Customer_Segment],MATCH(B1413,T_CleanCustomers[Customer_ID],0)),"Unmatched")</f>
        <v>SME</v>
      </c>
    </row>
    <row r="1414" spans="1:16" ht="15" customHeight="1" x14ac:dyDescent="0.2">
      <c r="A1414" s="9" t="s">
        <v>2750</v>
      </c>
      <c r="B1414" s="9" t="s">
        <v>1321</v>
      </c>
      <c r="C1414" s="9" t="b">
        <f>TRUE()</f>
        <v>1</v>
      </c>
      <c r="D1414" s="10">
        <v>45837</v>
      </c>
      <c r="E1414" s="10">
        <v>45809</v>
      </c>
      <c r="F1414" s="9" t="s">
        <v>1360</v>
      </c>
      <c r="G1414" s="11">
        <v>1583.93</v>
      </c>
      <c r="H1414" s="11">
        <v>35.46</v>
      </c>
      <c r="I1414" s="9" t="b">
        <f>TRUE()</f>
        <v>1</v>
      </c>
      <c r="J1414" s="9" t="s">
        <v>1361</v>
      </c>
      <c r="K1414" s="11">
        <v>35.46</v>
      </c>
      <c r="L1414" s="9" t="s">
        <v>20</v>
      </c>
      <c r="M1414" s="9" t="str">
        <f>IFERROR(INDEX(T_CleanCustomers[Sales_Rep_ID],MATCH(B1414,T_CleanCustomers[Customer_ID],0)),"Unmatched")</f>
        <v>REP003</v>
      </c>
      <c r="N1414" s="9" t="str">
        <f>IFERROR(INDEX(T_CleanCustomers[Channel],MATCH(B1414,T_CleanCustomers[Customer_ID],0)),"Unmatched")</f>
        <v>Direct Sales</v>
      </c>
      <c r="O1414" s="9" t="str">
        <f>IFERROR(INDEX(T_CleanCustomers[Product],MATCH(B1414,T_CleanCustomers[Customer_ID],0)),"Unmatched")</f>
        <v>Fuel Card</v>
      </c>
      <c r="P1414" s="9" t="str">
        <f>IFERROR(INDEX(T_CleanCustomers[Customer_Segment],MATCH(B1414,T_CleanCustomers[Customer_ID],0)),"Unmatched")</f>
        <v>SME</v>
      </c>
    </row>
    <row r="1415" spans="1:16" ht="15" customHeight="1" x14ac:dyDescent="0.2">
      <c r="A1415" s="9" t="s">
        <v>2751</v>
      </c>
      <c r="B1415" s="9" t="s">
        <v>1321</v>
      </c>
      <c r="C1415" s="9" t="b">
        <f>TRUE()</f>
        <v>1</v>
      </c>
      <c r="D1415" s="10">
        <v>45861</v>
      </c>
      <c r="E1415" s="10">
        <v>45839</v>
      </c>
      <c r="F1415" s="9" t="s">
        <v>1360</v>
      </c>
      <c r="G1415" s="11">
        <v>5235.79</v>
      </c>
      <c r="H1415" s="11">
        <v>129.07</v>
      </c>
      <c r="I1415" s="9" t="b">
        <f>TRUE()</f>
        <v>1</v>
      </c>
      <c r="J1415" s="9" t="s">
        <v>1361</v>
      </c>
      <c r="K1415" s="11">
        <v>129.07</v>
      </c>
      <c r="L1415" s="9" t="s">
        <v>20</v>
      </c>
      <c r="M1415" s="9" t="str">
        <f>IFERROR(INDEX(T_CleanCustomers[Sales_Rep_ID],MATCH(B1415,T_CleanCustomers[Customer_ID],0)),"Unmatched")</f>
        <v>REP003</v>
      </c>
      <c r="N1415" s="9" t="str">
        <f>IFERROR(INDEX(T_CleanCustomers[Channel],MATCH(B1415,T_CleanCustomers[Customer_ID],0)),"Unmatched")</f>
        <v>Direct Sales</v>
      </c>
      <c r="O1415" s="9" t="str">
        <f>IFERROR(INDEX(T_CleanCustomers[Product],MATCH(B1415,T_CleanCustomers[Customer_ID],0)),"Unmatched")</f>
        <v>Fuel Card</v>
      </c>
      <c r="P1415" s="9" t="str">
        <f>IFERROR(INDEX(T_CleanCustomers[Customer_Segment],MATCH(B1415,T_CleanCustomers[Customer_ID],0)),"Unmatched")</f>
        <v>SME</v>
      </c>
    </row>
    <row r="1416" spans="1:16" ht="15" customHeight="1" x14ac:dyDescent="0.2">
      <c r="A1416" s="9" t="s">
        <v>2752</v>
      </c>
      <c r="B1416" s="9" t="s">
        <v>1321</v>
      </c>
      <c r="C1416" s="9" t="b">
        <f>TRUE()</f>
        <v>1</v>
      </c>
      <c r="D1416" s="10">
        <v>45860</v>
      </c>
      <c r="E1416" s="10">
        <v>45839</v>
      </c>
      <c r="F1416" s="9" t="s">
        <v>1360</v>
      </c>
      <c r="G1416" s="11">
        <v>2950.5</v>
      </c>
      <c r="H1416" s="11">
        <v>79.73</v>
      </c>
      <c r="I1416" s="9" t="b">
        <f>TRUE()</f>
        <v>1</v>
      </c>
      <c r="J1416" s="9" t="s">
        <v>1361</v>
      </c>
      <c r="K1416" s="11">
        <v>79.73</v>
      </c>
      <c r="L1416" s="9" t="s">
        <v>20</v>
      </c>
      <c r="M1416" s="9" t="str">
        <f>IFERROR(INDEX(T_CleanCustomers[Sales_Rep_ID],MATCH(B1416,T_CleanCustomers[Customer_ID],0)),"Unmatched")</f>
        <v>REP003</v>
      </c>
      <c r="N1416" s="9" t="str">
        <f>IFERROR(INDEX(T_CleanCustomers[Channel],MATCH(B1416,T_CleanCustomers[Customer_ID],0)),"Unmatched")</f>
        <v>Direct Sales</v>
      </c>
      <c r="O1416" s="9" t="str">
        <f>IFERROR(INDEX(T_CleanCustomers[Product],MATCH(B1416,T_CleanCustomers[Customer_ID],0)),"Unmatched")</f>
        <v>Fuel Card</v>
      </c>
      <c r="P1416" s="9" t="str">
        <f>IFERROR(INDEX(T_CleanCustomers[Customer_Segment],MATCH(B1416,T_CleanCustomers[Customer_ID],0)),"Unmatched")</f>
        <v>SME</v>
      </c>
    </row>
    <row r="1417" spans="1:16" ht="15" customHeight="1" x14ac:dyDescent="0.2">
      <c r="A1417" s="9" t="s">
        <v>2753</v>
      </c>
      <c r="B1417" s="9" t="s">
        <v>1321</v>
      </c>
      <c r="C1417" s="9" t="b">
        <f>TRUE()</f>
        <v>1</v>
      </c>
      <c r="D1417" s="10">
        <v>45861</v>
      </c>
      <c r="E1417" s="10">
        <v>45839</v>
      </c>
      <c r="F1417" s="9" t="s">
        <v>1360</v>
      </c>
      <c r="G1417" s="11">
        <v>4487.0200000000004</v>
      </c>
      <c r="H1417" s="11">
        <v>110.7</v>
      </c>
      <c r="I1417" s="9" t="b">
        <f>TRUE()</f>
        <v>1</v>
      </c>
      <c r="J1417" s="9" t="s">
        <v>1361</v>
      </c>
      <c r="K1417" s="11">
        <v>110.7</v>
      </c>
      <c r="L1417" s="9" t="s">
        <v>20</v>
      </c>
      <c r="M1417" s="9" t="str">
        <f>IFERROR(INDEX(T_CleanCustomers[Sales_Rep_ID],MATCH(B1417,T_CleanCustomers[Customer_ID],0)),"Unmatched")</f>
        <v>REP003</v>
      </c>
      <c r="N1417" s="9" t="str">
        <f>IFERROR(INDEX(T_CleanCustomers[Channel],MATCH(B1417,T_CleanCustomers[Customer_ID],0)),"Unmatched")</f>
        <v>Direct Sales</v>
      </c>
      <c r="O1417" s="9" t="str">
        <f>IFERROR(INDEX(T_CleanCustomers[Product],MATCH(B1417,T_CleanCustomers[Customer_ID],0)),"Unmatched")</f>
        <v>Fuel Card</v>
      </c>
      <c r="P1417" s="9" t="str">
        <f>IFERROR(INDEX(T_CleanCustomers[Customer_Segment],MATCH(B1417,T_CleanCustomers[Customer_ID],0)),"Unmatched")</f>
        <v>SME</v>
      </c>
    </row>
    <row r="1418" spans="1:16" ht="15" customHeight="1" x14ac:dyDescent="0.2">
      <c r="A1418" s="9" t="s">
        <v>122</v>
      </c>
      <c r="B1418" s="9" t="s">
        <v>1437</v>
      </c>
      <c r="C1418" s="9" t="b">
        <f>FALSE()</f>
        <v>0</v>
      </c>
      <c r="D1418" s="10">
        <v>45896</v>
      </c>
      <c r="E1418" s="10">
        <v>45870</v>
      </c>
      <c r="F1418" s="9" t="s">
        <v>1360</v>
      </c>
      <c r="G1418" s="11">
        <v>1389.41</v>
      </c>
      <c r="H1418" s="11">
        <v>33.909999999999997</v>
      </c>
      <c r="I1418" s="9" t="b">
        <f>TRUE()</f>
        <v>1</v>
      </c>
      <c r="J1418" s="9" t="s">
        <v>1361</v>
      </c>
      <c r="K1418" s="11">
        <v>0</v>
      </c>
      <c r="L1418" s="9" t="s">
        <v>20</v>
      </c>
      <c r="M1418" s="9" t="str">
        <f>IFERROR(INDEX(T_CleanCustomers[Sales_Rep_ID],MATCH(B1418,T_CleanCustomers[Customer_ID],0)),"Unmatched")</f>
        <v>Unmatched</v>
      </c>
      <c r="N1418" s="9" t="str">
        <f>IFERROR(INDEX(T_CleanCustomers[Channel],MATCH(B1418,T_CleanCustomers[Customer_ID],0)),"Unmatched")</f>
        <v>Unmatched</v>
      </c>
      <c r="O1418" s="9" t="str">
        <f>IFERROR(INDEX(T_CleanCustomers[Product],MATCH(B1418,T_CleanCustomers[Customer_ID],0)),"Unmatched")</f>
        <v>Unmatched</v>
      </c>
      <c r="P1418" s="9" t="str">
        <f>IFERROR(INDEX(T_CleanCustomers[Customer_Segment],MATCH(B1418,T_CleanCustomers[Customer_ID],0)),"Unmatched")</f>
        <v>Unmatched</v>
      </c>
    </row>
    <row r="1419" spans="1:16" ht="15" customHeight="1" x14ac:dyDescent="0.2">
      <c r="A1419" s="9" t="s">
        <v>2754</v>
      </c>
      <c r="B1419" s="9" t="s">
        <v>1321</v>
      </c>
      <c r="C1419" s="9" t="b">
        <f>TRUE()</f>
        <v>1</v>
      </c>
      <c r="D1419" s="10">
        <v>45927</v>
      </c>
      <c r="E1419" s="10">
        <v>45901</v>
      </c>
      <c r="F1419" s="9" t="s">
        <v>1360</v>
      </c>
      <c r="G1419" s="11">
        <v>1661.41</v>
      </c>
      <c r="H1419" s="11">
        <v>38.299999999999997</v>
      </c>
      <c r="I1419" s="9" t="b">
        <f>TRUE()</f>
        <v>1</v>
      </c>
      <c r="J1419" s="9" t="s">
        <v>1361</v>
      </c>
      <c r="K1419" s="11">
        <v>38.299999999999997</v>
      </c>
      <c r="L1419" s="9" t="s">
        <v>20</v>
      </c>
      <c r="M1419" s="9" t="str">
        <f>IFERROR(INDEX(T_CleanCustomers[Sales_Rep_ID],MATCH(B1419,T_CleanCustomers[Customer_ID],0)),"Unmatched")</f>
        <v>REP003</v>
      </c>
      <c r="N1419" s="9" t="str">
        <f>IFERROR(INDEX(T_CleanCustomers[Channel],MATCH(B1419,T_CleanCustomers[Customer_ID],0)),"Unmatched")</f>
        <v>Direct Sales</v>
      </c>
      <c r="O1419" s="9" t="str">
        <f>IFERROR(INDEX(T_CleanCustomers[Product],MATCH(B1419,T_CleanCustomers[Customer_ID],0)),"Unmatched")</f>
        <v>Fuel Card</v>
      </c>
      <c r="P1419" s="9" t="str">
        <f>IFERROR(INDEX(T_CleanCustomers[Customer_Segment],MATCH(B1419,T_CleanCustomers[Customer_ID],0)),"Unmatched")</f>
        <v>SME</v>
      </c>
    </row>
    <row r="1420" spans="1:16" ht="15" customHeight="1" x14ac:dyDescent="0.2">
      <c r="A1420" s="9" t="s">
        <v>2755</v>
      </c>
      <c r="B1420" s="9" t="s">
        <v>1321</v>
      </c>
      <c r="C1420" s="9" t="b">
        <f>TRUE()</f>
        <v>1</v>
      </c>
      <c r="D1420" s="10">
        <v>45915</v>
      </c>
      <c r="E1420" s="10">
        <v>45901</v>
      </c>
      <c r="F1420" s="9" t="s">
        <v>1360</v>
      </c>
      <c r="G1420" s="11">
        <v>4824.7</v>
      </c>
      <c r="H1420" s="11">
        <v>109.48</v>
      </c>
      <c r="I1420" s="9" t="b">
        <f>TRUE()</f>
        <v>1</v>
      </c>
      <c r="J1420" s="9" t="s">
        <v>1361</v>
      </c>
      <c r="K1420" s="11">
        <v>109.48</v>
      </c>
      <c r="L1420" s="9" t="s">
        <v>20</v>
      </c>
      <c r="M1420" s="9" t="str">
        <f>IFERROR(INDEX(T_CleanCustomers[Sales_Rep_ID],MATCH(B1420,T_CleanCustomers[Customer_ID],0)),"Unmatched")</f>
        <v>REP003</v>
      </c>
      <c r="N1420" s="9" t="str">
        <f>IFERROR(INDEX(T_CleanCustomers[Channel],MATCH(B1420,T_CleanCustomers[Customer_ID],0)),"Unmatched")</f>
        <v>Direct Sales</v>
      </c>
      <c r="O1420" s="9" t="str">
        <f>IFERROR(INDEX(T_CleanCustomers[Product],MATCH(B1420,T_CleanCustomers[Customer_ID],0)),"Unmatched")</f>
        <v>Fuel Card</v>
      </c>
      <c r="P1420" s="9" t="str">
        <f>IFERROR(INDEX(T_CleanCustomers[Customer_Segment],MATCH(B1420,T_CleanCustomers[Customer_ID],0)),"Unmatched")</f>
        <v>SME</v>
      </c>
    </row>
    <row r="1421" spans="1:16" ht="15" customHeight="1" x14ac:dyDescent="0.2">
      <c r="A1421" s="9" t="s">
        <v>2756</v>
      </c>
      <c r="B1421" s="9" t="s">
        <v>1321</v>
      </c>
      <c r="C1421" s="9" t="b">
        <f>TRUE()</f>
        <v>1</v>
      </c>
      <c r="D1421" s="10">
        <v>45918</v>
      </c>
      <c r="E1421" s="10">
        <v>45901</v>
      </c>
      <c r="F1421" s="9" t="s">
        <v>1360</v>
      </c>
      <c r="G1421" s="11">
        <v>2311.64</v>
      </c>
      <c r="H1421" s="11">
        <v>62.52</v>
      </c>
      <c r="I1421" s="9" t="b">
        <f>TRUE()</f>
        <v>1</v>
      </c>
      <c r="J1421" s="9" t="s">
        <v>1361</v>
      </c>
      <c r="K1421" s="11">
        <v>62.52</v>
      </c>
      <c r="L1421" s="9" t="s">
        <v>20</v>
      </c>
      <c r="M1421" s="9" t="str">
        <f>IFERROR(INDEX(T_CleanCustomers[Sales_Rep_ID],MATCH(B1421,T_CleanCustomers[Customer_ID],0)),"Unmatched")</f>
        <v>REP003</v>
      </c>
      <c r="N1421" s="9" t="str">
        <f>IFERROR(INDEX(T_CleanCustomers[Channel],MATCH(B1421,T_CleanCustomers[Customer_ID],0)),"Unmatched")</f>
        <v>Direct Sales</v>
      </c>
      <c r="O1421" s="9" t="str">
        <f>IFERROR(INDEX(T_CleanCustomers[Product],MATCH(B1421,T_CleanCustomers[Customer_ID],0)),"Unmatched")</f>
        <v>Fuel Card</v>
      </c>
      <c r="P1421" s="9" t="str">
        <f>IFERROR(INDEX(T_CleanCustomers[Customer_Segment],MATCH(B1421,T_CleanCustomers[Customer_ID],0)),"Unmatched")</f>
        <v>SME</v>
      </c>
    </row>
    <row r="1422" spans="1:16" ht="15" customHeight="1" x14ac:dyDescent="0.2">
      <c r="A1422" s="9" t="s">
        <v>2757</v>
      </c>
      <c r="B1422" s="9" t="s">
        <v>1321</v>
      </c>
      <c r="C1422" s="9" t="b">
        <f>TRUE()</f>
        <v>1</v>
      </c>
      <c r="D1422" s="10">
        <v>45937</v>
      </c>
      <c r="E1422" s="10">
        <v>45931</v>
      </c>
      <c r="F1422" s="9" t="s">
        <v>1360</v>
      </c>
      <c r="G1422" s="11">
        <v>2050.4899999999998</v>
      </c>
      <c r="H1422" s="11">
        <v>52.88</v>
      </c>
      <c r="I1422" s="9" t="b">
        <f>TRUE()</f>
        <v>1</v>
      </c>
      <c r="J1422" s="9" t="s">
        <v>1361</v>
      </c>
      <c r="K1422" s="11">
        <v>52.88</v>
      </c>
      <c r="L1422" s="9" t="s">
        <v>20</v>
      </c>
      <c r="M1422" s="9" t="str">
        <f>IFERROR(INDEX(T_CleanCustomers[Sales_Rep_ID],MATCH(B1422,T_CleanCustomers[Customer_ID],0)),"Unmatched")</f>
        <v>REP003</v>
      </c>
      <c r="N1422" s="9" t="str">
        <f>IFERROR(INDEX(T_CleanCustomers[Channel],MATCH(B1422,T_CleanCustomers[Customer_ID],0)),"Unmatched")</f>
        <v>Direct Sales</v>
      </c>
      <c r="O1422" s="9" t="str">
        <f>IFERROR(INDEX(T_CleanCustomers[Product],MATCH(B1422,T_CleanCustomers[Customer_ID],0)),"Unmatched")</f>
        <v>Fuel Card</v>
      </c>
      <c r="P1422" s="9" t="str">
        <f>IFERROR(INDEX(T_CleanCustomers[Customer_Segment],MATCH(B1422,T_CleanCustomers[Customer_ID],0)),"Unmatched")</f>
        <v>SME</v>
      </c>
    </row>
    <row r="1423" spans="1:16" ht="15" customHeight="1" x14ac:dyDescent="0.2">
      <c r="A1423" s="9" t="s">
        <v>2758</v>
      </c>
      <c r="B1423" s="9" t="s">
        <v>1321</v>
      </c>
      <c r="C1423" s="9" t="b">
        <f>TRUE()</f>
        <v>1</v>
      </c>
      <c r="D1423" s="10">
        <v>45975</v>
      </c>
      <c r="E1423" s="10">
        <v>45962</v>
      </c>
      <c r="F1423" s="9" t="s">
        <v>1360</v>
      </c>
      <c r="G1423" s="11">
        <v>1584.37</v>
      </c>
      <c r="H1423" s="11">
        <v>34.520000000000003</v>
      </c>
      <c r="I1423" s="9" t="b">
        <f>TRUE()</f>
        <v>1</v>
      </c>
      <c r="J1423" s="9" t="s">
        <v>1361</v>
      </c>
      <c r="K1423" s="11">
        <v>34.520000000000003</v>
      </c>
      <c r="L1423" s="9" t="s">
        <v>20</v>
      </c>
      <c r="M1423" s="9" t="str">
        <f>IFERROR(INDEX(T_CleanCustomers[Sales_Rep_ID],MATCH(B1423,T_CleanCustomers[Customer_ID],0)),"Unmatched")</f>
        <v>REP003</v>
      </c>
      <c r="N1423" s="9" t="str">
        <f>IFERROR(INDEX(T_CleanCustomers[Channel],MATCH(B1423,T_CleanCustomers[Customer_ID],0)),"Unmatched")</f>
        <v>Direct Sales</v>
      </c>
      <c r="O1423" s="9" t="str">
        <f>IFERROR(INDEX(T_CleanCustomers[Product],MATCH(B1423,T_CleanCustomers[Customer_ID],0)),"Unmatched")</f>
        <v>Fuel Card</v>
      </c>
      <c r="P1423" s="9" t="str">
        <f>IFERROR(INDEX(T_CleanCustomers[Customer_Segment],MATCH(B1423,T_CleanCustomers[Customer_ID],0)),"Unmatched")</f>
        <v>SME</v>
      </c>
    </row>
    <row r="1424" spans="1:16" ht="15" customHeight="1" x14ac:dyDescent="0.2">
      <c r="A1424" s="9" t="s">
        <v>2759</v>
      </c>
      <c r="B1424" s="9" t="s">
        <v>1321</v>
      </c>
      <c r="C1424" s="9" t="b">
        <f>TRUE()</f>
        <v>1</v>
      </c>
      <c r="D1424" s="10">
        <v>45984</v>
      </c>
      <c r="E1424" s="10">
        <v>45962</v>
      </c>
      <c r="F1424" s="9" t="s">
        <v>1360</v>
      </c>
      <c r="G1424" s="11">
        <v>2926.16</v>
      </c>
      <c r="H1424" s="11">
        <v>68.62</v>
      </c>
      <c r="I1424" s="9" t="b">
        <f>TRUE()</f>
        <v>1</v>
      </c>
      <c r="J1424" s="9" t="s">
        <v>1361</v>
      </c>
      <c r="K1424" s="11">
        <v>68.62</v>
      </c>
      <c r="L1424" s="9" t="s">
        <v>20</v>
      </c>
      <c r="M1424" s="9" t="str">
        <f>IFERROR(INDEX(T_CleanCustomers[Sales_Rep_ID],MATCH(B1424,T_CleanCustomers[Customer_ID],0)),"Unmatched")</f>
        <v>REP003</v>
      </c>
      <c r="N1424" s="9" t="str">
        <f>IFERROR(INDEX(T_CleanCustomers[Channel],MATCH(B1424,T_CleanCustomers[Customer_ID],0)),"Unmatched")</f>
        <v>Direct Sales</v>
      </c>
      <c r="O1424" s="9" t="str">
        <f>IFERROR(INDEX(T_CleanCustomers[Product],MATCH(B1424,T_CleanCustomers[Customer_ID],0)),"Unmatched")</f>
        <v>Fuel Card</v>
      </c>
      <c r="P1424" s="9" t="str">
        <f>IFERROR(INDEX(T_CleanCustomers[Customer_Segment],MATCH(B1424,T_CleanCustomers[Customer_ID],0)),"Unmatched")</f>
        <v>SME</v>
      </c>
    </row>
    <row r="1425" spans="1:16" ht="15" customHeight="1" x14ac:dyDescent="0.2">
      <c r="A1425" s="9" t="s">
        <v>2760</v>
      </c>
      <c r="B1425" s="9" t="s">
        <v>1321</v>
      </c>
      <c r="C1425" s="9" t="b">
        <f>TRUE()</f>
        <v>1</v>
      </c>
      <c r="D1425" s="10">
        <v>46015</v>
      </c>
      <c r="E1425" s="10">
        <v>45992</v>
      </c>
      <c r="F1425" s="9" t="s">
        <v>1360</v>
      </c>
      <c r="G1425" s="11">
        <v>2197.3000000000002</v>
      </c>
      <c r="H1425" s="11">
        <v>55.49</v>
      </c>
      <c r="I1425" s="9" t="b">
        <f>TRUE()</f>
        <v>1</v>
      </c>
      <c r="J1425" s="9" t="s">
        <v>1361</v>
      </c>
      <c r="K1425" s="11">
        <v>55.49</v>
      </c>
      <c r="L1425" s="9" t="s">
        <v>20</v>
      </c>
      <c r="M1425" s="9" t="str">
        <f>IFERROR(INDEX(T_CleanCustomers[Sales_Rep_ID],MATCH(B1425,T_CleanCustomers[Customer_ID],0)),"Unmatched")</f>
        <v>REP003</v>
      </c>
      <c r="N1425" s="9" t="str">
        <f>IFERROR(INDEX(T_CleanCustomers[Channel],MATCH(B1425,T_CleanCustomers[Customer_ID],0)),"Unmatched")</f>
        <v>Direct Sales</v>
      </c>
      <c r="O1425" s="9" t="str">
        <f>IFERROR(INDEX(T_CleanCustomers[Product],MATCH(B1425,T_CleanCustomers[Customer_ID],0)),"Unmatched")</f>
        <v>Fuel Card</v>
      </c>
      <c r="P1425" s="9" t="str">
        <f>IFERROR(INDEX(T_CleanCustomers[Customer_Segment],MATCH(B1425,T_CleanCustomers[Customer_ID],0)),"Unmatched")</f>
        <v>SME</v>
      </c>
    </row>
    <row r="1426" spans="1:16" ht="15" customHeight="1" x14ac:dyDescent="0.2">
      <c r="A1426" s="9" t="s">
        <v>2761</v>
      </c>
      <c r="B1426" s="9" t="s">
        <v>1321</v>
      </c>
      <c r="C1426" s="9" t="b">
        <f>TRUE()</f>
        <v>1</v>
      </c>
      <c r="D1426" s="10">
        <v>46005</v>
      </c>
      <c r="E1426" s="10">
        <v>45992</v>
      </c>
      <c r="F1426" s="9" t="s">
        <v>1360</v>
      </c>
      <c r="G1426" s="11">
        <v>1534.44</v>
      </c>
      <c r="H1426" s="11">
        <v>43.9</v>
      </c>
      <c r="I1426" s="9" t="b">
        <f>TRUE()</f>
        <v>1</v>
      </c>
      <c r="J1426" s="9" t="s">
        <v>1361</v>
      </c>
      <c r="K1426" s="11">
        <v>43.9</v>
      </c>
      <c r="L1426" s="9" t="s">
        <v>20</v>
      </c>
      <c r="M1426" s="9" t="str">
        <f>IFERROR(INDEX(T_CleanCustomers[Sales_Rep_ID],MATCH(B1426,T_CleanCustomers[Customer_ID],0)),"Unmatched")</f>
        <v>REP003</v>
      </c>
      <c r="N1426" s="9" t="str">
        <f>IFERROR(INDEX(T_CleanCustomers[Channel],MATCH(B1426,T_CleanCustomers[Customer_ID],0)),"Unmatched")</f>
        <v>Direct Sales</v>
      </c>
      <c r="O1426" s="9" t="str">
        <f>IFERROR(INDEX(T_CleanCustomers[Product],MATCH(B1426,T_CleanCustomers[Customer_ID],0)),"Unmatched")</f>
        <v>Fuel Card</v>
      </c>
      <c r="P1426" s="9" t="str">
        <f>IFERROR(INDEX(T_CleanCustomers[Customer_Segment],MATCH(B1426,T_CleanCustomers[Customer_ID],0)),"Unmatched")</f>
        <v>SME</v>
      </c>
    </row>
    <row r="1427" spans="1:16" ht="15" customHeight="1" x14ac:dyDescent="0.2">
      <c r="A1427" s="9" t="s">
        <v>2762</v>
      </c>
      <c r="B1427" s="9" t="s">
        <v>1321</v>
      </c>
      <c r="C1427" s="9" t="b">
        <f>TRUE()</f>
        <v>1</v>
      </c>
      <c r="D1427" s="10">
        <v>46013</v>
      </c>
      <c r="E1427" s="10">
        <v>45992</v>
      </c>
      <c r="F1427" s="9" t="s">
        <v>1360</v>
      </c>
      <c r="G1427" s="11">
        <v>3951.9</v>
      </c>
      <c r="H1427" s="11">
        <v>0</v>
      </c>
      <c r="I1427" s="9" t="b">
        <f>TRUE()</f>
        <v>1</v>
      </c>
      <c r="J1427" s="9" t="s">
        <v>1408</v>
      </c>
      <c r="K1427" s="11">
        <v>0</v>
      </c>
      <c r="L1427" s="9" t="s">
        <v>20</v>
      </c>
      <c r="M1427" s="9" t="str">
        <f>IFERROR(INDEX(T_CleanCustomers[Sales_Rep_ID],MATCH(B1427,T_CleanCustomers[Customer_ID],0)),"Unmatched")</f>
        <v>REP003</v>
      </c>
      <c r="N1427" s="9" t="str">
        <f>IFERROR(INDEX(T_CleanCustomers[Channel],MATCH(B1427,T_CleanCustomers[Customer_ID],0)),"Unmatched")</f>
        <v>Direct Sales</v>
      </c>
      <c r="O1427" s="9" t="str">
        <f>IFERROR(INDEX(T_CleanCustomers[Product],MATCH(B1427,T_CleanCustomers[Customer_ID],0)),"Unmatched")</f>
        <v>Fuel Card</v>
      </c>
      <c r="P1427" s="9" t="str">
        <f>IFERROR(INDEX(T_CleanCustomers[Customer_Segment],MATCH(B1427,T_CleanCustomers[Customer_ID],0)),"Unmatched")</f>
        <v>SME</v>
      </c>
    </row>
    <row r="1428" spans="1:16" ht="15" customHeight="1" x14ac:dyDescent="0.2">
      <c r="A1428" s="9" t="s">
        <v>2763</v>
      </c>
      <c r="B1428" s="9" t="s">
        <v>1322</v>
      </c>
      <c r="C1428" s="9" t="b">
        <f>TRUE()</f>
        <v>1</v>
      </c>
      <c r="D1428" s="10">
        <v>45738</v>
      </c>
      <c r="E1428" s="10">
        <v>45717</v>
      </c>
      <c r="F1428" s="9" t="s">
        <v>1373</v>
      </c>
      <c r="G1428" s="11">
        <v>7354.56</v>
      </c>
      <c r="H1428" s="11">
        <v>146.97999999999999</v>
      </c>
      <c r="I1428" s="9" t="b">
        <f>TRUE()</f>
        <v>1</v>
      </c>
      <c r="J1428" s="9" t="s">
        <v>1361</v>
      </c>
      <c r="K1428" s="11">
        <v>146.97999999999999</v>
      </c>
      <c r="L1428" s="9" t="s">
        <v>20</v>
      </c>
      <c r="M1428" s="9" t="str">
        <f>IFERROR(INDEX(T_CleanCustomers[Sales_Rep_ID],MATCH(B1428,T_CleanCustomers[Customer_ID],0)),"Unmatched")</f>
        <v>REP002</v>
      </c>
      <c r="N1428" s="9" t="str">
        <f>IFERROR(INDEX(T_CleanCustomers[Channel],MATCH(B1428,T_CleanCustomers[Customer_ID],0)),"Unmatched")</f>
        <v>Direct Sales</v>
      </c>
      <c r="O1428" s="9" t="str">
        <f>IFERROR(INDEX(T_CleanCustomers[Product],MATCH(B1428,T_CleanCustomers[Customer_ID],0)),"Unmatched")</f>
        <v>Toll Solution</v>
      </c>
      <c r="P1428" s="9" t="str">
        <f>IFERROR(INDEX(T_CleanCustomers[Customer_Segment],MATCH(B1428,T_CleanCustomers[Customer_ID],0)),"Unmatched")</f>
        <v>Mid-Market</v>
      </c>
    </row>
    <row r="1429" spans="1:16" ht="15" customHeight="1" x14ac:dyDescent="0.2">
      <c r="A1429" s="9" t="s">
        <v>2764</v>
      </c>
      <c r="B1429" s="9" t="s">
        <v>1322</v>
      </c>
      <c r="C1429" s="9" t="b">
        <f>TRUE()</f>
        <v>1</v>
      </c>
      <c r="D1429" s="10">
        <v>45751</v>
      </c>
      <c r="E1429" s="10">
        <v>45748</v>
      </c>
      <c r="F1429" s="9" t="s">
        <v>1373</v>
      </c>
      <c r="G1429" s="11">
        <v>12557.54</v>
      </c>
      <c r="H1429" s="11">
        <v>212.46</v>
      </c>
      <c r="I1429" s="9" t="b">
        <f>TRUE()</f>
        <v>1</v>
      </c>
      <c r="J1429" s="9" t="s">
        <v>1361</v>
      </c>
      <c r="K1429" s="11">
        <v>212.46</v>
      </c>
      <c r="L1429" s="9" t="s">
        <v>20</v>
      </c>
      <c r="M1429" s="9" t="str">
        <f>IFERROR(INDEX(T_CleanCustomers[Sales_Rep_ID],MATCH(B1429,T_CleanCustomers[Customer_ID],0)),"Unmatched")</f>
        <v>REP002</v>
      </c>
      <c r="N1429" s="9" t="str">
        <f>IFERROR(INDEX(T_CleanCustomers[Channel],MATCH(B1429,T_CleanCustomers[Customer_ID],0)),"Unmatched")</f>
        <v>Direct Sales</v>
      </c>
      <c r="O1429" s="9" t="str">
        <f>IFERROR(INDEX(T_CleanCustomers[Product],MATCH(B1429,T_CleanCustomers[Customer_ID],0)),"Unmatched")</f>
        <v>Toll Solution</v>
      </c>
      <c r="P1429" s="9" t="str">
        <f>IFERROR(INDEX(T_CleanCustomers[Customer_Segment],MATCH(B1429,T_CleanCustomers[Customer_ID],0)),"Unmatched")</f>
        <v>Mid-Market</v>
      </c>
    </row>
    <row r="1430" spans="1:16" ht="15" customHeight="1" x14ac:dyDescent="0.2">
      <c r="A1430" s="9" t="s">
        <v>2765</v>
      </c>
      <c r="B1430" s="9" t="s">
        <v>1322</v>
      </c>
      <c r="C1430" s="9" t="b">
        <f>TRUE()</f>
        <v>1</v>
      </c>
      <c r="D1430" s="10">
        <v>45761</v>
      </c>
      <c r="E1430" s="10">
        <v>45748</v>
      </c>
      <c r="F1430" s="9" t="s">
        <v>1373</v>
      </c>
      <c r="G1430" s="11">
        <v>8586.0499999999993</v>
      </c>
      <c r="H1430" s="11">
        <v>173.47</v>
      </c>
      <c r="I1430" s="9" t="b">
        <f>TRUE()</f>
        <v>1</v>
      </c>
      <c r="J1430" s="9" t="s">
        <v>1361</v>
      </c>
      <c r="K1430" s="11">
        <v>173.47</v>
      </c>
      <c r="L1430" s="9" t="s">
        <v>20</v>
      </c>
      <c r="M1430" s="9" t="str">
        <f>IFERROR(INDEX(T_CleanCustomers[Sales_Rep_ID],MATCH(B1430,T_CleanCustomers[Customer_ID],0)),"Unmatched")</f>
        <v>REP002</v>
      </c>
      <c r="N1430" s="9" t="str">
        <f>IFERROR(INDEX(T_CleanCustomers[Channel],MATCH(B1430,T_CleanCustomers[Customer_ID],0)),"Unmatched")</f>
        <v>Direct Sales</v>
      </c>
      <c r="O1430" s="9" t="str">
        <f>IFERROR(INDEX(T_CleanCustomers[Product],MATCH(B1430,T_CleanCustomers[Customer_ID],0)),"Unmatched")</f>
        <v>Toll Solution</v>
      </c>
      <c r="P1430" s="9" t="str">
        <f>IFERROR(INDEX(T_CleanCustomers[Customer_Segment],MATCH(B1430,T_CleanCustomers[Customer_ID],0)),"Unmatched")</f>
        <v>Mid-Market</v>
      </c>
    </row>
    <row r="1431" spans="1:16" ht="15" customHeight="1" x14ac:dyDescent="0.2">
      <c r="A1431" s="9" t="s">
        <v>2766</v>
      </c>
      <c r="B1431" s="9" t="s">
        <v>1322</v>
      </c>
      <c r="C1431" s="9" t="b">
        <f>TRUE()</f>
        <v>1</v>
      </c>
      <c r="D1431" s="10">
        <v>45792</v>
      </c>
      <c r="E1431" s="10">
        <v>45778</v>
      </c>
      <c r="F1431" s="9" t="s">
        <v>1373</v>
      </c>
      <c r="G1431" s="11">
        <v>17009.36</v>
      </c>
      <c r="H1431" s="11">
        <v>278.05</v>
      </c>
      <c r="I1431" s="9" t="b">
        <f>TRUE()</f>
        <v>1</v>
      </c>
      <c r="J1431" s="9" t="s">
        <v>1361</v>
      </c>
      <c r="K1431" s="11">
        <v>278.05</v>
      </c>
      <c r="L1431" s="9" t="s">
        <v>20</v>
      </c>
      <c r="M1431" s="9" t="str">
        <f>IFERROR(INDEX(T_CleanCustomers[Sales_Rep_ID],MATCH(B1431,T_CleanCustomers[Customer_ID],0)),"Unmatched")</f>
        <v>REP002</v>
      </c>
      <c r="N1431" s="9" t="str">
        <f>IFERROR(INDEX(T_CleanCustomers[Channel],MATCH(B1431,T_CleanCustomers[Customer_ID],0)),"Unmatched")</f>
        <v>Direct Sales</v>
      </c>
      <c r="O1431" s="9" t="str">
        <f>IFERROR(INDEX(T_CleanCustomers[Product],MATCH(B1431,T_CleanCustomers[Customer_ID],0)),"Unmatched")</f>
        <v>Toll Solution</v>
      </c>
      <c r="P1431" s="9" t="str">
        <f>IFERROR(INDEX(T_CleanCustomers[Customer_Segment],MATCH(B1431,T_CleanCustomers[Customer_ID],0)),"Unmatched")</f>
        <v>Mid-Market</v>
      </c>
    </row>
    <row r="1432" spans="1:16" ht="15" customHeight="1" x14ac:dyDescent="0.2">
      <c r="A1432" s="9" t="s">
        <v>2767</v>
      </c>
      <c r="B1432" s="9" t="s">
        <v>1322</v>
      </c>
      <c r="C1432" s="9" t="b">
        <f>TRUE()</f>
        <v>1</v>
      </c>
      <c r="D1432" s="10">
        <v>45793</v>
      </c>
      <c r="E1432" s="10">
        <v>45778</v>
      </c>
      <c r="F1432" s="9" t="s">
        <v>1373</v>
      </c>
      <c r="G1432" s="11">
        <v>5665.19</v>
      </c>
      <c r="H1432" s="11">
        <v>87.75</v>
      </c>
      <c r="I1432" s="9" t="b">
        <f>TRUE()</f>
        <v>1</v>
      </c>
      <c r="J1432" s="9" t="s">
        <v>1361</v>
      </c>
      <c r="K1432" s="11">
        <v>87.75</v>
      </c>
      <c r="L1432" s="9" t="s">
        <v>20</v>
      </c>
      <c r="M1432" s="9" t="str">
        <f>IFERROR(INDEX(T_CleanCustomers[Sales_Rep_ID],MATCH(B1432,T_CleanCustomers[Customer_ID],0)),"Unmatched")</f>
        <v>REP002</v>
      </c>
      <c r="N1432" s="9" t="str">
        <f>IFERROR(INDEX(T_CleanCustomers[Channel],MATCH(B1432,T_CleanCustomers[Customer_ID],0)),"Unmatched")</f>
        <v>Direct Sales</v>
      </c>
      <c r="O1432" s="9" t="str">
        <f>IFERROR(INDEX(T_CleanCustomers[Product],MATCH(B1432,T_CleanCustomers[Customer_ID],0)),"Unmatched")</f>
        <v>Toll Solution</v>
      </c>
      <c r="P1432" s="9" t="str">
        <f>IFERROR(INDEX(T_CleanCustomers[Customer_Segment],MATCH(B1432,T_CleanCustomers[Customer_ID],0)),"Unmatched")</f>
        <v>Mid-Market</v>
      </c>
    </row>
    <row r="1433" spans="1:16" ht="15" customHeight="1" x14ac:dyDescent="0.2">
      <c r="A1433" s="9" t="s">
        <v>2768</v>
      </c>
      <c r="B1433" s="9" t="s">
        <v>1322</v>
      </c>
      <c r="C1433" s="9" t="b">
        <f>TRUE()</f>
        <v>1</v>
      </c>
      <c r="D1433" s="10">
        <v>45782</v>
      </c>
      <c r="E1433" s="10">
        <v>45778</v>
      </c>
      <c r="F1433" s="9" t="s">
        <v>1373</v>
      </c>
      <c r="G1433" s="11">
        <v>17163.91</v>
      </c>
      <c r="H1433" s="11">
        <v>290.64</v>
      </c>
      <c r="I1433" s="9" t="b">
        <f>TRUE()</f>
        <v>1</v>
      </c>
      <c r="J1433" s="9" t="s">
        <v>1361</v>
      </c>
      <c r="K1433" s="11">
        <v>290.64</v>
      </c>
      <c r="L1433" s="9" t="s">
        <v>20</v>
      </c>
      <c r="M1433" s="9" t="str">
        <f>IFERROR(INDEX(T_CleanCustomers[Sales_Rep_ID],MATCH(B1433,T_CleanCustomers[Customer_ID],0)),"Unmatched")</f>
        <v>REP002</v>
      </c>
      <c r="N1433" s="9" t="str">
        <f>IFERROR(INDEX(T_CleanCustomers[Channel],MATCH(B1433,T_CleanCustomers[Customer_ID],0)),"Unmatched")</f>
        <v>Direct Sales</v>
      </c>
      <c r="O1433" s="9" t="str">
        <f>IFERROR(INDEX(T_CleanCustomers[Product],MATCH(B1433,T_CleanCustomers[Customer_ID],0)),"Unmatched")</f>
        <v>Toll Solution</v>
      </c>
      <c r="P1433" s="9" t="str">
        <f>IFERROR(INDEX(T_CleanCustomers[Customer_Segment],MATCH(B1433,T_CleanCustomers[Customer_ID],0)),"Unmatched")</f>
        <v>Mid-Market</v>
      </c>
    </row>
    <row r="1434" spans="1:16" ht="15" customHeight="1" x14ac:dyDescent="0.2">
      <c r="A1434" s="9" t="s">
        <v>2769</v>
      </c>
      <c r="B1434" s="9" t="s">
        <v>1322</v>
      </c>
      <c r="C1434" s="9" t="b">
        <f>TRUE()</f>
        <v>1</v>
      </c>
      <c r="D1434" s="10">
        <v>45829</v>
      </c>
      <c r="E1434" s="10">
        <v>45809</v>
      </c>
      <c r="F1434" s="9" t="s">
        <v>1373</v>
      </c>
      <c r="G1434" s="11">
        <v>14124.22</v>
      </c>
      <c r="H1434" s="11">
        <v>222.5</v>
      </c>
      <c r="I1434" s="9" t="b">
        <f>TRUE()</f>
        <v>1</v>
      </c>
      <c r="J1434" s="9" t="s">
        <v>1361</v>
      </c>
      <c r="K1434" s="11">
        <v>222.5</v>
      </c>
      <c r="L1434" s="9" t="s">
        <v>20</v>
      </c>
      <c r="M1434" s="9" t="str">
        <f>IFERROR(INDEX(T_CleanCustomers[Sales_Rep_ID],MATCH(B1434,T_CleanCustomers[Customer_ID],0)),"Unmatched")</f>
        <v>REP002</v>
      </c>
      <c r="N1434" s="9" t="str">
        <f>IFERROR(INDEX(T_CleanCustomers[Channel],MATCH(B1434,T_CleanCustomers[Customer_ID],0)),"Unmatched")</f>
        <v>Direct Sales</v>
      </c>
      <c r="O1434" s="9" t="str">
        <f>IFERROR(INDEX(T_CleanCustomers[Product],MATCH(B1434,T_CleanCustomers[Customer_ID],0)),"Unmatched")</f>
        <v>Toll Solution</v>
      </c>
      <c r="P1434" s="9" t="str">
        <f>IFERROR(INDEX(T_CleanCustomers[Customer_Segment],MATCH(B1434,T_CleanCustomers[Customer_ID],0)),"Unmatched")</f>
        <v>Mid-Market</v>
      </c>
    </row>
    <row r="1435" spans="1:16" ht="15" customHeight="1" x14ac:dyDescent="0.2">
      <c r="A1435" s="9" t="s">
        <v>2770</v>
      </c>
      <c r="B1435" s="9" t="s">
        <v>1322</v>
      </c>
      <c r="C1435" s="9" t="b">
        <f>TRUE()</f>
        <v>1</v>
      </c>
      <c r="D1435" s="10">
        <v>45858</v>
      </c>
      <c r="E1435" s="10">
        <v>45839</v>
      </c>
      <c r="F1435" s="9" t="s">
        <v>1373</v>
      </c>
      <c r="G1435" s="11">
        <v>17488.79</v>
      </c>
      <c r="H1435" s="11">
        <v>294.45999999999998</v>
      </c>
      <c r="I1435" s="9" t="b">
        <f>TRUE()</f>
        <v>1</v>
      </c>
      <c r="J1435" s="9" t="s">
        <v>1361</v>
      </c>
      <c r="K1435" s="11">
        <v>294.45999999999998</v>
      </c>
      <c r="L1435" s="9" t="s">
        <v>20</v>
      </c>
      <c r="M1435" s="9" t="str">
        <f>IFERROR(INDEX(T_CleanCustomers[Sales_Rep_ID],MATCH(B1435,T_CleanCustomers[Customer_ID],0)),"Unmatched")</f>
        <v>REP002</v>
      </c>
      <c r="N1435" s="9" t="str">
        <f>IFERROR(INDEX(T_CleanCustomers[Channel],MATCH(B1435,T_CleanCustomers[Customer_ID],0)),"Unmatched")</f>
        <v>Direct Sales</v>
      </c>
      <c r="O1435" s="9" t="str">
        <f>IFERROR(INDEX(T_CleanCustomers[Product],MATCH(B1435,T_CleanCustomers[Customer_ID],0)),"Unmatched")</f>
        <v>Toll Solution</v>
      </c>
      <c r="P1435" s="9" t="str">
        <f>IFERROR(INDEX(T_CleanCustomers[Customer_Segment],MATCH(B1435,T_CleanCustomers[Customer_ID],0)),"Unmatched")</f>
        <v>Mid-Market</v>
      </c>
    </row>
    <row r="1436" spans="1:16" ht="15" customHeight="1" x14ac:dyDescent="0.2">
      <c r="A1436" s="9" t="s">
        <v>2771</v>
      </c>
      <c r="B1436" s="9" t="s">
        <v>1322</v>
      </c>
      <c r="C1436" s="9" t="b">
        <f>TRUE()</f>
        <v>1</v>
      </c>
      <c r="D1436" s="10">
        <v>45844</v>
      </c>
      <c r="E1436" s="10">
        <v>45839</v>
      </c>
      <c r="F1436" s="9" t="s">
        <v>1373</v>
      </c>
      <c r="G1436" s="11">
        <v>6191.68</v>
      </c>
      <c r="H1436" s="11">
        <v>0</v>
      </c>
      <c r="I1436" s="9" t="b">
        <f>TRUE()</f>
        <v>1</v>
      </c>
      <c r="J1436" s="9" t="s">
        <v>1408</v>
      </c>
      <c r="K1436" s="11">
        <v>0</v>
      </c>
      <c r="L1436" s="9" t="s">
        <v>20</v>
      </c>
      <c r="M1436" s="9" t="str">
        <f>IFERROR(INDEX(T_CleanCustomers[Sales_Rep_ID],MATCH(B1436,T_CleanCustomers[Customer_ID],0)),"Unmatched")</f>
        <v>REP002</v>
      </c>
      <c r="N1436" s="9" t="str">
        <f>IFERROR(INDEX(T_CleanCustomers[Channel],MATCH(B1436,T_CleanCustomers[Customer_ID],0)),"Unmatched")</f>
        <v>Direct Sales</v>
      </c>
      <c r="O1436" s="9" t="str">
        <f>IFERROR(INDEX(T_CleanCustomers[Product],MATCH(B1436,T_CleanCustomers[Customer_ID],0)),"Unmatched")</f>
        <v>Toll Solution</v>
      </c>
      <c r="P1436" s="9" t="str">
        <f>IFERROR(INDEX(T_CleanCustomers[Customer_Segment],MATCH(B1436,T_CleanCustomers[Customer_ID],0)),"Unmatched")</f>
        <v>Mid-Market</v>
      </c>
    </row>
    <row r="1437" spans="1:16" ht="15" customHeight="1" x14ac:dyDescent="0.2">
      <c r="A1437" s="9" t="s">
        <v>2772</v>
      </c>
      <c r="B1437" s="9" t="s">
        <v>1322</v>
      </c>
      <c r="C1437" s="9" t="b">
        <f>TRUE()</f>
        <v>1</v>
      </c>
      <c r="D1437" s="10">
        <v>45885</v>
      </c>
      <c r="E1437" s="10">
        <v>45870</v>
      </c>
      <c r="F1437" s="9" t="s">
        <v>1373</v>
      </c>
      <c r="G1437" s="11">
        <v>15714.05</v>
      </c>
      <c r="H1437" s="11">
        <v>315.08999999999997</v>
      </c>
      <c r="I1437" s="9" t="b">
        <f>TRUE()</f>
        <v>1</v>
      </c>
      <c r="J1437" s="9" t="s">
        <v>1361</v>
      </c>
      <c r="K1437" s="11">
        <v>315.08999999999997</v>
      </c>
      <c r="L1437" s="9" t="s">
        <v>20</v>
      </c>
      <c r="M1437" s="9" t="str">
        <f>IFERROR(INDEX(T_CleanCustomers[Sales_Rep_ID],MATCH(B1437,T_CleanCustomers[Customer_ID],0)),"Unmatched")</f>
        <v>REP002</v>
      </c>
      <c r="N1437" s="9" t="str">
        <f>IFERROR(INDEX(T_CleanCustomers[Channel],MATCH(B1437,T_CleanCustomers[Customer_ID],0)),"Unmatched")</f>
        <v>Direct Sales</v>
      </c>
      <c r="O1437" s="9" t="str">
        <f>IFERROR(INDEX(T_CleanCustomers[Product],MATCH(B1437,T_CleanCustomers[Customer_ID],0)),"Unmatched")</f>
        <v>Toll Solution</v>
      </c>
      <c r="P1437" s="9" t="str">
        <f>IFERROR(INDEX(T_CleanCustomers[Customer_Segment],MATCH(B1437,T_CleanCustomers[Customer_ID],0)),"Unmatched")</f>
        <v>Mid-Market</v>
      </c>
    </row>
    <row r="1438" spans="1:16" ht="15" customHeight="1" x14ac:dyDescent="0.2">
      <c r="A1438" s="9" t="s">
        <v>2773</v>
      </c>
      <c r="B1438" s="9" t="s">
        <v>1322</v>
      </c>
      <c r="C1438" s="9" t="b">
        <f>TRUE()</f>
        <v>1</v>
      </c>
      <c r="D1438" s="10">
        <v>45883</v>
      </c>
      <c r="E1438" s="10">
        <v>45870</v>
      </c>
      <c r="F1438" s="9" t="s">
        <v>1373</v>
      </c>
      <c r="G1438" s="11">
        <v>4455.1899999999996</v>
      </c>
      <c r="H1438" s="11">
        <v>83.06</v>
      </c>
      <c r="I1438" s="9" t="b">
        <f>TRUE()</f>
        <v>1</v>
      </c>
      <c r="J1438" s="9" t="s">
        <v>1361</v>
      </c>
      <c r="K1438" s="11">
        <v>83.06</v>
      </c>
      <c r="L1438" s="9" t="s">
        <v>20</v>
      </c>
      <c r="M1438" s="9" t="str">
        <f>IFERROR(INDEX(T_CleanCustomers[Sales_Rep_ID],MATCH(B1438,T_CleanCustomers[Customer_ID],0)),"Unmatched")</f>
        <v>REP002</v>
      </c>
      <c r="N1438" s="9" t="str">
        <f>IFERROR(INDEX(T_CleanCustomers[Channel],MATCH(B1438,T_CleanCustomers[Customer_ID],0)),"Unmatched")</f>
        <v>Direct Sales</v>
      </c>
      <c r="O1438" s="9" t="str">
        <f>IFERROR(INDEX(T_CleanCustomers[Product],MATCH(B1438,T_CleanCustomers[Customer_ID],0)),"Unmatched")</f>
        <v>Toll Solution</v>
      </c>
      <c r="P1438" s="9" t="str">
        <f>IFERROR(INDEX(T_CleanCustomers[Customer_Segment],MATCH(B1438,T_CleanCustomers[Customer_ID],0)),"Unmatched")</f>
        <v>Mid-Market</v>
      </c>
    </row>
    <row r="1439" spans="1:16" ht="15" customHeight="1" x14ac:dyDescent="0.2">
      <c r="A1439" s="9" t="s">
        <v>2774</v>
      </c>
      <c r="B1439" s="9" t="s">
        <v>1322</v>
      </c>
      <c r="C1439" s="9" t="b">
        <f>TRUE()</f>
        <v>1</v>
      </c>
      <c r="D1439" s="10">
        <v>45884</v>
      </c>
      <c r="E1439" s="10">
        <v>45870</v>
      </c>
      <c r="F1439" s="9" t="s">
        <v>1373</v>
      </c>
      <c r="G1439" s="11">
        <v>10380.01</v>
      </c>
      <c r="H1439" s="11">
        <v>181.35</v>
      </c>
      <c r="I1439" s="9" t="b">
        <f>TRUE()</f>
        <v>1</v>
      </c>
      <c r="J1439" s="9" t="s">
        <v>1361</v>
      </c>
      <c r="K1439" s="11">
        <v>181.35</v>
      </c>
      <c r="L1439" s="9" t="s">
        <v>20</v>
      </c>
      <c r="M1439" s="9" t="str">
        <f>IFERROR(INDEX(T_CleanCustomers[Sales_Rep_ID],MATCH(B1439,T_CleanCustomers[Customer_ID],0)),"Unmatched")</f>
        <v>REP002</v>
      </c>
      <c r="N1439" s="9" t="str">
        <f>IFERROR(INDEX(T_CleanCustomers[Channel],MATCH(B1439,T_CleanCustomers[Customer_ID],0)),"Unmatched")</f>
        <v>Direct Sales</v>
      </c>
      <c r="O1439" s="9" t="str">
        <f>IFERROR(INDEX(T_CleanCustomers[Product],MATCH(B1439,T_CleanCustomers[Customer_ID],0)),"Unmatched")</f>
        <v>Toll Solution</v>
      </c>
      <c r="P1439" s="9" t="str">
        <f>IFERROR(INDEX(T_CleanCustomers[Customer_Segment],MATCH(B1439,T_CleanCustomers[Customer_ID],0)),"Unmatched")</f>
        <v>Mid-Market</v>
      </c>
    </row>
    <row r="1440" spans="1:16" ht="15" customHeight="1" x14ac:dyDescent="0.2">
      <c r="A1440" s="9" t="s">
        <v>2775</v>
      </c>
      <c r="B1440" s="9" t="s">
        <v>1322</v>
      </c>
      <c r="C1440" s="9" t="b">
        <f>TRUE()</f>
        <v>1</v>
      </c>
      <c r="D1440" s="10">
        <v>45924</v>
      </c>
      <c r="E1440" s="10">
        <v>45901</v>
      </c>
      <c r="F1440" s="9" t="s">
        <v>1373</v>
      </c>
      <c r="G1440" s="11">
        <v>16487.72</v>
      </c>
      <c r="H1440" s="11">
        <v>307.35000000000002</v>
      </c>
      <c r="I1440" s="9" t="b">
        <f>TRUE()</f>
        <v>1</v>
      </c>
      <c r="J1440" s="9" t="s">
        <v>1361</v>
      </c>
      <c r="K1440" s="11">
        <v>307.35000000000002</v>
      </c>
      <c r="L1440" s="9" t="s">
        <v>20</v>
      </c>
      <c r="M1440" s="9" t="str">
        <f>IFERROR(INDEX(T_CleanCustomers[Sales_Rep_ID],MATCH(B1440,T_CleanCustomers[Customer_ID],0)),"Unmatched")</f>
        <v>REP002</v>
      </c>
      <c r="N1440" s="9" t="str">
        <f>IFERROR(INDEX(T_CleanCustomers[Channel],MATCH(B1440,T_CleanCustomers[Customer_ID],0)),"Unmatched")</f>
        <v>Direct Sales</v>
      </c>
      <c r="O1440" s="9" t="str">
        <f>IFERROR(INDEX(T_CleanCustomers[Product],MATCH(B1440,T_CleanCustomers[Customer_ID],0)),"Unmatched")</f>
        <v>Toll Solution</v>
      </c>
      <c r="P1440" s="9" t="str">
        <f>IFERROR(INDEX(T_CleanCustomers[Customer_Segment],MATCH(B1440,T_CleanCustomers[Customer_ID],0)),"Unmatched")</f>
        <v>Mid-Market</v>
      </c>
    </row>
    <row r="1441" spans="1:16" ht="15" customHeight="1" x14ac:dyDescent="0.2">
      <c r="A1441" s="9" t="s">
        <v>2776</v>
      </c>
      <c r="B1441" s="9" t="s">
        <v>1322</v>
      </c>
      <c r="C1441" s="9" t="b">
        <f>TRUE()</f>
        <v>1</v>
      </c>
      <c r="D1441" s="10">
        <v>45917</v>
      </c>
      <c r="E1441" s="10">
        <v>45901</v>
      </c>
      <c r="F1441" s="9" t="s">
        <v>1373</v>
      </c>
      <c r="G1441" s="11">
        <v>5308.06</v>
      </c>
      <c r="H1441" s="11">
        <v>88.97</v>
      </c>
      <c r="I1441" s="9" t="b">
        <f>TRUE()</f>
        <v>1</v>
      </c>
      <c r="J1441" s="9" t="s">
        <v>1361</v>
      </c>
      <c r="K1441" s="11">
        <v>88.97</v>
      </c>
      <c r="L1441" s="9" t="s">
        <v>20</v>
      </c>
      <c r="M1441" s="9" t="str">
        <f>IFERROR(INDEX(T_CleanCustomers[Sales_Rep_ID],MATCH(B1441,T_CleanCustomers[Customer_ID],0)),"Unmatched")</f>
        <v>REP002</v>
      </c>
      <c r="N1441" s="9" t="str">
        <f>IFERROR(INDEX(T_CleanCustomers[Channel],MATCH(B1441,T_CleanCustomers[Customer_ID],0)),"Unmatched")</f>
        <v>Direct Sales</v>
      </c>
      <c r="O1441" s="9" t="str">
        <f>IFERROR(INDEX(T_CleanCustomers[Product],MATCH(B1441,T_CleanCustomers[Customer_ID],0)),"Unmatched")</f>
        <v>Toll Solution</v>
      </c>
      <c r="P1441" s="9" t="str">
        <f>IFERROR(INDEX(T_CleanCustomers[Customer_Segment],MATCH(B1441,T_CleanCustomers[Customer_ID],0)),"Unmatched")</f>
        <v>Mid-Market</v>
      </c>
    </row>
    <row r="1442" spans="1:16" ht="15" customHeight="1" x14ac:dyDescent="0.2">
      <c r="A1442" s="9" t="s">
        <v>2777</v>
      </c>
      <c r="B1442" s="9" t="s">
        <v>1322</v>
      </c>
      <c r="C1442" s="9" t="b">
        <f>TRUE()</f>
        <v>1</v>
      </c>
      <c r="D1442" s="10">
        <v>45921</v>
      </c>
      <c r="E1442" s="10">
        <v>45901</v>
      </c>
      <c r="F1442" s="9" t="s">
        <v>1373</v>
      </c>
      <c r="G1442" s="11">
        <v>7296.35</v>
      </c>
      <c r="H1442" s="11">
        <v>141.35</v>
      </c>
      <c r="I1442" s="9" t="b">
        <f>TRUE()</f>
        <v>1</v>
      </c>
      <c r="J1442" s="9" t="s">
        <v>1361</v>
      </c>
      <c r="K1442" s="11">
        <v>141.35</v>
      </c>
      <c r="L1442" s="9" t="s">
        <v>20</v>
      </c>
      <c r="M1442" s="9" t="str">
        <f>IFERROR(INDEX(T_CleanCustomers[Sales_Rep_ID],MATCH(B1442,T_CleanCustomers[Customer_ID],0)),"Unmatched")</f>
        <v>REP002</v>
      </c>
      <c r="N1442" s="9" t="str">
        <f>IFERROR(INDEX(T_CleanCustomers[Channel],MATCH(B1442,T_CleanCustomers[Customer_ID],0)),"Unmatched")</f>
        <v>Direct Sales</v>
      </c>
      <c r="O1442" s="9" t="str">
        <f>IFERROR(INDEX(T_CleanCustomers[Product],MATCH(B1442,T_CleanCustomers[Customer_ID],0)),"Unmatched")</f>
        <v>Toll Solution</v>
      </c>
      <c r="P1442" s="9" t="str">
        <f>IFERROR(INDEX(T_CleanCustomers[Customer_Segment],MATCH(B1442,T_CleanCustomers[Customer_ID],0)),"Unmatched")</f>
        <v>Mid-Market</v>
      </c>
    </row>
    <row r="1443" spans="1:16" ht="15" customHeight="1" x14ac:dyDescent="0.2">
      <c r="A1443" s="9" t="s">
        <v>2778</v>
      </c>
      <c r="B1443" s="9" t="s">
        <v>1322</v>
      </c>
      <c r="C1443" s="9" t="b">
        <f>TRUE()</f>
        <v>1</v>
      </c>
      <c r="D1443" s="10">
        <v>45960</v>
      </c>
      <c r="E1443" s="10">
        <v>45931</v>
      </c>
      <c r="F1443" s="9" t="s">
        <v>1373</v>
      </c>
      <c r="G1443" s="11">
        <v>17834.95</v>
      </c>
      <c r="H1443" s="11">
        <v>0</v>
      </c>
      <c r="I1443" s="9" t="b">
        <f>TRUE()</f>
        <v>1</v>
      </c>
      <c r="J1443" s="9" t="s">
        <v>1408</v>
      </c>
      <c r="K1443" s="11">
        <v>0</v>
      </c>
      <c r="L1443" s="9" t="s">
        <v>20</v>
      </c>
      <c r="M1443" s="9" t="str">
        <f>IFERROR(INDEX(T_CleanCustomers[Sales_Rep_ID],MATCH(B1443,T_CleanCustomers[Customer_ID],0)),"Unmatched")</f>
        <v>REP002</v>
      </c>
      <c r="N1443" s="9" t="str">
        <f>IFERROR(INDEX(T_CleanCustomers[Channel],MATCH(B1443,T_CleanCustomers[Customer_ID],0)),"Unmatched")</f>
        <v>Direct Sales</v>
      </c>
      <c r="O1443" s="9" t="str">
        <f>IFERROR(INDEX(T_CleanCustomers[Product],MATCH(B1443,T_CleanCustomers[Customer_ID],0)),"Unmatched")</f>
        <v>Toll Solution</v>
      </c>
      <c r="P1443" s="9" t="str">
        <f>IFERROR(INDEX(T_CleanCustomers[Customer_Segment],MATCH(B1443,T_CleanCustomers[Customer_ID],0)),"Unmatched")</f>
        <v>Mid-Market</v>
      </c>
    </row>
    <row r="1444" spans="1:16" ht="15" customHeight="1" x14ac:dyDescent="0.2">
      <c r="A1444" s="9" t="s">
        <v>2779</v>
      </c>
      <c r="B1444" s="9" t="s">
        <v>1322</v>
      </c>
      <c r="C1444" s="9" t="b">
        <f>TRUE()</f>
        <v>1</v>
      </c>
      <c r="D1444" s="10">
        <v>45939</v>
      </c>
      <c r="E1444" s="10">
        <v>45931</v>
      </c>
      <c r="F1444" s="9" t="s">
        <v>1373</v>
      </c>
      <c r="G1444" s="11">
        <v>13536.82</v>
      </c>
      <c r="H1444" s="11">
        <v>277.36</v>
      </c>
      <c r="I1444" s="9" t="b">
        <f>TRUE()</f>
        <v>1</v>
      </c>
      <c r="J1444" s="9" t="s">
        <v>1361</v>
      </c>
      <c r="K1444" s="11">
        <v>277.36</v>
      </c>
      <c r="L1444" s="9" t="s">
        <v>20</v>
      </c>
      <c r="M1444" s="9" t="str">
        <f>IFERROR(INDEX(T_CleanCustomers[Sales_Rep_ID],MATCH(B1444,T_CleanCustomers[Customer_ID],0)),"Unmatched")</f>
        <v>REP002</v>
      </c>
      <c r="N1444" s="9" t="str">
        <f>IFERROR(INDEX(T_CleanCustomers[Channel],MATCH(B1444,T_CleanCustomers[Customer_ID],0)),"Unmatched")</f>
        <v>Direct Sales</v>
      </c>
      <c r="O1444" s="9" t="str">
        <f>IFERROR(INDEX(T_CleanCustomers[Product],MATCH(B1444,T_CleanCustomers[Customer_ID],0)),"Unmatched")</f>
        <v>Toll Solution</v>
      </c>
      <c r="P1444" s="9" t="str">
        <f>IFERROR(INDEX(T_CleanCustomers[Customer_Segment],MATCH(B1444,T_CleanCustomers[Customer_ID],0)),"Unmatched")</f>
        <v>Mid-Market</v>
      </c>
    </row>
    <row r="1445" spans="1:16" ht="15" customHeight="1" x14ac:dyDescent="0.2">
      <c r="A1445" s="9" t="s">
        <v>2780</v>
      </c>
      <c r="B1445" s="9" t="s">
        <v>1322</v>
      </c>
      <c r="C1445" s="9" t="b">
        <f>TRUE()</f>
        <v>1</v>
      </c>
      <c r="D1445" s="10">
        <v>45989</v>
      </c>
      <c r="E1445" s="10">
        <v>45962</v>
      </c>
      <c r="F1445" s="9" t="s">
        <v>1373</v>
      </c>
      <c r="G1445" s="11">
        <v>12324.1</v>
      </c>
      <c r="H1445" s="11">
        <v>194.64</v>
      </c>
      <c r="I1445" s="9" t="b">
        <f>TRUE()</f>
        <v>1</v>
      </c>
      <c r="J1445" s="9" t="s">
        <v>1361</v>
      </c>
      <c r="K1445" s="11">
        <v>194.64</v>
      </c>
      <c r="L1445" s="9" t="s">
        <v>20</v>
      </c>
      <c r="M1445" s="9" t="str">
        <f>IFERROR(INDEX(T_CleanCustomers[Sales_Rep_ID],MATCH(B1445,T_CleanCustomers[Customer_ID],0)),"Unmatched")</f>
        <v>REP002</v>
      </c>
      <c r="N1445" s="9" t="str">
        <f>IFERROR(INDEX(T_CleanCustomers[Channel],MATCH(B1445,T_CleanCustomers[Customer_ID],0)),"Unmatched")</f>
        <v>Direct Sales</v>
      </c>
      <c r="O1445" s="9" t="str">
        <f>IFERROR(INDEX(T_CleanCustomers[Product],MATCH(B1445,T_CleanCustomers[Customer_ID],0)),"Unmatched")</f>
        <v>Toll Solution</v>
      </c>
      <c r="P1445" s="9" t="str">
        <f>IFERROR(INDEX(T_CleanCustomers[Customer_Segment],MATCH(B1445,T_CleanCustomers[Customer_ID],0)),"Unmatched")</f>
        <v>Mid-Market</v>
      </c>
    </row>
    <row r="1446" spans="1:16" ht="15" customHeight="1" x14ac:dyDescent="0.2">
      <c r="A1446" s="9" t="s">
        <v>2781</v>
      </c>
      <c r="B1446" s="9" t="s">
        <v>1322</v>
      </c>
      <c r="C1446" s="9" t="b">
        <f>TRUE()</f>
        <v>1</v>
      </c>
      <c r="D1446" s="10">
        <v>45989</v>
      </c>
      <c r="E1446" s="10">
        <v>45962</v>
      </c>
      <c r="F1446" s="9" t="s">
        <v>1373</v>
      </c>
      <c r="G1446" s="11">
        <v>5661.98</v>
      </c>
      <c r="H1446" s="11">
        <v>91.21</v>
      </c>
      <c r="I1446" s="9" t="b">
        <f>TRUE()</f>
        <v>1</v>
      </c>
      <c r="J1446" s="9" t="s">
        <v>1361</v>
      </c>
      <c r="K1446" s="11">
        <v>91.21</v>
      </c>
      <c r="L1446" s="9" t="s">
        <v>20</v>
      </c>
      <c r="M1446" s="9" t="str">
        <f>IFERROR(INDEX(T_CleanCustomers[Sales_Rep_ID],MATCH(B1446,T_CleanCustomers[Customer_ID],0)),"Unmatched")</f>
        <v>REP002</v>
      </c>
      <c r="N1446" s="9" t="str">
        <f>IFERROR(INDEX(T_CleanCustomers[Channel],MATCH(B1446,T_CleanCustomers[Customer_ID],0)),"Unmatched")</f>
        <v>Direct Sales</v>
      </c>
      <c r="O1446" s="9" t="str">
        <f>IFERROR(INDEX(T_CleanCustomers[Product],MATCH(B1446,T_CleanCustomers[Customer_ID],0)),"Unmatched")</f>
        <v>Toll Solution</v>
      </c>
      <c r="P1446" s="9" t="str">
        <f>IFERROR(INDEX(T_CleanCustomers[Customer_Segment],MATCH(B1446,T_CleanCustomers[Customer_ID],0)),"Unmatched")</f>
        <v>Mid-Market</v>
      </c>
    </row>
    <row r="1447" spans="1:16" ht="15" customHeight="1" x14ac:dyDescent="0.2">
      <c r="A1447" s="9" t="s">
        <v>2782</v>
      </c>
      <c r="B1447" s="9" t="s">
        <v>1322</v>
      </c>
      <c r="C1447" s="9" t="b">
        <f>TRUE()</f>
        <v>1</v>
      </c>
      <c r="D1447" s="10">
        <v>45999</v>
      </c>
      <c r="E1447" s="10">
        <v>45992</v>
      </c>
      <c r="F1447" s="9" t="s">
        <v>1373</v>
      </c>
      <c r="G1447" s="11">
        <v>10217.11</v>
      </c>
      <c r="H1447" s="11">
        <v>199.45</v>
      </c>
      <c r="I1447" s="9" t="b">
        <f>TRUE()</f>
        <v>1</v>
      </c>
      <c r="J1447" s="9" t="s">
        <v>1408</v>
      </c>
      <c r="K1447" s="11">
        <v>0</v>
      </c>
      <c r="L1447" s="9" t="s">
        <v>20</v>
      </c>
      <c r="M1447" s="9" t="str">
        <f>IFERROR(INDEX(T_CleanCustomers[Sales_Rep_ID],MATCH(B1447,T_CleanCustomers[Customer_ID],0)),"Unmatched")</f>
        <v>REP002</v>
      </c>
      <c r="N1447" s="9" t="str">
        <f>IFERROR(INDEX(T_CleanCustomers[Channel],MATCH(B1447,T_CleanCustomers[Customer_ID],0)),"Unmatched")</f>
        <v>Direct Sales</v>
      </c>
      <c r="O1447" s="9" t="str">
        <f>IFERROR(INDEX(T_CleanCustomers[Product],MATCH(B1447,T_CleanCustomers[Customer_ID],0)),"Unmatched")</f>
        <v>Toll Solution</v>
      </c>
      <c r="P1447" s="9" t="str">
        <f>IFERROR(INDEX(T_CleanCustomers[Customer_Segment],MATCH(B1447,T_CleanCustomers[Customer_ID],0)),"Unmatched")</f>
        <v>Mid-Market</v>
      </c>
    </row>
    <row r="1448" spans="1:16" ht="15" customHeight="1" x14ac:dyDescent="0.2">
      <c r="A1448" s="9" t="s">
        <v>2783</v>
      </c>
      <c r="B1448" s="9" t="s">
        <v>1324</v>
      </c>
      <c r="C1448" s="9" t="b">
        <f>TRUE()</f>
        <v>1</v>
      </c>
      <c r="D1448" s="10">
        <v>45772</v>
      </c>
      <c r="E1448" s="10">
        <v>45748</v>
      </c>
      <c r="F1448" s="9" t="s">
        <v>1479</v>
      </c>
      <c r="G1448" s="11">
        <v>21341.47</v>
      </c>
      <c r="H1448" s="11">
        <v>569.76</v>
      </c>
      <c r="I1448" s="9" t="b">
        <f>TRUE()</f>
        <v>1</v>
      </c>
      <c r="J1448" s="9" t="s">
        <v>1361</v>
      </c>
      <c r="K1448" s="11">
        <v>569.76</v>
      </c>
      <c r="L1448" s="9" t="s">
        <v>22</v>
      </c>
      <c r="M1448" s="9" t="str">
        <f>IFERROR(INDEX(T_CleanCustomers[Sales_Rep_ID],MATCH(B1448,T_CleanCustomers[Customer_ID],0)),"Unmatched")</f>
        <v>REP006</v>
      </c>
      <c r="N1448" s="9" t="str">
        <f>IFERROR(INDEX(T_CleanCustomers[Channel],MATCH(B1448,T_CleanCustomers[Customer_ID],0)),"Unmatched")</f>
        <v>Partner</v>
      </c>
      <c r="O1448" s="9" t="str">
        <f>IFERROR(INDEX(T_CleanCustomers[Product],MATCH(B1448,T_CleanCustomers[Customer_ID],0)),"Unmatched")</f>
        <v>Fleet Expense Card</v>
      </c>
      <c r="P1448" s="9" t="str">
        <f>IFERROR(INDEX(T_CleanCustomers[Customer_Segment],MATCH(B1448,T_CleanCustomers[Customer_ID],0)),"Unmatched")</f>
        <v>Enterprise</v>
      </c>
    </row>
    <row r="1449" spans="1:16" ht="15" customHeight="1" x14ac:dyDescent="0.2">
      <c r="A1449" s="9" t="s">
        <v>2784</v>
      </c>
      <c r="B1449" s="9" t="s">
        <v>1324</v>
      </c>
      <c r="C1449" s="9" t="b">
        <f>TRUE()</f>
        <v>1</v>
      </c>
      <c r="D1449" s="10">
        <v>45782</v>
      </c>
      <c r="E1449" s="10">
        <v>45778</v>
      </c>
      <c r="F1449" s="9" t="s">
        <v>1481</v>
      </c>
      <c r="G1449" s="11">
        <v>23830.77</v>
      </c>
      <c r="H1449" s="11">
        <v>696.65</v>
      </c>
      <c r="I1449" s="9" t="b">
        <f>TRUE()</f>
        <v>1</v>
      </c>
      <c r="J1449" s="9" t="s">
        <v>1361</v>
      </c>
      <c r="K1449" s="11">
        <v>696.65</v>
      </c>
      <c r="L1449" s="9" t="s">
        <v>22</v>
      </c>
      <c r="M1449" s="9" t="str">
        <f>IFERROR(INDEX(T_CleanCustomers[Sales_Rep_ID],MATCH(B1449,T_CleanCustomers[Customer_ID],0)),"Unmatched")</f>
        <v>REP006</v>
      </c>
      <c r="N1449" s="9" t="str">
        <f>IFERROR(INDEX(T_CleanCustomers[Channel],MATCH(B1449,T_CleanCustomers[Customer_ID],0)),"Unmatched")</f>
        <v>Partner</v>
      </c>
      <c r="O1449" s="9" t="str">
        <f>IFERROR(INDEX(T_CleanCustomers[Product],MATCH(B1449,T_CleanCustomers[Customer_ID],0)),"Unmatched")</f>
        <v>Fleet Expense Card</v>
      </c>
      <c r="P1449" s="9" t="str">
        <f>IFERROR(INDEX(T_CleanCustomers[Customer_Segment],MATCH(B1449,T_CleanCustomers[Customer_ID],0)),"Unmatched")</f>
        <v>Enterprise</v>
      </c>
    </row>
    <row r="1450" spans="1:16" ht="15" customHeight="1" x14ac:dyDescent="0.2">
      <c r="A1450" s="9" t="s">
        <v>2785</v>
      </c>
      <c r="B1450" s="9" t="s">
        <v>1324</v>
      </c>
      <c r="C1450" s="9" t="b">
        <f>TRUE()</f>
        <v>1</v>
      </c>
      <c r="D1450" s="10">
        <v>45832</v>
      </c>
      <c r="E1450" s="10">
        <v>45809</v>
      </c>
      <c r="F1450" s="9" t="s">
        <v>1360</v>
      </c>
      <c r="G1450" s="11">
        <v>52930.14</v>
      </c>
      <c r="H1450" s="11">
        <v>1521.86</v>
      </c>
      <c r="I1450" s="9" t="b">
        <f>TRUE()</f>
        <v>1</v>
      </c>
      <c r="J1450" s="9" t="s">
        <v>1361</v>
      </c>
      <c r="K1450" s="11">
        <v>1521.86</v>
      </c>
      <c r="L1450" s="9" t="s">
        <v>22</v>
      </c>
      <c r="M1450" s="9" t="str">
        <f>IFERROR(INDEX(T_CleanCustomers[Sales_Rep_ID],MATCH(B1450,T_CleanCustomers[Customer_ID],0)),"Unmatched")</f>
        <v>REP006</v>
      </c>
      <c r="N1450" s="9" t="str">
        <f>IFERROR(INDEX(T_CleanCustomers[Channel],MATCH(B1450,T_CleanCustomers[Customer_ID],0)),"Unmatched")</f>
        <v>Partner</v>
      </c>
      <c r="O1450" s="9" t="str">
        <f>IFERROR(INDEX(T_CleanCustomers[Product],MATCH(B1450,T_CleanCustomers[Customer_ID],0)),"Unmatched")</f>
        <v>Fleet Expense Card</v>
      </c>
      <c r="P1450" s="9" t="str">
        <f>IFERROR(INDEX(T_CleanCustomers[Customer_Segment],MATCH(B1450,T_CleanCustomers[Customer_ID],0)),"Unmatched")</f>
        <v>Enterprise</v>
      </c>
    </row>
    <row r="1451" spans="1:16" ht="15" customHeight="1" x14ac:dyDescent="0.2">
      <c r="A1451" s="9" t="s">
        <v>2786</v>
      </c>
      <c r="B1451" s="9" t="s">
        <v>1324</v>
      </c>
      <c r="C1451" s="9" t="b">
        <f>TRUE()</f>
        <v>1</v>
      </c>
      <c r="D1451" s="10">
        <v>45822</v>
      </c>
      <c r="E1451" s="10">
        <v>45809</v>
      </c>
      <c r="F1451" s="9" t="s">
        <v>1481</v>
      </c>
      <c r="G1451" s="11">
        <v>18807.97</v>
      </c>
      <c r="H1451" s="11">
        <v>492.94</v>
      </c>
      <c r="I1451" s="9" t="b">
        <f>TRUE()</f>
        <v>1</v>
      </c>
      <c r="J1451" s="9" t="s">
        <v>1361</v>
      </c>
      <c r="K1451" s="11">
        <v>492.94</v>
      </c>
      <c r="L1451" s="9" t="s">
        <v>22</v>
      </c>
      <c r="M1451" s="9" t="str">
        <f>IFERROR(INDEX(T_CleanCustomers[Sales_Rep_ID],MATCH(B1451,T_CleanCustomers[Customer_ID],0)),"Unmatched")</f>
        <v>REP006</v>
      </c>
      <c r="N1451" s="9" t="str">
        <f>IFERROR(INDEX(T_CleanCustomers[Channel],MATCH(B1451,T_CleanCustomers[Customer_ID],0)),"Unmatched")</f>
        <v>Partner</v>
      </c>
      <c r="O1451" s="9" t="str">
        <f>IFERROR(INDEX(T_CleanCustomers[Product],MATCH(B1451,T_CleanCustomers[Customer_ID],0)),"Unmatched")</f>
        <v>Fleet Expense Card</v>
      </c>
      <c r="P1451" s="9" t="str">
        <f>IFERROR(INDEX(T_CleanCustomers[Customer_Segment],MATCH(B1451,T_CleanCustomers[Customer_ID],0)),"Unmatched")</f>
        <v>Enterprise</v>
      </c>
    </row>
    <row r="1452" spans="1:16" ht="15" customHeight="1" x14ac:dyDescent="0.2">
      <c r="A1452" s="9" t="s">
        <v>2787</v>
      </c>
      <c r="B1452" s="9" t="s">
        <v>1324</v>
      </c>
      <c r="C1452" s="9" t="b">
        <f>TRUE()</f>
        <v>1</v>
      </c>
      <c r="D1452" s="10">
        <v>45821</v>
      </c>
      <c r="E1452" s="10">
        <v>45809</v>
      </c>
      <c r="F1452" s="9" t="s">
        <v>1479</v>
      </c>
      <c r="G1452" s="11">
        <v>49061.38</v>
      </c>
      <c r="H1452" s="11">
        <v>1267.8</v>
      </c>
      <c r="I1452" s="9" t="b">
        <f>TRUE()</f>
        <v>1</v>
      </c>
      <c r="J1452" s="9" t="s">
        <v>1361</v>
      </c>
      <c r="K1452" s="11">
        <v>1267.8</v>
      </c>
      <c r="L1452" s="9" t="s">
        <v>22</v>
      </c>
      <c r="M1452" s="9" t="str">
        <f>IFERROR(INDEX(T_CleanCustomers[Sales_Rep_ID],MATCH(B1452,T_CleanCustomers[Customer_ID],0)),"Unmatched")</f>
        <v>REP006</v>
      </c>
      <c r="N1452" s="9" t="str">
        <f>IFERROR(INDEX(T_CleanCustomers[Channel],MATCH(B1452,T_CleanCustomers[Customer_ID],0)),"Unmatched")</f>
        <v>Partner</v>
      </c>
      <c r="O1452" s="9" t="str">
        <f>IFERROR(INDEX(T_CleanCustomers[Product],MATCH(B1452,T_CleanCustomers[Customer_ID],0)),"Unmatched")</f>
        <v>Fleet Expense Card</v>
      </c>
      <c r="P1452" s="9" t="str">
        <f>IFERROR(INDEX(T_CleanCustomers[Customer_Segment],MATCH(B1452,T_CleanCustomers[Customer_ID],0)),"Unmatched")</f>
        <v>Enterprise</v>
      </c>
    </row>
    <row r="1453" spans="1:16" ht="15" customHeight="1" x14ac:dyDescent="0.2">
      <c r="A1453" s="9" t="s">
        <v>2788</v>
      </c>
      <c r="B1453" s="9" t="s">
        <v>1324</v>
      </c>
      <c r="C1453" s="9" t="b">
        <f>TRUE()</f>
        <v>1</v>
      </c>
      <c r="D1453" s="10">
        <v>45855</v>
      </c>
      <c r="E1453" s="10">
        <v>45839</v>
      </c>
      <c r="F1453" s="9" t="s">
        <v>1360</v>
      </c>
      <c r="G1453" s="11">
        <v>48938.13</v>
      </c>
      <c r="H1453" s="11">
        <v>1252.45</v>
      </c>
      <c r="I1453" s="9" t="b">
        <f>TRUE()</f>
        <v>1</v>
      </c>
      <c r="J1453" s="9" t="s">
        <v>1361</v>
      </c>
      <c r="K1453" s="11">
        <v>1252.45</v>
      </c>
      <c r="L1453" s="9" t="s">
        <v>22</v>
      </c>
      <c r="M1453" s="9" t="str">
        <f>IFERROR(INDEX(T_CleanCustomers[Sales_Rep_ID],MATCH(B1453,T_CleanCustomers[Customer_ID],0)),"Unmatched")</f>
        <v>REP006</v>
      </c>
      <c r="N1453" s="9" t="str">
        <f>IFERROR(INDEX(T_CleanCustomers[Channel],MATCH(B1453,T_CleanCustomers[Customer_ID],0)),"Unmatched")</f>
        <v>Partner</v>
      </c>
      <c r="O1453" s="9" t="str">
        <f>IFERROR(INDEX(T_CleanCustomers[Product],MATCH(B1453,T_CleanCustomers[Customer_ID],0)),"Unmatched")</f>
        <v>Fleet Expense Card</v>
      </c>
      <c r="P1453" s="9" t="str">
        <f>IFERROR(INDEX(T_CleanCustomers[Customer_Segment],MATCH(B1453,T_CleanCustomers[Customer_ID],0)),"Unmatched")</f>
        <v>Enterprise</v>
      </c>
    </row>
    <row r="1454" spans="1:16" ht="15" customHeight="1" x14ac:dyDescent="0.2">
      <c r="A1454" s="9" t="s">
        <v>2789</v>
      </c>
      <c r="B1454" s="9" t="s">
        <v>1324</v>
      </c>
      <c r="C1454" s="9" t="b">
        <f>TRUE()</f>
        <v>1</v>
      </c>
      <c r="D1454" s="10">
        <v>45856</v>
      </c>
      <c r="E1454" s="10">
        <v>45839</v>
      </c>
      <c r="F1454" s="9" t="s">
        <v>1481</v>
      </c>
      <c r="G1454" s="11">
        <v>44762.43</v>
      </c>
      <c r="H1454" s="11">
        <v>1038.33</v>
      </c>
      <c r="I1454" s="9" t="b">
        <f>TRUE()</f>
        <v>1</v>
      </c>
      <c r="J1454" s="9" t="s">
        <v>1361</v>
      </c>
      <c r="K1454" s="11">
        <v>1038.33</v>
      </c>
      <c r="L1454" s="9" t="s">
        <v>22</v>
      </c>
      <c r="M1454" s="9" t="str">
        <f>IFERROR(INDEX(T_CleanCustomers[Sales_Rep_ID],MATCH(B1454,T_CleanCustomers[Customer_ID],0)),"Unmatched")</f>
        <v>REP006</v>
      </c>
      <c r="N1454" s="9" t="str">
        <f>IFERROR(INDEX(T_CleanCustomers[Channel],MATCH(B1454,T_CleanCustomers[Customer_ID],0)),"Unmatched")</f>
        <v>Partner</v>
      </c>
      <c r="O1454" s="9" t="str">
        <f>IFERROR(INDEX(T_CleanCustomers[Product],MATCH(B1454,T_CleanCustomers[Customer_ID],0)),"Unmatched")</f>
        <v>Fleet Expense Card</v>
      </c>
      <c r="P1454" s="9" t="str">
        <f>IFERROR(INDEX(T_CleanCustomers[Customer_Segment],MATCH(B1454,T_CleanCustomers[Customer_ID],0)),"Unmatched")</f>
        <v>Enterprise</v>
      </c>
    </row>
    <row r="1455" spans="1:16" ht="15" customHeight="1" x14ac:dyDescent="0.2">
      <c r="A1455" s="9" t="s">
        <v>2790</v>
      </c>
      <c r="B1455" s="9" t="s">
        <v>1324</v>
      </c>
      <c r="C1455" s="9" t="b">
        <f>TRUE()</f>
        <v>1</v>
      </c>
      <c r="D1455" s="10">
        <v>45861</v>
      </c>
      <c r="E1455" s="10">
        <v>45839</v>
      </c>
      <c r="F1455" s="9" t="s">
        <v>1360</v>
      </c>
      <c r="G1455" s="11">
        <v>41664.5</v>
      </c>
      <c r="H1455" s="11">
        <v>1051.58</v>
      </c>
      <c r="I1455" s="9" t="b">
        <f>TRUE()</f>
        <v>1</v>
      </c>
      <c r="J1455" s="9" t="s">
        <v>1361</v>
      </c>
      <c r="K1455" s="11">
        <v>1051.58</v>
      </c>
      <c r="L1455" s="9" t="s">
        <v>22</v>
      </c>
      <c r="M1455" s="9" t="str">
        <f>IFERROR(INDEX(T_CleanCustomers[Sales_Rep_ID],MATCH(B1455,T_CleanCustomers[Customer_ID],0)),"Unmatched")</f>
        <v>REP006</v>
      </c>
      <c r="N1455" s="9" t="str">
        <f>IFERROR(INDEX(T_CleanCustomers[Channel],MATCH(B1455,T_CleanCustomers[Customer_ID],0)),"Unmatched")</f>
        <v>Partner</v>
      </c>
      <c r="O1455" s="9" t="str">
        <f>IFERROR(INDEX(T_CleanCustomers[Product],MATCH(B1455,T_CleanCustomers[Customer_ID],0)),"Unmatched")</f>
        <v>Fleet Expense Card</v>
      </c>
      <c r="P1455" s="9" t="str">
        <f>IFERROR(INDEX(T_CleanCustomers[Customer_Segment],MATCH(B1455,T_CleanCustomers[Customer_ID],0)),"Unmatched")</f>
        <v>Enterprise</v>
      </c>
    </row>
    <row r="1456" spans="1:16" ht="15" customHeight="1" x14ac:dyDescent="0.2">
      <c r="A1456" s="9" t="s">
        <v>2791</v>
      </c>
      <c r="B1456" s="9" t="s">
        <v>1324</v>
      </c>
      <c r="C1456" s="9" t="b">
        <f>TRUE()</f>
        <v>1</v>
      </c>
      <c r="D1456" s="10">
        <v>45876</v>
      </c>
      <c r="E1456" s="10">
        <v>45870</v>
      </c>
      <c r="F1456" s="9" t="s">
        <v>1479</v>
      </c>
      <c r="G1456" s="11">
        <v>22314.07</v>
      </c>
      <c r="H1456" s="11">
        <v>627.04</v>
      </c>
      <c r="I1456" s="9" t="b">
        <f>TRUE()</f>
        <v>1</v>
      </c>
      <c r="J1456" s="9" t="s">
        <v>1361</v>
      </c>
      <c r="K1456" s="11">
        <v>627.04</v>
      </c>
      <c r="L1456" s="9" t="s">
        <v>22</v>
      </c>
      <c r="M1456" s="9" t="str">
        <f>IFERROR(INDEX(T_CleanCustomers[Sales_Rep_ID],MATCH(B1456,T_CleanCustomers[Customer_ID],0)),"Unmatched")</f>
        <v>REP006</v>
      </c>
      <c r="N1456" s="9" t="str">
        <f>IFERROR(INDEX(T_CleanCustomers[Channel],MATCH(B1456,T_CleanCustomers[Customer_ID],0)),"Unmatched")</f>
        <v>Partner</v>
      </c>
      <c r="O1456" s="9" t="str">
        <f>IFERROR(INDEX(T_CleanCustomers[Product],MATCH(B1456,T_CleanCustomers[Customer_ID],0)),"Unmatched")</f>
        <v>Fleet Expense Card</v>
      </c>
      <c r="P1456" s="9" t="str">
        <f>IFERROR(INDEX(T_CleanCustomers[Customer_Segment],MATCH(B1456,T_CleanCustomers[Customer_ID],0)),"Unmatched")</f>
        <v>Enterprise</v>
      </c>
    </row>
    <row r="1457" spans="1:16" ht="15" customHeight="1" x14ac:dyDescent="0.2">
      <c r="A1457" s="9" t="s">
        <v>2792</v>
      </c>
      <c r="B1457" s="9" t="s">
        <v>1324</v>
      </c>
      <c r="C1457" s="9" t="b">
        <f>TRUE()</f>
        <v>1</v>
      </c>
      <c r="D1457" s="10">
        <v>45915</v>
      </c>
      <c r="E1457" s="10">
        <v>45901</v>
      </c>
      <c r="F1457" s="9" t="s">
        <v>1481</v>
      </c>
      <c r="G1457" s="11">
        <v>24058.28</v>
      </c>
      <c r="H1457" s="11">
        <v>699.48</v>
      </c>
      <c r="I1457" s="9" t="b">
        <f>TRUE()</f>
        <v>1</v>
      </c>
      <c r="J1457" s="9" t="s">
        <v>1361</v>
      </c>
      <c r="K1457" s="11">
        <v>699.48</v>
      </c>
      <c r="L1457" s="9" t="s">
        <v>22</v>
      </c>
      <c r="M1457" s="9" t="str">
        <f>IFERROR(INDEX(T_CleanCustomers[Sales_Rep_ID],MATCH(B1457,T_CleanCustomers[Customer_ID],0)),"Unmatched")</f>
        <v>REP006</v>
      </c>
      <c r="N1457" s="9" t="str">
        <f>IFERROR(INDEX(T_CleanCustomers[Channel],MATCH(B1457,T_CleanCustomers[Customer_ID],0)),"Unmatched")</f>
        <v>Partner</v>
      </c>
      <c r="O1457" s="9" t="str">
        <f>IFERROR(INDEX(T_CleanCustomers[Product],MATCH(B1457,T_CleanCustomers[Customer_ID],0)),"Unmatched")</f>
        <v>Fleet Expense Card</v>
      </c>
      <c r="P1457" s="9" t="str">
        <f>IFERROR(INDEX(T_CleanCustomers[Customer_Segment],MATCH(B1457,T_CleanCustomers[Customer_ID],0)),"Unmatched")</f>
        <v>Enterprise</v>
      </c>
    </row>
    <row r="1458" spans="1:16" ht="15" customHeight="1" x14ac:dyDescent="0.2">
      <c r="A1458" s="9" t="s">
        <v>2793</v>
      </c>
      <c r="B1458" s="9" t="s">
        <v>1324</v>
      </c>
      <c r="C1458" s="9" t="b">
        <f>TRUE()</f>
        <v>1</v>
      </c>
      <c r="D1458" s="10">
        <v>45950</v>
      </c>
      <c r="E1458" s="10">
        <v>45931</v>
      </c>
      <c r="F1458" s="9" t="s">
        <v>1481</v>
      </c>
      <c r="G1458" s="11">
        <v>50893.31</v>
      </c>
      <c r="H1458" s="11">
        <v>1340.85</v>
      </c>
      <c r="I1458" s="9" t="b">
        <f>TRUE()</f>
        <v>1</v>
      </c>
      <c r="J1458" s="9" t="s">
        <v>1361</v>
      </c>
      <c r="K1458" s="11">
        <v>1340.85</v>
      </c>
      <c r="L1458" s="9" t="s">
        <v>22</v>
      </c>
      <c r="M1458" s="9" t="str">
        <f>IFERROR(INDEX(T_CleanCustomers[Sales_Rep_ID],MATCH(B1458,T_CleanCustomers[Customer_ID],0)),"Unmatched")</f>
        <v>REP006</v>
      </c>
      <c r="N1458" s="9" t="str">
        <f>IFERROR(INDEX(T_CleanCustomers[Channel],MATCH(B1458,T_CleanCustomers[Customer_ID],0)),"Unmatched")</f>
        <v>Partner</v>
      </c>
      <c r="O1458" s="9" t="str">
        <f>IFERROR(INDEX(T_CleanCustomers[Product],MATCH(B1458,T_CleanCustomers[Customer_ID],0)),"Unmatched")</f>
        <v>Fleet Expense Card</v>
      </c>
      <c r="P1458" s="9" t="str">
        <f>IFERROR(INDEX(T_CleanCustomers[Customer_Segment],MATCH(B1458,T_CleanCustomers[Customer_ID],0)),"Unmatched")</f>
        <v>Enterprise</v>
      </c>
    </row>
    <row r="1459" spans="1:16" ht="15" customHeight="1" x14ac:dyDescent="0.2">
      <c r="A1459" s="9" t="s">
        <v>2794</v>
      </c>
      <c r="B1459" s="9" t="s">
        <v>1324</v>
      </c>
      <c r="C1459" s="9" t="b">
        <f>TRUE()</f>
        <v>1</v>
      </c>
      <c r="D1459" s="10">
        <v>45961</v>
      </c>
      <c r="E1459" s="10">
        <v>45931</v>
      </c>
      <c r="F1459" s="9" t="s">
        <v>1479</v>
      </c>
      <c r="G1459" s="11">
        <v>38361.14</v>
      </c>
      <c r="H1459" s="11">
        <v>979.21</v>
      </c>
      <c r="I1459" s="9" t="b">
        <f>TRUE()</f>
        <v>1</v>
      </c>
      <c r="J1459" s="9" t="s">
        <v>1361</v>
      </c>
      <c r="K1459" s="11">
        <v>979.21</v>
      </c>
      <c r="L1459" s="9" t="s">
        <v>22</v>
      </c>
      <c r="M1459" s="9" t="str">
        <f>IFERROR(INDEX(T_CleanCustomers[Sales_Rep_ID],MATCH(B1459,T_CleanCustomers[Customer_ID],0)),"Unmatched")</f>
        <v>REP006</v>
      </c>
      <c r="N1459" s="9" t="str">
        <f>IFERROR(INDEX(T_CleanCustomers[Channel],MATCH(B1459,T_CleanCustomers[Customer_ID],0)),"Unmatched")</f>
        <v>Partner</v>
      </c>
      <c r="O1459" s="9" t="str">
        <f>IFERROR(INDEX(T_CleanCustomers[Product],MATCH(B1459,T_CleanCustomers[Customer_ID],0)),"Unmatched")</f>
        <v>Fleet Expense Card</v>
      </c>
      <c r="P1459" s="9" t="str">
        <f>IFERROR(INDEX(T_CleanCustomers[Customer_Segment],MATCH(B1459,T_CleanCustomers[Customer_ID],0)),"Unmatched")</f>
        <v>Enterprise</v>
      </c>
    </row>
    <row r="1460" spans="1:16" ht="15" customHeight="1" x14ac:dyDescent="0.2">
      <c r="A1460" s="9" t="s">
        <v>2795</v>
      </c>
      <c r="B1460" s="9" t="s">
        <v>1324</v>
      </c>
      <c r="C1460" s="9" t="b">
        <f>TRUE()</f>
        <v>1</v>
      </c>
      <c r="D1460" s="10">
        <v>45991</v>
      </c>
      <c r="E1460" s="10">
        <v>45962</v>
      </c>
      <c r="F1460" s="9" t="s">
        <v>1479</v>
      </c>
      <c r="G1460" s="11">
        <v>19190.37</v>
      </c>
      <c r="H1460" s="11">
        <v>455.05</v>
      </c>
      <c r="I1460" s="9" t="b">
        <f>TRUE()</f>
        <v>1</v>
      </c>
      <c r="J1460" s="9" t="s">
        <v>1361</v>
      </c>
      <c r="K1460" s="11">
        <v>455.05</v>
      </c>
      <c r="L1460" s="9" t="s">
        <v>22</v>
      </c>
      <c r="M1460" s="9" t="str">
        <f>IFERROR(INDEX(T_CleanCustomers[Sales_Rep_ID],MATCH(B1460,T_CleanCustomers[Customer_ID],0)),"Unmatched")</f>
        <v>REP006</v>
      </c>
      <c r="N1460" s="9" t="str">
        <f>IFERROR(INDEX(T_CleanCustomers[Channel],MATCH(B1460,T_CleanCustomers[Customer_ID],0)),"Unmatched")</f>
        <v>Partner</v>
      </c>
      <c r="O1460" s="9" t="str">
        <f>IFERROR(INDEX(T_CleanCustomers[Product],MATCH(B1460,T_CleanCustomers[Customer_ID],0)),"Unmatched")</f>
        <v>Fleet Expense Card</v>
      </c>
      <c r="P1460" s="9" t="str">
        <f>IFERROR(INDEX(T_CleanCustomers[Customer_Segment],MATCH(B1460,T_CleanCustomers[Customer_ID],0)),"Unmatched")</f>
        <v>Enterprise</v>
      </c>
    </row>
    <row r="1461" spans="1:16" ht="15" customHeight="1" x14ac:dyDescent="0.2">
      <c r="A1461" s="9" t="s">
        <v>2796</v>
      </c>
      <c r="B1461" s="9" t="s">
        <v>1324</v>
      </c>
      <c r="C1461" s="9" t="b">
        <f>TRUE()</f>
        <v>1</v>
      </c>
      <c r="D1461" s="10">
        <v>45962</v>
      </c>
      <c r="E1461" s="10">
        <v>45962</v>
      </c>
      <c r="F1461" s="9" t="s">
        <v>1360</v>
      </c>
      <c r="G1461" s="11">
        <v>45614.94</v>
      </c>
      <c r="H1461" s="11">
        <v>1363.1</v>
      </c>
      <c r="I1461" s="9" t="b">
        <f>TRUE()</f>
        <v>1</v>
      </c>
      <c r="J1461" s="9" t="s">
        <v>1361</v>
      </c>
      <c r="K1461" s="11">
        <v>1363.1</v>
      </c>
      <c r="L1461" s="9" t="s">
        <v>22</v>
      </c>
      <c r="M1461" s="9" t="str">
        <f>IFERROR(INDEX(T_CleanCustomers[Sales_Rep_ID],MATCH(B1461,T_CleanCustomers[Customer_ID],0)),"Unmatched")</f>
        <v>REP006</v>
      </c>
      <c r="N1461" s="9" t="str">
        <f>IFERROR(INDEX(T_CleanCustomers[Channel],MATCH(B1461,T_CleanCustomers[Customer_ID],0)),"Unmatched")</f>
        <v>Partner</v>
      </c>
      <c r="O1461" s="9" t="str">
        <f>IFERROR(INDEX(T_CleanCustomers[Product],MATCH(B1461,T_CleanCustomers[Customer_ID],0)),"Unmatched")</f>
        <v>Fleet Expense Card</v>
      </c>
      <c r="P1461" s="9" t="str">
        <f>IFERROR(INDEX(T_CleanCustomers[Customer_Segment],MATCH(B1461,T_CleanCustomers[Customer_ID],0)),"Unmatched")</f>
        <v>Enterprise</v>
      </c>
    </row>
    <row r="1462" spans="1:16" ht="15" customHeight="1" x14ac:dyDescent="0.2">
      <c r="A1462" s="9" t="s">
        <v>2797</v>
      </c>
      <c r="B1462" s="9" t="s">
        <v>1324</v>
      </c>
      <c r="C1462" s="9" t="b">
        <f>TRUE()</f>
        <v>1</v>
      </c>
      <c r="D1462" s="10">
        <v>45981</v>
      </c>
      <c r="E1462" s="10">
        <v>45962</v>
      </c>
      <c r="F1462" s="9" t="s">
        <v>1479</v>
      </c>
      <c r="G1462" s="11">
        <v>48137.71</v>
      </c>
      <c r="H1462" s="11">
        <v>1387.44</v>
      </c>
      <c r="I1462" s="9" t="b">
        <f>TRUE()</f>
        <v>1</v>
      </c>
      <c r="J1462" s="9" t="s">
        <v>1361</v>
      </c>
      <c r="K1462" s="11">
        <v>1387.44</v>
      </c>
      <c r="L1462" s="9" t="s">
        <v>22</v>
      </c>
      <c r="M1462" s="9" t="str">
        <f>IFERROR(INDEX(T_CleanCustomers[Sales_Rep_ID],MATCH(B1462,T_CleanCustomers[Customer_ID],0)),"Unmatched")</f>
        <v>REP006</v>
      </c>
      <c r="N1462" s="9" t="str">
        <f>IFERROR(INDEX(T_CleanCustomers[Channel],MATCH(B1462,T_CleanCustomers[Customer_ID],0)),"Unmatched")</f>
        <v>Partner</v>
      </c>
      <c r="O1462" s="9" t="str">
        <f>IFERROR(INDEX(T_CleanCustomers[Product],MATCH(B1462,T_CleanCustomers[Customer_ID],0)),"Unmatched")</f>
        <v>Fleet Expense Card</v>
      </c>
      <c r="P1462" s="9" t="str">
        <f>IFERROR(INDEX(T_CleanCustomers[Customer_Segment],MATCH(B1462,T_CleanCustomers[Customer_ID],0)),"Unmatched")</f>
        <v>Enterprise</v>
      </c>
    </row>
    <row r="1463" spans="1:16" ht="15" customHeight="1" x14ac:dyDescent="0.2">
      <c r="A1463" s="9" t="s">
        <v>2798</v>
      </c>
      <c r="B1463" s="9" t="s">
        <v>1324</v>
      </c>
      <c r="C1463" s="9" t="b">
        <f>TRUE()</f>
        <v>1</v>
      </c>
      <c r="D1463" s="10">
        <v>46019</v>
      </c>
      <c r="E1463" s="10">
        <v>45992</v>
      </c>
      <c r="F1463" s="9" t="s">
        <v>1360</v>
      </c>
      <c r="G1463" s="11">
        <v>37887.370000000003</v>
      </c>
      <c r="H1463" s="11">
        <v>0</v>
      </c>
      <c r="I1463" s="9" t="b">
        <f>TRUE()</f>
        <v>1</v>
      </c>
      <c r="J1463" s="9" t="s">
        <v>1408</v>
      </c>
      <c r="K1463" s="11">
        <v>0</v>
      </c>
      <c r="L1463" s="9" t="s">
        <v>22</v>
      </c>
      <c r="M1463" s="9" t="str">
        <f>IFERROR(INDEX(T_CleanCustomers[Sales_Rep_ID],MATCH(B1463,T_CleanCustomers[Customer_ID],0)),"Unmatched")</f>
        <v>REP006</v>
      </c>
      <c r="N1463" s="9" t="str">
        <f>IFERROR(INDEX(T_CleanCustomers[Channel],MATCH(B1463,T_CleanCustomers[Customer_ID],0)),"Unmatched")</f>
        <v>Partner</v>
      </c>
      <c r="O1463" s="9" t="str">
        <f>IFERROR(INDEX(T_CleanCustomers[Product],MATCH(B1463,T_CleanCustomers[Customer_ID],0)),"Unmatched")</f>
        <v>Fleet Expense Card</v>
      </c>
      <c r="P1463" s="9" t="str">
        <f>IFERROR(INDEX(T_CleanCustomers[Customer_Segment],MATCH(B1463,T_CleanCustomers[Customer_ID],0)),"Unmatched")</f>
        <v>Enterprise</v>
      </c>
    </row>
    <row r="1464" spans="1:16" ht="15" customHeight="1" x14ac:dyDescent="0.2">
      <c r="A1464" s="9" t="s">
        <v>2799</v>
      </c>
      <c r="B1464" s="9" t="s">
        <v>1324</v>
      </c>
      <c r="C1464" s="9" t="b">
        <f>TRUE()</f>
        <v>1</v>
      </c>
      <c r="D1464" s="10">
        <v>46004</v>
      </c>
      <c r="E1464" s="10">
        <v>45992</v>
      </c>
      <c r="F1464" s="9" t="s">
        <v>1481</v>
      </c>
      <c r="G1464" s="11">
        <v>49678.62</v>
      </c>
      <c r="H1464" s="11">
        <v>1489.77</v>
      </c>
      <c r="I1464" s="9" t="b">
        <f>TRUE()</f>
        <v>1</v>
      </c>
      <c r="J1464" s="9" t="s">
        <v>1361</v>
      </c>
      <c r="K1464" s="11">
        <v>1489.77</v>
      </c>
      <c r="L1464" s="9" t="s">
        <v>22</v>
      </c>
      <c r="M1464" s="9" t="str">
        <f>IFERROR(INDEX(T_CleanCustomers[Sales_Rep_ID],MATCH(B1464,T_CleanCustomers[Customer_ID],0)),"Unmatched")</f>
        <v>REP006</v>
      </c>
      <c r="N1464" s="9" t="str">
        <f>IFERROR(INDEX(T_CleanCustomers[Channel],MATCH(B1464,T_CleanCustomers[Customer_ID],0)),"Unmatched")</f>
        <v>Partner</v>
      </c>
      <c r="O1464" s="9" t="str">
        <f>IFERROR(INDEX(T_CleanCustomers[Product],MATCH(B1464,T_CleanCustomers[Customer_ID],0)),"Unmatched")</f>
        <v>Fleet Expense Card</v>
      </c>
      <c r="P1464" s="9" t="str">
        <f>IFERROR(INDEX(T_CleanCustomers[Customer_Segment],MATCH(B1464,T_CleanCustomers[Customer_ID],0)),"Unmatched")</f>
        <v>Enterprise</v>
      </c>
    </row>
    <row r="1465" spans="1:16" ht="15" customHeight="1" x14ac:dyDescent="0.2">
      <c r="A1465" s="9" t="s">
        <v>2800</v>
      </c>
      <c r="B1465" s="9" t="s">
        <v>1325</v>
      </c>
      <c r="C1465" s="9" t="b">
        <f>TRUE()</f>
        <v>1</v>
      </c>
      <c r="D1465" s="10">
        <v>46020</v>
      </c>
      <c r="E1465" s="10">
        <v>45992</v>
      </c>
      <c r="F1465" s="9" t="s">
        <v>1360</v>
      </c>
      <c r="G1465" s="11">
        <v>3822.73</v>
      </c>
      <c r="H1465" s="11">
        <v>88.91</v>
      </c>
      <c r="I1465" s="9" t="b">
        <f>TRUE()</f>
        <v>1</v>
      </c>
      <c r="J1465" s="9" t="s">
        <v>1361</v>
      </c>
      <c r="K1465" s="11">
        <v>88.91</v>
      </c>
      <c r="L1465" s="9" t="s">
        <v>22</v>
      </c>
      <c r="M1465" s="9" t="str">
        <f>IFERROR(INDEX(T_CleanCustomers[Sales_Rep_ID],MATCH(B1465,T_CleanCustomers[Customer_ID],0)),"Unmatched")</f>
        <v>REP005</v>
      </c>
      <c r="N1465" s="9" t="str">
        <f>IFERROR(INDEX(T_CleanCustomers[Channel],MATCH(B1465,T_CleanCustomers[Customer_ID],0)),"Unmatched")</f>
        <v>Direct Sales</v>
      </c>
      <c r="O1465" s="9" t="str">
        <f>IFERROR(INDEX(T_CleanCustomers[Product],MATCH(B1465,T_CleanCustomers[Customer_ID],0)),"Unmatched")</f>
        <v>Fuel Card</v>
      </c>
      <c r="P1465" s="9" t="str">
        <f>IFERROR(INDEX(T_CleanCustomers[Customer_Segment],MATCH(B1465,T_CleanCustomers[Customer_ID],0)),"Unmatched")</f>
        <v>SME</v>
      </c>
    </row>
    <row r="1466" spans="1:16" ht="15" customHeight="1" x14ac:dyDescent="0.2">
      <c r="A1466" s="9" t="s">
        <v>2801</v>
      </c>
      <c r="B1466" s="9" t="s">
        <v>1325</v>
      </c>
      <c r="C1466" s="9" t="b">
        <f>TRUE()</f>
        <v>1</v>
      </c>
      <c r="D1466" s="10">
        <v>46018</v>
      </c>
      <c r="E1466" s="10">
        <v>45992</v>
      </c>
      <c r="F1466" s="9" t="s">
        <v>1360</v>
      </c>
      <c r="G1466" s="11">
        <v>5024.84</v>
      </c>
      <c r="H1466" s="11">
        <v>0</v>
      </c>
      <c r="I1466" s="9" t="b">
        <f>TRUE()</f>
        <v>1</v>
      </c>
      <c r="J1466" s="9" t="s">
        <v>1408</v>
      </c>
      <c r="K1466" s="11">
        <v>0</v>
      </c>
      <c r="L1466" s="9" t="s">
        <v>22</v>
      </c>
      <c r="M1466" s="9" t="str">
        <f>IFERROR(INDEX(T_CleanCustomers[Sales_Rep_ID],MATCH(B1466,T_CleanCustomers[Customer_ID],0)),"Unmatched")</f>
        <v>REP005</v>
      </c>
      <c r="N1466" s="9" t="str">
        <f>IFERROR(INDEX(T_CleanCustomers[Channel],MATCH(B1466,T_CleanCustomers[Customer_ID],0)),"Unmatched")</f>
        <v>Direct Sales</v>
      </c>
      <c r="O1466" s="9" t="str">
        <f>IFERROR(INDEX(T_CleanCustomers[Product],MATCH(B1466,T_CleanCustomers[Customer_ID],0)),"Unmatched")</f>
        <v>Fuel Card</v>
      </c>
      <c r="P1466" s="9" t="str">
        <f>IFERROR(INDEX(T_CleanCustomers[Customer_Segment],MATCH(B1466,T_CleanCustomers[Customer_ID],0)),"Unmatched")</f>
        <v>SME</v>
      </c>
    </row>
    <row r="1467" spans="1:16" ht="15" customHeight="1" x14ac:dyDescent="0.2">
      <c r="A1467" s="9" t="s">
        <v>2802</v>
      </c>
      <c r="B1467" s="9" t="s">
        <v>1325</v>
      </c>
      <c r="C1467" s="9" t="b">
        <f>TRUE()</f>
        <v>1</v>
      </c>
      <c r="D1467" s="10">
        <v>46004</v>
      </c>
      <c r="E1467" s="10">
        <v>45992</v>
      </c>
      <c r="F1467" s="9" t="s">
        <v>1360</v>
      </c>
      <c r="G1467" s="11">
        <v>5176.8900000000003</v>
      </c>
      <c r="H1467" s="11">
        <v>132.62</v>
      </c>
      <c r="I1467" s="9" t="b">
        <f>TRUE()</f>
        <v>1</v>
      </c>
      <c r="J1467" s="9" t="s">
        <v>1361</v>
      </c>
      <c r="K1467" s="11">
        <v>132.62</v>
      </c>
      <c r="L1467" s="9" t="s">
        <v>22</v>
      </c>
      <c r="M1467" s="9" t="str">
        <f>IFERROR(INDEX(T_CleanCustomers[Sales_Rep_ID],MATCH(B1467,T_CleanCustomers[Customer_ID],0)),"Unmatched")</f>
        <v>REP005</v>
      </c>
      <c r="N1467" s="9" t="str">
        <f>IFERROR(INDEX(T_CleanCustomers[Channel],MATCH(B1467,T_CleanCustomers[Customer_ID],0)),"Unmatched")</f>
        <v>Direct Sales</v>
      </c>
      <c r="O1467" s="9" t="str">
        <f>IFERROR(INDEX(T_CleanCustomers[Product],MATCH(B1467,T_CleanCustomers[Customer_ID],0)),"Unmatched")</f>
        <v>Fuel Card</v>
      </c>
      <c r="P1467" s="9" t="str">
        <f>IFERROR(INDEX(T_CleanCustomers[Customer_Segment],MATCH(B1467,T_CleanCustomers[Customer_ID],0)),"Unmatched")</f>
        <v>SME</v>
      </c>
    </row>
    <row r="1468" spans="1:16" ht="15" customHeight="1" x14ac:dyDescent="0.2">
      <c r="A1468" s="9" t="s">
        <v>2803</v>
      </c>
      <c r="B1468" s="9" t="s">
        <v>77</v>
      </c>
      <c r="C1468" s="9" t="b">
        <f>TRUE()</f>
        <v>1</v>
      </c>
      <c r="D1468" s="10">
        <v>45976</v>
      </c>
      <c r="E1468" s="10">
        <v>45962</v>
      </c>
      <c r="F1468" s="9" t="s">
        <v>1360</v>
      </c>
      <c r="G1468" s="11">
        <v>3529.86</v>
      </c>
      <c r="H1468" s="11">
        <v>102.91</v>
      </c>
      <c r="I1468" s="9" t="b">
        <f>TRUE()</f>
        <v>1</v>
      </c>
      <c r="J1468" s="9" t="s">
        <v>1361</v>
      </c>
      <c r="K1468" s="11">
        <v>102.91</v>
      </c>
      <c r="L1468" s="9" t="s">
        <v>22</v>
      </c>
      <c r="M1468" s="9" t="str">
        <f>IFERROR(INDEX(T_CleanCustomers[Sales_Rep_ID],MATCH(B1468,T_CleanCustomers[Customer_ID],0)),"Unmatched")</f>
        <v>REP006</v>
      </c>
      <c r="N1468" s="9" t="str">
        <f>IFERROR(INDEX(T_CleanCustomers[Channel],MATCH(B1468,T_CleanCustomers[Customer_ID],0)),"Unmatched")</f>
        <v>Digital</v>
      </c>
      <c r="O1468" s="9" t="str">
        <f>IFERROR(INDEX(T_CleanCustomers[Product],MATCH(B1468,T_CleanCustomers[Customer_ID],0)),"Unmatched")</f>
        <v>Fleet Expense Card</v>
      </c>
      <c r="P1468" s="9" t="str">
        <f>IFERROR(INDEX(T_CleanCustomers[Customer_Segment],MATCH(B1468,T_CleanCustomers[Customer_ID],0)),"Unmatched")</f>
        <v>SME</v>
      </c>
    </row>
    <row r="1469" spans="1:16" ht="15" customHeight="1" x14ac:dyDescent="0.2">
      <c r="A1469" s="9" t="s">
        <v>2804</v>
      </c>
      <c r="B1469" s="9" t="s">
        <v>77</v>
      </c>
      <c r="C1469" s="9" t="b">
        <f>TRUE()</f>
        <v>1</v>
      </c>
      <c r="D1469" s="10">
        <v>46003</v>
      </c>
      <c r="E1469" s="10">
        <v>45992</v>
      </c>
      <c r="F1469" s="9" t="s">
        <v>1479</v>
      </c>
      <c r="G1469" s="11">
        <v>4877.7700000000004</v>
      </c>
      <c r="H1469" s="11">
        <v>144.18</v>
      </c>
      <c r="I1469" s="9" t="b">
        <f>TRUE()</f>
        <v>1</v>
      </c>
      <c r="J1469" s="9" t="s">
        <v>1361</v>
      </c>
      <c r="K1469" s="11">
        <v>144.18</v>
      </c>
      <c r="L1469" s="9" t="s">
        <v>22</v>
      </c>
      <c r="M1469" s="9" t="str">
        <f>IFERROR(INDEX(T_CleanCustomers[Sales_Rep_ID],MATCH(B1469,T_CleanCustomers[Customer_ID],0)),"Unmatched")</f>
        <v>REP006</v>
      </c>
      <c r="N1469" s="9" t="str">
        <f>IFERROR(INDEX(T_CleanCustomers[Channel],MATCH(B1469,T_CleanCustomers[Customer_ID],0)),"Unmatched")</f>
        <v>Digital</v>
      </c>
      <c r="O1469" s="9" t="str">
        <f>IFERROR(INDEX(T_CleanCustomers[Product],MATCH(B1469,T_CleanCustomers[Customer_ID],0)),"Unmatched")</f>
        <v>Fleet Expense Card</v>
      </c>
      <c r="P1469" s="9" t="str">
        <f>IFERROR(INDEX(T_CleanCustomers[Customer_Segment],MATCH(B1469,T_CleanCustomers[Customer_ID],0)),"Unmatched")</f>
        <v>SME</v>
      </c>
    </row>
    <row r="1470" spans="1:16" ht="15" customHeight="1" x14ac:dyDescent="0.2">
      <c r="A1470" s="9" t="s">
        <v>2805</v>
      </c>
      <c r="B1470" s="9" t="s">
        <v>77</v>
      </c>
      <c r="C1470" s="9" t="b">
        <f>TRUE()</f>
        <v>1</v>
      </c>
      <c r="D1470" s="10">
        <v>45998</v>
      </c>
      <c r="E1470" s="10">
        <v>45992</v>
      </c>
      <c r="F1470" s="9" t="s">
        <v>1481</v>
      </c>
      <c r="G1470" s="11">
        <v>3051.19</v>
      </c>
      <c r="H1470" s="11">
        <v>71.06</v>
      </c>
      <c r="I1470" s="9" t="b">
        <f>TRUE()</f>
        <v>1</v>
      </c>
      <c r="J1470" s="9" t="s">
        <v>1361</v>
      </c>
      <c r="K1470" s="11">
        <v>71.06</v>
      </c>
      <c r="L1470" s="9" t="s">
        <v>22</v>
      </c>
      <c r="M1470" s="9" t="str">
        <f>IFERROR(INDEX(T_CleanCustomers[Sales_Rep_ID],MATCH(B1470,T_CleanCustomers[Customer_ID],0)),"Unmatched")</f>
        <v>REP006</v>
      </c>
      <c r="N1470" s="9" t="str">
        <f>IFERROR(INDEX(T_CleanCustomers[Channel],MATCH(B1470,T_CleanCustomers[Customer_ID],0)),"Unmatched")</f>
        <v>Digital</v>
      </c>
      <c r="O1470" s="9" t="str">
        <f>IFERROR(INDEX(T_CleanCustomers[Product],MATCH(B1470,T_CleanCustomers[Customer_ID],0)),"Unmatched")</f>
        <v>Fleet Expense Card</v>
      </c>
      <c r="P1470" s="9" t="str">
        <f>IFERROR(INDEX(T_CleanCustomers[Customer_Segment],MATCH(B1470,T_CleanCustomers[Customer_ID],0)),"Unmatched")</f>
        <v>SME</v>
      </c>
    </row>
    <row r="1471" spans="1:16" ht="15" customHeight="1" x14ac:dyDescent="0.2">
      <c r="A1471" s="9" t="s">
        <v>2806</v>
      </c>
      <c r="B1471" s="9" t="s">
        <v>1327</v>
      </c>
      <c r="C1471" s="9" t="b">
        <f>TRUE()</f>
        <v>1</v>
      </c>
      <c r="D1471" s="10">
        <v>45807</v>
      </c>
      <c r="E1471" s="10">
        <v>45778</v>
      </c>
      <c r="F1471" s="9" t="s">
        <v>1360</v>
      </c>
      <c r="G1471" s="11">
        <v>10751.59</v>
      </c>
      <c r="H1471" s="11">
        <v>273</v>
      </c>
      <c r="I1471" s="9" t="b">
        <f>TRUE()</f>
        <v>1</v>
      </c>
      <c r="J1471" s="9" t="s">
        <v>1361</v>
      </c>
      <c r="K1471" s="11">
        <v>273</v>
      </c>
      <c r="L1471" s="9" t="s">
        <v>22</v>
      </c>
      <c r="M1471" s="9" t="str">
        <f>IFERROR(INDEX(T_CleanCustomers[Sales_Rep_ID],MATCH(B1471,T_CleanCustomers[Customer_ID],0)),"Unmatched")</f>
        <v>REP006</v>
      </c>
      <c r="N1471" s="9" t="str">
        <f>IFERROR(INDEX(T_CleanCustomers[Channel],MATCH(B1471,T_CleanCustomers[Customer_ID],0)),"Unmatched")</f>
        <v>Telesales</v>
      </c>
      <c r="O1471" s="9" t="str">
        <f>IFERROR(INDEX(T_CleanCustomers[Product],MATCH(B1471,T_CleanCustomers[Customer_ID],0)),"Unmatched")</f>
        <v>Fuel Card</v>
      </c>
      <c r="P1471" s="9" t="str">
        <f>IFERROR(INDEX(T_CleanCustomers[Customer_Segment],MATCH(B1471,T_CleanCustomers[Customer_ID],0)),"Unmatched")</f>
        <v>Mid-Market</v>
      </c>
    </row>
    <row r="1472" spans="1:16" ht="15" customHeight="1" x14ac:dyDescent="0.2">
      <c r="A1472" s="9" t="s">
        <v>2807</v>
      </c>
      <c r="B1472" s="9" t="s">
        <v>1327</v>
      </c>
      <c r="C1472" s="9" t="b">
        <f>TRUE()</f>
        <v>1</v>
      </c>
      <c r="D1472" s="10">
        <v>45827</v>
      </c>
      <c r="E1472" s="10">
        <v>45809</v>
      </c>
      <c r="F1472" s="9" t="s">
        <v>1360</v>
      </c>
      <c r="G1472" s="11">
        <v>17425.669999999998</v>
      </c>
      <c r="H1472" s="11">
        <v>489.79</v>
      </c>
      <c r="I1472" s="9" t="b">
        <f>TRUE()</f>
        <v>1</v>
      </c>
      <c r="J1472" s="9" t="s">
        <v>1361</v>
      </c>
      <c r="K1472" s="11">
        <v>489.79</v>
      </c>
      <c r="L1472" s="9" t="s">
        <v>22</v>
      </c>
      <c r="M1472" s="9" t="str">
        <f>IFERROR(INDEX(T_CleanCustomers[Sales_Rep_ID],MATCH(B1472,T_CleanCustomers[Customer_ID],0)),"Unmatched")</f>
        <v>REP006</v>
      </c>
      <c r="N1472" s="9" t="str">
        <f>IFERROR(INDEX(T_CleanCustomers[Channel],MATCH(B1472,T_CleanCustomers[Customer_ID],0)),"Unmatched")</f>
        <v>Telesales</v>
      </c>
      <c r="O1472" s="9" t="str">
        <f>IFERROR(INDEX(T_CleanCustomers[Product],MATCH(B1472,T_CleanCustomers[Customer_ID],0)),"Unmatched")</f>
        <v>Fuel Card</v>
      </c>
      <c r="P1472" s="9" t="str">
        <f>IFERROR(INDEX(T_CleanCustomers[Customer_Segment],MATCH(B1472,T_CleanCustomers[Customer_ID],0)),"Unmatched")</f>
        <v>Mid-Market</v>
      </c>
    </row>
    <row r="1473" spans="1:16" ht="15" customHeight="1" x14ac:dyDescent="0.2">
      <c r="A1473" s="9" t="s">
        <v>2808</v>
      </c>
      <c r="B1473" s="9" t="s">
        <v>1327</v>
      </c>
      <c r="C1473" s="9" t="b">
        <f>TRUE()</f>
        <v>1</v>
      </c>
      <c r="D1473" s="10">
        <v>45857</v>
      </c>
      <c r="E1473" s="10">
        <v>45839</v>
      </c>
      <c r="F1473" s="9" t="s">
        <v>1360</v>
      </c>
      <c r="G1473" s="11">
        <v>8919.07</v>
      </c>
      <c r="H1473" s="11">
        <v>215.15</v>
      </c>
      <c r="I1473" s="9" t="b">
        <f>TRUE()</f>
        <v>1</v>
      </c>
      <c r="J1473" s="9" t="s">
        <v>1361</v>
      </c>
      <c r="K1473" s="11">
        <v>215.15</v>
      </c>
      <c r="L1473" s="9" t="s">
        <v>22</v>
      </c>
      <c r="M1473" s="9" t="str">
        <f>IFERROR(INDEX(T_CleanCustomers[Sales_Rep_ID],MATCH(B1473,T_CleanCustomers[Customer_ID],0)),"Unmatched")</f>
        <v>REP006</v>
      </c>
      <c r="N1473" s="9" t="str">
        <f>IFERROR(INDEX(T_CleanCustomers[Channel],MATCH(B1473,T_CleanCustomers[Customer_ID],0)),"Unmatched")</f>
        <v>Telesales</v>
      </c>
      <c r="O1473" s="9" t="str">
        <f>IFERROR(INDEX(T_CleanCustomers[Product],MATCH(B1473,T_CleanCustomers[Customer_ID],0)),"Unmatched")</f>
        <v>Fuel Card</v>
      </c>
      <c r="P1473" s="9" t="str">
        <f>IFERROR(INDEX(T_CleanCustomers[Customer_Segment],MATCH(B1473,T_CleanCustomers[Customer_ID],0)),"Unmatched")</f>
        <v>Mid-Market</v>
      </c>
    </row>
    <row r="1474" spans="1:16" ht="15" customHeight="1" x14ac:dyDescent="0.2">
      <c r="A1474" s="9" t="s">
        <v>2809</v>
      </c>
      <c r="B1474" s="9" t="s">
        <v>1327</v>
      </c>
      <c r="C1474" s="9" t="b">
        <f>TRUE()</f>
        <v>1</v>
      </c>
      <c r="D1474" s="10">
        <v>45859</v>
      </c>
      <c r="E1474" s="10">
        <v>45839</v>
      </c>
      <c r="F1474" s="9" t="s">
        <v>1360</v>
      </c>
      <c r="G1474" s="11">
        <v>15030.82</v>
      </c>
      <c r="H1474" s="11">
        <v>398.34</v>
      </c>
      <c r="I1474" s="9" t="b">
        <f>TRUE()</f>
        <v>1</v>
      </c>
      <c r="J1474" s="9" t="s">
        <v>1361</v>
      </c>
      <c r="K1474" s="11">
        <v>398.34</v>
      </c>
      <c r="L1474" s="9" t="s">
        <v>22</v>
      </c>
      <c r="M1474" s="9" t="str">
        <f>IFERROR(INDEX(T_CleanCustomers[Sales_Rep_ID],MATCH(B1474,T_CleanCustomers[Customer_ID],0)),"Unmatched")</f>
        <v>REP006</v>
      </c>
      <c r="N1474" s="9" t="str">
        <f>IFERROR(INDEX(T_CleanCustomers[Channel],MATCH(B1474,T_CleanCustomers[Customer_ID],0)),"Unmatched")</f>
        <v>Telesales</v>
      </c>
      <c r="O1474" s="9" t="str">
        <f>IFERROR(INDEX(T_CleanCustomers[Product],MATCH(B1474,T_CleanCustomers[Customer_ID],0)),"Unmatched")</f>
        <v>Fuel Card</v>
      </c>
      <c r="P1474" s="9" t="str">
        <f>IFERROR(INDEX(T_CleanCustomers[Customer_Segment],MATCH(B1474,T_CleanCustomers[Customer_ID],0)),"Unmatched")</f>
        <v>Mid-Market</v>
      </c>
    </row>
    <row r="1475" spans="1:16" ht="15" customHeight="1" x14ac:dyDescent="0.2">
      <c r="A1475" s="9" t="s">
        <v>2810</v>
      </c>
      <c r="B1475" s="9" t="s">
        <v>1327</v>
      </c>
      <c r="C1475" s="9" t="b">
        <f>TRUE()</f>
        <v>1</v>
      </c>
      <c r="D1475" s="10">
        <v>45845</v>
      </c>
      <c r="E1475" s="10">
        <v>45839</v>
      </c>
      <c r="F1475" s="9" t="s">
        <v>1360</v>
      </c>
      <c r="G1475" s="11">
        <v>13261.26</v>
      </c>
      <c r="H1475" s="11">
        <v>285.13</v>
      </c>
      <c r="I1475" s="9" t="b">
        <f>TRUE()</f>
        <v>1</v>
      </c>
      <c r="J1475" s="9" t="s">
        <v>1361</v>
      </c>
      <c r="K1475" s="11">
        <v>285.13</v>
      </c>
      <c r="L1475" s="9" t="s">
        <v>22</v>
      </c>
      <c r="M1475" s="9" t="str">
        <f>IFERROR(INDEX(T_CleanCustomers[Sales_Rep_ID],MATCH(B1475,T_CleanCustomers[Customer_ID],0)),"Unmatched")</f>
        <v>REP006</v>
      </c>
      <c r="N1475" s="9" t="str">
        <f>IFERROR(INDEX(T_CleanCustomers[Channel],MATCH(B1475,T_CleanCustomers[Customer_ID],0)),"Unmatched")</f>
        <v>Telesales</v>
      </c>
      <c r="O1475" s="9" t="str">
        <f>IFERROR(INDEX(T_CleanCustomers[Product],MATCH(B1475,T_CleanCustomers[Customer_ID],0)),"Unmatched")</f>
        <v>Fuel Card</v>
      </c>
      <c r="P1475" s="9" t="str">
        <f>IFERROR(INDEX(T_CleanCustomers[Customer_Segment],MATCH(B1475,T_CleanCustomers[Customer_ID],0)),"Unmatched")</f>
        <v>Mid-Market</v>
      </c>
    </row>
    <row r="1476" spans="1:16" ht="15" customHeight="1" x14ac:dyDescent="0.2">
      <c r="A1476" s="9" t="s">
        <v>2811</v>
      </c>
      <c r="B1476" s="9" t="s">
        <v>1327</v>
      </c>
      <c r="C1476" s="9" t="b">
        <f>TRUE()</f>
        <v>1</v>
      </c>
      <c r="D1476" s="10">
        <v>45877</v>
      </c>
      <c r="E1476" s="10">
        <v>45870</v>
      </c>
      <c r="F1476" s="9" t="s">
        <v>1360</v>
      </c>
      <c r="G1476" s="11">
        <v>6550.86</v>
      </c>
      <c r="H1476" s="11">
        <v>166.74</v>
      </c>
      <c r="I1476" s="9" t="b">
        <f>TRUE()</f>
        <v>1</v>
      </c>
      <c r="J1476" s="9" t="s">
        <v>1361</v>
      </c>
      <c r="K1476" s="11">
        <v>166.74</v>
      </c>
      <c r="L1476" s="9" t="s">
        <v>22</v>
      </c>
      <c r="M1476" s="9" t="str">
        <f>IFERROR(INDEX(T_CleanCustomers[Sales_Rep_ID],MATCH(B1476,T_CleanCustomers[Customer_ID],0)),"Unmatched")</f>
        <v>REP006</v>
      </c>
      <c r="N1476" s="9" t="str">
        <f>IFERROR(INDEX(T_CleanCustomers[Channel],MATCH(B1476,T_CleanCustomers[Customer_ID],0)),"Unmatched")</f>
        <v>Telesales</v>
      </c>
      <c r="O1476" s="9" t="str">
        <f>IFERROR(INDEX(T_CleanCustomers[Product],MATCH(B1476,T_CleanCustomers[Customer_ID],0)),"Unmatched")</f>
        <v>Fuel Card</v>
      </c>
      <c r="P1476" s="9" t="str">
        <f>IFERROR(INDEX(T_CleanCustomers[Customer_Segment],MATCH(B1476,T_CleanCustomers[Customer_ID],0)),"Unmatched")</f>
        <v>Mid-Market</v>
      </c>
    </row>
    <row r="1477" spans="1:16" ht="15" customHeight="1" x14ac:dyDescent="0.2">
      <c r="A1477" s="9" t="s">
        <v>2812</v>
      </c>
      <c r="B1477" s="9" t="s">
        <v>1327</v>
      </c>
      <c r="C1477" s="9" t="b">
        <f>TRUE()</f>
        <v>1</v>
      </c>
      <c r="D1477" s="10">
        <v>45890</v>
      </c>
      <c r="E1477" s="10">
        <v>45870</v>
      </c>
      <c r="F1477" s="9" t="s">
        <v>1360</v>
      </c>
      <c r="G1477" s="11">
        <v>9533.35</v>
      </c>
      <c r="H1477" s="11">
        <v>263.60000000000002</v>
      </c>
      <c r="I1477" s="9" t="b">
        <f>TRUE()</f>
        <v>1</v>
      </c>
      <c r="J1477" s="9" t="s">
        <v>1361</v>
      </c>
      <c r="K1477" s="11">
        <v>263.60000000000002</v>
      </c>
      <c r="L1477" s="9" t="s">
        <v>22</v>
      </c>
      <c r="M1477" s="9" t="str">
        <f>IFERROR(INDEX(T_CleanCustomers[Sales_Rep_ID],MATCH(B1477,T_CleanCustomers[Customer_ID],0)),"Unmatched")</f>
        <v>REP006</v>
      </c>
      <c r="N1477" s="9" t="str">
        <f>IFERROR(INDEX(T_CleanCustomers[Channel],MATCH(B1477,T_CleanCustomers[Customer_ID],0)),"Unmatched")</f>
        <v>Telesales</v>
      </c>
      <c r="O1477" s="9" t="str">
        <f>IFERROR(INDEX(T_CleanCustomers[Product],MATCH(B1477,T_CleanCustomers[Customer_ID],0)),"Unmatched")</f>
        <v>Fuel Card</v>
      </c>
      <c r="P1477" s="9" t="str">
        <f>IFERROR(INDEX(T_CleanCustomers[Customer_Segment],MATCH(B1477,T_CleanCustomers[Customer_ID],0)),"Unmatched")</f>
        <v>Mid-Market</v>
      </c>
    </row>
    <row r="1478" spans="1:16" ht="15" customHeight="1" x14ac:dyDescent="0.2">
      <c r="A1478" s="9" t="s">
        <v>2813</v>
      </c>
      <c r="B1478" s="9" t="s">
        <v>1327</v>
      </c>
      <c r="C1478" s="9" t="b">
        <f>TRUE()</f>
        <v>1</v>
      </c>
      <c r="D1478" s="10">
        <v>45886</v>
      </c>
      <c r="E1478" s="10">
        <v>45870</v>
      </c>
      <c r="F1478" s="9" t="s">
        <v>1360</v>
      </c>
      <c r="G1478" s="11">
        <v>15059.84</v>
      </c>
      <c r="H1478" s="11">
        <v>369.13</v>
      </c>
      <c r="I1478" s="9" t="b">
        <f>TRUE()</f>
        <v>1</v>
      </c>
      <c r="J1478" s="9" t="s">
        <v>1361</v>
      </c>
      <c r="K1478" s="11">
        <v>369.13</v>
      </c>
      <c r="L1478" s="9" t="s">
        <v>22</v>
      </c>
      <c r="M1478" s="9" t="str">
        <f>IFERROR(INDEX(T_CleanCustomers[Sales_Rep_ID],MATCH(B1478,T_CleanCustomers[Customer_ID],0)),"Unmatched")</f>
        <v>REP006</v>
      </c>
      <c r="N1478" s="9" t="str">
        <f>IFERROR(INDEX(T_CleanCustomers[Channel],MATCH(B1478,T_CleanCustomers[Customer_ID],0)),"Unmatched")</f>
        <v>Telesales</v>
      </c>
      <c r="O1478" s="9" t="str">
        <f>IFERROR(INDEX(T_CleanCustomers[Product],MATCH(B1478,T_CleanCustomers[Customer_ID],0)),"Unmatched")</f>
        <v>Fuel Card</v>
      </c>
      <c r="P1478" s="9" t="str">
        <f>IFERROR(INDEX(T_CleanCustomers[Customer_Segment],MATCH(B1478,T_CleanCustomers[Customer_ID],0)),"Unmatched")</f>
        <v>Mid-Market</v>
      </c>
    </row>
    <row r="1479" spans="1:16" ht="15" customHeight="1" x14ac:dyDescent="0.2">
      <c r="A1479" s="9" t="s">
        <v>2814</v>
      </c>
      <c r="B1479" s="9" t="s">
        <v>1327</v>
      </c>
      <c r="C1479" s="9" t="b">
        <f>TRUE()</f>
        <v>1</v>
      </c>
      <c r="D1479" s="10">
        <v>45914</v>
      </c>
      <c r="E1479" s="10">
        <v>45901</v>
      </c>
      <c r="F1479" s="9" t="s">
        <v>1360</v>
      </c>
      <c r="G1479" s="11">
        <v>12467.65</v>
      </c>
      <c r="H1479" s="11">
        <v>285.86</v>
      </c>
      <c r="I1479" s="9" t="b">
        <f>TRUE()</f>
        <v>1</v>
      </c>
      <c r="J1479" s="9" t="s">
        <v>1361</v>
      </c>
      <c r="K1479" s="11">
        <v>285.86</v>
      </c>
      <c r="L1479" s="9" t="s">
        <v>22</v>
      </c>
      <c r="M1479" s="9" t="str">
        <f>IFERROR(INDEX(T_CleanCustomers[Sales_Rep_ID],MATCH(B1479,T_CleanCustomers[Customer_ID],0)),"Unmatched")</f>
        <v>REP006</v>
      </c>
      <c r="N1479" s="9" t="str">
        <f>IFERROR(INDEX(T_CleanCustomers[Channel],MATCH(B1479,T_CleanCustomers[Customer_ID],0)),"Unmatched")</f>
        <v>Telesales</v>
      </c>
      <c r="O1479" s="9" t="str">
        <f>IFERROR(INDEX(T_CleanCustomers[Product],MATCH(B1479,T_CleanCustomers[Customer_ID],0)),"Unmatched")</f>
        <v>Fuel Card</v>
      </c>
      <c r="P1479" s="9" t="str">
        <f>IFERROR(INDEX(T_CleanCustomers[Customer_Segment],MATCH(B1479,T_CleanCustomers[Customer_ID],0)),"Unmatched")</f>
        <v>Mid-Market</v>
      </c>
    </row>
    <row r="1480" spans="1:16" ht="15" customHeight="1" x14ac:dyDescent="0.2">
      <c r="A1480" s="9" t="s">
        <v>2815</v>
      </c>
      <c r="B1480" s="9" t="s">
        <v>1327</v>
      </c>
      <c r="C1480" s="9" t="b">
        <f>TRUE()</f>
        <v>1</v>
      </c>
      <c r="D1480" s="10">
        <v>45942</v>
      </c>
      <c r="E1480" s="10">
        <v>45931</v>
      </c>
      <c r="F1480" s="9" t="s">
        <v>1360</v>
      </c>
      <c r="G1480" s="11">
        <v>15786.2</v>
      </c>
      <c r="H1480" s="11">
        <v>368.23</v>
      </c>
      <c r="I1480" s="9" t="b">
        <f>TRUE()</f>
        <v>1</v>
      </c>
      <c r="J1480" s="9" t="s">
        <v>1361</v>
      </c>
      <c r="K1480" s="11">
        <v>368.23</v>
      </c>
      <c r="L1480" s="9" t="s">
        <v>22</v>
      </c>
      <c r="M1480" s="9" t="str">
        <f>IFERROR(INDEX(T_CleanCustomers[Sales_Rep_ID],MATCH(B1480,T_CleanCustomers[Customer_ID],0)),"Unmatched")</f>
        <v>REP006</v>
      </c>
      <c r="N1480" s="9" t="str">
        <f>IFERROR(INDEX(T_CleanCustomers[Channel],MATCH(B1480,T_CleanCustomers[Customer_ID],0)),"Unmatched")</f>
        <v>Telesales</v>
      </c>
      <c r="O1480" s="9" t="str">
        <f>IFERROR(INDEX(T_CleanCustomers[Product],MATCH(B1480,T_CleanCustomers[Customer_ID],0)),"Unmatched")</f>
        <v>Fuel Card</v>
      </c>
      <c r="P1480" s="9" t="str">
        <f>IFERROR(INDEX(T_CleanCustomers[Customer_Segment],MATCH(B1480,T_CleanCustomers[Customer_ID],0)),"Unmatched")</f>
        <v>Mid-Market</v>
      </c>
    </row>
    <row r="1481" spans="1:16" ht="15" customHeight="1" x14ac:dyDescent="0.2">
      <c r="A1481" s="9" t="s">
        <v>2816</v>
      </c>
      <c r="B1481" s="9" t="s">
        <v>1327</v>
      </c>
      <c r="C1481" s="9" t="b">
        <f>TRUE()</f>
        <v>1</v>
      </c>
      <c r="D1481" s="10">
        <v>45958</v>
      </c>
      <c r="E1481" s="10">
        <v>45931</v>
      </c>
      <c r="F1481" s="9" t="s">
        <v>1360</v>
      </c>
      <c r="G1481" s="11">
        <v>10417.52</v>
      </c>
      <c r="H1481" s="11">
        <v>244.24</v>
      </c>
      <c r="I1481" s="9" t="b">
        <f>TRUE()</f>
        <v>1</v>
      </c>
      <c r="J1481" s="9" t="s">
        <v>1361</v>
      </c>
      <c r="K1481" s="11">
        <v>244.24</v>
      </c>
      <c r="L1481" s="9" t="s">
        <v>22</v>
      </c>
      <c r="M1481" s="9" t="str">
        <f>IFERROR(INDEX(T_CleanCustomers[Sales_Rep_ID],MATCH(B1481,T_CleanCustomers[Customer_ID],0)),"Unmatched")</f>
        <v>REP006</v>
      </c>
      <c r="N1481" s="9" t="str">
        <f>IFERROR(INDEX(T_CleanCustomers[Channel],MATCH(B1481,T_CleanCustomers[Customer_ID],0)),"Unmatched")</f>
        <v>Telesales</v>
      </c>
      <c r="O1481" s="9" t="str">
        <f>IFERROR(INDEX(T_CleanCustomers[Product],MATCH(B1481,T_CleanCustomers[Customer_ID],0)),"Unmatched")</f>
        <v>Fuel Card</v>
      </c>
      <c r="P1481" s="9" t="str">
        <f>IFERROR(INDEX(T_CleanCustomers[Customer_Segment],MATCH(B1481,T_CleanCustomers[Customer_ID],0)),"Unmatched")</f>
        <v>Mid-Market</v>
      </c>
    </row>
    <row r="1482" spans="1:16" ht="15" customHeight="1" x14ac:dyDescent="0.2">
      <c r="A1482" s="9" t="s">
        <v>2817</v>
      </c>
      <c r="B1482" s="9" t="s">
        <v>1327</v>
      </c>
      <c r="C1482" s="9" t="b">
        <f>TRUE()</f>
        <v>1</v>
      </c>
      <c r="D1482" s="10">
        <v>45938</v>
      </c>
      <c r="E1482" s="10">
        <v>45931</v>
      </c>
      <c r="F1482" s="9" t="s">
        <v>1360</v>
      </c>
      <c r="G1482" s="11">
        <v>17514.28</v>
      </c>
      <c r="H1482" s="11">
        <v>380.09</v>
      </c>
      <c r="I1482" s="9" t="b">
        <f>TRUE()</f>
        <v>1</v>
      </c>
      <c r="J1482" s="9" t="s">
        <v>1361</v>
      </c>
      <c r="K1482" s="11">
        <v>380.09</v>
      </c>
      <c r="L1482" s="9" t="s">
        <v>22</v>
      </c>
      <c r="M1482" s="9" t="str">
        <f>IFERROR(INDEX(T_CleanCustomers[Sales_Rep_ID],MATCH(B1482,T_CleanCustomers[Customer_ID],0)),"Unmatched")</f>
        <v>REP006</v>
      </c>
      <c r="N1482" s="9" t="str">
        <f>IFERROR(INDEX(T_CleanCustomers[Channel],MATCH(B1482,T_CleanCustomers[Customer_ID],0)),"Unmatched")</f>
        <v>Telesales</v>
      </c>
      <c r="O1482" s="9" t="str">
        <f>IFERROR(INDEX(T_CleanCustomers[Product],MATCH(B1482,T_CleanCustomers[Customer_ID],0)),"Unmatched")</f>
        <v>Fuel Card</v>
      </c>
      <c r="P1482" s="9" t="str">
        <f>IFERROR(INDEX(T_CleanCustomers[Customer_Segment],MATCH(B1482,T_CleanCustomers[Customer_ID],0)),"Unmatched")</f>
        <v>Mid-Market</v>
      </c>
    </row>
    <row r="1483" spans="1:16" ht="15" customHeight="1" x14ac:dyDescent="0.2">
      <c r="A1483" s="9" t="s">
        <v>2818</v>
      </c>
      <c r="B1483" s="9" t="s">
        <v>1327</v>
      </c>
      <c r="C1483" s="9" t="b">
        <f>TRUE()</f>
        <v>1</v>
      </c>
      <c r="D1483" s="10">
        <v>45970</v>
      </c>
      <c r="E1483" s="10">
        <v>45962</v>
      </c>
      <c r="F1483" s="9" t="s">
        <v>1360</v>
      </c>
      <c r="G1483" s="11">
        <v>14397.44</v>
      </c>
      <c r="H1483" s="11">
        <v>336.3</v>
      </c>
      <c r="I1483" s="9" t="b">
        <f>TRUE()</f>
        <v>1</v>
      </c>
      <c r="J1483" s="9" t="s">
        <v>1361</v>
      </c>
      <c r="K1483" s="11">
        <v>336.3</v>
      </c>
      <c r="L1483" s="9" t="s">
        <v>22</v>
      </c>
      <c r="M1483" s="9" t="str">
        <f>IFERROR(INDEX(T_CleanCustomers[Sales_Rep_ID],MATCH(B1483,T_CleanCustomers[Customer_ID],0)),"Unmatched")</f>
        <v>REP006</v>
      </c>
      <c r="N1483" s="9" t="str">
        <f>IFERROR(INDEX(T_CleanCustomers[Channel],MATCH(B1483,T_CleanCustomers[Customer_ID],0)),"Unmatched")</f>
        <v>Telesales</v>
      </c>
      <c r="O1483" s="9" t="str">
        <f>IFERROR(INDEX(T_CleanCustomers[Product],MATCH(B1483,T_CleanCustomers[Customer_ID],0)),"Unmatched")</f>
        <v>Fuel Card</v>
      </c>
      <c r="P1483" s="9" t="str">
        <f>IFERROR(INDEX(T_CleanCustomers[Customer_Segment],MATCH(B1483,T_CleanCustomers[Customer_ID],0)),"Unmatched")</f>
        <v>Mid-Market</v>
      </c>
    </row>
    <row r="1484" spans="1:16" ht="15" customHeight="1" x14ac:dyDescent="0.2">
      <c r="A1484" s="9" t="s">
        <v>2819</v>
      </c>
      <c r="B1484" s="9" t="s">
        <v>1327</v>
      </c>
      <c r="C1484" s="9" t="b">
        <f>TRUE()</f>
        <v>1</v>
      </c>
      <c r="D1484" s="10">
        <v>46013</v>
      </c>
      <c r="E1484" s="10">
        <v>45992</v>
      </c>
      <c r="F1484" s="9" t="s">
        <v>1360</v>
      </c>
      <c r="G1484" s="11">
        <v>8015.55</v>
      </c>
      <c r="H1484" s="11">
        <v>213.68</v>
      </c>
      <c r="I1484" s="9" t="b">
        <f>TRUE()</f>
        <v>1</v>
      </c>
      <c r="J1484" s="9" t="s">
        <v>1361</v>
      </c>
      <c r="K1484" s="11">
        <v>213.68</v>
      </c>
      <c r="L1484" s="9" t="s">
        <v>22</v>
      </c>
      <c r="M1484" s="9" t="str">
        <f>IFERROR(INDEX(T_CleanCustomers[Sales_Rep_ID],MATCH(B1484,T_CleanCustomers[Customer_ID],0)),"Unmatched")</f>
        <v>REP006</v>
      </c>
      <c r="N1484" s="9" t="str">
        <f>IFERROR(INDEX(T_CleanCustomers[Channel],MATCH(B1484,T_CleanCustomers[Customer_ID],0)),"Unmatched")</f>
        <v>Telesales</v>
      </c>
      <c r="O1484" s="9" t="str">
        <f>IFERROR(INDEX(T_CleanCustomers[Product],MATCH(B1484,T_CleanCustomers[Customer_ID],0)),"Unmatched")</f>
        <v>Fuel Card</v>
      </c>
      <c r="P1484" s="9" t="str">
        <f>IFERROR(INDEX(T_CleanCustomers[Customer_Segment],MATCH(B1484,T_CleanCustomers[Customer_ID],0)),"Unmatched")</f>
        <v>Mid-Market</v>
      </c>
    </row>
    <row r="1485" spans="1:16" ht="15" customHeight="1" x14ac:dyDescent="0.2">
      <c r="A1485" s="9" t="s">
        <v>2820</v>
      </c>
      <c r="B1485" s="9" t="s">
        <v>1327</v>
      </c>
      <c r="C1485" s="9" t="b">
        <f>TRUE()</f>
        <v>1</v>
      </c>
      <c r="D1485" s="10">
        <v>45999</v>
      </c>
      <c r="E1485" s="10">
        <v>45992</v>
      </c>
      <c r="F1485" s="9" t="s">
        <v>1360</v>
      </c>
      <c r="G1485" s="11">
        <v>5221.21</v>
      </c>
      <c r="H1485" s="11">
        <v>114.28</v>
      </c>
      <c r="I1485" s="9" t="b">
        <f>TRUE()</f>
        <v>1</v>
      </c>
      <c r="J1485" s="9" t="s">
        <v>1361</v>
      </c>
      <c r="K1485" s="11">
        <v>114.28</v>
      </c>
      <c r="L1485" s="9" t="s">
        <v>22</v>
      </c>
      <c r="M1485" s="9" t="str">
        <f>IFERROR(INDEX(T_CleanCustomers[Sales_Rep_ID],MATCH(B1485,T_CleanCustomers[Customer_ID],0)),"Unmatched")</f>
        <v>REP006</v>
      </c>
      <c r="N1485" s="9" t="str">
        <f>IFERROR(INDEX(T_CleanCustomers[Channel],MATCH(B1485,T_CleanCustomers[Customer_ID],0)),"Unmatched")</f>
        <v>Telesales</v>
      </c>
      <c r="O1485" s="9" t="str">
        <f>IFERROR(INDEX(T_CleanCustomers[Product],MATCH(B1485,T_CleanCustomers[Customer_ID],0)),"Unmatched")</f>
        <v>Fuel Card</v>
      </c>
      <c r="P1485" s="9" t="str">
        <f>IFERROR(INDEX(T_CleanCustomers[Customer_Segment],MATCH(B1485,T_CleanCustomers[Customer_ID],0)),"Unmatched")</f>
        <v>Mid-Market</v>
      </c>
    </row>
    <row r="1486" spans="1:16" ht="15" customHeight="1" x14ac:dyDescent="0.2">
      <c r="A1486" s="9" t="s">
        <v>2821</v>
      </c>
      <c r="B1486" s="9" t="s">
        <v>1327</v>
      </c>
      <c r="C1486" s="9" t="b">
        <f>TRUE()</f>
        <v>1</v>
      </c>
      <c r="D1486" s="10">
        <v>46000</v>
      </c>
      <c r="E1486" s="10">
        <v>45992</v>
      </c>
      <c r="F1486" s="9" t="s">
        <v>1360</v>
      </c>
      <c r="G1486" s="11">
        <v>5926.64</v>
      </c>
      <c r="H1486" s="11">
        <v>153.41999999999999</v>
      </c>
      <c r="I1486" s="9" t="b">
        <f>TRUE()</f>
        <v>1</v>
      </c>
      <c r="J1486" s="9" t="s">
        <v>1361</v>
      </c>
      <c r="K1486" s="11">
        <v>153.41999999999999</v>
      </c>
      <c r="L1486" s="9" t="s">
        <v>22</v>
      </c>
      <c r="M1486" s="9" t="str">
        <f>IFERROR(INDEX(T_CleanCustomers[Sales_Rep_ID],MATCH(B1486,T_CleanCustomers[Customer_ID],0)),"Unmatched")</f>
        <v>REP006</v>
      </c>
      <c r="N1486" s="9" t="str">
        <f>IFERROR(INDEX(T_CleanCustomers[Channel],MATCH(B1486,T_CleanCustomers[Customer_ID],0)),"Unmatched")</f>
        <v>Telesales</v>
      </c>
      <c r="O1486" s="9" t="str">
        <f>IFERROR(INDEX(T_CleanCustomers[Product],MATCH(B1486,T_CleanCustomers[Customer_ID],0)),"Unmatched")</f>
        <v>Fuel Card</v>
      </c>
      <c r="P1486" s="9" t="str">
        <f>IFERROR(INDEX(T_CleanCustomers[Customer_Segment],MATCH(B1486,T_CleanCustomers[Customer_ID],0)),"Unmatched")</f>
        <v>Mid-Market</v>
      </c>
    </row>
    <row r="1487" spans="1:16" ht="15" customHeight="1" x14ac:dyDescent="0.2">
      <c r="A1487" s="9" t="s">
        <v>2822</v>
      </c>
      <c r="B1487" s="9" t="s">
        <v>1329</v>
      </c>
      <c r="C1487" s="9" t="b">
        <f>TRUE()</f>
        <v>1</v>
      </c>
      <c r="D1487" s="10">
        <v>45916</v>
      </c>
      <c r="E1487" s="10">
        <v>45901</v>
      </c>
      <c r="F1487" s="9" t="s">
        <v>1423</v>
      </c>
      <c r="G1487" s="11">
        <v>2668.83</v>
      </c>
      <c r="H1487" s="11">
        <v>91.02</v>
      </c>
      <c r="I1487" s="9" t="b">
        <f>TRUE()</f>
        <v>1</v>
      </c>
      <c r="J1487" s="9" t="s">
        <v>1361</v>
      </c>
      <c r="K1487" s="11">
        <v>91.02</v>
      </c>
      <c r="L1487" s="9" t="s">
        <v>21</v>
      </c>
      <c r="M1487" s="9" t="str">
        <f>IFERROR(INDEX(T_CleanCustomers[Sales_Rep_ID],MATCH(B1487,T_CleanCustomers[Customer_ID],0)),"Unmatched")</f>
        <v>REP009</v>
      </c>
      <c r="N1487" s="9" t="str">
        <f>IFERROR(INDEX(T_CleanCustomers[Channel],MATCH(B1487,T_CleanCustomers[Customer_ID],0)),"Unmatched")</f>
        <v>Direct Sales</v>
      </c>
      <c r="O1487" s="9" t="str">
        <f>IFERROR(INDEX(T_CleanCustomers[Product],MATCH(B1487,T_CleanCustomers[Customer_ID],0)),"Unmatched")</f>
        <v>EV Charge Card</v>
      </c>
      <c r="P1487" s="9" t="str">
        <f>IFERROR(INDEX(T_CleanCustomers[Customer_Segment],MATCH(B1487,T_CleanCustomers[Customer_ID],0)),"Unmatched")</f>
        <v>SME</v>
      </c>
    </row>
    <row r="1488" spans="1:16" ht="15" customHeight="1" x14ac:dyDescent="0.2">
      <c r="A1488" s="9" t="s">
        <v>2823</v>
      </c>
      <c r="B1488" s="9" t="s">
        <v>1329</v>
      </c>
      <c r="C1488" s="9" t="b">
        <f>TRUE()</f>
        <v>1</v>
      </c>
      <c r="D1488" s="10">
        <v>45922</v>
      </c>
      <c r="E1488" s="10">
        <v>45901</v>
      </c>
      <c r="F1488" s="9" t="s">
        <v>1423</v>
      </c>
      <c r="G1488" s="11">
        <v>4222.8900000000003</v>
      </c>
      <c r="H1488" s="11">
        <v>119.87</v>
      </c>
      <c r="I1488" s="9" t="b">
        <f>TRUE()</f>
        <v>1</v>
      </c>
      <c r="J1488" s="9" t="s">
        <v>1361</v>
      </c>
      <c r="K1488" s="11">
        <v>119.87</v>
      </c>
      <c r="L1488" s="9" t="s">
        <v>21</v>
      </c>
      <c r="M1488" s="9" t="str">
        <f>IFERROR(INDEX(T_CleanCustomers[Sales_Rep_ID],MATCH(B1488,T_CleanCustomers[Customer_ID],0)),"Unmatched")</f>
        <v>REP009</v>
      </c>
      <c r="N1488" s="9" t="str">
        <f>IFERROR(INDEX(T_CleanCustomers[Channel],MATCH(B1488,T_CleanCustomers[Customer_ID],0)),"Unmatched")</f>
        <v>Direct Sales</v>
      </c>
      <c r="O1488" s="9" t="str">
        <f>IFERROR(INDEX(T_CleanCustomers[Product],MATCH(B1488,T_CleanCustomers[Customer_ID],0)),"Unmatched")</f>
        <v>EV Charge Card</v>
      </c>
      <c r="P1488" s="9" t="str">
        <f>IFERROR(INDEX(T_CleanCustomers[Customer_Segment],MATCH(B1488,T_CleanCustomers[Customer_ID],0)),"Unmatched")</f>
        <v>SME</v>
      </c>
    </row>
    <row r="1489" spans="1:16" ht="15" customHeight="1" x14ac:dyDescent="0.2">
      <c r="A1489" s="9" t="s">
        <v>2824</v>
      </c>
      <c r="B1489" s="9" t="s">
        <v>1329</v>
      </c>
      <c r="C1489" s="9" t="b">
        <f>TRUE()</f>
        <v>1</v>
      </c>
      <c r="D1489" s="10">
        <v>45926</v>
      </c>
      <c r="E1489" s="10">
        <v>45901</v>
      </c>
      <c r="F1489" s="9" t="s">
        <v>1423</v>
      </c>
      <c r="G1489" s="11">
        <v>4599.5</v>
      </c>
      <c r="H1489" s="11">
        <v>163.41</v>
      </c>
      <c r="I1489" s="9" t="b">
        <f>TRUE()</f>
        <v>1</v>
      </c>
      <c r="J1489" s="9" t="s">
        <v>1361</v>
      </c>
      <c r="K1489" s="11">
        <v>163.41</v>
      </c>
      <c r="L1489" s="9" t="s">
        <v>21</v>
      </c>
      <c r="M1489" s="9" t="str">
        <f>IFERROR(INDEX(T_CleanCustomers[Sales_Rep_ID],MATCH(B1489,T_CleanCustomers[Customer_ID],0)),"Unmatched")</f>
        <v>REP009</v>
      </c>
      <c r="N1489" s="9" t="str">
        <f>IFERROR(INDEX(T_CleanCustomers[Channel],MATCH(B1489,T_CleanCustomers[Customer_ID],0)),"Unmatched")</f>
        <v>Direct Sales</v>
      </c>
      <c r="O1489" s="9" t="str">
        <f>IFERROR(INDEX(T_CleanCustomers[Product],MATCH(B1489,T_CleanCustomers[Customer_ID],0)),"Unmatched")</f>
        <v>EV Charge Card</v>
      </c>
      <c r="P1489" s="9" t="str">
        <f>IFERROR(INDEX(T_CleanCustomers[Customer_Segment],MATCH(B1489,T_CleanCustomers[Customer_ID],0)),"Unmatched")</f>
        <v>SME</v>
      </c>
    </row>
    <row r="1490" spans="1:16" ht="15" customHeight="1" x14ac:dyDescent="0.2">
      <c r="A1490" s="9" t="s">
        <v>2825</v>
      </c>
      <c r="B1490" s="9" t="s">
        <v>1329</v>
      </c>
      <c r="C1490" s="9" t="b">
        <f>TRUE()</f>
        <v>1</v>
      </c>
      <c r="D1490" s="10">
        <v>45941</v>
      </c>
      <c r="E1490" s="10">
        <v>45931</v>
      </c>
      <c r="F1490" s="9" t="s">
        <v>1423</v>
      </c>
      <c r="G1490" s="11">
        <v>3267.55</v>
      </c>
      <c r="H1490" s="11">
        <v>89.74</v>
      </c>
      <c r="I1490" s="9" t="b">
        <f>TRUE()</f>
        <v>1</v>
      </c>
      <c r="J1490" s="9" t="s">
        <v>1361</v>
      </c>
      <c r="K1490" s="11">
        <v>89.74</v>
      </c>
      <c r="L1490" s="9" t="s">
        <v>21</v>
      </c>
      <c r="M1490" s="9" t="str">
        <f>IFERROR(INDEX(T_CleanCustomers[Sales_Rep_ID],MATCH(B1490,T_CleanCustomers[Customer_ID],0)),"Unmatched")</f>
        <v>REP009</v>
      </c>
      <c r="N1490" s="9" t="str">
        <f>IFERROR(INDEX(T_CleanCustomers[Channel],MATCH(B1490,T_CleanCustomers[Customer_ID],0)),"Unmatched")</f>
        <v>Direct Sales</v>
      </c>
      <c r="O1490" s="9" t="str">
        <f>IFERROR(INDEX(T_CleanCustomers[Product],MATCH(B1490,T_CleanCustomers[Customer_ID],0)),"Unmatched")</f>
        <v>EV Charge Card</v>
      </c>
      <c r="P1490" s="9" t="str">
        <f>IFERROR(INDEX(T_CleanCustomers[Customer_Segment],MATCH(B1490,T_CleanCustomers[Customer_ID],0)),"Unmatched")</f>
        <v>SME</v>
      </c>
    </row>
    <row r="1491" spans="1:16" ht="15" customHeight="1" x14ac:dyDescent="0.2">
      <c r="A1491" s="9" t="s">
        <v>2826</v>
      </c>
      <c r="B1491" s="9" t="s">
        <v>1329</v>
      </c>
      <c r="C1491" s="9" t="b">
        <f>TRUE()</f>
        <v>1</v>
      </c>
      <c r="D1491" s="10">
        <v>45941</v>
      </c>
      <c r="E1491" s="10">
        <v>45931</v>
      </c>
      <c r="F1491" s="9" t="s">
        <v>1423</v>
      </c>
      <c r="G1491" s="11">
        <v>3696.46</v>
      </c>
      <c r="H1491" s="11">
        <v>125.66</v>
      </c>
      <c r="I1491" s="9" t="b">
        <f>TRUE()</f>
        <v>1</v>
      </c>
      <c r="J1491" s="9" t="s">
        <v>1361</v>
      </c>
      <c r="K1491" s="11">
        <v>125.66</v>
      </c>
      <c r="L1491" s="9" t="s">
        <v>21</v>
      </c>
      <c r="M1491" s="9" t="str">
        <f>IFERROR(INDEX(T_CleanCustomers[Sales_Rep_ID],MATCH(B1491,T_CleanCustomers[Customer_ID],0)),"Unmatched")</f>
        <v>REP009</v>
      </c>
      <c r="N1491" s="9" t="str">
        <f>IFERROR(INDEX(T_CleanCustomers[Channel],MATCH(B1491,T_CleanCustomers[Customer_ID],0)),"Unmatched")</f>
        <v>Direct Sales</v>
      </c>
      <c r="O1491" s="9" t="str">
        <f>IFERROR(INDEX(T_CleanCustomers[Product],MATCH(B1491,T_CleanCustomers[Customer_ID],0)),"Unmatched")</f>
        <v>EV Charge Card</v>
      </c>
      <c r="P1491" s="9" t="str">
        <f>IFERROR(INDEX(T_CleanCustomers[Customer_Segment],MATCH(B1491,T_CleanCustomers[Customer_ID],0)),"Unmatched")</f>
        <v>SME</v>
      </c>
    </row>
    <row r="1492" spans="1:16" ht="15" customHeight="1" x14ac:dyDescent="0.2">
      <c r="A1492" s="9" t="s">
        <v>2827</v>
      </c>
      <c r="B1492" s="9" t="s">
        <v>1329</v>
      </c>
      <c r="C1492" s="9" t="b">
        <f>TRUE()</f>
        <v>1</v>
      </c>
      <c r="D1492" s="10">
        <v>45976</v>
      </c>
      <c r="E1492" s="10">
        <v>45962</v>
      </c>
      <c r="F1492" s="9" t="s">
        <v>1423</v>
      </c>
      <c r="G1492" s="11">
        <v>4405.76</v>
      </c>
      <c r="H1492" s="11">
        <v>122.23</v>
      </c>
      <c r="I1492" s="9" t="b">
        <f>TRUE()</f>
        <v>1</v>
      </c>
      <c r="J1492" s="9" t="s">
        <v>1361</v>
      </c>
      <c r="K1492" s="11">
        <v>122.23</v>
      </c>
      <c r="L1492" s="9" t="s">
        <v>21</v>
      </c>
      <c r="M1492" s="9" t="str">
        <f>IFERROR(INDEX(T_CleanCustomers[Sales_Rep_ID],MATCH(B1492,T_CleanCustomers[Customer_ID],0)),"Unmatched")</f>
        <v>REP009</v>
      </c>
      <c r="N1492" s="9" t="str">
        <f>IFERROR(INDEX(T_CleanCustomers[Channel],MATCH(B1492,T_CleanCustomers[Customer_ID],0)),"Unmatched")</f>
        <v>Direct Sales</v>
      </c>
      <c r="O1492" s="9" t="str">
        <f>IFERROR(INDEX(T_CleanCustomers[Product],MATCH(B1492,T_CleanCustomers[Customer_ID],0)),"Unmatched")</f>
        <v>EV Charge Card</v>
      </c>
      <c r="P1492" s="9" t="str">
        <f>IFERROR(INDEX(T_CleanCustomers[Customer_Segment],MATCH(B1492,T_CleanCustomers[Customer_ID],0)),"Unmatched")</f>
        <v>SME</v>
      </c>
    </row>
    <row r="1493" spans="1:16" ht="15" customHeight="1" x14ac:dyDescent="0.2">
      <c r="A1493" s="9" t="s">
        <v>2828</v>
      </c>
      <c r="B1493" s="9" t="s">
        <v>1329</v>
      </c>
      <c r="C1493" s="9" t="b">
        <f>TRUE()</f>
        <v>1</v>
      </c>
      <c r="D1493" s="10">
        <v>45976</v>
      </c>
      <c r="E1493" s="10">
        <v>45962</v>
      </c>
      <c r="F1493" s="9" t="s">
        <v>1423</v>
      </c>
      <c r="G1493" s="11">
        <v>5035.71</v>
      </c>
      <c r="H1493" s="11">
        <v>173.35</v>
      </c>
      <c r="I1493" s="9" t="b">
        <f>TRUE()</f>
        <v>1</v>
      </c>
      <c r="J1493" s="9" t="s">
        <v>1361</v>
      </c>
      <c r="K1493" s="11">
        <v>173.35</v>
      </c>
      <c r="L1493" s="9" t="s">
        <v>21</v>
      </c>
      <c r="M1493" s="9" t="str">
        <f>IFERROR(INDEX(T_CleanCustomers[Sales_Rep_ID],MATCH(B1493,T_CleanCustomers[Customer_ID],0)),"Unmatched")</f>
        <v>REP009</v>
      </c>
      <c r="N1493" s="9" t="str">
        <f>IFERROR(INDEX(T_CleanCustomers[Channel],MATCH(B1493,T_CleanCustomers[Customer_ID],0)),"Unmatched")</f>
        <v>Direct Sales</v>
      </c>
      <c r="O1493" s="9" t="str">
        <f>IFERROR(INDEX(T_CleanCustomers[Product],MATCH(B1493,T_CleanCustomers[Customer_ID],0)),"Unmatched")</f>
        <v>EV Charge Card</v>
      </c>
      <c r="P1493" s="9" t="str">
        <f>IFERROR(INDEX(T_CleanCustomers[Customer_Segment],MATCH(B1493,T_CleanCustomers[Customer_ID],0)),"Unmatched")</f>
        <v>SME</v>
      </c>
    </row>
    <row r="1494" spans="1:16" ht="15" customHeight="1" x14ac:dyDescent="0.2">
      <c r="A1494" s="9" t="s">
        <v>2829</v>
      </c>
      <c r="B1494" s="9" t="s">
        <v>1329</v>
      </c>
      <c r="C1494" s="9" t="b">
        <f>TRUE()</f>
        <v>1</v>
      </c>
      <c r="D1494" s="10">
        <v>45978</v>
      </c>
      <c r="E1494" s="10">
        <v>45962</v>
      </c>
      <c r="F1494" s="9" t="s">
        <v>1423</v>
      </c>
      <c r="G1494" s="11">
        <v>1641.32</v>
      </c>
      <c r="H1494" s="11">
        <v>48.87</v>
      </c>
      <c r="I1494" s="9" t="b">
        <f>TRUE()</f>
        <v>1</v>
      </c>
      <c r="J1494" s="9" t="s">
        <v>1361</v>
      </c>
      <c r="K1494" s="11">
        <v>48.87</v>
      </c>
      <c r="L1494" s="9" t="s">
        <v>21</v>
      </c>
      <c r="M1494" s="9" t="str">
        <f>IFERROR(INDEX(T_CleanCustomers[Sales_Rep_ID],MATCH(B1494,T_CleanCustomers[Customer_ID],0)),"Unmatched")</f>
        <v>REP009</v>
      </c>
      <c r="N1494" s="9" t="str">
        <f>IFERROR(INDEX(T_CleanCustomers[Channel],MATCH(B1494,T_CleanCustomers[Customer_ID],0)),"Unmatched")</f>
        <v>Direct Sales</v>
      </c>
      <c r="O1494" s="9" t="str">
        <f>IFERROR(INDEX(T_CleanCustomers[Product],MATCH(B1494,T_CleanCustomers[Customer_ID],0)),"Unmatched")</f>
        <v>EV Charge Card</v>
      </c>
      <c r="P1494" s="9" t="str">
        <f>IFERROR(INDEX(T_CleanCustomers[Customer_Segment],MATCH(B1494,T_CleanCustomers[Customer_ID],0)),"Unmatched")</f>
        <v>SME</v>
      </c>
    </row>
    <row r="1495" spans="1:16" ht="15" customHeight="1" x14ac:dyDescent="0.2">
      <c r="A1495" s="9" t="s">
        <v>2830</v>
      </c>
      <c r="B1495" s="9" t="s">
        <v>1329</v>
      </c>
      <c r="C1495" s="9" t="b">
        <f>TRUE()</f>
        <v>1</v>
      </c>
      <c r="D1495" s="10">
        <v>46021</v>
      </c>
      <c r="E1495" s="10">
        <v>45992</v>
      </c>
      <c r="F1495" s="9" t="s">
        <v>1423</v>
      </c>
      <c r="G1495" s="11">
        <v>3404.27</v>
      </c>
      <c r="H1495" s="11">
        <v>104.71</v>
      </c>
      <c r="I1495" s="9" t="b">
        <f>TRUE()</f>
        <v>1</v>
      </c>
      <c r="J1495" s="9" t="s">
        <v>1361</v>
      </c>
      <c r="K1495" s="11">
        <v>104.71</v>
      </c>
      <c r="L1495" s="9" t="s">
        <v>21</v>
      </c>
      <c r="M1495" s="9" t="str">
        <f>IFERROR(INDEX(T_CleanCustomers[Sales_Rep_ID],MATCH(B1495,T_CleanCustomers[Customer_ID],0)),"Unmatched")</f>
        <v>REP009</v>
      </c>
      <c r="N1495" s="9" t="str">
        <f>IFERROR(INDEX(T_CleanCustomers[Channel],MATCH(B1495,T_CleanCustomers[Customer_ID],0)),"Unmatched")</f>
        <v>Direct Sales</v>
      </c>
      <c r="O1495" s="9" t="str">
        <f>IFERROR(INDEX(T_CleanCustomers[Product],MATCH(B1495,T_CleanCustomers[Customer_ID],0)),"Unmatched")</f>
        <v>EV Charge Card</v>
      </c>
      <c r="P1495" s="9" t="str">
        <f>IFERROR(INDEX(T_CleanCustomers[Customer_Segment],MATCH(B1495,T_CleanCustomers[Customer_ID],0)),"Unmatched")</f>
        <v>SME</v>
      </c>
    </row>
    <row r="1496" spans="1:16" ht="15" customHeight="1" x14ac:dyDescent="0.2">
      <c r="A1496" s="9" t="s">
        <v>2831</v>
      </c>
      <c r="B1496" s="9" t="s">
        <v>1331</v>
      </c>
      <c r="C1496" s="9" t="b">
        <f>TRUE()</f>
        <v>1</v>
      </c>
      <c r="D1496" s="10">
        <v>45889</v>
      </c>
      <c r="E1496" s="10">
        <v>45870</v>
      </c>
      <c r="F1496" s="9" t="s">
        <v>1360</v>
      </c>
      <c r="G1496" s="11">
        <v>9572.77</v>
      </c>
      <c r="H1496" s="11">
        <v>247.04</v>
      </c>
      <c r="I1496" s="9" t="b">
        <f>TRUE()</f>
        <v>1</v>
      </c>
      <c r="J1496" s="9" t="s">
        <v>1361</v>
      </c>
      <c r="K1496" s="11">
        <v>247.04</v>
      </c>
      <c r="L1496" s="9" t="s">
        <v>21</v>
      </c>
      <c r="M1496" s="9" t="str">
        <f>IFERROR(INDEX(T_CleanCustomers[Sales_Rep_ID],MATCH(B1496,T_CleanCustomers[Customer_ID],0)),"Unmatched")</f>
        <v>REP009</v>
      </c>
      <c r="N1496" s="9" t="str">
        <f>IFERROR(INDEX(T_CleanCustomers[Channel],MATCH(B1496,T_CleanCustomers[Customer_ID],0)),"Unmatched")</f>
        <v>Direct Sales</v>
      </c>
      <c r="O1496" s="9" t="str">
        <f>IFERROR(INDEX(T_CleanCustomers[Product],MATCH(B1496,T_CleanCustomers[Customer_ID],0)),"Unmatched")</f>
        <v>Fuel Card</v>
      </c>
      <c r="P1496" s="9" t="str">
        <f>IFERROR(INDEX(T_CleanCustomers[Customer_Segment],MATCH(B1496,T_CleanCustomers[Customer_ID],0)),"Unmatched")</f>
        <v>Mid-Market</v>
      </c>
    </row>
    <row r="1497" spans="1:16" ht="15" customHeight="1" x14ac:dyDescent="0.2">
      <c r="A1497" s="9" t="s">
        <v>2832</v>
      </c>
      <c r="B1497" s="9" t="s">
        <v>1331</v>
      </c>
      <c r="C1497" s="9" t="b">
        <f>TRUE()</f>
        <v>1</v>
      </c>
      <c r="D1497" s="10">
        <v>45891</v>
      </c>
      <c r="E1497" s="10">
        <v>45870</v>
      </c>
      <c r="F1497" s="9" t="s">
        <v>1360</v>
      </c>
      <c r="G1497" s="11">
        <v>4369.46</v>
      </c>
      <c r="H1497" s="11">
        <v>107.06</v>
      </c>
      <c r="I1497" s="9" t="b">
        <f>TRUE()</f>
        <v>1</v>
      </c>
      <c r="J1497" s="9" t="s">
        <v>1361</v>
      </c>
      <c r="K1497" s="11">
        <v>107.06</v>
      </c>
      <c r="L1497" s="9" t="s">
        <v>21</v>
      </c>
      <c r="M1497" s="9" t="str">
        <f>IFERROR(INDEX(T_CleanCustomers[Sales_Rep_ID],MATCH(B1497,T_CleanCustomers[Customer_ID],0)),"Unmatched")</f>
        <v>REP009</v>
      </c>
      <c r="N1497" s="9" t="str">
        <f>IFERROR(INDEX(T_CleanCustomers[Channel],MATCH(B1497,T_CleanCustomers[Customer_ID],0)),"Unmatched")</f>
        <v>Direct Sales</v>
      </c>
      <c r="O1497" s="9" t="str">
        <f>IFERROR(INDEX(T_CleanCustomers[Product],MATCH(B1497,T_CleanCustomers[Customer_ID],0)),"Unmatched")</f>
        <v>Fuel Card</v>
      </c>
      <c r="P1497" s="9" t="str">
        <f>IFERROR(INDEX(T_CleanCustomers[Customer_Segment],MATCH(B1497,T_CleanCustomers[Customer_ID],0)),"Unmatched")</f>
        <v>Mid-Market</v>
      </c>
    </row>
    <row r="1498" spans="1:16" ht="15" customHeight="1" x14ac:dyDescent="0.2">
      <c r="A1498" s="9" t="s">
        <v>2833</v>
      </c>
      <c r="B1498" s="9" t="s">
        <v>1331</v>
      </c>
      <c r="C1498" s="9" t="b">
        <f>TRUE()</f>
        <v>1</v>
      </c>
      <c r="D1498" s="10">
        <v>45911</v>
      </c>
      <c r="E1498" s="10">
        <v>45901</v>
      </c>
      <c r="F1498" s="9" t="s">
        <v>1360</v>
      </c>
      <c r="G1498" s="11">
        <v>4370.5200000000004</v>
      </c>
      <c r="H1498" s="11">
        <v>101.34</v>
      </c>
      <c r="I1498" s="9" t="b">
        <f>TRUE()</f>
        <v>1</v>
      </c>
      <c r="J1498" s="9" t="s">
        <v>1361</v>
      </c>
      <c r="K1498" s="11">
        <v>101.34</v>
      </c>
      <c r="L1498" s="9" t="s">
        <v>21</v>
      </c>
      <c r="M1498" s="9" t="str">
        <f>IFERROR(INDEX(T_CleanCustomers[Sales_Rep_ID],MATCH(B1498,T_CleanCustomers[Customer_ID],0)),"Unmatched")</f>
        <v>REP009</v>
      </c>
      <c r="N1498" s="9" t="str">
        <f>IFERROR(INDEX(T_CleanCustomers[Channel],MATCH(B1498,T_CleanCustomers[Customer_ID],0)),"Unmatched")</f>
        <v>Direct Sales</v>
      </c>
      <c r="O1498" s="9" t="str">
        <f>IFERROR(INDEX(T_CleanCustomers[Product],MATCH(B1498,T_CleanCustomers[Customer_ID],0)),"Unmatched")</f>
        <v>Fuel Card</v>
      </c>
      <c r="P1498" s="9" t="str">
        <f>IFERROR(INDEX(T_CleanCustomers[Customer_Segment],MATCH(B1498,T_CleanCustomers[Customer_ID],0)),"Unmatched")</f>
        <v>Mid-Market</v>
      </c>
    </row>
    <row r="1499" spans="1:16" ht="15" customHeight="1" x14ac:dyDescent="0.2">
      <c r="A1499" s="9" t="s">
        <v>2834</v>
      </c>
      <c r="B1499" s="9" t="s">
        <v>1331</v>
      </c>
      <c r="C1499" s="9" t="b">
        <f>TRUE()</f>
        <v>1</v>
      </c>
      <c r="D1499" s="10">
        <v>45925</v>
      </c>
      <c r="E1499" s="10">
        <v>45901</v>
      </c>
      <c r="F1499" s="9" t="s">
        <v>1360</v>
      </c>
      <c r="G1499" s="11">
        <v>17423.59</v>
      </c>
      <c r="H1499" s="11">
        <v>416.17</v>
      </c>
      <c r="I1499" s="9" t="b">
        <f>TRUE()</f>
        <v>1</v>
      </c>
      <c r="J1499" s="9" t="s">
        <v>1361</v>
      </c>
      <c r="K1499" s="11">
        <v>416.17</v>
      </c>
      <c r="L1499" s="9" t="s">
        <v>21</v>
      </c>
      <c r="M1499" s="9" t="str">
        <f>IFERROR(INDEX(T_CleanCustomers[Sales_Rep_ID],MATCH(B1499,T_CleanCustomers[Customer_ID],0)),"Unmatched")</f>
        <v>REP009</v>
      </c>
      <c r="N1499" s="9" t="str">
        <f>IFERROR(INDEX(T_CleanCustomers[Channel],MATCH(B1499,T_CleanCustomers[Customer_ID],0)),"Unmatched")</f>
        <v>Direct Sales</v>
      </c>
      <c r="O1499" s="9" t="str">
        <f>IFERROR(INDEX(T_CleanCustomers[Product],MATCH(B1499,T_CleanCustomers[Customer_ID],0)),"Unmatched")</f>
        <v>Fuel Card</v>
      </c>
      <c r="P1499" s="9" t="str">
        <f>IFERROR(INDEX(T_CleanCustomers[Customer_Segment],MATCH(B1499,T_CleanCustomers[Customer_ID],0)),"Unmatched")</f>
        <v>Mid-Market</v>
      </c>
    </row>
    <row r="1500" spans="1:16" ht="15" customHeight="1" x14ac:dyDescent="0.2">
      <c r="A1500" s="9" t="s">
        <v>2835</v>
      </c>
      <c r="B1500" s="9" t="s">
        <v>1331</v>
      </c>
      <c r="C1500" s="9" t="b">
        <f>TRUE()</f>
        <v>1</v>
      </c>
      <c r="D1500" s="10">
        <v>45941</v>
      </c>
      <c r="E1500" s="10">
        <v>45931</v>
      </c>
      <c r="F1500" s="9" t="s">
        <v>1360</v>
      </c>
      <c r="G1500" s="11">
        <v>13856.81</v>
      </c>
      <c r="H1500" s="11">
        <v>378.49</v>
      </c>
      <c r="I1500" s="9" t="b">
        <f>TRUE()</f>
        <v>1</v>
      </c>
      <c r="J1500" s="9" t="s">
        <v>1361</v>
      </c>
      <c r="K1500" s="11">
        <v>378.49</v>
      </c>
      <c r="L1500" s="9" t="s">
        <v>21</v>
      </c>
      <c r="M1500" s="9" t="str">
        <f>IFERROR(INDEX(T_CleanCustomers[Sales_Rep_ID],MATCH(B1500,T_CleanCustomers[Customer_ID],0)),"Unmatched")</f>
        <v>REP009</v>
      </c>
      <c r="N1500" s="9" t="str">
        <f>IFERROR(INDEX(T_CleanCustomers[Channel],MATCH(B1500,T_CleanCustomers[Customer_ID],0)),"Unmatched")</f>
        <v>Direct Sales</v>
      </c>
      <c r="O1500" s="9" t="str">
        <f>IFERROR(INDEX(T_CleanCustomers[Product],MATCH(B1500,T_CleanCustomers[Customer_ID],0)),"Unmatched")</f>
        <v>Fuel Card</v>
      </c>
      <c r="P1500" s="9" t="str">
        <f>IFERROR(INDEX(T_CleanCustomers[Customer_Segment],MATCH(B1500,T_CleanCustomers[Customer_ID],0)),"Unmatched")</f>
        <v>Mid-Market</v>
      </c>
    </row>
    <row r="1501" spans="1:16" ht="15" customHeight="1" x14ac:dyDescent="0.2">
      <c r="A1501" s="9" t="s">
        <v>2836</v>
      </c>
      <c r="B1501" s="9" t="s">
        <v>1331</v>
      </c>
      <c r="C1501" s="9" t="b">
        <f>TRUE()</f>
        <v>1</v>
      </c>
      <c r="D1501" s="10">
        <v>45936</v>
      </c>
      <c r="E1501" s="10">
        <v>45931</v>
      </c>
      <c r="F1501" s="9" t="s">
        <v>1360</v>
      </c>
      <c r="G1501" s="11">
        <v>15097.57</v>
      </c>
      <c r="H1501" s="11">
        <v>329.51</v>
      </c>
      <c r="I1501" s="9" t="b">
        <f>TRUE()</f>
        <v>1</v>
      </c>
      <c r="J1501" s="9" t="s">
        <v>1361</v>
      </c>
      <c r="K1501" s="11">
        <v>329.51</v>
      </c>
      <c r="L1501" s="9" t="s">
        <v>21</v>
      </c>
      <c r="M1501" s="9" t="str">
        <f>IFERROR(INDEX(T_CleanCustomers[Sales_Rep_ID],MATCH(B1501,T_CleanCustomers[Customer_ID],0)),"Unmatched")</f>
        <v>REP009</v>
      </c>
      <c r="N1501" s="9" t="str">
        <f>IFERROR(INDEX(T_CleanCustomers[Channel],MATCH(B1501,T_CleanCustomers[Customer_ID],0)),"Unmatched")</f>
        <v>Direct Sales</v>
      </c>
      <c r="O1501" s="9" t="str">
        <f>IFERROR(INDEX(T_CleanCustomers[Product],MATCH(B1501,T_CleanCustomers[Customer_ID],0)),"Unmatched")</f>
        <v>Fuel Card</v>
      </c>
      <c r="P1501" s="9" t="str">
        <f>IFERROR(INDEX(T_CleanCustomers[Customer_Segment],MATCH(B1501,T_CleanCustomers[Customer_ID],0)),"Unmatched")</f>
        <v>Mid-Market</v>
      </c>
    </row>
    <row r="1502" spans="1:16" ht="15" customHeight="1" x14ac:dyDescent="0.2">
      <c r="A1502" s="9" t="s">
        <v>2837</v>
      </c>
      <c r="B1502" s="9" t="s">
        <v>1331</v>
      </c>
      <c r="C1502" s="9" t="b">
        <f>TRUE()</f>
        <v>1</v>
      </c>
      <c r="D1502" s="10">
        <v>45956</v>
      </c>
      <c r="E1502" s="10">
        <v>45931</v>
      </c>
      <c r="F1502" s="9" t="s">
        <v>1360</v>
      </c>
      <c r="G1502" s="11">
        <v>8720</v>
      </c>
      <c r="H1502" s="11">
        <v>249.01</v>
      </c>
      <c r="I1502" s="9" t="b">
        <f>TRUE()</f>
        <v>1</v>
      </c>
      <c r="J1502" s="9" t="s">
        <v>1361</v>
      </c>
      <c r="K1502" s="11">
        <v>249.01</v>
      </c>
      <c r="L1502" s="9" t="s">
        <v>21</v>
      </c>
      <c r="M1502" s="9" t="str">
        <f>IFERROR(INDEX(T_CleanCustomers[Sales_Rep_ID],MATCH(B1502,T_CleanCustomers[Customer_ID],0)),"Unmatched")</f>
        <v>REP009</v>
      </c>
      <c r="N1502" s="9" t="str">
        <f>IFERROR(INDEX(T_CleanCustomers[Channel],MATCH(B1502,T_CleanCustomers[Customer_ID],0)),"Unmatched")</f>
        <v>Direct Sales</v>
      </c>
      <c r="O1502" s="9" t="str">
        <f>IFERROR(INDEX(T_CleanCustomers[Product],MATCH(B1502,T_CleanCustomers[Customer_ID],0)),"Unmatched")</f>
        <v>Fuel Card</v>
      </c>
      <c r="P1502" s="9" t="str">
        <f>IFERROR(INDEX(T_CleanCustomers[Customer_Segment],MATCH(B1502,T_CleanCustomers[Customer_ID],0)),"Unmatched")</f>
        <v>Mid-Market</v>
      </c>
    </row>
    <row r="1503" spans="1:16" ht="15" customHeight="1" x14ac:dyDescent="0.2">
      <c r="A1503" s="9" t="s">
        <v>2838</v>
      </c>
      <c r="B1503" s="9" t="s">
        <v>1331</v>
      </c>
      <c r="C1503" s="9" t="b">
        <f>TRUE()</f>
        <v>1</v>
      </c>
      <c r="D1503" s="10">
        <v>45969</v>
      </c>
      <c r="E1503" s="10">
        <v>45962</v>
      </c>
      <c r="F1503" s="9" t="s">
        <v>1360</v>
      </c>
      <c r="G1503" s="11">
        <v>16095.36</v>
      </c>
      <c r="H1503" s="11">
        <v>369.41</v>
      </c>
      <c r="I1503" s="9" t="b">
        <f>TRUE()</f>
        <v>1</v>
      </c>
      <c r="J1503" s="9" t="s">
        <v>1361</v>
      </c>
      <c r="K1503" s="11">
        <v>369.41</v>
      </c>
      <c r="L1503" s="9" t="s">
        <v>21</v>
      </c>
      <c r="M1503" s="9" t="str">
        <f>IFERROR(INDEX(T_CleanCustomers[Sales_Rep_ID],MATCH(B1503,T_CleanCustomers[Customer_ID],0)),"Unmatched")</f>
        <v>REP009</v>
      </c>
      <c r="N1503" s="9" t="str">
        <f>IFERROR(INDEX(T_CleanCustomers[Channel],MATCH(B1503,T_CleanCustomers[Customer_ID],0)),"Unmatched")</f>
        <v>Direct Sales</v>
      </c>
      <c r="O1503" s="9" t="str">
        <f>IFERROR(INDEX(T_CleanCustomers[Product],MATCH(B1503,T_CleanCustomers[Customer_ID],0)),"Unmatched")</f>
        <v>Fuel Card</v>
      </c>
      <c r="P1503" s="9" t="str">
        <f>IFERROR(INDEX(T_CleanCustomers[Customer_Segment],MATCH(B1503,T_CleanCustomers[Customer_ID],0)),"Unmatched")</f>
        <v>Mid-Market</v>
      </c>
    </row>
    <row r="1504" spans="1:16" ht="15" customHeight="1" x14ac:dyDescent="0.2">
      <c r="A1504" s="9" t="s">
        <v>2839</v>
      </c>
      <c r="B1504" s="9" t="s">
        <v>1331</v>
      </c>
      <c r="C1504" s="9" t="b">
        <f>TRUE()</f>
        <v>1</v>
      </c>
      <c r="D1504" s="10">
        <v>45980</v>
      </c>
      <c r="E1504" s="10">
        <v>45962</v>
      </c>
      <c r="F1504" s="9" t="s">
        <v>1360</v>
      </c>
      <c r="G1504" s="11">
        <v>14214.32</v>
      </c>
      <c r="H1504" s="11">
        <v>354.71</v>
      </c>
      <c r="I1504" s="9" t="b">
        <f>TRUE()</f>
        <v>1</v>
      </c>
      <c r="J1504" s="9" t="s">
        <v>1361</v>
      </c>
      <c r="K1504" s="11">
        <v>354.71</v>
      </c>
      <c r="L1504" s="9" t="s">
        <v>21</v>
      </c>
      <c r="M1504" s="9" t="str">
        <f>IFERROR(INDEX(T_CleanCustomers[Sales_Rep_ID],MATCH(B1504,T_CleanCustomers[Customer_ID],0)),"Unmatched")</f>
        <v>REP009</v>
      </c>
      <c r="N1504" s="9" t="str">
        <f>IFERROR(INDEX(T_CleanCustomers[Channel],MATCH(B1504,T_CleanCustomers[Customer_ID],0)),"Unmatched")</f>
        <v>Direct Sales</v>
      </c>
      <c r="O1504" s="9" t="str">
        <f>IFERROR(INDEX(T_CleanCustomers[Product],MATCH(B1504,T_CleanCustomers[Customer_ID],0)),"Unmatched")</f>
        <v>Fuel Card</v>
      </c>
      <c r="P1504" s="9" t="str">
        <f>IFERROR(INDEX(T_CleanCustomers[Customer_Segment],MATCH(B1504,T_CleanCustomers[Customer_ID],0)),"Unmatched")</f>
        <v>Mid-Market</v>
      </c>
    </row>
    <row r="1505" spans="1:16" ht="15" customHeight="1" x14ac:dyDescent="0.2">
      <c r="A1505" s="9" t="s">
        <v>2840</v>
      </c>
      <c r="B1505" s="9" t="s">
        <v>1331</v>
      </c>
      <c r="C1505" s="9" t="b">
        <f>TRUE()</f>
        <v>1</v>
      </c>
      <c r="D1505" s="10">
        <v>45973</v>
      </c>
      <c r="E1505" s="10">
        <v>45962</v>
      </c>
      <c r="F1505" s="9" t="s">
        <v>1360</v>
      </c>
      <c r="G1505" s="11">
        <v>11756.35</v>
      </c>
      <c r="H1505" s="11">
        <v>288.86</v>
      </c>
      <c r="I1505" s="9" t="b">
        <f>TRUE()</f>
        <v>1</v>
      </c>
      <c r="J1505" s="9" t="s">
        <v>1361</v>
      </c>
      <c r="K1505" s="11">
        <v>288.86</v>
      </c>
      <c r="L1505" s="9" t="s">
        <v>21</v>
      </c>
      <c r="M1505" s="9" t="str">
        <f>IFERROR(INDEX(T_CleanCustomers[Sales_Rep_ID],MATCH(B1505,T_CleanCustomers[Customer_ID],0)),"Unmatched")</f>
        <v>REP009</v>
      </c>
      <c r="N1505" s="9" t="str">
        <f>IFERROR(INDEX(T_CleanCustomers[Channel],MATCH(B1505,T_CleanCustomers[Customer_ID],0)),"Unmatched")</f>
        <v>Direct Sales</v>
      </c>
      <c r="O1505" s="9" t="str">
        <f>IFERROR(INDEX(T_CleanCustomers[Product],MATCH(B1505,T_CleanCustomers[Customer_ID],0)),"Unmatched")</f>
        <v>Fuel Card</v>
      </c>
      <c r="P1505" s="9" t="str">
        <f>IFERROR(INDEX(T_CleanCustomers[Customer_Segment],MATCH(B1505,T_CleanCustomers[Customer_ID],0)),"Unmatched")</f>
        <v>Mid-Market</v>
      </c>
    </row>
    <row r="1506" spans="1:16" ht="15" customHeight="1" x14ac:dyDescent="0.2">
      <c r="A1506" s="9" t="s">
        <v>2841</v>
      </c>
      <c r="B1506" s="9" t="s">
        <v>1331</v>
      </c>
      <c r="C1506" s="9" t="b">
        <f>TRUE()</f>
        <v>1</v>
      </c>
      <c r="D1506" s="10">
        <v>45994</v>
      </c>
      <c r="E1506" s="10">
        <v>45992</v>
      </c>
      <c r="F1506" s="9" t="s">
        <v>1360</v>
      </c>
      <c r="G1506" s="11">
        <v>5955.43</v>
      </c>
      <c r="H1506" s="11">
        <v>131.99</v>
      </c>
      <c r="I1506" s="9" t="b">
        <f>TRUE()</f>
        <v>1</v>
      </c>
      <c r="J1506" s="9" t="s">
        <v>1361</v>
      </c>
      <c r="K1506" s="11">
        <v>131.99</v>
      </c>
      <c r="L1506" s="9" t="s">
        <v>21</v>
      </c>
      <c r="M1506" s="9" t="str">
        <f>IFERROR(INDEX(T_CleanCustomers[Sales_Rep_ID],MATCH(B1506,T_CleanCustomers[Customer_ID],0)),"Unmatched")</f>
        <v>REP009</v>
      </c>
      <c r="N1506" s="9" t="str">
        <f>IFERROR(INDEX(T_CleanCustomers[Channel],MATCH(B1506,T_CleanCustomers[Customer_ID],0)),"Unmatched")</f>
        <v>Direct Sales</v>
      </c>
      <c r="O1506" s="9" t="str">
        <f>IFERROR(INDEX(T_CleanCustomers[Product],MATCH(B1506,T_CleanCustomers[Customer_ID],0)),"Unmatched")</f>
        <v>Fuel Card</v>
      </c>
      <c r="P1506" s="9" t="str">
        <f>IFERROR(INDEX(T_CleanCustomers[Customer_Segment],MATCH(B1506,T_CleanCustomers[Customer_ID],0)),"Unmatched")</f>
        <v>Mid-Market</v>
      </c>
    </row>
    <row r="1507" spans="1:16" ht="15" customHeight="1" x14ac:dyDescent="0.2">
      <c r="A1507" s="9" t="s">
        <v>2842</v>
      </c>
      <c r="B1507" s="9" t="s">
        <v>1331</v>
      </c>
      <c r="C1507" s="9" t="b">
        <f>TRUE()</f>
        <v>1</v>
      </c>
      <c r="D1507" s="10">
        <v>46003</v>
      </c>
      <c r="E1507" s="10">
        <v>45992</v>
      </c>
      <c r="F1507" s="9" t="s">
        <v>1360</v>
      </c>
      <c r="G1507" s="11">
        <v>6012.3</v>
      </c>
      <c r="H1507" s="11">
        <v>141.38999999999999</v>
      </c>
      <c r="I1507" s="9" t="b">
        <f>TRUE()</f>
        <v>1</v>
      </c>
      <c r="J1507" s="9" t="s">
        <v>1361</v>
      </c>
      <c r="K1507" s="11">
        <v>141.38999999999999</v>
      </c>
      <c r="L1507" s="9" t="s">
        <v>21</v>
      </c>
      <c r="M1507" s="9" t="str">
        <f>IFERROR(INDEX(T_CleanCustomers[Sales_Rep_ID],MATCH(B1507,T_CleanCustomers[Customer_ID],0)),"Unmatched")</f>
        <v>REP009</v>
      </c>
      <c r="N1507" s="9" t="str">
        <f>IFERROR(INDEX(T_CleanCustomers[Channel],MATCH(B1507,T_CleanCustomers[Customer_ID],0)),"Unmatched")</f>
        <v>Direct Sales</v>
      </c>
      <c r="O1507" s="9" t="str">
        <f>IFERROR(INDEX(T_CleanCustomers[Product],MATCH(B1507,T_CleanCustomers[Customer_ID],0)),"Unmatched")</f>
        <v>Fuel Card</v>
      </c>
      <c r="P1507" s="9" t="str">
        <f>IFERROR(INDEX(T_CleanCustomers[Customer_Segment],MATCH(B1507,T_CleanCustomers[Customer_ID],0)),"Unmatched")</f>
        <v>Mid-Market</v>
      </c>
    </row>
    <row r="1508" spans="1:16" ht="15" customHeight="1" x14ac:dyDescent="0.2">
      <c r="A1508" s="9" t="s">
        <v>2843</v>
      </c>
      <c r="B1508" s="9" t="s">
        <v>1331</v>
      </c>
      <c r="C1508" s="9" t="b">
        <f>TRUE()</f>
        <v>1</v>
      </c>
      <c r="D1508" s="10">
        <v>46009</v>
      </c>
      <c r="E1508" s="10">
        <v>45992</v>
      </c>
      <c r="F1508" s="9" t="s">
        <v>1360</v>
      </c>
      <c r="G1508" s="11">
        <v>6022.97</v>
      </c>
      <c r="H1508" s="11">
        <v>145.86000000000001</v>
      </c>
      <c r="I1508" s="9" t="b">
        <f>TRUE()</f>
        <v>1</v>
      </c>
      <c r="J1508" s="9" t="s">
        <v>1361</v>
      </c>
      <c r="K1508" s="11">
        <v>145.86000000000001</v>
      </c>
      <c r="L1508" s="9" t="s">
        <v>21</v>
      </c>
      <c r="M1508" s="9" t="str">
        <f>IFERROR(INDEX(T_CleanCustomers[Sales_Rep_ID],MATCH(B1508,T_CleanCustomers[Customer_ID],0)),"Unmatched")</f>
        <v>REP009</v>
      </c>
      <c r="N1508" s="9" t="str">
        <f>IFERROR(INDEX(T_CleanCustomers[Channel],MATCH(B1508,T_CleanCustomers[Customer_ID],0)),"Unmatched")</f>
        <v>Direct Sales</v>
      </c>
      <c r="O1508" s="9" t="str">
        <f>IFERROR(INDEX(T_CleanCustomers[Product],MATCH(B1508,T_CleanCustomers[Customer_ID],0)),"Unmatched")</f>
        <v>Fuel Card</v>
      </c>
      <c r="P1508" s="9" t="str">
        <f>IFERROR(INDEX(T_CleanCustomers[Customer_Segment],MATCH(B1508,T_CleanCustomers[Customer_ID],0)),"Unmatched")</f>
        <v>Mid-Market</v>
      </c>
    </row>
    <row r="1509" spans="1:16" ht="15" customHeight="1" x14ac:dyDescent="0.2">
      <c r="A1509" s="9" t="s">
        <v>2844</v>
      </c>
      <c r="B1509" s="9" t="s">
        <v>1332</v>
      </c>
      <c r="C1509" s="9" t="b">
        <f>TRUE()</f>
        <v>1</v>
      </c>
      <c r="D1509" s="10">
        <v>45956</v>
      </c>
      <c r="E1509" s="10">
        <v>45931</v>
      </c>
      <c r="F1509" s="9" t="s">
        <v>1373</v>
      </c>
      <c r="G1509" s="11">
        <v>2043</v>
      </c>
      <c r="H1509" s="11">
        <v>33.6</v>
      </c>
      <c r="I1509" s="9" t="b">
        <f>TRUE()</f>
        <v>1</v>
      </c>
      <c r="J1509" s="9" t="s">
        <v>1361</v>
      </c>
      <c r="K1509" s="11">
        <v>33.6</v>
      </c>
      <c r="L1509" s="9" t="s">
        <v>21</v>
      </c>
      <c r="M1509" s="9" t="str">
        <f>IFERROR(INDEX(T_CleanCustomers[Sales_Rep_ID],MATCH(B1509,T_CleanCustomers[Customer_ID],0)),"Unmatched")</f>
        <v>REP008</v>
      </c>
      <c r="N1509" s="9" t="str">
        <f>IFERROR(INDEX(T_CleanCustomers[Channel],MATCH(B1509,T_CleanCustomers[Customer_ID],0)),"Unmatched")</f>
        <v>Telesales</v>
      </c>
      <c r="O1509" s="9" t="str">
        <f>IFERROR(INDEX(T_CleanCustomers[Product],MATCH(B1509,T_CleanCustomers[Customer_ID],0)),"Unmatched")</f>
        <v>Toll Solution</v>
      </c>
      <c r="P1509" s="9" t="str">
        <f>IFERROR(INDEX(T_CleanCustomers[Customer_Segment],MATCH(B1509,T_CleanCustomers[Customer_ID],0)),"Unmatched")</f>
        <v>SME</v>
      </c>
    </row>
    <row r="1510" spans="1:16" ht="15" customHeight="1" x14ac:dyDescent="0.2">
      <c r="A1510" s="9" t="s">
        <v>2845</v>
      </c>
      <c r="B1510" s="9" t="s">
        <v>1332</v>
      </c>
      <c r="C1510" s="9" t="b">
        <f>TRUE()</f>
        <v>1</v>
      </c>
      <c r="D1510" s="10">
        <v>45957</v>
      </c>
      <c r="E1510" s="10">
        <v>45931</v>
      </c>
      <c r="F1510" s="9" t="s">
        <v>1373</v>
      </c>
      <c r="G1510" s="11">
        <v>2852.06</v>
      </c>
      <c r="H1510" s="11">
        <v>56.9</v>
      </c>
      <c r="I1510" s="9" t="b">
        <f>TRUE()</f>
        <v>1</v>
      </c>
      <c r="J1510" s="9" t="s">
        <v>1361</v>
      </c>
      <c r="K1510" s="11">
        <v>56.9</v>
      </c>
      <c r="L1510" s="9" t="s">
        <v>21</v>
      </c>
      <c r="M1510" s="9" t="str">
        <f>IFERROR(INDEX(T_CleanCustomers[Sales_Rep_ID],MATCH(B1510,T_CleanCustomers[Customer_ID],0)),"Unmatched")</f>
        <v>REP008</v>
      </c>
      <c r="N1510" s="9" t="str">
        <f>IFERROR(INDEX(T_CleanCustomers[Channel],MATCH(B1510,T_CleanCustomers[Customer_ID],0)),"Unmatched")</f>
        <v>Telesales</v>
      </c>
      <c r="O1510" s="9" t="str">
        <f>IFERROR(INDEX(T_CleanCustomers[Product],MATCH(B1510,T_CleanCustomers[Customer_ID],0)),"Unmatched")</f>
        <v>Toll Solution</v>
      </c>
      <c r="P1510" s="9" t="str">
        <f>IFERROR(INDEX(T_CleanCustomers[Customer_Segment],MATCH(B1510,T_CleanCustomers[Customer_ID],0)),"Unmatched")</f>
        <v>SME</v>
      </c>
    </row>
    <row r="1511" spans="1:16" ht="15" customHeight="1" x14ac:dyDescent="0.2">
      <c r="A1511" s="9" t="s">
        <v>2846</v>
      </c>
      <c r="B1511" s="9" t="s">
        <v>1332</v>
      </c>
      <c r="C1511" s="9" t="b">
        <f>TRUE()</f>
        <v>1</v>
      </c>
      <c r="D1511" s="10">
        <v>45952</v>
      </c>
      <c r="E1511" s="10">
        <v>45931</v>
      </c>
      <c r="F1511" s="9" t="s">
        <v>1373</v>
      </c>
      <c r="G1511" s="11">
        <v>3708.82</v>
      </c>
      <c r="H1511" s="11">
        <v>61.11</v>
      </c>
      <c r="I1511" s="9" t="b">
        <f>TRUE()</f>
        <v>1</v>
      </c>
      <c r="J1511" s="9" t="s">
        <v>1361</v>
      </c>
      <c r="K1511" s="11">
        <v>61.11</v>
      </c>
      <c r="L1511" s="9" t="s">
        <v>21</v>
      </c>
      <c r="M1511" s="9" t="str">
        <f>IFERROR(INDEX(T_CleanCustomers[Sales_Rep_ID],MATCH(B1511,T_CleanCustomers[Customer_ID],0)),"Unmatched")</f>
        <v>REP008</v>
      </c>
      <c r="N1511" s="9" t="str">
        <f>IFERROR(INDEX(T_CleanCustomers[Channel],MATCH(B1511,T_CleanCustomers[Customer_ID],0)),"Unmatched")</f>
        <v>Telesales</v>
      </c>
      <c r="O1511" s="9" t="str">
        <f>IFERROR(INDEX(T_CleanCustomers[Product],MATCH(B1511,T_CleanCustomers[Customer_ID],0)),"Unmatched")</f>
        <v>Toll Solution</v>
      </c>
      <c r="P1511" s="9" t="str">
        <f>IFERROR(INDEX(T_CleanCustomers[Customer_Segment],MATCH(B1511,T_CleanCustomers[Customer_ID],0)),"Unmatched")</f>
        <v>SME</v>
      </c>
    </row>
    <row r="1512" spans="1:16" ht="15" customHeight="1" x14ac:dyDescent="0.2">
      <c r="A1512" s="9" t="s">
        <v>2847</v>
      </c>
      <c r="B1512" s="9" t="s">
        <v>1332</v>
      </c>
      <c r="C1512" s="9" t="b">
        <f>TRUE()</f>
        <v>1</v>
      </c>
      <c r="D1512" s="10">
        <v>45975</v>
      </c>
      <c r="E1512" s="10">
        <v>45962</v>
      </c>
      <c r="F1512" s="9" t="s">
        <v>1373</v>
      </c>
      <c r="G1512" s="11">
        <v>1905.91</v>
      </c>
      <c r="H1512" s="11">
        <v>33.409999999999997</v>
      </c>
      <c r="I1512" s="9" t="b">
        <f>TRUE()</f>
        <v>1</v>
      </c>
      <c r="J1512" s="9" t="s">
        <v>1361</v>
      </c>
      <c r="K1512" s="11">
        <v>33.409999999999997</v>
      </c>
      <c r="L1512" s="9" t="s">
        <v>21</v>
      </c>
      <c r="M1512" s="9" t="str">
        <f>IFERROR(INDEX(T_CleanCustomers[Sales_Rep_ID],MATCH(B1512,T_CleanCustomers[Customer_ID],0)),"Unmatched")</f>
        <v>REP008</v>
      </c>
      <c r="N1512" s="9" t="str">
        <f>IFERROR(INDEX(T_CleanCustomers[Channel],MATCH(B1512,T_CleanCustomers[Customer_ID],0)),"Unmatched")</f>
        <v>Telesales</v>
      </c>
      <c r="O1512" s="9" t="str">
        <f>IFERROR(INDEX(T_CleanCustomers[Product],MATCH(B1512,T_CleanCustomers[Customer_ID],0)),"Unmatched")</f>
        <v>Toll Solution</v>
      </c>
      <c r="P1512" s="9" t="str">
        <f>IFERROR(INDEX(T_CleanCustomers[Customer_Segment],MATCH(B1512,T_CleanCustomers[Customer_ID],0)),"Unmatched")</f>
        <v>SME</v>
      </c>
    </row>
    <row r="1513" spans="1:16" ht="15" customHeight="1" x14ac:dyDescent="0.2">
      <c r="A1513" s="9" t="s">
        <v>2848</v>
      </c>
      <c r="B1513" s="9" t="s">
        <v>1332</v>
      </c>
      <c r="C1513" s="9" t="b">
        <f>TRUE()</f>
        <v>1</v>
      </c>
      <c r="D1513" s="10">
        <v>45968</v>
      </c>
      <c r="E1513" s="10">
        <v>45962</v>
      </c>
      <c r="F1513" s="9" t="s">
        <v>1373</v>
      </c>
      <c r="G1513" s="11">
        <v>4005.67</v>
      </c>
      <c r="H1513" s="11">
        <v>68.62</v>
      </c>
      <c r="I1513" s="9" t="b">
        <f>TRUE()</f>
        <v>1</v>
      </c>
      <c r="J1513" s="9" t="s">
        <v>1361</v>
      </c>
      <c r="K1513" s="11">
        <v>68.62</v>
      </c>
      <c r="L1513" s="9" t="s">
        <v>21</v>
      </c>
      <c r="M1513" s="9" t="str">
        <f>IFERROR(INDEX(T_CleanCustomers[Sales_Rep_ID],MATCH(B1513,T_CleanCustomers[Customer_ID],0)),"Unmatched")</f>
        <v>REP008</v>
      </c>
      <c r="N1513" s="9" t="str">
        <f>IFERROR(INDEX(T_CleanCustomers[Channel],MATCH(B1513,T_CleanCustomers[Customer_ID],0)),"Unmatched")</f>
        <v>Telesales</v>
      </c>
      <c r="O1513" s="9" t="str">
        <f>IFERROR(INDEX(T_CleanCustomers[Product],MATCH(B1513,T_CleanCustomers[Customer_ID],0)),"Unmatched")</f>
        <v>Toll Solution</v>
      </c>
      <c r="P1513" s="9" t="str">
        <f>IFERROR(INDEX(T_CleanCustomers[Customer_Segment],MATCH(B1513,T_CleanCustomers[Customer_ID],0)),"Unmatched")</f>
        <v>SME</v>
      </c>
    </row>
    <row r="1514" spans="1:16" ht="15" customHeight="1" x14ac:dyDescent="0.2">
      <c r="A1514" s="9" t="s">
        <v>2849</v>
      </c>
      <c r="B1514" s="9" t="s">
        <v>1332</v>
      </c>
      <c r="C1514" s="9" t="b">
        <f>TRUE()</f>
        <v>1</v>
      </c>
      <c r="D1514" s="10">
        <v>46017</v>
      </c>
      <c r="E1514" s="10">
        <v>45992</v>
      </c>
      <c r="F1514" s="9" t="s">
        <v>1373</v>
      </c>
      <c r="G1514" s="11">
        <v>3263.21</v>
      </c>
      <c r="H1514" s="11">
        <v>60.89</v>
      </c>
      <c r="I1514" s="9" t="b">
        <f>TRUE()</f>
        <v>1</v>
      </c>
      <c r="J1514" s="9" t="s">
        <v>1361</v>
      </c>
      <c r="K1514" s="11">
        <v>60.89</v>
      </c>
      <c r="L1514" s="9" t="s">
        <v>21</v>
      </c>
      <c r="M1514" s="9" t="str">
        <f>IFERROR(INDEX(T_CleanCustomers[Sales_Rep_ID],MATCH(B1514,T_CleanCustomers[Customer_ID],0)),"Unmatched")</f>
        <v>REP008</v>
      </c>
      <c r="N1514" s="9" t="str">
        <f>IFERROR(INDEX(T_CleanCustomers[Channel],MATCH(B1514,T_CleanCustomers[Customer_ID],0)),"Unmatched")</f>
        <v>Telesales</v>
      </c>
      <c r="O1514" s="9" t="str">
        <f>IFERROR(INDEX(T_CleanCustomers[Product],MATCH(B1514,T_CleanCustomers[Customer_ID],0)),"Unmatched")</f>
        <v>Toll Solution</v>
      </c>
      <c r="P1514" s="9" t="str">
        <f>IFERROR(INDEX(T_CleanCustomers[Customer_Segment],MATCH(B1514,T_CleanCustomers[Customer_ID],0)),"Unmatched")</f>
        <v>SME</v>
      </c>
    </row>
    <row r="1515" spans="1:16" ht="15" customHeight="1" x14ac:dyDescent="0.2">
      <c r="A1515" s="9" t="s">
        <v>2850</v>
      </c>
      <c r="B1515" s="9" t="s">
        <v>1332</v>
      </c>
      <c r="C1515" s="9" t="b">
        <f>TRUE()</f>
        <v>1</v>
      </c>
      <c r="D1515" s="10">
        <v>46019</v>
      </c>
      <c r="E1515" s="10">
        <v>45992</v>
      </c>
      <c r="F1515" s="9" t="s">
        <v>1373</v>
      </c>
      <c r="G1515" s="11">
        <v>3113.93</v>
      </c>
      <c r="H1515" s="11">
        <v>53.69</v>
      </c>
      <c r="I1515" s="9" t="b">
        <f>TRUE()</f>
        <v>1</v>
      </c>
      <c r="J1515" s="9" t="s">
        <v>1361</v>
      </c>
      <c r="K1515" s="11">
        <v>53.69</v>
      </c>
      <c r="L1515" s="9" t="s">
        <v>21</v>
      </c>
      <c r="M1515" s="9" t="str">
        <f>IFERROR(INDEX(T_CleanCustomers[Sales_Rep_ID],MATCH(B1515,T_CleanCustomers[Customer_ID],0)),"Unmatched")</f>
        <v>REP008</v>
      </c>
      <c r="N1515" s="9" t="str">
        <f>IFERROR(INDEX(T_CleanCustomers[Channel],MATCH(B1515,T_CleanCustomers[Customer_ID],0)),"Unmatched")</f>
        <v>Telesales</v>
      </c>
      <c r="O1515" s="9" t="str">
        <f>IFERROR(INDEX(T_CleanCustomers[Product],MATCH(B1515,T_CleanCustomers[Customer_ID],0)),"Unmatched")</f>
        <v>Toll Solution</v>
      </c>
      <c r="P1515" s="9" t="str">
        <f>IFERROR(INDEX(T_CleanCustomers[Customer_Segment],MATCH(B1515,T_CleanCustomers[Customer_ID],0)),"Unmatched")</f>
        <v>SME</v>
      </c>
    </row>
    <row r="1516" spans="1:16" ht="15" customHeight="1" x14ac:dyDescent="0.2">
      <c r="A1516" s="9" t="s">
        <v>2851</v>
      </c>
      <c r="B1516" s="9" t="s">
        <v>1333</v>
      </c>
      <c r="C1516" s="9" t="b">
        <f>TRUE()</f>
        <v>1</v>
      </c>
      <c r="D1516" s="10">
        <v>45991</v>
      </c>
      <c r="E1516" s="10">
        <v>45962</v>
      </c>
      <c r="F1516" s="9" t="s">
        <v>1360</v>
      </c>
      <c r="G1516" s="11">
        <v>9179.0300000000007</v>
      </c>
      <c r="H1516" s="11">
        <v>249.4</v>
      </c>
      <c r="I1516" s="9" t="b">
        <f>TRUE()</f>
        <v>1</v>
      </c>
      <c r="J1516" s="9" t="s">
        <v>1361</v>
      </c>
      <c r="K1516" s="11">
        <v>249.4</v>
      </c>
      <c r="L1516" s="9" t="s">
        <v>19</v>
      </c>
      <c r="M1516" s="9" t="str">
        <f>IFERROR(INDEX(T_CleanCustomers[Sales_Rep_ID],MATCH(B1516,T_CleanCustomers[Customer_ID],0)),"Unmatched")</f>
        <v>REP014</v>
      </c>
      <c r="N1516" s="9" t="str">
        <f>IFERROR(INDEX(T_CleanCustomers[Channel],MATCH(B1516,T_CleanCustomers[Customer_ID],0)),"Unmatched")</f>
        <v>Referral</v>
      </c>
      <c r="O1516" s="9" t="str">
        <f>IFERROR(INDEX(T_CleanCustomers[Product],MATCH(B1516,T_CleanCustomers[Customer_ID],0)),"Unmatched")</f>
        <v>Fuel Card</v>
      </c>
      <c r="P1516" s="9" t="str">
        <f>IFERROR(INDEX(T_CleanCustomers[Customer_Segment],MATCH(B1516,T_CleanCustomers[Customer_ID],0)),"Unmatched")</f>
        <v>Mid-Market</v>
      </c>
    </row>
    <row r="1517" spans="1:16" ht="15" customHeight="1" x14ac:dyDescent="0.2">
      <c r="A1517" s="9" t="s">
        <v>2852</v>
      </c>
      <c r="B1517" s="9" t="s">
        <v>1333</v>
      </c>
      <c r="C1517" s="9" t="b">
        <f>TRUE()</f>
        <v>1</v>
      </c>
      <c r="D1517" s="10">
        <v>45991</v>
      </c>
      <c r="E1517" s="10">
        <v>45962</v>
      </c>
      <c r="F1517" s="9" t="s">
        <v>1360</v>
      </c>
      <c r="G1517" s="11">
        <v>17202.05</v>
      </c>
      <c r="H1517" s="11">
        <v>376.26</v>
      </c>
      <c r="I1517" s="9" t="b">
        <f>TRUE()</f>
        <v>1</v>
      </c>
      <c r="J1517" s="9" t="s">
        <v>1361</v>
      </c>
      <c r="K1517" s="11">
        <v>376.26</v>
      </c>
      <c r="L1517" s="9" t="s">
        <v>19</v>
      </c>
      <c r="M1517" s="9" t="str">
        <f>IFERROR(INDEX(T_CleanCustomers[Sales_Rep_ID],MATCH(B1517,T_CleanCustomers[Customer_ID],0)),"Unmatched")</f>
        <v>REP014</v>
      </c>
      <c r="N1517" s="9" t="str">
        <f>IFERROR(INDEX(T_CleanCustomers[Channel],MATCH(B1517,T_CleanCustomers[Customer_ID],0)),"Unmatched")</f>
        <v>Referral</v>
      </c>
      <c r="O1517" s="9" t="str">
        <f>IFERROR(INDEX(T_CleanCustomers[Product],MATCH(B1517,T_CleanCustomers[Customer_ID],0)),"Unmatched")</f>
        <v>Fuel Card</v>
      </c>
      <c r="P1517" s="9" t="str">
        <f>IFERROR(INDEX(T_CleanCustomers[Customer_Segment],MATCH(B1517,T_CleanCustomers[Customer_ID],0)),"Unmatched")</f>
        <v>Mid-Market</v>
      </c>
    </row>
    <row r="1518" spans="1:16" ht="15" customHeight="1" x14ac:dyDescent="0.2">
      <c r="A1518" s="9" t="s">
        <v>2853</v>
      </c>
      <c r="B1518" s="9" t="s">
        <v>1333</v>
      </c>
      <c r="C1518" s="9" t="b">
        <f>TRUE()</f>
        <v>1</v>
      </c>
      <c r="D1518" s="10">
        <v>45991</v>
      </c>
      <c r="E1518" s="10">
        <v>45962</v>
      </c>
      <c r="F1518" s="9" t="s">
        <v>1360</v>
      </c>
      <c r="G1518" s="11">
        <v>4358.34</v>
      </c>
      <c r="H1518" s="11">
        <v>99.89</v>
      </c>
      <c r="I1518" s="9" t="b">
        <f>TRUE()</f>
        <v>1</v>
      </c>
      <c r="J1518" s="9" t="s">
        <v>1361</v>
      </c>
      <c r="K1518" s="11">
        <v>99.89</v>
      </c>
      <c r="L1518" s="9" t="s">
        <v>19</v>
      </c>
      <c r="M1518" s="9" t="str">
        <f>IFERROR(INDEX(T_CleanCustomers[Sales_Rep_ID],MATCH(B1518,T_CleanCustomers[Customer_ID],0)),"Unmatched")</f>
        <v>REP014</v>
      </c>
      <c r="N1518" s="9" t="str">
        <f>IFERROR(INDEX(T_CleanCustomers[Channel],MATCH(B1518,T_CleanCustomers[Customer_ID],0)),"Unmatched")</f>
        <v>Referral</v>
      </c>
      <c r="O1518" s="9" t="str">
        <f>IFERROR(INDEX(T_CleanCustomers[Product],MATCH(B1518,T_CleanCustomers[Customer_ID],0)),"Unmatched")</f>
        <v>Fuel Card</v>
      </c>
      <c r="P1518" s="9" t="str">
        <f>IFERROR(INDEX(T_CleanCustomers[Customer_Segment],MATCH(B1518,T_CleanCustomers[Customer_ID],0)),"Unmatched")</f>
        <v>Mid-Market</v>
      </c>
    </row>
    <row r="1519" spans="1:16" ht="15" customHeight="1" x14ac:dyDescent="0.2">
      <c r="A1519" s="9" t="s">
        <v>2854</v>
      </c>
      <c r="B1519" s="9" t="s">
        <v>1333</v>
      </c>
      <c r="C1519" s="9" t="b">
        <f>TRUE()</f>
        <v>1</v>
      </c>
      <c r="D1519" s="10">
        <v>46008</v>
      </c>
      <c r="E1519" s="10">
        <v>45992</v>
      </c>
      <c r="F1519" s="9" t="s">
        <v>1360</v>
      </c>
      <c r="G1519" s="11">
        <v>15410.26</v>
      </c>
      <c r="H1519" s="11">
        <v>407.99</v>
      </c>
      <c r="I1519" s="9" t="b">
        <f>TRUE()</f>
        <v>1</v>
      </c>
      <c r="J1519" s="9" t="s">
        <v>1361</v>
      </c>
      <c r="K1519" s="11">
        <v>407.99</v>
      </c>
      <c r="L1519" s="9" t="s">
        <v>19</v>
      </c>
      <c r="M1519" s="9" t="str">
        <f>IFERROR(INDEX(T_CleanCustomers[Sales_Rep_ID],MATCH(B1519,T_CleanCustomers[Customer_ID],0)),"Unmatched")</f>
        <v>REP014</v>
      </c>
      <c r="N1519" s="9" t="str">
        <f>IFERROR(INDEX(T_CleanCustomers[Channel],MATCH(B1519,T_CleanCustomers[Customer_ID],0)),"Unmatched")</f>
        <v>Referral</v>
      </c>
      <c r="O1519" s="9" t="str">
        <f>IFERROR(INDEX(T_CleanCustomers[Product],MATCH(B1519,T_CleanCustomers[Customer_ID],0)),"Unmatched")</f>
        <v>Fuel Card</v>
      </c>
      <c r="P1519" s="9" t="str">
        <f>IFERROR(INDEX(T_CleanCustomers[Customer_Segment],MATCH(B1519,T_CleanCustomers[Customer_ID],0)),"Unmatched")</f>
        <v>Mid-Market</v>
      </c>
    </row>
    <row r="1520" spans="1:16" ht="15" customHeight="1" x14ac:dyDescent="0.2">
      <c r="A1520" s="9" t="s">
        <v>2855</v>
      </c>
      <c r="B1520" s="9" t="s">
        <v>1333</v>
      </c>
      <c r="C1520" s="9" t="b">
        <f>TRUE()</f>
        <v>1</v>
      </c>
      <c r="D1520" s="10">
        <v>45995</v>
      </c>
      <c r="E1520" s="10">
        <v>45992</v>
      </c>
      <c r="F1520" s="9" t="s">
        <v>1360</v>
      </c>
      <c r="G1520" s="11">
        <v>7447.23</v>
      </c>
      <c r="H1520" s="11">
        <v>181.78</v>
      </c>
      <c r="I1520" s="9" t="b">
        <f>TRUE()</f>
        <v>1</v>
      </c>
      <c r="J1520" s="9" t="s">
        <v>1361</v>
      </c>
      <c r="K1520" s="11">
        <v>181.78</v>
      </c>
      <c r="L1520" s="9" t="s">
        <v>19</v>
      </c>
      <c r="M1520" s="9" t="str">
        <f>IFERROR(INDEX(T_CleanCustomers[Sales_Rep_ID],MATCH(B1520,T_CleanCustomers[Customer_ID],0)),"Unmatched")</f>
        <v>REP014</v>
      </c>
      <c r="N1520" s="9" t="str">
        <f>IFERROR(INDEX(T_CleanCustomers[Channel],MATCH(B1520,T_CleanCustomers[Customer_ID],0)),"Unmatched")</f>
        <v>Referral</v>
      </c>
      <c r="O1520" s="9" t="str">
        <f>IFERROR(INDEX(T_CleanCustomers[Product],MATCH(B1520,T_CleanCustomers[Customer_ID],0)),"Unmatched")</f>
        <v>Fuel Card</v>
      </c>
      <c r="P1520" s="9" t="str">
        <f>IFERROR(INDEX(T_CleanCustomers[Customer_Segment],MATCH(B1520,T_CleanCustomers[Customer_ID],0)),"Unmatched")</f>
        <v>Mid-Market</v>
      </c>
    </row>
    <row r="1521" spans="1:16" ht="15" customHeight="1" x14ac:dyDescent="0.2">
      <c r="A1521" s="9" t="s">
        <v>127</v>
      </c>
      <c r="B1521" s="9" t="s">
        <v>1333</v>
      </c>
      <c r="C1521" s="9" t="b">
        <f>TRUE()</f>
        <v>1</v>
      </c>
      <c r="D1521" s="10">
        <v>45996</v>
      </c>
      <c r="E1521" s="10">
        <v>45992</v>
      </c>
      <c r="F1521" s="9" t="s">
        <v>1360</v>
      </c>
      <c r="G1521" s="11">
        <v>12833.63</v>
      </c>
      <c r="H1521" s="11">
        <v>-280.97000000000003</v>
      </c>
      <c r="I1521" s="9" t="b">
        <f>FALSE()</f>
        <v>0</v>
      </c>
      <c r="J1521" s="9" t="s">
        <v>1361</v>
      </c>
      <c r="K1521" s="11">
        <v>0</v>
      </c>
      <c r="L1521" s="9" t="s">
        <v>19</v>
      </c>
      <c r="M1521" s="9" t="str">
        <f>IFERROR(INDEX(T_CleanCustomers[Sales_Rep_ID],MATCH(B1521,T_CleanCustomers[Customer_ID],0)),"Unmatched")</f>
        <v>REP014</v>
      </c>
      <c r="N1521" s="9" t="str">
        <f>IFERROR(INDEX(T_CleanCustomers[Channel],MATCH(B1521,T_CleanCustomers[Customer_ID],0)),"Unmatched")</f>
        <v>Referral</v>
      </c>
      <c r="O1521" s="9" t="str">
        <f>IFERROR(INDEX(T_CleanCustomers[Product],MATCH(B1521,T_CleanCustomers[Customer_ID],0)),"Unmatched")</f>
        <v>Fuel Card</v>
      </c>
      <c r="P1521" s="9" t="str">
        <f>IFERROR(INDEX(T_CleanCustomers[Customer_Segment],MATCH(B1521,T_CleanCustomers[Customer_ID],0)),"Unmatched")</f>
        <v>Mid-Market</v>
      </c>
    </row>
    <row r="1522" spans="1:16" ht="15" customHeight="1" x14ac:dyDescent="0.2">
      <c r="A1522" s="9" t="s">
        <v>2856</v>
      </c>
      <c r="B1522" s="9" t="s">
        <v>1334</v>
      </c>
      <c r="C1522" s="9" t="b">
        <f>TRUE()</f>
        <v>1</v>
      </c>
      <c r="D1522" s="10">
        <v>45923</v>
      </c>
      <c r="E1522" s="10">
        <v>45901</v>
      </c>
      <c r="F1522" s="9" t="s">
        <v>1360</v>
      </c>
      <c r="G1522" s="11">
        <v>13379.59</v>
      </c>
      <c r="H1522" s="11">
        <v>411.7</v>
      </c>
      <c r="I1522" s="9" t="b">
        <f>TRUE()</f>
        <v>1</v>
      </c>
      <c r="J1522" s="9" t="s">
        <v>1361</v>
      </c>
      <c r="K1522" s="11">
        <v>411.7</v>
      </c>
      <c r="L1522" s="9" t="s">
        <v>20</v>
      </c>
      <c r="M1522" s="9" t="str">
        <f>IFERROR(INDEX(T_CleanCustomers[Sales_Rep_ID],MATCH(B1522,T_CleanCustomers[Customer_ID],0)),"Unmatched")</f>
        <v>REP001</v>
      </c>
      <c r="N1522" s="9" t="str">
        <f>IFERROR(INDEX(T_CleanCustomers[Channel],MATCH(B1522,T_CleanCustomers[Customer_ID],0)),"Unmatched")</f>
        <v>Telesales</v>
      </c>
      <c r="O1522" s="9" t="str">
        <f>IFERROR(INDEX(T_CleanCustomers[Product],MATCH(B1522,T_CleanCustomers[Customer_ID],0)),"Unmatched")</f>
        <v>Fleet Expense Card</v>
      </c>
      <c r="P1522" s="9" t="str">
        <f>IFERROR(INDEX(T_CleanCustomers[Customer_Segment],MATCH(B1522,T_CleanCustomers[Customer_ID],0)),"Unmatched")</f>
        <v>Mid-Market</v>
      </c>
    </row>
    <row r="1523" spans="1:16" ht="15" customHeight="1" x14ac:dyDescent="0.2">
      <c r="A1523" s="9" t="s">
        <v>2857</v>
      </c>
      <c r="B1523" s="9" t="s">
        <v>1334</v>
      </c>
      <c r="C1523" s="9" t="b">
        <f>TRUE()</f>
        <v>1</v>
      </c>
      <c r="D1523" s="10">
        <v>45925</v>
      </c>
      <c r="E1523" s="10">
        <v>45901</v>
      </c>
      <c r="F1523" s="9" t="s">
        <v>1360</v>
      </c>
      <c r="G1523" s="11">
        <v>8881.57</v>
      </c>
      <c r="H1523" s="11">
        <v>223.93</v>
      </c>
      <c r="I1523" s="9" t="b">
        <f>TRUE()</f>
        <v>1</v>
      </c>
      <c r="J1523" s="9" t="s">
        <v>1361</v>
      </c>
      <c r="K1523" s="11">
        <v>223.93</v>
      </c>
      <c r="L1523" s="9" t="s">
        <v>20</v>
      </c>
      <c r="M1523" s="9" t="str">
        <f>IFERROR(INDEX(T_CleanCustomers[Sales_Rep_ID],MATCH(B1523,T_CleanCustomers[Customer_ID],0)),"Unmatched")</f>
        <v>REP001</v>
      </c>
      <c r="N1523" s="9" t="str">
        <f>IFERROR(INDEX(T_CleanCustomers[Channel],MATCH(B1523,T_CleanCustomers[Customer_ID],0)),"Unmatched")</f>
        <v>Telesales</v>
      </c>
      <c r="O1523" s="9" t="str">
        <f>IFERROR(INDEX(T_CleanCustomers[Product],MATCH(B1523,T_CleanCustomers[Customer_ID],0)),"Unmatched")</f>
        <v>Fleet Expense Card</v>
      </c>
      <c r="P1523" s="9" t="str">
        <f>IFERROR(INDEX(T_CleanCustomers[Customer_Segment],MATCH(B1523,T_CleanCustomers[Customer_ID],0)),"Unmatched")</f>
        <v>Mid-Market</v>
      </c>
    </row>
    <row r="1524" spans="1:16" ht="15" customHeight="1" x14ac:dyDescent="0.2">
      <c r="A1524" s="9" t="s">
        <v>2858</v>
      </c>
      <c r="B1524" s="9" t="s">
        <v>1334</v>
      </c>
      <c r="C1524" s="9" t="b">
        <f>TRUE()</f>
        <v>1</v>
      </c>
      <c r="D1524" s="10">
        <v>45924</v>
      </c>
      <c r="E1524" s="10">
        <v>45901</v>
      </c>
      <c r="F1524" s="9" t="s">
        <v>1479</v>
      </c>
      <c r="G1524" s="11">
        <v>11908.94</v>
      </c>
      <c r="H1524" s="11">
        <v>367.5</v>
      </c>
      <c r="I1524" s="9" t="b">
        <f>TRUE()</f>
        <v>1</v>
      </c>
      <c r="J1524" s="9" t="s">
        <v>1361</v>
      </c>
      <c r="K1524" s="11">
        <v>367.5</v>
      </c>
      <c r="L1524" s="9" t="s">
        <v>20</v>
      </c>
      <c r="M1524" s="9" t="str">
        <f>IFERROR(INDEX(T_CleanCustomers[Sales_Rep_ID],MATCH(B1524,T_CleanCustomers[Customer_ID],0)),"Unmatched")</f>
        <v>REP001</v>
      </c>
      <c r="N1524" s="9" t="str">
        <f>IFERROR(INDEX(T_CleanCustomers[Channel],MATCH(B1524,T_CleanCustomers[Customer_ID],0)),"Unmatched")</f>
        <v>Telesales</v>
      </c>
      <c r="O1524" s="9" t="str">
        <f>IFERROR(INDEX(T_CleanCustomers[Product],MATCH(B1524,T_CleanCustomers[Customer_ID],0)),"Unmatched")</f>
        <v>Fleet Expense Card</v>
      </c>
      <c r="P1524" s="9" t="str">
        <f>IFERROR(INDEX(T_CleanCustomers[Customer_Segment],MATCH(B1524,T_CleanCustomers[Customer_ID],0)),"Unmatched")</f>
        <v>Mid-Market</v>
      </c>
    </row>
    <row r="1525" spans="1:16" ht="15" customHeight="1" x14ac:dyDescent="0.2">
      <c r="A1525" s="9" t="s">
        <v>2859</v>
      </c>
      <c r="B1525" s="9" t="s">
        <v>1334</v>
      </c>
      <c r="C1525" s="9" t="b">
        <f>TRUE()</f>
        <v>1</v>
      </c>
      <c r="D1525" s="10">
        <v>45961</v>
      </c>
      <c r="E1525" s="10">
        <v>45931</v>
      </c>
      <c r="F1525" s="9" t="s">
        <v>1360</v>
      </c>
      <c r="G1525" s="11">
        <v>9073.6200000000008</v>
      </c>
      <c r="H1525" s="11">
        <v>0</v>
      </c>
      <c r="I1525" s="9" t="b">
        <f>TRUE()</f>
        <v>1</v>
      </c>
      <c r="J1525" s="9" t="s">
        <v>1408</v>
      </c>
      <c r="K1525" s="11">
        <v>0</v>
      </c>
      <c r="L1525" s="9" t="s">
        <v>20</v>
      </c>
      <c r="M1525" s="9" t="str">
        <f>IFERROR(INDEX(T_CleanCustomers[Sales_Rep_ID],MATCH(B1525,T_CleanCustomers[Customer_ID],0)),"Unmatched")</f>
        <v>REP001</v>
      </c>
      <c r="N1525" s="9" t="str">
        <f>IFERROR(INDEX(T_CleanCustomers[Channel],MATCH(B1525,T_CleanCustomers[Customer_ID],0)),"Unmatched")</f>
        <v>Telesales</v>
      </c>
      <c r="O1525" s="9" t="str">
        <f>IFERROR(INDEX(T_CleanCustomers[Product],MATCH(B1525,T_CleanCustomers[Customer_ID],0)),"Unmatched")</f>
        <v>Fleet Expense Card</v>
      </c>
      <c r="P1525" s="9" t="str">
        <f>IFERROR(INDEX(T_CleanCustomers[Customer_Segment],MATCH(B1525,T_CleanCustomers[Customer_ID],0)),"Unmatched")</f>
        <v>Mid-Market</v>
      </c>
    </row>
    <row r="1526" spans="1:16" ht="15" customHeight="1" x14ac:dyDescent="0.2">
      <c r="A1526" s="9" t="s">
        <v>2860</v>
      </c>
      <c r="B1526" s="9" t="s">
        <v>1334</v>
      </c>
      <c r="C1526" s="9" t="b">
        <f>TRUE()</f>
        <v>1</v>
      </c>
      <c r="D1526" s="10">
        <v>45984</v>
      </c>
      <c r="E1526" s="10">
        <v>45962</v>
      </c>
      <c r="F1526" s="9" t="s">
        <v>1479</v>
      </c>
      <c r="G1526" s="11">
        <v>11561.25</v>
      </c>
      <c r="H1526" s="11">
        <v>301.36</v>
      </c>
      <c r="I1526" s="9" t="b">
        <f>TRUE()</f>
        <v>1</v>
      </c>
      <c r="J1526" s="9" t="s">
        <v>1361</v>
      </c>
      <c r="K1526" s="11">
        <v>301.36</v>
      </c>
      <c r="L1526" s="9" t="s">
        <v>20</v>
      </c>
      <c r="M1526" s="9" t="str">
        <f>IFERROR(INDEX(T_CleanCustomers[Sales_Rep_ID],MATCH(B1526,T_CleanCustomers[Customer_ID],0)),"Unmatched")</f>
        <v>REP001</v>
      </c>
      <c r="N1526" s="9" t="str">
        <f>IFERROR(INDEX(T_CleanCustomers[Channel],MATCH(B1526,T_CleanCustomers[Customer_ID],0)),"Unmatched")</f>
        <v>Telesales</v>
      </c>
      <c r="O1526" s="9" t="str">
        <f>IFERROR(INDEX(T_CleanCustomers[Product],MATCH(B1526,T_CleanCustomers[Customer_ID],0)),"Unmatched")</f>
        <v>Fleet Expense Card</v>
      </c>
      <c r="P1526" s="9" t="str">
        <f>IFERROR(INDEX(T_CleanCustomers[Customer_Segment],MATCH(B1526,T_CleanCustomers[Customer_ID],0)),"Unmatched")</f>
        <v>Mid-Market</v>
      </c>
    </row>
    <row r="1527" spans="1:16" ht="15" customHeight="1" x14ac:dyDescent="0.2">
      <c r="A1527" s="9" t="s">
        <v>2861</v>
      </c>
      <c r="B1527" s="9" t="s">
        <v>1334</v>
      </c>
      <c r="C1527" s="9" t="b">
        <f>TRUE()</f>
        <v>1</v>
      </c>
      <c r="D1527" s="10">
        <v>45981</v>
      </c>
      <c r="E1527" s="10">
        <v>45962</v>
      </c>
      <c r="F1527" s="9" t="s">
        <v>1479</v>
      </c>
      <c r="G1527" s="11">
        <v>9448.09</v>
      </c>
      <c r="H1527" s="11">
        <v>251.09</v>
      </c>
      <c r="I1527" s="9" t="b">
        <f>TRUE()</f>
        <v>1</v>
      </c>
      <c r="J1527" s="9" t="s">
        <v>1361</v>
      </c>
      <c r="K1527" s="11">
        <v>251.09</v>
      </c>
      <c r="L1527" s="9" t="s">
        <v>20</v>
      </c>
      <c r="M1527" s="9" t="str">
        <f>IFERROR(INDEX(T_CleanCustomers[Sales_Rep_ID],MATCH(B1527,T_CleanCustomers[Customer_ID],0)),"Unmatched")</f>
        <v>REP001</v>
      </c>
      <c r="N1527" s="9" t="str">
        <f>IFERROR(INDEX(T_CleanCustomers[Channel],MATCH(B1527,T_CleanCustomers[Customer_ID],0)),"Unmatched")</f>
        <v>Telesales</v>
      </c>
      <c r="O1527" s="9" t="str">
        <f>IFERROR(INDEX(T_CleanCustomers[Product],MATCH(B1527,T_CleanCustomers[Customer_ID],0)),"Unmatched")</f>
        <v>Fleet Expense Card</v>
      </c>
      <c r="P1527" s="9" t="str">
        <f>IFERROR(INDEX(T_CleanCustomers[Customer_Segment],MATCH(B1527,T_CleanCustomers[Customer_ID],0)),"Unmatched")</f>
        <v>Mid-Market</v>
      </c>
    </row>
    <row r="1528" spans="1:16" ht="15" customHeight="1" x14ac:dyDescent="0.2">
      <c r="A1528" s="9" t="s">
        <v>2862</v>
      </c>
      <c r="B1528" s="9" t="s">
        <v>1334</v>
      </c>
      <c r="C1528" s="9" t="b">
        <f>TRUE()</f>
        <v>1</v>
      </c>
      <c r="D1528" s="10">
        <v>46022</v>
      </c>
      <c r="E1528" s="10">
        <v>45992</v>
      </c>
      <c r="F1528" s="9" t="s">
        <v>1479</v>
      </c>
      <c r="G1528" s="11">
        <v>15292.42</v>
      </c>
      <c r="H1528" s="11">
        <v>388.39</v>
      </c>
      <c r="I1528" s="9" t="b">
        <f>TRUE()</f>
        <v>1</v>
      </c>
      <c r="J1528" s="9" t="s">
        <v>1361</v>
      </c>
      <c r="K1528" s="11">
        <v>388.39</v>
      </c>
      <c r="L1528" s="9" t="s">
        <v>20</v>
      </c>
      <c r="M1528" s="9" t="str">
        <f>IFERROR(INDEX(T_CleanCustomers[Sales_Rep_ID],MATCH(B1528,T_CleanCustomers[Customer_ID],0)),"Unmatched")</f>
        <v>REP001</v>
      </c>
      <c r="N1528" s="9" t="str">
        <f>IFERROR(INDEX(T_CleanCustomers[Channel],MATCH(B1528,T_CleanCustomers[Customer_ID],0)),"Unmatched")</f>
        <v>Telesales</v>
      </c>
      <c r="O1528" s="9" t="str">
        <f>IFERROR(INDEX(T_CleanCustomers[Product],MATCH(B1528,T_CleanCustomers[Customer_ID],0)),"Unmatched")</f>
        <v>Fleet Expense Card</v>
      </c>
      <c r="P1528" s="9" t="str">
        <f>IFERROR(INDEX(T_CleanCustomers[Customer_Segment],MATCH(B1528,T_CleanCustomers[Customer_ID],0)),"Unmatched")</f>
        <v>Mid-Market</v>
      </c>
    </row>
    <row r="1529" spans="1:16" ht="15" customHeight="1" x14ac:dyDescent="0.2">
      <c r="A1529" s="9" t="s">
        <v>2863</v>
      </c>
      <c r="B1529" s="9" t="s">
        <v>1334</v>
      </c>
      <c r="C1529" s="9" t="b">
        <f>TRUE()</f>
        <v>1</v>
      </c>
      <c r="D1529" s="10">
        <v>46016</v>
      </c>
      <c r="E1529" s="10">
        <v>45992</v>
      </c>
      <c r="F1529" s="9" t="s">
        <v>1360</v>
      </c>
      <c r="G1529" s="11">
        <v>9301.61</v>
      </c>
      <c r="H1529" s="11">
        <v>244.35</v>
      </c>
      <c r="I1529" s="9" t="b">
        <f>TRUE()</f>
        <v>1</v>
      </c>
      <c r="J1529" s="9" t="s">
        <v>1361</v>
      </c>
      <c r="K1529" s="11">
        <v>244.35</v>
      </c>
      <c r="L1529" s="9" t="s">
        <v>20</v>
      </c>
      <c r="M1529" s="9" t="str">
        <f>IFERROR(INDEX(T_CleanCustomers[Sales_Rep_ID],MATCH(B1529,T_CleanCustomers[Customer_ID],0)),"Unmatched")</f>
        <v>REP001</v>
      </c>
      <c r="N1529" s="9" t="str">
        <f>IFERROR(INDEX(T_CleanCustomers[Channel],MATCH(B1529,T_CleanCustomers[Customer_ID],0)),"Unmatched")</f>
        <v>Telesales</v>
      </c>
      <c r="O1529" s="9" t="str">
        <f>IFERROR(INDEX(T_CleanCustomers[Product],MATCH(B1529,T_CleanCustomers[Customer_ID],0)),"Unmatched")</f>
        <v>Fleet Expense Card</v>
      </c>
      <c r="P1529" s="9" t="str">
        <f>IFERROR(INDEX(T_CleanCustomers[Customer_Segment],MATCH(B1529,T_CleanCustomers[Customer_ID],0)),"Unmatched")</f>
        <v>Mid-Market</v>
      </c>
    </row>
    <row r="1530" spans="1:16" ht="15" customHeight="1" x14ac:dyDescent="0.2">
      <c r="A1530" s="9" t="s">
        <v>2864</v>
      </c>
      <c r="B1530" s="9" t="s">
        <v>1334</v>
      </c>
      <c r="C1530" s="9" t="b">
        <f>TRUE()</f>
        <v>1</v>
      </c>
      <c r="D1530" s="10">
        <v>45993</v>
      </c>
      <c r="E1530" s="10">
        <v>45992</v>
      </c>
      <c r="F1530" s="9" t="s">
        <v>1481</v>
      </c>
      <c r="G1530" s="11">
        <v>5909.62</v>
      </c>
      <c r="H1530" s="11">
        <v>166.96</v>
      </c>
      <c r="I1530" s="9" t="b">
        <f>TRUE()</f>
        <v>1</v>
      </c>
      <c r="J1530" s="9" t="s">
        <v>1361</v>
      </c>
      <c r="K1530" s="11">
        <v>166.96</v>
      </c>
      <c r="L1530" s="9" t="s">
        <v>20</v>
      </c>
      <c r="M1530" s="9" t="str">
        <f>IFERROR(INDEX(T_CleanCustomers[Sales_Rep_ID],MATCH(B1530,T_CleanCustomers[Customer_ID],0)),"Unmatched")</f>
        <v>REP001</v>
      </c>
      <c r="N1530" s="9" t="str">
        <f>IFERROR(INDEX(T_CleanCustomers[Channel],MATCH(B1530,T_CleanCustomers[Customer_ID],0)),"Unmatched")</f>
        <v>Telesales</v>
      </c>
      <c r="O1530" s="9" t="str">
        <f>IFERROR(INDEX(T_CleanCustomers[Product],MATCH(B1530,T_CleanCustomers[Customer_ID],0)),"Unmatched")</f>
        <v>Fleet Expense Card</v>
      </c>
      <c r="P1530" s="9" t="str">
        <f>IFERROR(INDEX(T_CleanCustomers[Customer_Segment],MATCH(B1530,T_CleanCustomers[Customer_ID],0)),"Unmatched")</f>
        <v>Mid-Market</v>
      </c>
    </row>
    <row r="1531" spans="1:16" ht="15" customHeight="1" x14ac:dyDescent="0.2">
      <c r="A1531" s="9" t="s">
        <v>2865</v>
      </c>
      <c r="B1531" s="9" t="s">
        <v>1337</v>
      </c>
      <c r="C1531" s="9" t="b">
        <f>TRUE()</f>
        <v>1</v>
      </c>
      <c r="D1531" s="10">
        <v>45716</v>
      </c>
      <c r="E1531" s="10">
        <v>45689</v>
      </c>
      <c r="F1531" s="9" t="s">
        <v>1479</v>
      </c>
      <c r="G1531" s="11">
        <v>1352.48</v>
      </c>
      <c r="H1531" s="11">
        <v>37.83</v>
      </c>
      <c r="I1531" s="9" t="b">
        <f>TRUE()</f>
        <v>1</v>
      </c>
      <c r="J1531" s="9" t="s">
        <v>1361</v>
      </c>
      <c r="K1531" s="11">
        <v>37.83</v>
      </c>
      <c r="L1531" s="9" t="s">
        <v>19</v>
      </c>
      <c r="M1531" s="9" t="str">
        <f>IFERROR(INDEX(T_CleanCustomers[Sales_Rep_ID],MATCH(B1531,T_CleanCustomers[Customer_ID],0)),"Unmatched")</f>
        <v>REP014</v>
      </c>
      <c r="N1531" s="9" t="str">
        <f>IFERROR(INDEX(T_CleanCustomers[Channel],MATCH(B1531,T_CleanCustomers[Customer_ID],0)),"Unmatched")</f>
        <v>Direct Sales</v>
      </c>
      <c r="O1531" s="9" t="str">
        <f>IFERROR(INDEX(T_CleanCustomers[Product],MATCH(B1531,T_CleanCustomers[Customer_ID],0)),"Unmatched")</f>
        <v>Fleet Expense Card</v>
      </c>
      <c r="P1531" s="9" t="str">
        <f>IFERROR(INDEX(T_CleanCustomers[Customer_Segment],MATCH(B1531,T_CleanCustomers[Customer_ID],0)),"Unmatched")</f>
        <v>SME</v>
      </c>
    </row>
    <row r="1532" spans="1:16" ht="15" customHeight="1" x14ac:dyDescent="0.2">
      <c r="A1532" s="9" t="s">
        <v>2866</v>
      </c>
      <c r="B1532" s="9" t="s">
        <v>1337</v>
      </c>
      <c r="C1532" s="9" t="b">
        <f>TRUE()</f>
        <v>1</v>
      </c>
      <c r="D1532" s="10">
        <v>45728</v>
      </c>
      <c r="E1532" s="10">
        <v>45717</v>
      </c>
      <c r="F1532" s="9" t="s">
        <v>1479</v>
      </c>
      <c r="G1532" s="11">
        <v>4489.91</v>
      </c>
      <c r="H1532" s="11">
        <v>107.24</v>
      </c>
      <c r="I1532" s="9" t="b">
        <f>TRUE()</f>
        <v>1</v>
      </c>
      <c r="J1532" s="9" t="s">
        <v>1361</v>
      </c>
      <c r="K1532" s="11">
        <v>107.24</v>
      </c>
      <c r="L1532" s="9" t="s">
        <v>19</v>
      </c>
      <c r="M1532" s="9" t="str">
        <f>IFERROR(INDEX(T_CleanCustomers[Sales_Rep_ID],MATCH(B1532,T_CleanCustomers[Customer_ID],0)),"Unmatched")</f>
        <v>REP014</v>
      </c>
      <c r="N1532" s="9" t="str">
        <f>IFERROR(INDEX(T_CleanCustomers[Channel],MATCH(B1532,T_CleanCustomers[Customer_ID],0)),"Unmatched")</f>
        <v>Direct Sales</v>
      </c>
      <c r="O1532" s="9" t="str">
        <f>IFERROR(INDEX(T_CleanCustomers[Product],MATCH(B1532,T_CleanCustomers[Customer_ID],0)),"Unmatched")</f>
        <v>Fleet Expense Card</v>
      </c>
      <c r="P1532" s="9" t="str">
        <f>IFERROR(INDEX(T_CleanCustomers[Customer_Segment],MATCH(B1532,T_CleanCustomers[Customer_ID],0)),"Unmatched")</f>
        <v>SME</v>
      </c>
    </row>
    <row r="1533" spans="1:16" ht="15" customHeight="1" x14ac:dyDescent="0.2">
      <c r="A1533" s="9" t="s">
        <v>2867</v>
      </c>
      <c r="B1533" s="9" t="s">
        <v>1337</v>
      </c>
      <c r="C1533" s="9" t="b">
        <f>TRUE()</f>
        <v>1</v>
      </c>
      <c r="D1533" s="10">
        <v>45732</v>
      </c>
      <c r="E1533" s="10">
        <v>45717</v>
      </c>
      <c r="F1533" s="9" t="s">
        <v>1479</v>
      </c>
      <c r="G1533" s="11">
        <v>3493.76</v>
      </c>
      <c r="H1533" s="11">
        <v>88.79</v>
      </c>
      <c r="I1533" s="9" t="b">
        <f>TRUE()</f>
        <v>1</v>
      </c>
      <c r="J1533" s="9" t="s">
        <v>1361</v>
      </c>
      <c r="K1533" s="11">
        <v>88.79</v>
      </c>
      <c r="L1533" s="9" t="s">
        <v>19</v>
      </c>
      <c r="M1533" s="9" t="str">
        <f>IFERROR(INDEX(T_CleanCustomers[Sales_Rep_ID],MATCH(B1533,T_CleanCustomers[Customer_ID],0)),"Unmatched")</f>
        <v>REP014</v>
      </c>
      <c r="N1533" s="9" t="str">
        <f>IFERROR(INDEX(T_CleanCustomers[Channel],MATCH(B1533,T_CleanCustomers[Customer_ID],0)),"Unmatched")</f>
        <v>Direct Sales</v>
      </c>
      <c r="O1533" s="9" t="str">
        <f>IFERROR(INDEX(T_CleanCustomers[Product],MATCH(B1533,T_CleanCustomers[Customer_ID],0)),"Unmatched")</f>
        <v>Fleet Expense Card</v>
      </c>
      <c r="P1533" s="9" t="str">
        <f>IFERROR(INDEX(T_CleanCustomers[Customer_Segment],MATCH(B1533,T_CleanCustomers[Customer_ID],0)),"Unmatched")</f>
        <v>SME</v>
      </c>
    </row>
    <row r="1534" spans="1:16" ht="15" customHeight="1" x14ac:dyDescent="0.2">
      <c r="A1534" s="9" t="s">
        <v>2868</v>
      </c>
      <c r="B1534" s="9" t="s">
        <v>1337</v>
      </c>
      <c r="C1534" s="9" t="b">
        <f>TRUE()</f>
        <v>1</v>
      </c>
      <c r="D1534" s="10">
        <v>45756</v>
      </c>
      <c r="E1534" s="10">
        <v>45748</v>
      </c>
      <c r="F1534" s="9" t="s">
        <v>1481</v>
      </c>
      <c r="G1534" s="11">
        <v>3757.05</v>
      </c>
      <c r="H1534" s="11">
        <v>101.36</v>
      </c>
      <c r="I1534" s="9" t="b">
        <f>TRUE()</f>
        <v>1</v>
      </c>
      <c r="J1534" s="9" t="s">
        <v>1361</v>
      </c>
      <c r="K1534" s="11">
        <v>101.36</v>
      </c>
      <c r="L1534" s="9" t="s">
        <v>19</v>
      </c>
      <c r="M1534" s="9" t="str">
        <f>IFERROR(INDEX(T_CleanCustomers[Sales_Rep_ID],MATCH(B1534,T_CleanCustomers[Customer_ID],0)),"Unmatched")</f>
        <v>REP014</v>
      </c>
      <c r="N1534" s="9" t="str">
        <f>IFERROR(INDEX(T_CleanCustomers[Channel],MATCH(B1534,T_CleanCustomers[Customer_ID],0)),"Unmatched")</f>
        <v>Direct Sales</v>
      </c>
      <c r="O1534" s="9" t="str">
        <f>IFERROR(INDEX(T_CleanCustomers[Product],MATCH(B1534,T_CleanCustomers[Customer_ID],0)),"Unmatched")</f>
        <v>Fleet Expense Card</v>
      </c>
      <c r="P1534" s="9" t="str">
        <f>IFERROR(INDEX(T_CleanCustomers[Customer_Segment],MATCH(B1534,T_CleanCustomers[Customer_ID],0)),"Unmatched")</f>
        <v>SME</v>
      </c>
    </row>
    <row r="1535" spans="1:16" ht="15" customHeight="1" x14ac:dyDescent="0.2">
      <c r="A1535" s="9" t="s">
        <v>2869</v>
      </c>
      <c r="B1535" s="9" t="s">
        <v>1337</v>
      </c>
      <c r="C1535" s="9" t="b">
        <f>TRUE()</f>
        <v>1</v>
      </c>
      <c r="D1535" s="10">
        <v>45767</v>
      </c>
      <c r="E1535" s="10">
        <v>45748</v>
      </c>
      <c r="F1535" s="9" t="s">
        <v>1479</v>
      </c>
      <c r="G1535" s="11">
        <v>4060.06</v>
      </c>
      <c r="H1535" s="11">
        <v>98.48</v>
      </c>
      <c r="I1535" s="9" t="b">
        <f>TRUE()</f>
        <v>1</v>
      </c>
      <c r="J1535" s="9" t="s">
        <v>1361</v>
      </c>
      <c r="K1535" s="11">
        <v>98.48</v>
      </c>
      <c r="L1535" s="9" t="s">
        <v>19</v>
      </c>
      <c r="M1535" s="9" t="str">
        <f>IFERROR(INDEX(T_CleanCustomers[Sales_Rep_ID],MATCH(B1535,T_CleanCustomers[Customer_ID],0)),"Unmatched")</f>
        <v>REP014</v>
      </c>
      <c r="N1535" s="9" t="str">
        <f>IFERROR(INDEX(T_CleanCustomers[Channel],MATCH(B1535,T_CleanCustomers[Customer_ID],0)),"Unmatched")</f>
        <v>Direct Sales</v>
      </c>
      <c r="O1535" s="9" t="str">
        <f>IFERROR(INDEX(T_CleanCustomers[Product],MATCH(B1535,T_CleanCustomers[Customer_ID],0)),"Unmatched")</f>
        <v>Fleet Expense Card</v>
      </c>
      <c r="P1535" s="9" t="str">
        <f>IFERROR(INDEX(T_CleanCustomers[Customer_Segment],MATCH(B1535,T_CleanCustomers[Customer_ID],0)),"Unmatched")</f>
        <v>SME</v>
      </c>
    </row>
    <row r="1536" spans="1:16" ht="15" customHeight="1" x14ac:dyDescent="0.2">
      <c r="A1536" s="9" t="s">
        <v>2870</v>
      </c>
      <c r="B1536" s="9" t="s">
        <v>1337</v>
      </c>
      <c r="C1536" s="9" t="b">
        <f>TRUE()</f>
        <v>1</v>
      </c>
      <c r="D1536" s="10">
        <v>45757</v>
      </c>
      <c r="E1536" s="10">
        <v>45748</v>
      </c>
      <c r="F1536" s="9" t="s">
        <v>1479</v>
      </c>
      <c r="G1536" s="11">
        <v>2749.22</v>
      </c>
      <c r="H1536" s="11">
        <v>65.58</v>
      </c>
      <c r="I1536" s="9" t="b">
        <f>TRUE()</f>
        <v>1</v>
      </c>
      <c r="J1536" s="9" t="s">
        <v>1361</v>
      </c>
      <c r="K1536" s="11">
        <v>65.58</v>
      </c>
      <c r="L1536" s="9" t="s">
        <v>19</v>
      </c>
      <c r="M1536" s="9" t="str">
        <f>IFERROR(INDEX(T_CleanCustomers[Sales_Rep_ID],MATCH(B1536,T_CleanCustomers[Customer_ID],0)),"Unmatched")</f>
        <v>REP014</v>
      </c>
      <c r="N1536" s="9" t="str">
        <f>IFERROR(INDEX(T_CleanCustomers[Channel],MATCH(B1536,T_CleanCustomers[Customer_ID],0)),"Unmatched")</f>
        <v>Direct Sales</v>
      </c>
      <c r="O1536" s="9" t="str">
        <f>IFERROR(INDEX(T_CleanCustomers[Product],MATCH(B1536,T_CleanCustomers[Customer_ID],0)),"Unmatched")</f>
        <v>Fleet Expense Card</v>
      </c>
      <c r="P1536" s="9" t="str">
        <f>IFERROR(INDEX(T_CleanCustomers[Customer_Segment],MATCH(B1536,T_CleanCustomers[Customer_ID],0)),"Unmatched")</f>
        <v>SME</v>
      </c>
    </row>
    <row r="1537" spans="1:16" ht="15" customHeight="1" x14ac:dyDescent="0.2">
      <c r="A1537" s="9" t="s">
        <v>2871</v>
      </c>
      <c r="B1537" s="9" t="s">
        <v>1337</v>
      </c>
      <c r="C1537" s="9" t="b">
        <f>TRUE()</f>
        <v>1</v>
      </c>
      <c r="D1537" s="10">
        <v>45804</v>
      </c>
      <c r="E1537" s="10">
        <v>45778</v>
      </c>
      <c r="F1537" s="9" t="s">
        <v>1360</v>
      </c>
      <c r="G1537" s="11">
        <v>4456.26</v>
      </c>
      <c r="H1537" s="11">
        <v>108.4</v>
      </c>
      <c r="I1537" s="9" t="b">
        <f>TRUE()</f>
        <v>1</v>
      </c>
      <c r="J1537" s="9" t="s">
        <v>1361</v>
      </c>
      <c r="K1537" s="11">
        <v>108.4</v>
      </c>
      <c r="L1537" s="9" t="s">
        <v>19</v>
      </c>
      <c r="M1537" s="9" t="str">
        <f>IFERROR(INDEX(T_CleanCustomers[Sales_Rep_ID],MATCH(B1537,T_CleanCustomers[Customer_ID],0)),"Unmatched")</f>
        <v>REP014</v>
      </c>
      <c r="N1537" s="9" t="str">
        <f>IFERROR(INDEX(T_CleanCustomers[Channel],MATCH(B1537,T_CleanCustomers[Customer_ID],0)),"Unmatched")</f>
        <v>Direct Sales</v>
      </c>
      <c r="O1537" s="9" t="str">
        <f>IFERROR(INDEX(T_CleanCustomers[Product],MATCH(B1537,T_CleanCustomers[Customer_ID],0)),"Unmatched")</f>
        <v>Fleet Expense Card</v>
      </c>
      <c r="P1537" s="9" t="str">
        <f>IFERROR(INDEX(T_CleanCustomers[Customer_Segment],MATCH(B1537,T_CleanCustomers[Customer_ID],0)),"Unmatched")</f>
        <v>SME</v>
      </c>
    </row>
    <row r="1538" spans="1:16" ht="15" customHeight="1" x14ac:dyDescent="0.2">
      <c r="A1538" s="9" t="s">
        <v>2872</v>
      </c>
      <c r="B1538" s="9" t="s">
        <v>1337</v>
      </c>
      <c r="C1538" s="9" t="b">
        <f>TRUE()</f>
        <v>1</v>
      </c>
      <c r="D1538" s="10">
        <v>45786</v>
      </c>
      <c r="E1538" s="10">
        <v>45778</v>
      </c>
      <c r="F1538" s="9" t="s">
        <v>1360</v>
      </c>
      <c r="G1538" s="11">
        <v>5085.46</v>
      </c>
      <c r="H1538" s="11">
        <v>147.62</v>
      </c>
      <c r="I1538" s="9" t="b">
        <f>TRUE()</f>
        <v>1</v>
      </c>
      <c r="J1538" s="9" t="s">
        <v>1361</v>
      </c>
      <c r="K1538" s="11">
        <v>147.62</v>
      </c>
      <c r="L1538" s="9" t="s">
        <v>19</v>
      </c>
      <c r="M1538" s="9" t="str">
        <f>IFERROR(INDEX(T_CleanCustomers[Sales_Rep_ID],MATCH(B1538,T_CleanCustomers[Customer_ID],0)),"Unmatched")</f>
        <v>REP014</v>
      </c>
      <c r="N1538" s="9" t="str">
        <f>IFERROR(INDEX(T_CleanCustomers[Channel],MATCH(B1538,T_CleanCustomers[Customer_ID],0)),"Unmatched")</f>
        <v>Direct Sales</v>
      </c>
      <c r="O1538" s="9" t="str">
        <f>IFERROR(INDEX(T_CleanCustomers[Product],MATCH(B1538,T_CleanCustomers[Customer_ID],0)),"Unmatched")</f>
        <v>Fleet Expense Card</v>
      </c>
      <c r="P1538" s="9" t="str">
        <f>IFERROR(INDEX(T_CleanCustomers[Customer_Segment],MATCH(B1538,T_CleanCustomers[Customer_ID],0)),"Unmatched")</f>
        <v>SME</v>
      </c>
    </row>
    <row r="1539" spans="1:16" ht="15" customHeight="1" x14ac:dyDescent="0.2">
      <c r="A1539" s="9" t="s">
        <v>2873</v>
      </c>
      <c r="B1539" s="9" t="s">
        <v>1337</v>
      </c>
      <c r="C1539" s="9" t="b">
        <f>TRUE()</f>
        <v>1</v>
      </c>
      <c r="D1539" s="10">
        <v>45800</v>
      </c>
      <c r="E1539" s="10">
        <v>45778</v>
      </c>
      <c r="F1539" s="9" t="s">
        <v>1481</v>
      </c>
      <c r="G1539" s="11">
        <v>4906.2700000000004</v>
      </c>
      <c r="H1539" s="11">
        <v>150.84</v>
      </c>
      <c r="I1539" s="9" t="b">
        <f>TRUE()</f>
        <v>1</v>
      </c>
      <c r="J1539" s="9" t="s">
        <v>1361</v>
      </c>
      <c r="K1539" s="11">
        <v>150.84</v>
      </c>
      <c r="L1539" s="9" t="s">
        <v>19</v>
      </c>
      <c r="M1539" s="9" t="str">
        <f>IFERROR(INDEX(T_CleanCustomers[Sales_Rep_ID],MATCH(B1539,T_CleanCustomers[Customer_ID],0)),"Unmatched")</f>
        <v>REP014</v>
      </c>
      <c r="N1539" s="9" t="str">
        <f>IFERROR(INDEX(T_CleanCustomers[Channel],MATCH(B1539,T_CleanCustomers[Customer_ID],0)),"Unmatched")</f>
        <v>Direct Sales</v>
      </c>
      <c r="O1539" s="9" t="str">
        <f>IFERROR(INDEX(T_CleanCustomers[Product],MATCH(B1539,T_CleanCustomers[Customer_ID],0)),"Unmatched")</f>
        <v>Fleet Expense Card</v>
      </c>
      <c r="P1539" s="9" t="str">
        <f>IFERROR(INDEX(T_CleanCustomers[Customer_Segment],MATCH(B1539,T_CleanCustomers[Customer_ID],0)),"Unmatched")</f>
        <v>SME</v>
      </c>
    </row>
    <row r="1540" spans="1:16" ht="15" customHeight="1" x14ac:dyDescent="0.2">
      <c r="A1540" s="9" t="s">
        <v>2874</v>
      </c>
      <c r="B1540" s="9" t="s">
        <v>1337</v>
      </c>
      <c r="C1540" s="9" t="b">
        <f>TRUE()</f>
        <v>1</v>
      </c>
      <c r="D1540" s="10">
        <v>45828</v>
      </c>
      <c r="E1540" s="10">
        <v>45809</v>
      </c>
      <c r="F1540" s="9" t="s">
        <v>1479</v>
      </c>
      <c r="G1540" s="11">
        <v>4701.4399999999996</v>
      </c>
      <c r="H1540" s="11">
        <v>122.96</v>
      </c>
      <c r="I1540" s="9" t="b">
        <f>TRUE()</f>
        <v>1</v>
      </c>
      <c r="J1540" s="9" t="s">
        <v>1361</v>
      </c>
      <c r="K1540" s="11">
        <v>122.96</v>
      </c>
      <c r="L1540" s="9" t="s">
        <v>19</v>
      </c>
      <c r="M1540" s="9" t="str">
        <f>IFERROR(INDEX(T_CleanCustomers[Sales_Rep_ID],MATCH(B1540,T_CleanCustomers[Customer_ID],0)),"Unmatched")</f>
        <v>REP014</v>
      </c>
      <c r="N1540" s="9" t="str">
        <f>IFERROR(INDEX(T_CleanCustomers[Channel],MATCH(B1540,T_CleanCustomers[Customer_ID],0)),"Unmatched")</f>
        <v>Direct Sales</v>
      </c>
      <c r="O1540" s="9" t="str">
        <f>IFERROR(INDEX(T_CleanCustomers[Product],MATCH(B1540,T_CleanCustomers[Customer_ID],0)),"Unmatched")</f>
        <v>Fleet Expense Card</v>
      </c>
      <c r="P1540" s="9" t="str">
        <f>IFERROR(INDEX(T_CleanCustomers[Customer_Segment],MATCH(B1540,T_CleanCustomers[Customer_ID],0)),"Unmatched")</f>
        <v>SME</v>
      </c>
    </row>
    <row r="1541" spans="1:16" ht="15" customHeight="1" x14ac:dyDescent="0.2">
      <c r="A1541" s="9" t="s">
        <v>2875</v>
      </c>
      <c r="B1541" s="9" t="s">
        <v>1337</v>
      </c>
      <c r="C1541" s="9" t="b">
        <f>TRUE()</f>
        <v>1</v>
      </c>
      <c r="D1541" s="10">
        <v>45824</v>
      </c>
      <c r="E1541" s="10">
        <v>45809</v>
      </c>
      <c r="F1541" s="9" t="s">
        <v>1481</v>
      </c>
      <c r="G1541" s="11">
        <v>1935.12</v>
      </c>
      <c r="H1541" s="11">
        <v>47.24</v>
      </c>
      <c r="I1541" s="9" t="b">
        <f>TRUE()</f>
        <v>1</v>
      </c>
      <c r="J1541" s="9" t="s">
        <v>1361</v>
      </c>
      <c r="K1541" s="11">
        <v>47.24</v>
      </c>
      <c r="L1541" s="9" t="s">
        <v>19</v>
      </c>
      <c r="M1541" s="9" t="str">
        <f>IFERROR(INDEX(T_CleanCustomers[Sales_Rep_ID],MATCH(B1541,T_CleanCustomers[Customer_ID],0)),"Unmatched")</f>
        <v>REP014</v>
      </c>
      <c r="N1541" s="9" t="str">
        <f>IFERROR(INDEX(T_CleanCustomers[Channel],MATCH(B1541,T_CleanCustomers[Customer_ID],0)),"Unmatched")</f>
        <v>Direct Sales</v>
      </c>
      <c r="O1541" s="9" t="str">
        <f>IFERROR(INDEX(T_CleanCustomers[Product],MATCH(B1541,T_CleanCustomers[Customer_ID],0)),"Unmatched")</f>
        <v>Fleet Expense Card</v>
      </c>
      <c r="P1541" s="9" t="str">
        <f>IFERROR(INDEX(T_CleanCustomers[Customer_Segment],MATCH(B1541,T_CleanCustomers[Customer_ID],0)),"Unmatched")</f>
        <v>SME</v>
      </c>
    </row>
    <row r="1542" spans="1:16" ht="15" customHeight="1" x14ac:dyDescent="0.2">
      <c r="A1542" s="9" t="s">
        <v>2876</v>
      </c>
      <c r="B1542" s="9" t="s">
        <v>1337</v>
      </c>
      <c r="C1542" s="9" t="b">
        <f>TRUE()</f>
        <v>1</v>
      </c>
      <c r="D1542" s="10">
        <v>45818</v>
      </c>
      <c r="E1542" s="10">
        <v>45809</v>
      </c>
      <c r="F1542" s="9" t="s">
        <v>1360</v>
      </c>
      <c r="G1542" s="11">
        <v>3333.26</v>
      </c>
      <c r="H1542" s="11">
        <v>101.59</v>
      </c>
      <c r="I1542" s="9" t="b">
        <f>TRUE()</f>
        <v>1</v>
      </c>
      <c r="J1542" s="9" t="s">
        <v>1361</v>
      </c>
      <c r="K1542" s="11">
        <v>101.59</v>
      </c>
      <c r="L1542" s="9" t="s">
        <v>19</v>
      </c>
      <c r="M1542" s="9" t="str">
        <f>IFERROR(INDEX(T_CleanCustomers[Sales_Rep_ID],MATCH(B1542,T_CleanCustomers[Customer_ID],0)),"Unmatched")</f>
        <v>REP014</v>
      </c>
      <c r="N1542" s="9" t="str">
        <f>IFERROR(INDEX(T_CleanCustomers[Channel],MATCH(B1542,T_CleanCustomers[Customer_ID],0)),"Unmatched")</f>
        <v>Direct Sales</v>
      </c>
      <c r="O1542" s="9" t="str">
        <f>IFERROR(INDEX(T_CleanCustomers[Product],MATCH(B1542,T_CleanCustomers[Customer_ID],0)),"Unmatched")</f>
        <v>Fleet Expense Card</v>
      </c>
      <c r="P1542" s="9" t="str">
        <f>IFERROR(INDEX(T_CleanCustomers[Customer_Segment],MATCH(B1542,T_CleanCustomers[Customer_ID],0)),"Unmatched")</f>
        <v>SME</v>
      </c>
    </row>
    <row r="1543" spans="1:16" ht="15" customHeight="1" x14ac:dyDescent="0.2">
      <c r="A1543" s="9" t="s">
        <v>2877</v>
      </c>
      <c r="B1543" s="9" t="s">
        <v>1337</v>
      </c>
      <c r="C1543" s="9" t="b">
        <f>TRUE()</f>
        <v>1</v>
      </c>
      <c r="D1543" s="10">
        <v>45847</v>
      </c>
      <c r="E1543" s="10">
        <v>45839</v>
      </c>
      <c r="F1543" s="9" t="s">
        <v>1360</v>
      </c>
      <c r="G1543" s="11">
        <v>1712.12</v>
      </c>
      <c r="H1543" s="11">
        <v>46.17</v>
      </c>
      <c r="I1543" s="9" t="b">
        <f>TRUE()</f>
        <v>1</v>
      </c>
      <c r="J1543" s="9" t="s">
        <v>1361</v>
      </c>
      <c r="K1543" s="11">
        <v>46.17</v>
      </c>
      <c r="L1543" s="9" t="s">
        <v>19</v>
      </c>
      <c r="M1543" s="9" t="str">
        <f>IFERROR(INDEX(T_CleanCustomers[Sales_Rep_ID],MATCH(B1543,T_CleanCustomers[Customer_ID],0)),"Unmatched")</f>
        <v>REP014</v>
      </c>
      <c r="N1543" s="9" t="str">
        <f>IFERROR(INDEX(T_CleanCustomers[Channel],MATCH(B1543,T_CleanCustomers[Customer_ID],0)),"Unmatched")</f>
        <v>Direct Sales</v>
      </c>
      <c r="O1543" s="9" t="str">
        <f>IFERROR(INDEX(T_CleanCustomers[Product],MATCH(B1543,T_CleanCustomers[Customer_ID],0)),"Unmatched")</f>
        <v>Fleet Expense Card</v>
      </c>
      <c r="P1543" s="9" t="str">
        <f>IFERROR(INDEX(T_CleanCustomers[Customer_Segment],MATCH(B1543,T_CleanCustomers[Customer_ID],0)),"Unmatched")</f>
        <v>SME</v>
      </c>
    </row>
    <row r="1544" spans="1:16" ht="15" customHeight="1" x14ac:dyDescent="0.2">
      <c r="A1544" s="9" t="s">
        <v>2878</v>
      </c>
      <c r="B1544" s="9" t="s">
        <v>1337</v>
      </c>
      <c r="C1544" s="9" t="b">
        <f>TRUE()</f>
        <v>1</v>
      </c>
      <c r="D1544" s="10">
        <v>45868</v>
      </c>
      <c r="E1544" s="10">
        <v>45839</v>
      </c>
      <c r="F1544" s="9" t="s">
        <v>1360</v>
      </c>
      <c r="G1544" s="11">
        <v>4693.76</v>
      </c>
      <c r="H1544" s="11">
        <v>141.13</v>
      </c>
      <c r="I1544" s="9" t="b">
        <f>TRUE()</f>
        <v>1</v>
      </c>
      <c r="J1544" s="9" t="s">
        <v>1361</v>
      </c>
      <c r="K1544" s="11">
        <v>141.13</v>
      </c>
      <c r="L1544" s="9" t="s">
        <v>19</v>
      </c>
      <c r="M1544" s="9" t="str">
        <f>IFERROR(INDEX(T_CleanCustomers[Sales_Rep_ID],MATCH(B1544,T_CleanCustomers[Customer_ID],0)),"Unmatched")</f>
        <v>REP014</v>
      </c>
      <c r="N1544" s="9" t="str">
        <f>IFERROR(INDEX(T_CleanCustomers[Channel],MATCH(B1544,T_CleanCustomers[Customer_ID],0)),"Unmatched")</f>
        <v>Direct Sales</v>
      </c>
      <c r="O1544" s="9" t="str">
        <f>IFERROR(INDEX(T_CleanCustomers[Product],MATCH(B1544,T_CleanCustomers[Customer_ID],0)),"Unmatched")</f>
        <v>Fleet Expense Card</v>
      </c>
      <c r="P1544" s="9" t="str">
        <f>IFERROR(INDEX(T_CleanCustomers[Customer_Segment],MATCH(B1544,T_CleanCustomers[Customer_ID],0)),"Unmatched")</f>
        <v>SME</v>
      </c>
    </row>
    <row r="1545" spans="1:16" ht="15" customHeight="1" x14ac:dyDescent="0.2">
      <c r="A1545" s="9" t="s">
        <v>2879</v>
      </c>
      <c r="B1545" s="9" t="s">
        <v>1337</v>
      </c>
      <c r="C1545" s="9" t="b">
        <f>TRUE()</f>
        <v>1</v>
      </c>
      <c r="D1545" s="10">
        <v>45870</v>
      </c>
      <c r="E1545" s="10">
        <v>45870</v>
      </c>
      <c r="F1545" s="9" t="s">
        <v>1360</v>
      </c>
      <c r="G1545" s="11">
        <v>3203.54</v>
      </c>
      <c r="H1545" s="11">
        <v>83.62</v>
      </c>
      <c r="I1545" s="9" t="b">
        <f>TRUE()</f>
        <v>1</v>
      </c>
      <c r="J1545" s="9" t="s">
        <v>1361</v>
      </c>
      <c r="K1545" s="11">
        <v>83.62</v>
      </c>
      <c r="L1545" s="9" t="s">
        <v>19</v>
      </c>
      <c r="M1545" s="9" t="str">
        <f>IFERROR(INDEX(T_CleanCustomers[Sales_Rep_ID],MATCH(B1545,T_CleanCustomers[Customer_ID],0)),"Unmatched")</f>
        <v>REP014</v>
      </c>
      <c r="N1545" s="9" t="str">
        <f>IFERROR(INDEX(T_CleanCustomers[Channel],MATCH(B1545,T_CleanCustomers[Customer_ID],0)),"Unmatched")</f>
        <v>Direct Sales</v>
      </c>
      <c r="O1545" s="9" t="str">
        <f>IFERROR(INDEX(T_CleanCustomers[Product],MATCH(B1545,T_CleanCustomers[Customer_ID],0)),"Unmatched")</f>
        <v>Fleet Expense Card</v>
      </c>
      <c r="P1545" s="9" t="str">
        <f>IFERROR(INDEX(T_CleanCustomers[Customer_Segment],MATCH(B1545,T_CleanCustomers[Customer_ID],0)),"Unmatched")</f>
        <v>SME</v>
      </c>
    </row>
    <row r="1546" spans="1:16" ht="15" customHeight="1" x14ac:dyDescent="0.2">
      <c r="A1546" s="9" t="s">
        <v>2880</v>
      </c>
      <c r="B1546" s="9" t="s">
        <v>1337</v>
      </c>
      <c r="C1546" s="9" t="b">
        <f>TRUE()</f>
        <v>1</v>
      </c>
      <c r="D1546" s="10">
        <v>45895</v>
      </c>
      <c r="E1546" s="10">
        <v>45870</v>
      </c>
      <c r="F1546" s="9" t="s">
        <v>1479</v>
      </c>
      <c r="G1546" s="11">
        <v>1354.84</v>
      </c>
      <c r="H1546" s="11">
        <v>0</v>
      </c>
      <c r="I1546" s="9" t="b">
        <f>TRUE()</f>
        <v>1</v>
      </c>
      <c r="J1546" s="9" t="s">
        <v>1408</v>
      </c>
      <c r="K1546" s="11">
        <v>0</v>
      </c>
      <c r="L1546" s="9" t="s">
        <v>19</v>
      </c>
      <c r="M1546" s="9" t="str">
        <f>IFERROR(INDEX(T_CleanCustomers[Sales_Rep_ID],MATCH(B1546,T_CleanCustomers[Customer_ID],0)),"Unmatched")</f>
        <v>REP014</v>
      </c>
      <c r="N1546" s="9" t="str">
        <f>IFERROR(INDEX(T_CleanCustomers[Channel],MATCH(B1546,T_CleanCustomers[Customer_ID],0)),"Unmatched")</f>
        <v>Direct Sales</v>
      </c>
      <c r="O1546" s="9" t="str">
        <f>IFERROR(INDEX(T_CleanCustomers[Product],MATCH(B1546,T_CleanCustomers[Customer_ID],0)),"Unmatched")</f>
        <v>Fleet Expense Card</v>
      </c>
      <c r="P1546" s="9" t="str">
        <f>IFERROR(INDEX(T_CleanCustomers[Customer_Segment],MATCH(B1546,T_CleanCustomers[Customer_ID],0)),"Unmatched")</f>
        <v>SME</v>
      </c>
    </row>
    <row r="1547" spans="1:16" ht="15" customHeight="1" x14ac:dyDescent="0.2">
      <c r="A1547" s="9" t="s">
        <v>2881</v>
      </c>
      <c r="B1547" s="9" t="s">
        <v>1337</v>
      </c>
      <c r="C1547" s="9" t="b">
        <f>TRUE()</f>
        <v>1</v>
      </c>
      <c r="D1547" s="10">
        <v>45924</v>
      </c>
      <c r="E1547" s="10">
        <v>45901</v>
      </c>
      <c r="F1547" s="9" t="s">
        <v>1479</v>
      </c>
      <c r="G1547" s="11">
        <v>1343.96</v>
      </c>
      <c r="H1547" s="11">
        <v>34.92</v>
      </c>
      <c r="I1547" s="9" t="b">
        <f>TRUE()</f>
        <v>1</v>
      </c>
      <c r="J1547" s="9" t="s">
        <v>1361</v>
      </c>
      <c r="K1547" s="11">
        <v>34.92</v>
      </c>
      <c r="L1547" s="9" t="s">
        <v>19</v>
      </c>
      <c r="M1547" s="9" t="str">
        <f>IFERROR(INDEX(T_CleanCustomers[Sales_Rep_ID],MATCH(B1547,T_CleanCustomers[Customer_ID],0)),"Unmatched")</f>
        <v>REP014</v>
      </c>
      <c r="N1547" s="9" t="str">
        <f>IFERROR(INDEX(T_CleanCustomers[Channel],MATCH(B1547,T_CleanCustomers[Customer_ID],0)),"Unmatched")</f>
        <v>Direct Sales</v>
      </c>
      <c r="O1547" s="9" t="str">
        <f>IFERROR(INDEX(T_CleanCustomers[Product],MATCH(B1547,T_CleanCustomers[Customer_ID],0)),"Unmatched")</f>
        <v>Fleet Expense Card</v>
      </c>
      <c r="P1547" s="9" t="str">
        <f>IFERROR(INDEX(T_CleanCustomers[Customer_Segment],MATCH(B1547,T_CleanCustomers[Customer_ID],0)),"Unmatched")</f>
        <v>SME</v>
      </c>
    </row>
    <row r="1548" spans="1:16" ht="15" customHeight="1" x14ac:dyDescent="0.2">
      <c r="A1548" s="9" t="s">
        <v>2882</v>
      </c>
      <c r="B1548" s="9" t="s">
        <v>1337</v>
      </c>
      <c r="C1548" s="9" t="b">
        <f>TRUE()</f>
        <v>1</v>
      </c>
      <c r="D1548" s="10">
        <v>45902</v>
      </c>
      <c r="E1548" s="10">
        <v>45901</v>
      </c>
      <c r="F1548" s="9" t="s">
        <v>1481</v>
      </c>
      <c r="G1548" s="11">
        <v>2104.71</v>
      </c>
      <c r="H1548" s="11">
        <v>54.81</v>
      </c>
      <c r="I1548" s="9" t="b">
        <f>TRUE()</f>
        <v>1</v>
      </c>
      <c r="J1548" s="9" t="s">
        <v>1361</v>
      </c>
      <c r="K1548" s="11">
        <v>54.81</v>
      </c>
      <c r="L1548" s="9" t="s">
        <v>19</v>
      </c>
      <c r="M1548" s="9" t="str">
        <f>IFERROR(INDEX(T_CleanCustomers[Sales_Rep_ID],MATCH(B1548,T_CleanCustomers[Customer_ID],0)),"Unmatched")</f>
        <v>REP014</v>
      </c>
      <c r="N1548" s="9" t="str">
        <f>IFERROR(INDEX(T_CleanCustomers[Channel],MATCH(B1548,T_CleanCustomers[Customer_ID],0)),"Unmatched")</f>
        <v>Direct Sales</v>
      </c>
      <c r="O1548" s="9" t="str">
        <f>IFERROR(INDEX(T_CleanCustomers[Product],MATCH(B1548,T_CleanCustomers[Customer_ID],0)),"Unmatched")</f>
        <v>Fleet Expense Card</v>
      </c>
      <c r="P1548" s="9" t="str">
        <f>IFERROR(INDEX(T_CleanCustomers[Customer_Segment],MATCH(B1548,T_CleanCustomers[Customer_ID],0)),"Unmatched")</f>
        <v>SME</v>
      </c>
    </row>
    <row r="1549" spans="1:16" ht="15" customHeight="1" x14ac:dyDescent="0.2">
      <c r="A1549" s="9" t="s">
        <v>2883</v>
      </c>
      <c r="B1549" s="9" t="s">
        <v>1337</v>
      </c>
      <c r="C1549" s="9" t="b">
        <f>TRUE()</f>
        <v>1</v>
      </c>
      <c r="D1549" s="10">
        <v>45948</v>
      </c>
      <c r="E1549" s="10">
        <v>45931</v>
      </c>
      <c r="F1549" s="9" t="s">
        <v>1481</v>
      </c>
      <c r="G1549" s="11">
        <v>2304.14</v>
      </c>
      <c r="H1549" s="11">
        <v>58.58</v>
      </c>
      <c r="I1549" s="9" t="b">
        <f>TRUE()</f>
        <v>1</v>
      </c>
      <c r="J1549" s="9" t="s">
        <v>1361</v>
      </c>
      <c r="K1549" s="11">
        <v>58.58</v>
      </c>
      <c r="L1549" s="9" t="s">
        <v>19</v>
      </c>
      <c r="M1549" s="9" t="str">
        <f>IFERROR(INDEX(T_CleanCustomers[Sales_Rep_ID],MATCH(B1549,T_CleanCustomers[Customer_ID],0)),"Unmatched")</f>
        <v>REP014</v>
      </c>
      <c r="N1549" s="9" t="str">
        <f>IFERROR(INDEX(T_CleanCustomers[Channel],MATCH(B1549,T_CleanCustomers[Customer_ID],0)),"Unmatched")</f>
        <v>Direct Sales</v>
      </c>
      <c r="O1549" s="9" t="str">
        <f>IFERROR(INDEX(T_CleanCustomers[Product],MATCH(B1549,T_CleanCustomers[Customer_ID],0)),"Unmatched")</f>
        <v>Fleet Expense Card</v>
      </c>
      <c r="P1549" s="9" t="str">
        <f>IFERROR(INDEX(T_CleanCustomers[Customer_Segment],MATCH(B1549,T_CleanCustomers[Customer_ID],0)),"Unmatched")</f>
        <v>SME</v>
      </c>
    </row>
    <row r="1550" spans="1:16" ht="15" customHeight="1" x14ac:dyDescent="0.2">
      <c r="A1550" s="9" t="s">
        <v>2884</v>
      </c>
      <c r="B1550" s="9" t="s">
        <v>1337</v>
      </c>
      <c r="C1550" s="9" t="b">
        <f>TRUE()</f>
        <v>1</v>
      </c>
      <c r="D1550" s="10">
        <v>45931</v>
      </c>
      <c r="E1550" s="10">
        <v>45931</v>
      </c>
      <c r="F1550" s="9" t="s">
        <v>1360</v>
      </c>
      <c r="G1550" s="11">
        <v>4879.1899999999996</v>
      </c>
      <c r="H1550" s="11">
        <v>120.4</v>
      </c>
      <c r="I1550" s="9" t="b">
        <f>TRUE()</f>
        <v>1</v>
      </c>
      <c r="J1550" s="9" t="s">
        <v>1361</v>
      </c>
      <c r="K1550" s="11">
        <v>120.4</v>
      </c>
      <c r="L1550" s="9" t="s">
        <v>19</v>
      </c>
      <c r="M1550" s="9" t="str">
        <f>IFERROR(INDEX(T_CleanCustomers[Sales_Rep_ID],MATCH(B1550,T_CleanCustomers[Customer_ID],0)),"Unmatched")</f>
        <v>REP014</v>
      </c>
      <c r="N1550" s="9" t="str">
        <f>IFERROR(INDEX(T_CleanCustomers[Channel],MATCH(B1550,T_CleanCustomers[Customer_ID],0)),"Unmatched")</f>
        <v>Direct Sales</v>
      </c>
      <c r="O1550" s="9" t="str">
        <f>IFERROR(INDEX(T_CleanCustomers[Product],MATCH(B1550,T_CleanCustomers[Customer_ID],0)),"Unmatched")</f>
        <v>Fleet Expense Card</v>
      </c>
      <c r="P1550" s="9" t="str">
        <f>IFERROR(INDEX(T_CleanCustomers[Customer_Segment],MATCH(B1550,T_CleanCustomers[Customer_ID],0)),"Unmatched")</f>
        <v>SME</v>
      </c>
    </row>
    <row r="1551" spans="1:16" ht="15" customHeight="1" x14ac:dyDescent="0.2">
      <c r="A1551" s="9" t="s">
        <v>2885</v>
      </c>
      <c r="B1551" s="9" t="s">
        <v>1337</v>
      </c>
      <c r="C1551" s="9" t="b">
        <f>TRUE()</f>
        <v>1</v>
      </c>
      <c r="D1551" s="10">
        <v>45958</v>
      </c>
      <c r="E1551" s="10">
        <v>45931</v>
      </c>
      <c r="F1551" s="9" t="s">
        <v>1479</v>
      </c>
      <c r="G1551" s="11">
        <v>3938.04</v>
      </c>
      <c r="H1551" s="11">
        <v>104.6</v>
      </c>
      <c r="I1551" s="9" t="b">
        <f>TRUE()</f>
        <v>1</v>
      </c>
      <c r="J1551" s="9" t="s">
        <v>1361</v>
      </c>
      <c r="K1551" s="11">
        <v>104.6</v>
      </c>
      <c r="L1551" s="9" t="s">
        <v>19</v>
      </c>
      <c r="M1551" s="9" t="str">
        <f>IFERROR(INDEX(T_CleanCustomers[Sales_Rep_ID],MATCH(B1551,T_CleanCustomers[Customer_ID],0)),"Unmatched")</f>
        <v>REP014</v>
      </c>
      <c r="N1551" s="9" t="str">
        <f>IFERROR(INDEX(T_CleanCustomers[Channel],MATCH(B1551,T_CleanCustomers[Customer_ID],0)),"Unmatched")</f>
        <v>Direct Sales</v>
      </c>
      <c r="O1551" s="9" t="str">
        <f>IFERROR(INDEX(T_CleanCustomers[Product],MATCH(B1551,T_CleanCustomers[Customer_ID],0)),"Unmatched")</f>
        <v>Fleet Expense Card</v>
      </c>
      <c r="P1551" s="9" t="str">
        <f>IFERROR(INDEX(T_CleanCustomers[Customer_Segment],MATCH(B1551,T_CleanCustomers[Customer_ID],0)),"Unmatched")</f>
        <v>SME</v>
      </c>
    </row>
    <row r="1552" spans="1:16" ht="15" customHeight="1" x14ac:dyDescent="0.2">
      <c r="A1552" s="9" t="s">
        <v>2886</v>
      </c>
      <c r="B1552" s="9" t="s">
        <v>1337</v>
      </c>
      <c r="C1552" s="9" t="b">
        <f>TRUE()</f>
        <v>1</v>
      </c>
      <c r="D1552" s="10">
        <v>45978</v>
      </c>
      <c r="E1552" s="10">
        <v>45962</v>
      </c>
      <c r="F1552" s="9" t="s">
        <v>1479</v>
      </c>
      <c r="G1552" s="11">
        <v>3863.96</v>
      </c>
      <c r="H1552" s="11">
        <v>98.22</v>
      </c>
      <c r="I1552" s="9" t="b">
        <f>TRUE()</f>
        <v>1</v>
      </c>
      <c r="J1552" s="9" t="s">
        <v>1361</v>
      </c>
      <c r="K1552" s="11">
        <v>98.22</v>
      </c>
      <c r="L1552" s="9" t="s">
        <v>19</v>
      </c>
      <c r="M1552" s="9" t="str">
        <f>IFERROR(INDEX(T_CleanCustomers[Sales_Rep_ID],MATCH(B1552,T_CleanCustomers[Customer_ID],0)),"Unmatched")</f>
        <v>REP014</v>
      </c>
      <c r="N1552" s="9" t="str">
        <f>IFERROR(INDEX(T_CleanCustomers[Channel],MATCH(B1552,T_CleanCustomers[Customer_ID],0)),"Unmatched")</f>
        <v>Direct Sales</v>
      </c>
      <c r="O1552" s="9" t="str">
        <f>IFERROR(INDEX(T_CleanCustomers[Product],MATCH(B1552,T_CleanCustomers[Customer_ID],0)),"Unmatched")</f>
        <v>Fleet Expense Card</v>
      </c>
      <c r="P1552" s="9" t="str">
        <f>IFERROR(INDEX(T_CleanCustomers[Customer_Segment],MATCH(B1552,T_CleanCustomers[Customer_ID],0)),"Unmatched")</f>
        <v>SME</v>
      </c>
    </row>
    <row r="1553" spans="1:16" ht="15" customHeight="1" x14ac:dyDescent="0.2">
      <c r="A1553" s="9" t="s">
        <v>2887</v>
      </c>
      <c r="B1553" s="9" t="s">
        <v>1337</v>
      </c>
      <c r="C1553" s="9" t="b">
        <f>TRUE()</f>
        <v>1</v>
      </c>
      <c r="D1553" s="10">
        <v>45989</v>
      </c>
      <c r="E1553" s="10">
        <v>45962</v>
      </c>
      <c r="F1553" s="9" t="s">
        <v>1360</v>
      </c>
      <c r="G1553" s="11">
        <v>3855.04</v>
      </c>
      <c r="H1553" s="11">
        <v>98.94</v>
      </c>
      <c r="I1553" s="9" t="b">
        <f>TRUE()</f>
        <v>1</v>
      </c>
      <c r="J1553" s="9" t="s">
        <v>1361</v>
      </c>
      <c r="K1553" s="11">
        <v>98.94</v>
      </c>
      <c r="L1553" s="9" t="s">
        <v>19</v>
      </c>
      <c r="M1553" s="9" t="str">
        <f>IFERROR(INDEX(T_CleanCustomers[Sales_Rep_ID],MATCH(B1553,T_CleanCustomers[Customer_ID],0)),"Unmatched")</f>
        <v>REP014</v>
      </c>
      <c r="N1553" s="9" t="str">
        <f>IFERROR(INDEX(T_CleanCustomers[Channel],MATCH(B1553,T_CleanCustomers[Customer_ID],0)),"Unmatched")</f>
        <v>Direct Sales</v>
      </c>
      <c r="O1553" s="9" t="str">
        <f>IFERROR(INDEX(T_CleanCustomers[Product],MATCH(B1553,T_CleanCustomers[Customer_ID],0)),"Unmatched")</f>
        <v>Fleet Expense Card</v>
      </c>
      <c r="P1553" s="9" t="str">
        <f>IFERROR(INDEX(T_CleanCustomers[Customer_Segment],MATCH(B1553,T_CleanCustomers[Customer_ID],0)),"Unmatched")</f>
        <v>SME</v>
      </c>
    </row>
    <row r="1554" spans="1:16" ht="15" customHeight="1" x14ac:dyDescent="0.2">
      <c r="A1554" s="9" t="s">
        <v>2888</v>
      </c>
      <c r="B1554" s="9" t="s">
        <v>1337</v>
      </c>
      <c r="C1554" s="9" t="b">
        <f>TRUE()</f>
        <v>1</v>
      </c>
      <c r="D1554" s="10">
        <v>45987</v>
      </c>
      <c r="E1554" s="10">
        <v>45962</v>
      </c>
      <c r="F1554" s="9" t="s">
        <v>1360</v>
      </c>
      <c r="G1554" s="11">
        <v>3436.46</v>
      </c>
      <c r="H1554" s="11">
        <v>89.84</v>
      </c>
      <c r="I1554" s="9" t="b">
        <f>TRUE()</f>
        <v>1</v>
      </c>
      <c r="J1554" s="9" t="s">
        <v>1361</v>
      </c>
      <c r="K1554" s="11">
        <v>89.84</v>
      </c>
      <c r="L1554" s="9" t="s">
        <v>19</v>
      </c>
      <c r="M1554" s="9" t="str">
        <f>IFERROR(INDEX(T_CleanCustomers[Sales_Rep_ID],MATCH(B1554,T_CleanCustomers[Customer_ID],0)),"Unmatched")</f>
        <v>REP014</v>
      </c>
      <c r="N1554" s="9" t="str">
        <f>IFERROR(INDEX(T_CleanCustomers[Channel],MATCH(B1554,T_CleanCustomers[Customer_ID],0)),"Unmatched")</f>
        <v>Direct Sales</v>
      </c>
      <c r="O1554" s="9" t="str">
        <f>IFERROR(INDEX(T_CleanCustomers[Product],MATCH(B1554,T_CleanCustomers[Customer_ID],0)),"Unmatched")</f>
        <v>Fleet Expense Card</v>
      </c>
      <c r="P1554" s="9" t="str">
        <f>IFERROR(INDEX(T_CleanCustomers[Customer_Segment],MATCH(B1554,T_CleanCustomers[Customer_ID],0)),"Unmatched")</f>
        <v>SME</v>
      </c>
    </row>
    <row r="1555" spans="1:16" ht="15" customHeight="1" x14ac:dyDescent="0.2">
      <c r="A1555" s="9" t="s">
        <v>2889</v>
      </c>
      <c r="B1555" s="9" t="s">
        <v>1337</v>
      </c>
      <c r="C1555" s="9" t="b">
        <f>TRUE()</f>
        <v>1</v>
      </c>
      <c r="D1555" s="10">
        <v>46015</v>
      </c>
      <c r="E1555" s="10">
        <v>45992</v>
      </c>
      <c r="F1555" s="9" t="s">
        <v>1479</v>
      </c>
      <c r="G1555" s="11">
        <v>4160.74</v>
      </c>
      <c r="H1555" s="11">
        <v>112.17</v>
      </c>
      <c r="I1555" s="9" t="b">
        <f>TRUE()</f>
        <v>1</v>
      </c>
      <c r="J1555" s="9" t="s">
        <v>1361</v>
      </c>
      <c r="K1555" s="11">
        <v>112.17</v>
      </c>
      <c r="L1555" s="9" t="s">
        <v>19</v>
      </c>
      <c r="M1555" s="9" t="str">
        <f>IFERROR(INDEX(T_CleanCustomers[Sales_Rep_ID],MATCH(B1555,T_CleanCustomers[Customer_ID],0)),"Unmatched")</f>
        <v>REP014</v>
      </c>
      <c r="N1555" s="9" t="str">
        <f>IFERROR(INDEX(T_CleanCustomers[Channel],MATCH(B1555,T_CleanCustomers[Customer_ID],0)),"Unmatched")</f>
        <v>Direct Sales</v>
      </c>
      <c r="O1555" s="9" t="str">
        <f>IFERROR(INDEX(T_CleanCustomers[Product],MATCH(B1555,T_CleanCustomers[Customer_ID],0)),"Unmatched")</f>
        <v>Fleet Expense Card</v>
      </c>
      <c r="P1555" s="9" t="str">
        <f>IFERROR(INDEX(T_CleanCustomers[Customer_Segment],MATCH(B1555,T_CleanCustomers[Customer_ID],0)),"Unmatched")</f>
        <v>SME</v>
      </c>
    </row>
    <row r="1556" spans="1:16" ht="15" customHeight="1" x14ac:dyDescent="0.2">
      <c r="A1556" s="9" t="s">
        <v>2890</v>
      </c>
      <c r="B1556" s="9" t="s">
        <v>80</v>
      </c>
      <c r="C1556" s="9" t="b">
        <f>TRUE()</f>
        <v>1</v>
      </c>
      <c r="D1556" s="10">
        <v>45807</v>
      </c>
      <c r="E1556" s="10">
        <v>45778</v>
      </c>
      <c r="F1556" s="9" t="s">
        <v>1360</v>
      </c>
      <c r="G1556" s="11">
        <v>17800.150000000001</v>
      </c>
      <c r="H1556" s="11">
        <v>479.26</v>
      </c>
      <c r="I1556" s="9" t="b">
        <f>TRUE()</f>
        <v>1</v>
      </c>
      <c r="J1556" s="9" t="s">
        <v>1361</v>
      </c>
      <c r="K1556" s="11">
        <v>479.26</v>
      </c>
      <c r="L1556" s="9" t="s">
        <v>19</v>
      </c>
      <c r="M1556" s="9" t="str">
        <f>IFERROR(INDEX(T_CleanCustomers[Sales_Rep_ID],MATCH(B1556,T_CleanCustomers[Customer_ID],0)),"Unmatched")</f>
        <v>REP014</v>
      </c>
      <c r="N1556" s="9" t="str">
        <f>IFERROR(INDEX(T_CleanCustomers[Channel],MATCH(B1556,T_CleanCustomers[Customer_ID],0)),"Unmatched")</f>
        <v>Direct Sales</v>
      </c>
      <c r="O1556" s="9" t="str">
        <f>IFERROR(INDEX(T_CleanCustomers[Product],MATCH(B1556,T_CleanCustomers[Customer_ID],0)),"Unmatched")</f>
        <v>Fuel Card</v>
      </c>
      <c r="P1556" s="9" t="str">
        <f>IFERROR(INDEX(T_CleanCustomers[Customer_Segment],MATCH(B1556,T_CleanCustomers[Customer_ID],0)),"Unmatched")</f>
        <v>Mid-Market</v>
      </c>
    </row>
    <row r="1557" spans="1:16" ht="15" customHeight="1" x14ac:dyDescent="0.2">
      <c r="A1557" s="9" t="s">
        <v>2891</v>
      </c>
      <c r="B1557" s="9" t="s">
        <v>80</v>
      </c>
      <c r="C1557" s="9" t="b">
        <f>TRUE()</f>
        <v>1</v>
      </c>
      <c r="D1557" s="10">
        <v>45802</v>
      </c>
      <c r="E1557" s="10">
        <v>45778</v>
      </c>
      <c r="F1557" s="9" t="s">
        <v>1360</v>
      </c>
      <c r="G1557" s="11">
        <v>8483.0300000000007</v>
      </c>
      <c r="H1557" s="11">
        <v>239.21</v>
      </c>
      <c r="I1557" s="9" t="b">
        <f>TRUE()</f>
        <v>1</v>
      </c>
      <c r="J1557" s="9" t="s">
        <v>1361</v>
      </c>
      <c r="K1557" s="11">
        <v>239.21</v>
      </c>
      <c r="L1557" s="9" t="s">
        <v>19</v>
      </c>
      <c r="M1557" s="9" t="str">
        <f>IFERROR(INDEX(T_CleanCustomers[Sales_Rep_ID],MATCH(B1557,T_CleanCustomers[Customer_ID],0)),"Unmatched")</f>
        <v>REP014</v>
      </c>
      <c r="N1557" s="9" t="str">
        <f>IFERROR(INDEX(T_CleanCustomers[Channel],MATCH(B1557,T_CleanCustomers[Customer_ID],0)),"Unmatched")</f>
        <v>Direct Sales</v>
      </c>
      <c r="O1557" s="9" t="str">
        <f>IFERROR(INDEX(T_CleanCustomers[Product],MATCH(B1557,T_CleanCustomers[Customer_ID],0)),"Unmatched")</f>
        <v>Fuel Card</v>
      </c>
      <c r="P1557" s="9" t="str">
        <f>IFERROR(INDEX(T_CleanCustomers[Customer_Segment],MATCH(B1557,T_CleanCustomers[Customer_ID],0)),"Unmatched")</f>
        <v>Mid-Market</v>
      </c>
    </row>
    <row r="1558" spans="1:16" ht="15" customHeight="1" x14ac:dyDescent="0.2">
      <c r="A1558" s="9" t="s">
        <v>2892</v>
      </c>
      <c r="B1558" s="9" t="s">
        <v>80</v>
      </c>
      <c r="C1558" s="9" t="b">
        <f>TRUE()</f>
        <v>1</v>
      </c>
      <c r="D1558" s="10">
        <v>45803</v>
      </c>
      <c r="E1558" s="10">
        <v>45778</v>
      </c>
      <c r="F1558" s="9" t="s">
        <v>1360</v>
      </c>
      <c r="G1558" s="11">
        <v>12667.28</v>
      </c>
      <c r="H1558" s="11">
        <v>361.73</v>
      </c>
      <c r="I1558" s="9" t="b">
        <f>TRUE()</f>
        <v>1</v>
      </c>
      <c r="J1558" s="9" t="s">
        <v>1361</v>
      </c>
      <c r="K1558" s="11">
        <v>361.73</v>
      </c>
      <c r="L1558" s="9" t="s">
        <v>19</v>
      </c>
      <c r="M1558" s="9" t="str">
        <f>IFERROR(INDEX(T_CleanCustomers[Sales_Rep_ID],MATCH(B1558,T_CleanCustomers[Customer_ID],0)),"Unmatched")</f>
        <v>REP014</v>
      </c>
      <c r="N1558" s="9" t="str">
        <f>IFERROR(INDEX(T_CleanCustomers[Channel],MATCH(B1558,T_CleanCustomers[Customer_ID],0)),"Unmatched")</f>
        <v>Direct Sales</v>
      </c>
      <c r="O1558" s="9" t="str">
        <f>IFERROR(INDEX(T_CleanCustomers[Product],MATCH(B1558,T_CleanCustomers[Customer_ID],0)),"Unmatched")</f>
        <v>Fuel Card</v>
      </c>
      <c r="P1558" s="9" t="str">
        <f>IFERROR(INDEX(T_CleanCustomers[Customer_Segment],MATCH(B1558,T_CleanCustomers[Customer_ID],0)),"Unmatched")</f>
        <v>Mid-Market</v>
      </c>
    </row>
    <row r="1559" spans="1:16" ht="15" customHeight="1" x14ac:dyDescent="0.2">
      <c r="A1559" s="9" t="s">
        <v>2893</v>
      </c>
      <c r="B1559" s="9" t="s">
        <v>80</v>
      </c>
      <c r="C1559" s="9" t="b">
        <f>TRUE()</f>
        <v>1</v>
      </c>
      <c r="D1559" s="10">
        <v>45817</v>
      </c>
      <c r="E1559" s="10">
        <v>45809</v>
      </c>
      <c r="F1559" s="9" t="s">
        <v>1360</v>
      </c>
      <c r="G1559" s="11">
        <v>4743.37</v>
      </c>
      <c r="H1559" s="11">
        <v>115.38</v>
      </c>
      <c r="I1559" s="9" t="b">
        <f>TRUE()</f>
        <v>1</v>
      </c>
      <c r="J1559" s="9" t="s">
        <v>1361</v>
      </c>
      <c r="K1559" s="11">
        <v>115.38</v>
      </c>
      <c r="L1559" s="9" t="s">
        <v>19</v>
      </c>
      <c r="M1559" s="9" t="str">
        <f>IFERROR(INDEX(T_CleanCustomers[Sales_Rep_ID],MATCH(B1559,T_CleanCustomers[Customer_ID],0)),"Unmatched")</f>
        <v>REP014</v>
      </c>
      <c r="N1559" s="9" t="str">
        <f>IFERROR(INDEX(T_CleanCustomers[Channel],MATCH(B1559,T_CleanCustomers[Customer_ID],0)),"Unmatched")</f>
        <v>Direct Sales</v>
      </c>
      <c r="O1559" s="9" t="str">
        <f>IFERROR(INDEX(T_CleanCustomers[Product],MATCH(B1559,T_CleanCustomers[Customer_ID],0)),"Unmatched")</f>
        <v>Fuel Card</v>
      </c>
      <c r="P1559" s="9" t="str">
        <f>IFERROR(INDEX(T_CleanCustomers[Customer_Segment],MATCH(B1559,T_CleanCustomers[Customer_ID],0)),"Unmatched")</f>
        <v>Mid-Market</v>
      </c>
    </row>
    <row r="1560" spans="1:16" ht="15" customHeight="1" x14ac:dyDescent="0.2">
      <c r="A1560" s="9" t="s">
        <v>2894</v>
      </c>
      <c r="B1560" s="9" t="s">
        <v>80</v>
      </c>
      <c r="C1560" s="9" t="b">
        <f>TRUE()</f>
        <v>1</v>
      </c>
      <c r="D1560" s="10">
        <v>45822</v>
      </c>
      <c r="E1560" s="10">
        <v>45809</v>
      </c>
      <c r="F1560" s="9" t="s">
        <v>1360</v>
      </c>
      <c r="G1560" s="11">
        <v>4749.95</v>
      </c>
      <c r="H1560" s="11">
        <v>0</v>
      </c>
      <c r="I1560" s="9" t="b">
        <f>TRUE()</f>
        <v>1</v>
      </c>
      <c r="J1560" s="9" t="s">
        <v>1408</v>
      </c>
      <c r="K1560" s="11">
        <v>0</v>
      </c>
      <c r="L1560" s="9" t="s">
        <v>19</v>
      </c>
      <c r="M1560" s="9" t="str">
        <f>IFERROR(INDEX(T_CleanCustomers[Sales_Rep_ID],MATCH(B1560,T_CleanCustomers[Customer_ID],0)),"Unmatched")</f>
        <v>REP014</v>
      </c>
      <c r="N1560" s="9" t="str">
        <f>IFERROR(INDEX(T_CleanCustomers[Channel],MATCH(B1560,T_CleanCustomers[Customer_ID],0)),"Unmatched")</f>
        <v>Direct Sales</v>
      </c>
      <c r="O1560" s="9" t="str">
        <f>IFERROR(INDEX(T_CleanCustomers[Product],MATCH(B1560,T_CleanCustomers[Customer_ID],0)),"Unmatched")</f>
        <v>Fuel Card</v>
      </c>
      <c r="P1560" s="9" t="str">
        <f>IFERROR(INDEX(T_CleanCustomers[Customer_Segment],MATCH(B1560,T_CleanCustomers[Customer_ID],0)),"Unmatched")</f>
        <v>Mid-Market</v>
      </c>
    </row>
    <row r="1561" spans="1:16" ht="15" customHeight="1" x14ac:dyDescent="0.2">
      <c r="A1561" s="9" t="s">
        <v>2895</v>
      </c>
      <c r="B1561" s="9" t="s">
        <v>80</v>
      </c>
      <c r="C1561" s="9" t="b">
        <f>TRUE()</f>
        <v>1</v>
      </c>
      <c r="D1561" s="10">
        <v>45865</v>
      </c>
      <c r="E1561" s="10">
        <v>45839</v>
      </c>
      <c r="F1561" s="9" t="s">
        <v>1360</v>
      </c>
      <c r="G1561" s="11">
        <v>7361.81</v>
      </c>
      <c r="H1561" s="11">
        <v>177.93</v>
      </c>
      <c r="I1561" s="9" t="b">
        <f>TRUE()</f>
        <v>1</v>
      </c>
      <c r="J1561" s="9" t="s">
        <v>1361</v>
      </c>
      <c r="K1561" s="11">
        <v>177.93</v>
      </c>
      <c r="L1561" s="9" t="s">
        <v>19</v>
      </c>
      <c r="M1561" s="9" t="str">
        <f>IFERROR(INDEX(T_CleanCustomers[Sales_Rep_ID],MATCH(B1561,T_CleanCustomers[Customer_ID],0)),"Unmatched")</f>
        <v>REP014</v>
      </c>
      <c r="N1561" s="9" t="str">
        <f>IFERROR(INDEX(T_CleanCustomers[Channel],MATCH(B1561,T_CleanCustomers[Customer_ID],0)),"Unmatched")</f>
        <v>Direct Sales</v>
      </c>
      <c r="O1561" s="9" t="str">
        <f>IFERROR(INDEX(T_CleanCustomers[Product],MATCH(B1561,T_CleanCustomers[Customer_ID],0)),"Unmatched")</f>
        <v>Fuel Card</v>
      </c>
      <c r="P1561" s="9" t="str">
        <f>IFERROR(INDEX(T_CleanCustomers[Customer_Segment],MATCH(B1561,T_CleanCustomers[Customer_ID],0)),"Unmatched")</f>
        <v>Mid-Market</v>
      </c>
    </row>
    <row r="1562" spans="1:16" ht="15" customHeight="1" x14ac:dyDescent="0.2">
      <c r="A1562" s="9" t="s">
        <v>2896</v>
      </c>
      <c r="B1562" s="9" t="s">
        <v>80</v>
      </c>
      <c r="C1562" s="9" t="b">
        <f>TRUE()</f>
        <v>1</v>
      </c>
      <c r="D1562" s="10">
        <v>45900</v>
      </c>
      <c r="E1562" s="10">
        <v>45870</v>
      </c>
      <c r="F1562" s="9" t="s">
        <v>1360</v>
      </c>
      <c r="G1562" s="11">
        <v>12086.75</v>
      </c>
      <c r="H1562" s="11">
        <v>262.66000000000003</v>
      </c>
      <c r="I1562" s="9" t="b">
        <f>TRUE()</f>
        <v>1</v>
      </c>
      <c r="J1562" s="9" t="s">
        <v>1361</v>
      </c>
      <c r="K1562" s="11">
        <v>262.66000000000003</v>
      </c>
      <c r="L1562" s="9" t="s">
        <v>19</v>
      </c>
      <c r="M1562" s="9" t="str">
        <f>IFERROR(INDEX(T_CleanCustomers[Sales_Rep_ID],MATCH(B1562,T_CleanCustomers[Customer_ID],0)),"Unmatched")</f>
        <v>REP014</v>
      </c>
      <c r="N1562" s="9" t="str">
        <f>IFERROR(INDEX(T_CleanCustomers[Channel],MATCH(B1562,T_CleanCustomers[Customer_ID],0)),"Unmatched")</f>
        <v>Direct Sales</v>
      </c>
      <c r="O1562" s="9" t="str">
        <f>IFERROR(INDEX(T_CleanCustomers[Product],MATCH(B1562,T_CleanCustomers[Customer_ID],0)),"Unmatched")</f>
        <v>Fuel Card</v>
      </c>
      <c r="P1562" s="9" t="str">
        <f>IFERROR(INDEX(T_CleanCustomers[Customer_Segment],MATCH(B1562,T_CleanCustomers[Customer_ID],0)),"Unmatched")</f>
        <v>Mid-Market</v>
      </c>
    </row>
    <row r="1563" spans="1:16" ht="15" customHeight="1" x14ac:dyDescent="0.2">
      <c r="A1563" s="9" t="s">
        <v>2897</v>
      </c>
      <c r="B1563" s="9" t="s">
        <v>80</v>
      </c>
      <c r="C1563" s="9" t="b">
        <f>TRUE()</f>
        <v>1</v>
      </c>
      <c r="D1563" s="10">
        <v>45907</v>
      </c>
      <c r="E1563" s="10">
        <v>45901</v>
      </c>
      <c r="F1563" s="9" t="s">
        <v>1360</v>
      </c>
      <c r="G1563" s="11">
        <v>10911.3</v>
      </c>
      <c r="H1563" s="11">
        <v>254.51</v>
      </c>
      <c r="I1563" s="9" t="b">
        <f>TRUE()</f>
        <v>1</v>
      </c>
      <c r="J1563" s="9" t="s">
        <v>1361</v>
      </c>
      <c r="K1563" s="11">
        <v>254.51</v>
      </c>
      <c r="L1563" s="9" t="s">
        <v>19</v>
      </c>
      <c r="M1563" s="9" t="str">
        <f>IFERROR(INDEX(T_CleanCustomers[Sales_Rep_ID],MATCH(B1563,T_CleanCustomers[Customer_ID],0)),"Unmatched")</f>
        <v>REP014</v>
      </c>
      <c r="N1563" s="9" t="str">
        <f>IFERROR(INDEX(T_CleanCustomers[Channel],MATCH(B1563,T_CleanCustomers[Customer_ID],0)),"Unmatched")</f>
        <v>Direct Sales</v>
      </c>
      <c r="O1563" s="9" t="str">
        <f>IFERROR(INDEX(T_CleanCustomers[Product],MATCH(B1563,T_CleanCustomers[Customer_ID],0)),"Unmatched")</f>
        <v>Fuel Card</v>
      </c>
      <c r="P1563" s="9" t="str">
        <f>IFERROR(INDEX(T_CleanCustomers[Customer_Segment],MATCH(B1563,T_CleanCustomers[Customer_ID],0)),"Unmatched")</f>
        <v>Mid-Market</v>
      </c>
    </row>
    <row r="1564" spans="1:16" ht="15" customHeight="1" x14ac:dyDescent="0.2">
      <c r="A1564" s="9" t="s">
        <v>2898</v>
      </c>
      <c r="B1564" s="9" t="s">
        <v>80</v>
      </c>
      <c r="C1564" s="9" t="b">
        <f>TRUE()</f>
        <v>1</v>
      </c>
      <c r="D1564" s="10">
        <v>45922</v>
      </c>
      <c r="E1564" s="10">
        <v>45901</v>
      </c>
      <c r="F1564" s="9" t="s">
        <v>1360</v>
      </c>
      <c r="G1564" s="11">
        <v>17707.52</v>
      </c>
      <c r="H1564" s="11">
        <v>432.56</v>
      </c>
      <c r="I1564" s="9" t="b">
        <f>TRUE()</f>
        <v>1</v>
      </c>
      <c r="J1564" s="9" t="s">
        <v>1361</v>
      </c>
      <c r="K1564" s="11">
        <v>432.56</v>
      </c>
      <c r="L1564" s="9" t="s">
        <v>19</v>
      </c>
      <c r="M1564" s="9" t="str">
        <f>IFERROR(INDEX(T_CleanCustomers[Sales_Rep_ID],MATCH(B1564,T_CleanCustomers[Customer_ID],0)),"Unmatched")</f>
        <v>REP014</v>
      </c>
      <c r="N1564" s="9" t="str">
        <f>IFERROR(INDEX(T_CleanCustomers[Channel],MATCH(B1564,T_CleanCustomers[Customer_ID],0)),"Unmatched")</f>
        <v>Direct Sales</v>
      </c>
      <c r="O1564" s="9" t="str">
        <f>IFERROR(INDEX(T_CleanCustomers[Product],MATCH(B1564,T_CleanCustomers[Customer_ID],0)),"Unmatched")</f>
        <v>Fuel Card</v>
      </c>
      <c r="P1564" s="9" t="str">
        <f>IFERROR(INDEX(T_CleanCustomers[Customer_Segment],MATCH(B1564,T_CleanCustomers[Customer_ID],0)),"Unmatched")</f>
        <v>Mid-Market</v>
      </c>
    </row>
    <row r="1565" spans="1:16" ht="15" customHeight="1" x14ac:dyDescent="0.2">
      <c r="A1565" s="9" t="s">
        <v>2899</v>
      </c>
      <c r="B1565" s="9" t="s">
        <v>80</v>
      </c>
      <c r="C1565" s="9" t="b">
        <f>TRUE()</f>
        <v>1</v>
      </c>
      <c r="D1565" s="10">
        <v>45944</v>
      </c>
      <c r="E1565" s="10">
        <v>45931</v>
      </c>
      <c r="F1565" s="9" t="s">
        <v>1360</v>
      </c>
      <c r="G1565" s="11">
        <v>10738.44</v>
      </c>
      <c r="H1565" s="11">
        <v>265.67</v>
      </c>
      <c r="I1565" s="9" t="b">
        <f>TRUE()</f>
        <v>1</v>
      </c>
      <c r="J1565" s="9" t="s">
        <v>1361</v>
      </c>
      <c r="K1565" s="11">
        <v>265.67</v>
      </c>
      <c r="L1565" s="9" t="s">
        <v>19</v>
      </c>
      <c r="M1565" s="9" t="str">
        <f>IFERROR(INDEX(T_CleanCustomers[Sales_Rep_ID],MATCH(B1565,T_CleanCustomers[Customer_ID],0)),"Unmatched")</f>
        <v>REP014</v>
      </c>
      <c r="N1565" s="9" t="str">
        <f>IFERROR(INDEX(T_CleanCustomers[Channel],MATCH(B1565,T_CleanCustomers[Customer_ID],0)),"Unmatched")</f>
        <v>Direct Sales</v>
      </c>
      <c r="O1565" s="9" t="str">
        <f>IFERROR(INDEX(T_CleanCustomers[Product],MATCH(B1565,T_CleanCustomers[Customer_ID],0)),"Unmatched")</f>
        <v>Fuel Card</v>
      </c>
      <c r="P1565" s="9" t="str">
        <f>IFERROR(INDEX(T_CleanCustomers[Customer_Segment],MATCH(B1565,T_CleanCustomers[Customer_ID],0)),"Unmatched")</f>
        <v>Mid-Market</v>
      </c>
    </row>
    <row r="1566" spans="1:16" ht="15" customHeight="1" x14ac:dyDescent="0.2">
      <c r="A1566" s="9" t="s">
        <v>2900</v>
      </c>
      <c r="B1566" s="9" t="s">
        <v>80</v>
      </c>
      <c r="C1566" s="9" t="b">
        <f>TRUE()</f>
        <v>1</v>
      </c>
      <c r="D1566" s="10">
        <v>45977</v>
      </c>
      <c r="E1566" s="10">
        <v>45962</v>
      </c>
      <c r="F1566" s="9" t="s">
        <v>1360</v>
      </c>
      <c r="G1566" s="11">
        <v>10057.280000000001</v>
      </c>
      <c r="H1566" s="11">
        <v>268.83999999999997</v>
      </c>
      <c r="I1566" s="9" t="b">
        <f>TRUE()</f>
        <v>1</v>
      </c>
      <c r="J1566" s="9" t="s">
        <v>1361</v>
      </c>
      <c r="K1566" s="11">
        <v>268.83999999999997</v>
      </c>
      <c r="L1566" s="9" t="s">
        <v>19</v>
      </c>
      <c r="M1566" s="9" t="str">
        <f>IFERROR(INDEX(T_CleanCustomers[Sales_Rep_ID],MATCH(B1566,T_CleanCustomers[Customer_ID],0)),"Unmatched")</f>
        <v>REP014</v>
      </c>
      <c r="N1566" s="9" t="str">
        <f>IFERROR(INDEX(T_CleanCustomers[Channel],MATCH(B1566,T_CleanCustomers[Customer_ID],0)),"Unmatched")</f>
        <v>Direct Sales</v>
      </c>
      <c r="O1566" s="9" t="str">
        <f>IFERROR(INDEX(T_CleanCustomers[Product],MATCH(B1566,T_CleanCustomers[Customer_ID],0)),"Unmatched")</f>
        <v>Fuel Card</v>
      </c>
      <c r="P1566" s="9" t="str">
        <f>IFERROR(INDEX(T_CleanCustomers[Customer_Segment],MATCH(B1566,T_CleanCustomers[Customer_ID],0)),"Unmatched")</f>
        <v>Mid-Market</v>
      </c>
    </row>
    <row r="1567" spans="1:16" ht="15" customHeight="1" x14ac:dyDescent="0.2">
      <c r="A1567" s="9" t="s">
        <v>2901</v>
      </c>
      <c r="B1567" s="9" t="s">
        <v>80</v>
      </c>
      <c r="C1567" s="9" t="b">
        <f>TRUE()</f>
        <v>1</v>
      </c>
      <c r="D1567" s="10">
        <v>46008</v>
      </c>
      <c r="E1567" s="10">
        <v>45992</v>
      </c>
      <c r="F1567" s="9" t="s">
        <v>1360</v>
      </c>
      <c r="G1567" s="11">
        <v>17861.150000000001</v>
      </c>
      <c r="H1567" s="11">
        <v>438.62</v>
      </c>
      <c r="I1567" s="9" t="b">
        <f>TRUE()</f>
        <v>1</v>
      </c>
      <c r="J1567" s="9" t="s">
        <v>1361</v>
      </c>
      <c r="K1567" s="11">
        <v>438.62</v>
      </c>
      <c r="L1567" s="9" t="s">
        <v>19</v>
      </c>
      <c r="M1567" s="9" t="str">
        <f>IFERROR(INDEX(T_CleanCustomers[Sales_Rep_ID],MATCH(B1567,T_CleanCustomers[Customer_ID],0)),"Unmatched")</f>
        <v>REP014</v>
      </c>
      <c r="N1567" s="9" t="str">
        <f>IFERROR(INDEX(T_CleanCustomers[Channel],MATCH(B1567,T_CleanCustomers[Customer_ID],0)),"Unmatched")</f>
        <v>Direct Sales</v>
      </c>
      <c r="O1567" s="9" t="str">
        <f>IFERROR(INDEX(T_CleanCustomers[Product],MATCH(B1567,T_CleanCustomers[Customer_ID],0)),"Unmatched")</f>
        <v>Fuel Card</v>
      </c>
      <c r="P1567" s="9" t="str">
        <f>IFERROR(INDEX(T_CleanCustomers[Customer_Segment],MATCH(B1567,T_CleanCustomers[Customer_ID],0)),"Unmatched")</f>
        <v>Mid-Market</v>
      </c>
    </row>
    <row r="1568" spans="1:16" ht="15" customHeight="1" x14ac:dyDescent="0.2">
      <c r="A1568" s="9" t="s">
        <v>2902</v>
      </c>
      <c r="B1568" s="9" t="s">
        <v>1343</v>
      </c>
      <c r="C1568" s="9" t="b">
        <f>TRUE()</f>
        <v>1</v>
      </c>
      <c r="D1568" s="10">
        <v>46014</v>
      </c>
      <c r="E1568" s="10">
        <v>45992</v>
      </c>
      <c r="F1568" s="9" t="s">
        <v>1360</v>
      </c>
      <c r="G1568" s="11">
        <v>3821.82</v>
      </c>
      <c r="H1568" s="11">
        <v>88.23</v>
      </c>
      <c r="I1568" s="9" t="b">
        <f>TRUE()</f>
        <v>1</v>
      </c>
      <c r="J1568" s="9" t="s">
        <v>1361</v>
      </c>
      <c r="K1568" s="11">
        <v>88.23</v>
      </c>
      <c r="L1568" s="9" t="s">
        <v>21</v>
      </c>
      <c r="M1568" s="9" t="str">
        <f>IFERROR(INDEX(T_CleanCustomers[Sales_Rep_ID],MATCH(B1568,T_CleanCustomers[Customer_ID],0)),"Unmatched")</f>
        <v>REP008</v>
      </c>
      <c r="N1568" s="9" t="str">
        <f>IFERROR(INDEX(T_CleanCustomers[Channel],MATCH(B1568,T_CleanCustomers[Customer_ID],0)),"Unmatched")</f>
        <v>Direct Sales</v>
      </c>
      <c r="O1568" s="9" t="str">
        <f>IFERROR(INDEX(T_CleanCustomers[Product],MATCH(B1568,T_CleanCustomers[Customer_ID],0)),"Unmatched")</f>
        <v>Fleet Expense Card</v>
      </c>
      <c r="P1568" s="9" t="str">
        <f>IFERROR(INDEX(T_CleanCustomers[Customer_Segment],MATCH(B1568,T_CleanCustomers[Customer_ID],0)),"Unmatched")</f>
        <v>SME</v>
      </c>
    </row>
    <row r="1569" spans="1:16" ht="15" customHeight="1" x14ac:dyDescent="0.2">
      <c r="A1569" s="9" t="s">
        <v>2903</v>
      </c>
      <c r="B1569" s="9" t="s">
        <v>1343</v>
      </c>
      <c r="C1569" s="9" t="b">
        <f>TRUE()</f>
        <v>1</v>
      </c>
      <c r="D1569" s="10">
        <v>46014</v>
      </c>
      <c r="E1569" s="10">
        <v>45992</v>
      </c>
      <c r="F1569" s="9" t="s">
        <v>1360</v>
      </c>
      <c r="G1569" s="11">
        <v>4270.1000000000004</v>
      </c>
      <c r="H1569" s="11">
        <v>117.32</v>
      </c>
      <c r="I1569" s="9" t="b">
        <f>TRUE()</f>
        <v>1</v>
      </c>
      <c r="J1569" s="9" t="s">
        <v>1361</v>
      </c>
      <c r="K1569" s="11">
        <v>117.32</v>
      </c>
      <c r="L1569" s="9" t="s">
        <v>21</v>
      </c>
      <c r="M1569" s="9" t="str">
        <f>IFERROR(INDEX(T_CleanCustomers[Sales_Rep_ID],MATCH(B1569,T_CleanCustomers[Customer_ID],0)),"Unmatched")</f>
        <v>REP008</v>
      </c>
      <c r="N1569" s="9" t="str">
        <f>IFERROR(INDEX(T_CleanCustomers[Channel],MATCH(B1569,T_CleanCustomers[Customer_ID],0)),"Unmatched")</f>
        <v>Direct Sales</v>
      </c>
      <c r="O1569" s="9" t="str">
        <f>IFERROR(INDEX(T_CleanCustomers[Product],MATCH(B1569,T_CleanCustomers[Customer_ID],0)),"Unmatched")</f>
        <v>Fleet Expense Card</v>
      </c>
      <c r="P1569" s="9" t="str">
        <f>IFERROR(INDEX(T_CleanCustomers[Customer_Segment],MATCH(B1569,T_CleanCustomers[Customer_ID],0)),"Unmatched")</f>
        <v>SME</v>
      </c>
    </row>
    <row r="1570" spans="1:16" ht="15" customHeight="1" x14ac:dyDescent="0.2">
      <c r="A1570" s="9" t="s">
        <v>2904</v>
      </c>
      <c r="B1570" s="9" t="s">
        <v>1343</v>
      </c>
      <c r="C1570" s="9" t="b">
        <f>TRUE()</f>
        <v>1</v>
      </c>
      <c r="D1570" s="10">
        <v>46015</v>
      </c>
      <c r="E1570" s="10">
        <v>45992</v>
      </c>
      <c r="F1570" s="9" t="s">
        <v>1360</v>
      </c>
      <c r="G1570" s="11">
        <v>4774.24</v>
      </c>
      <c r="H1570" s="11">
        <v>147.38999999999999</v>
      </c>
      <c r="I1570" s="9" t="b">
        <f>TRUE()</f>
        <v>1</v>
      </c>
      <c r="J1570" s="9" t="s">
        <v>1361</v>
      </c>
      <c r="K1570" s="11">
        <v>147.38999999999999</v>
      </c>
      <c r="L1570" s="9" t="s">
        <v>21</v>
      </c>
      <c r="M1570" s="9" t="str">
        <f>IFERROR(INDEX(T_CleanCustomers[Sales_Rep_ID],MATCH(B1570,T_CleanCustomers[Customer_ID],0)),"Unmatched")</f>
        <v>REP008</v>
      </c>
      <c r="N1570" s="9" t="str">
        <f>IFERROR(INDEX(T_CleanCustomers[Channel],MATCH(B1570,T_CleanCustomers[Customer_ID],0)),"Unmatched")</f>
        <v>Direct Sales</v>
      </c>
      <c r="O1570" s="9" t="str">
        <f>IFERROR(INDEX(T_CleanCustomers[Product],MATCH(B1570,T_CleanCustomers[Customer_ID],0)),"Unmatched")</f>
        <v>Fleet Expense Card</v>
      </c>
      <c r="P1570" s="9" t="str">
        <f>IFERROR(INDEX(T_CleanCustomers[Customer_Segment],MATCH(B1570,T_CleanCustomers[Customer_ID],0)),"Unmatched")</f>
        <v>SME</v>
      </c>
    </row>
    <row r="1571" spans="1:16" ht="15" customHeight="1" x14ac:dyDescent="0.2">
      <c r="A1571" s="9" t="s">
        <v>2905</v>
      </c>
      <c r="B1571" s="9" t="s">
        <v>1345</v>
      </c>
      <c r="C1571" s="9" t="b">
        <f>TRUE()</f>
        <v>1</v>
      </c>
      <c r="D1571" s="10">
        <v>45693</v>
      </c>
      <c r="E1571" s="10">
        <v>45689</v>
      </c>
      <c r="F1571" s="9" t="s">
        <v>1423</v>
      </c>
      <c r="G1571" s="11">
        <v>2038.49</v>
      </c>
      <c r="H1571" s="11">
        <v>54.95</v>
      </c>
      <c r="I1571" s="9" t="b">
        <f>TRUE()</f>
        <v>1</v>
      </c>
      <c r="J1571" s="9" t="s">
        <v>1361</v>
      </c>
      <c r="K1571" s="11">
        <v>54.95</v>
      </c>
      <c r="L1571" s="9" t="s">
        <v>19</v>
      </c>
      <c r="M1571" s="9" t="str">
        <f>IFERROR(INDEX(T_CleanCustomers[Sales_Rep_ID],MATCH(B1571,T_CleanCustomers[Customer_ID],0)),"Unmatched")</f>
        <v>REP014</v>
      </c>
      <c r="N1571" s="9" t="str">
        <f>IFERROR(INDEX(T_CleanCustomers[Channel],MATCH(B1571,T_CleanCustomers[Customer_ID],0)),"Unmatched")</f>
        <v>Direct Sales</v>
      </c>
      <c r="O1571" s="9" t="str">
        <f>IFERROR(INDEX(T_CleanCustomers[Product],MATCH(B1571,T_CleanCustomers[Customer_ID],0)),"Unmatched")</f>
        <v>EV Charge Card</v>
      </c>
      <c r="P1571" s="9" t="str">
        <f>IFERROR(INDEX(T_CleanCustomers[Customer_Segment],MATCH(B1571,T_CleanCustomers[Customer_ID],0)),"Unmatched")</f>
        <v>SME</v>
      </c>
    </row>
    <row r="1572" spans="1:16" ht="15" customHeight="1" x14ac:dyDescent="0.2">
      <c r="A1572" s="9" t="s">
        <v>2906</v>
      </c>
      <c r="B1572" s="9" t="s">
        <v>1345</v>
      </c>
      <c r="C1572" s="9" t="b">
        <f>TRUE()</f>
        <v>1</v>
      </c>
      <c r="D1572" s="10">
        <v>45701</v>
      </c>
      <c r="E1572" s="10">
        <v>45689</v>
      </c>
      <c r="F1572" s="9" t="s">
        <v>1423</v>
      </c>
      <c r="G1572" s="11">
        <v>4455.13</v>
      </c>
      <c r="H1572" s="11">
        <v>139.93</v>
      </c>
      <c r="I1572" s="9" t="b">
        <f>TRUE()</f>
        <v>1</v>
      </c>
      <c r="J1572" s="9" t="s">
        <v>1361</v>
      </c>
      <c r="K1572" s="11">
        <v>139.93</v>
      </c>
      <c r="L1572" s="9" t="s">
        <v>19</v>
      </c>
      <c r="M1572" s="9" t="str">
        <f>IFERROR(INDEX(T_CleanCustomers[Sales_Rep_ID],MATCH(B1572,T_CleanCustomers[Customer_ID],0)),"Unmatched")</f>
        <v>REP014</v>
      </c>
      <c r="N1572" s="9" t="str">
        <f>IFERROR(INDEX(T_CleanCustomers[Channel],MATCH(B1572,T_CleanCustomers[Customer_ID],0)),"Unmatched")</f>
        <v>Direct Sales</v>
      </c>
      <c r="O1572" s="9" t="str">
        <f>IFERROR(INDEX(T_CleanCustomers[Product],MATCH(B1572,T_CleanCustomers[Customer_ID],0)),"Unmatched")</f>
        <v>EV Charge Card</v>
      </c>
      <c r="P1572" s="9" t="str">
        <f>IFERROR(INDEX(T_CleanCustomers[Customer_Segment],MATCH(B1572,T_CleanCustomers[Customer_ID],0)),"Unmatched")</f>
        <v>SME</v>
      </c>
    </row>
    <row r="1573" spans="1:16" ht="15" customHeight="1" x14ac:dyDescent="0.2">
      <c r="A1573" s="9" t="s">
        <v>2907</v>
      </c>
      <c r="B1573" s="9" t="s">
        <v>1345</v>
      </c>
      <c r="C1573" s="9" t="b">
        <f>TRUE()</f>
        <v>1</v>
      </c>
      <c r="D1573" s="10">
        <v>45724</v>
      </c>
      <c r="E1573" s="10">
        <v>45717</v>
      </c>
      <c r="F1573" s="9" t="s">
        <v>1423</v>
      </c>
      <c r="G1573" s="11">
        <v>3189.59</v>
      </c>
      <c r="H1573" s="11">
        <v>89.78</v>
      </c>
      <c r="I1573" s="9" t="b">
        <f>TRUE()</f>
        <v>1</v>
      </c>
      <c r="J1573" s="9" t="s">
        <v>1361</v>
      </c>
      <c r="K1573" s="11">
        <v>89.78</v>
      </c>
      <c r="L1573" s="9" t="s">
        <v>19</v>
      </c>
      <c r="M1573" s="9" t="str">
        <f>IFERROR(INDEX(T_CleanCustomers[Sales_Rep_ID],MATCH(B1573,T_CleanCustomers[Customer_ID],0)),"Unmatched")</f>
        <v>REP014</v>
      </c>
      <c r="N1573" s="9" t="str">
        <f>IFERROR(INDEX(T_CleanCustomers[Channel],MATCH(B1573,T_CleanCustomers[Customer_ID],0)),"Unmatched")</f>
        <v>Direct Sales</v>
      </c>
      <c r="O1573" s="9" t="str">
        <f>IFERROR(INDEX(T_CleanCustomers[Product],MATCH(B1573,T_CleanCustomers[Customer_ID],0)),"Unmatched")</f>
        <v>EV Charge Card</v>
      </c>
      <c r="P1573" s="9" t="str">
        <f>IFERROR(INDEX(T_CleanCustomers[Customer_Segment],MATCH(B1573,T_CleanCustomers[Customer_ID],0)),"Unmatched")</f>
        <v>SME</v>
      </c>
    </row>
    <row r="1574" spans="1:16" ht="15" customHeight="1" x14ac:dyDescent="0.2">
      <c r="A1574" s="9" t="s">
        <v>2908</v>
      </c>
      <c r="B1574" s="9" t="s">
        <v>1345</v>
      </c>
      <c r="C1574" s="9" t="b">
        <f>TRUE()</f>
        <v>1</v>
      </c>
      <c r="D1574" s="10">
        <v>45736</v>
      </c>
      <c r="E1574" s="10">
        <v>45717</v>
      </c>
      <c r="F1574" s="9" t="s">
        <v>1423</v>
      </c>
      <c r="G1574" s="11">
        <v>1580.1</v>
      </c>
      <c r="H1574" s="11">
        <v>42.45</v>
      </c>
      <c r="I1574" s="9" t="b">
        <f>TRUE()</f>
        <v>1</v>
      </c>
      <c r="J1574" s="9" t="s">
        <v>1361</v>
      </c>
      <c r="K1574" s="11">
        <v>42.45</v>
      </c>
      <c r="L1574" s="9" t="s">
        <v>19</v>
      </c>
      <c r="M1574" s="9" t="str">
        <f>IFERROR(INDEX(T_CleanCustomers[Sales_Rep_ID],MATCH(B1574,T_CleanCustomers[Customer_ID],0)),"Unmatched")</f>
        <v>REP014</v>
      </c>
      <c r="N1574" s="9" t="str">
        <f>IFERROR(INDEX(T_CleanCustomers[Channel],MATCH(B1574,T_CleanCustomers[Customer_ID],0)),"Unmatched")</f>
        <v>Direct Sales</v>
      </c>
      <c r="O1574" s="9" t="str">
        <f>IFERROR(INDEX(T_CleanCustomers[Product],MATCH(B1574,T_CleanCustomers[Customer_ID],0)),"Unmatched")</f>
        <v>EV Charge Card</v>
      </c>
      <c r="P1574" s="9" t="str">
        <f>IFERROR(INDEX(T_CleanCustomers[Customer_Segment],MATCH(B1574,T_CleanCustomers[Customer_ID],0)),"Unmatched")</f>
        <v>SME</v>
      </c>
    </row>
    <row r="1575" spans="1:16" ht="15" customHeight="1" x14ac:dyDescent="0.2">
      <c r="A1575" s="9" t="s">
        <v>2909</v>
      </c>
      <c r="B1575" s="9" t="s">
        <v>1345</v>
      </c>
      <c r="C1575" s="9" t="b">
        <f>TRUE()</f>
        <v>1</v>
      </c>
      <c r="D1575" s="10">
        <v>45762</v>
      </c>
      <c r="E1575" s="10">
        <v>45748</v>
      </c>
      <c r="F1575" s="9" t="s">
        <v>1423</v>
      </c>
      <c r="G1575" s="11">
        <v>2257.29</v>
      </c>
      <c r="H1575" s="11">
        <v>80.34</v>
      </c>
      <c r="I1575" s="9" t="b">
        <f>TRUE()</f>
        <v>1</v>
      </c>
      <c r="J1575" s="9" t="s">
        <v>1361</v>
      </c>
      <c r="K1575" s="11">
        <v>80.34</v>
      </c>
      <c r="L1575" s="9" t="s">
        <v>19</v>
      </c>
      <c r="M1575" s="9" t="str">
        <f>IFERROR(INDEX(T_CleanCustomers[Sales_Rep_ID],MATCH(B1575,T_CleanCustomers[Customer_ID],0)),"Unmatched")</f>
        <v>REP014</v>
      </c>
      <c r="N1575" s="9" t="str">
        <f>IFERROR(INDEX(T_CleanCustomers[Channel],MATCH(B1575,T_CleanCustomers[Customer_ID],0)),"Unmatched")</f>
        <v>Direct Sales</v>
      </c>
      <c r="O1575" s="9" t="str">
        <f>IFERROR(INDEX(T_CleanCustomers[Product],MATCH(B1575,T_CleanCustomers[Customer_ID],0)),"Unmatched")</f>
        <v>EV Charge Card</v>
      </c>
      <c r="P1575" s="9" t="str">
        <f>IFERROR(INDEX(T_CleanCustomers[Customer_Segment],MATCH(B1575,T_CleanCustomers[Customer_ID],0)),"Unmatched")</f>
        <v>SME</v>
      </c>
    </row>
    <row r="1576" spans="1:16" ht="15" customHeight="1" x14ac:dyDescent="0.2">
      <c r="A1576" s="9" t="s">
        <v>2910</v>
      </c>
      <c r="B1576" s="9" t="s">
        <v>1345</v>
      </c>
      <c r="C1576" s="9" t="b">
        <f>TRUE()</f>
        <v>1</v>
      </c>
      <c r="D1576" s="10">
        <v>45806</v>
      </c>
      <c r="E1576" s="10">
        <v>45778</v>
      </c>
      <c r="F1576" s="9" t="s">
        <v>1423</v>
      </c>
      <c r="G1576" s="11">
        <v>3858.1</v>
      </c>
      <c r="H1576" s="11">
        <v>111.83</v>
      </c>
      <c r="I1576" s="9" t="b">
        <f>TRUE()</f>
        <v>1</v>
      </c>
      <c r="J1576" s="9" t="s">
        <v>1361</v>
      </c>
      <c r="K1576" s="11">
        <v>111.83</v>
      </c>
      <c r="L1576" s="9" t="s">
        <v>19</v>
      </c>
      <c r="M1576" s="9" t="str">
        <f>IFERROR(INDEX(T_CleanCustomers[Sales_Rep_ID],MATCH(B1576,T_CleanCustomers[Customer_ID],0)),"Unmatched")</f>
        <v>REP014</v>
      </c>
      <c r="N1576" s="9" t="str">
        <f>IFERROR(INDEX(T_CleanCustomers[Channel],MATCH(B1576,T_CleanCustomers[Customer_ID],0)),"Unmatched")</f>
        <v>Direct Sales</v>
      </c>
      <c r="O1576" s="9" t="str">
        <f>IFERROR(INDEX(T_CleanCustomers[Product],MATCH(B1576,T_CleanCustomers[Customer_ID],0)),"Unmatched")</f>
        <v>EV Charge Card</v>
      </c>
      <c r="P1576" s="9" t="str">
        <f>IFERROR(INDEX(T_CleanCustomers[Customer_Segment],MATCH(B1576,T_CleanCustomers[Customer_ID],0)),"Unmatched")</f>
        <v>SME</v>
      </c>
    </row>
    <row r="1577" spans="1:16" ht="15" customHeight="1" x14ac:dyDescent="0.2">
      <c r="A1577" s="9" t="s">
        <v>2911</v>
      </c>
      <c r="B1577" s="9" t="s">
        <v>1345</v>
      </c>
      <c r="C1577" s="9" t="b">
        <f>TRUE()</f>
        <v>1</v>
      </c>
      <c r="D1577" s="10">
        <v>45782</v>
      </c>
      <c r="E1577" s="10">
        <v>45778</v>
      </c>
      <c r="F1577" s="9" t="s">
        <v>1423</v>
      </c>
      <c r="G1577" s="11">
        <v>3044.94</v>
      </c>
      <c r="H1577" s="11">
        <v>99.61</v>
      </c>
      <c r="I1577" s="9" t="b">
        <f>TRUE()</f>
        <v>1</v>
      </c>
      <c r="J1577" s="9" t="s">
        <v>1361</v>
      </c>
      <c r="K1577" s="11">
        <v>99.61</v>
      </c>
      <c r="L1577" s="9" t="s">
        <v>19</v>
      </c>
      <c r="M1577" s="9" t="str">
        <f>IFERROR(INDEX(T_CleanCustomers[Sales_Rep_ID],MATCH(B1577,T_CleanCustomers[Customer_ID],0)),"Unmatched")</f>
        <v>REP014</v>
      </c>
      <c r="N1577" s="9" t="str">
        <f>IFERROR(INDEX(T_CleanCustomers[Channel],MATCH(B1577,T_CleanCustomers[Customer_ID],0)),"Unmatched")</f>
        <v>Direct Sales</v>
      </c>
      <c r="O1577" s="9" t="str">
        <f>IFERROR(INDEX(T_CleanCustomers[Product],MATCH(B1577,T_CleanCustomers[Customer_ID],0)),"Unmatched")</f>
        <v>EV Charge Card</v>
      </c>
      <c r="P1577" s="9" t="str">
        <f>IFERROR(INDEX(T_CleanCustomers[Customer_Segment],MATCH(B1577,T_CleanCustomers[Customer_ID],0)),"Unmatched")</f>
        <v>SME</v>
      </c>
    </row>
    <row r="1578" spans="1:16" ht="15" customHeight="1" x14ac:dyDescent="0.2">
      <c r="A1578" s="9" t="s">
        <v>2912</v>
      </c>
      <c r="B1578" s="9" t="s">
        <v>1345</v>
      </c>
      <c r="C1578" s="9" t="b">
        <f>TRUE()</f>
        <v>1</v>
      </c>
      <c r="D1578" s="10">
        <v>45795</v>
      </c>
      <c r="E1578" s="10">
        <v>45778</v>
      </c>
      <c r="F1578" s="9" t="s">
        <v>1423</v>
      </c>
      <c r="G1578" s="11">
        <v>3326.97</v>
      </c>
      <c r="H1578" s="11">
        <v>109.06</v>
      </c>
      <c r="I1578" s="9" t="b">
        <f>TRUE()</f>
        <v>1</v>
      </c>
      <c r="J1578" s="9" t="s">
        <v>1361</v>
      </c>
      <c r="K1578" s="11">
        <v>109.06</v>
      </c>
      <c r="L1578" s="9" t="s">
        <v>19</v>
      </c>
      <c r="M1578" s="9" t="str">
        <f>IFERROR(INDEX(T_CleanCustomers[Sales_Rep_ID],MATCH(B1578,T_CleanCustomers[Customer_ID],0)),"Unmatched")</f>
        <v>REP014</v>
      </c>
      <c r="N1578" s="9" t="str">
        <f>IFERROR(INDEX(T_CleanCustomers[Channel],MATCH(B1578,T_CleanCustomers[Customer_ID],0)),"Unmatched")</f>
        <v>Direct Sales</v>
      </c>
      <c r="O1578" s="9" t="str">
        <f>IFERROR(INDEX(T_CleanCustomers[Product],MATCH(B1578,T_CleanCustomers[Customer_ID],0)),"Unmatched")</f>
        <v>EV Charge Card</v>
      </c>
      <c r="P1578" s="9" t="str">
        <f>IFERROR(INDEX(T_CleanCustomers[Customer_Segment],MATCH(B1578,T_CleanCustomers[Customer_ID],0)),"Unmatched")</f>
        <v>SME</v>
      </c>
    </row>
    <row r="1579" spans="1:16" ht="15" customHeight="1" x14ac:dyDescent="0.2">
      <c r="A1579" s="9" t="s">
        <v>2913</v>
      </c>
      <c r="B1579" s="9" t="s">
        <v>1345</v>
      </c>
      <c r="C1579" s="9" t="b">
        <f>TRUE()</f>
        <v>1</v>
      </c>
      <c r="D1579" s="10">
        <v>45828</v>
      </c>
      <c r="E1579" s="10">
        <v>45809</v>
      </c>
      <c r="F1579" s="9" t="s">
        <v>1423</v>
      </c>
      <c r="G1579" s="11">
        <v>3332.41</v>
      </c>
      <c r="H1579" s="11">
        <v>114.14</v>
      </c>
      <c r="I1579" s="9" t="b">
        <f>TRUE()</f>
        <v>1</v>
      </c>
      <c r="J1579" s="9" t="s">
        <v>1361</v>
      </c>
      <c r="K1579" s="11">
        <v>114.14</v>
      </c>
      <c r="L1579" s="9" t="s">
        <v>19</v>
      </c>
      <c r="M1579" s="9" t="str">
        <f>IFERROR(INDEX(T_CleanCustomers[Sales_Rep_ID],MATCH(B1579,T_CleanCustomers[Customer_ID],0)),"Unmatched")</f>
        <v>REP014</v>
      </c>
      <c r="N1579" s="9" t="str">
        <f>IFERROR(INDEX(T_CleanCustomers[Channel],MATCH(B1579,T_CleanCustomers[Customer_ID],0)),"Unmatched")</f>
        <v>Direct Sales</v>
      </c>
      <c r="O1579" s="9" t="str">
        <f>IFERROR(INDEX(T_CleanCustomers[Product],MATCH(B1579,T_CleanCustomers[Customer_ID],0)),"Unmatched")</f>
        <v>EV Charge Card</v>
      </c>
      <c r="P1579" s="9" t="str">
        <f>IFERROR(INDEX(T_CleanCustomers[Customer_Segment],MATCH(B1579,T_CleanCustomers[Customer_ID],0)),"Unmatched")</f>
        <v>SME</v>
      </c>
    </row>
    <row r="1580" spans="1:16" ht="15" customHeight="1" x14ac:dyDescent="0.2">
      <c r="A1580" s="9" t="s">
        <v>2914</v>
      </c>
      <c r="B1580" s="9" t="s">
        <v>1345</v>
      </c>
      <c r="C1580" s="9" t="b">
        <f>TRUE()</f>
        <v>1</v>
      </c>
      <c r="D1580" s="10">
        <v>45831</v>
      </c>
      <c r="E1580" s="10">
        <v>45809</v>
      </c>
      <c r="F1580" s="9" t="s">
        <v>1423</v>
      </c>
      <c r="G1580" s="11">
        <v>4094.13</v>
      </c>
      <c r="H1580" s="11">
        <v>129.94999999999999</v>
      </c>
      <c r="I1580" s="9" t="b">
        <f>TRUE()</f>
        <v>1</v>
      </c>
      <c r="J1580" s="9" t="s">
        <v>1361</v>
      </c>
      <c r="K1580" s="11">
        <v>129.94999999999999</v>
      </c>
      <c r="L1580" s="9" t="s">
        <v>19</v>
      </c>
      <c r="M1580" s="9" t="str">
        <f>IFERROR(INDEX(T_CleanCustomers[Sales_Rep_ID],MATCH(B1580,T_CleanCustomers[Customer_ID],0)),"Unmatched")</f>
        <v>REP014</v>
      </c>
      <c r="N1580" s="9" t="str">
        <f>IFERROR(INDEX(T_CleanCustomers[Channel],MATCH(B1580,T_CleanCustomers[Customer_ID],0)),"Unmatched")</f>
        <v>Direct Sales</v>
      </c>
      <c r="O1580" s="9" t="str">
        <f>IFERROR(INDEX(T_CleanCustomers[Product],MATCH(B1580,T_CleanCustomers[Customer_ID],0)),"Unmatched")</f>
        <v>EV Charge Card</v>
      </c>
      <c r="P1580" s="9" t="str">
        <f>IFERROR(INDEX(T_CleanCustomers[Customer_Segment],MATCH(B1580,T_CleanCustomers[Customer_ID],0)),"Unmatched")</f>
        <v>SME</v>
      </c>
    </row>
    <row r="1581" spans="1:16" ht="15" customHeight="1" x14ac:dyDescent="0.2">
      <c r="A1581" s="9" t="s">
        <v>2915</v>
      </c>
      <c r="B1581" s="9" t="s">
        <v>1345</v>
      </c>
      <c r="C1581" s="9" t="b">
        <f>TRUE()</f>
        <v>1</v>
      </c>
      <c r="D1581" s="10">
        <v>45836</v>
      </c>
      <c r="E1581" s="10">
        <v>45809</v>
      </c>
      <c r="F1581" s="9" t="s">
        <v>1423</v>
      </c>
      <c r="G1581" s="11">
        <v>1867.36</v>
      </c>
      <c r="H1581" s="11">
        <v>54.17</v>
      </c>
      <c r="I1581" s="9" t="b">
        <f>TRUE()</f>
        <v>1</v>
      </c>
      <c r="J1581" s="9" t="s">
        <v>1361</v>
      </c>
      <c r="K1581" s="11">
        <v>54.17</v>
      </c>
      <c r="L1581" s="9" t="s">
        <v>19</v>
      </c>
      <c r="M1581" s="9" t="str">
        <f>IFERROR(INDEX(T_CleanCustomers[Sales_Rep_ID],MATCH(B1581,T_CleanCustomers[Customer_ID],0)),"Unmatched")</f>
        <v>REP014</v>
      </c>
      <c r="N1581" s="9" t="str">
        <f>IFERROR(INDEX(T_CleanCustomers[Channel],MATCH(B1581,T_CleanCustomers[Customer_ID],0)),"Unmatched")</f>
        <v>Direct Sales</v>
      </c>
      <c r="O1581" s="9" t="str">
        <f>IFERROR(INDEX(T_CleanCustomers[Product],MATCH(B1581,T_CleanCustomers[Customer_ID],0)),"Unmatched")</f>
        <v>EV Charge Card</v>
      </c>
      <c r="P1581" s="9" t="str">
        <f>IFERROR(INDEX(T_CleanCustomers[Customer_Segment],MATCH(B1581,T_CleanCustomers[Customer_ID],0)),"Unmatched")</f>
        <v>SME</v>
      </c>
    </row>
    <row r="1582" spans="1:16" ht="15" customHeight="1" x14ac:dyDescent="0.2">
      <c r="A1582" s="9" t="s">
        <v>2916</v>
      </c>
      <c r="B1582" s="9" t="s">
        <v>1345</v>
      </c>
      <c r="C1582" s="9" t="b">
        <f>TRUE()</f>
        <v>1</v>
      </c>
      <c r="D1582" s="10">
        <v>45858</v>
      </c>
      <c r="E1582" s="10">
        <v>45839</v>
      </c>
      <c r="F1582" s="9" t="s">
        <v>1423</v>
      </c>
      <c r="G1582" s="11">
        <v>2851.47</v>
      </c>
      <c r="H1582" s="11">
        <v>77.47</v>
      </c>
      <c r="I1582" s="9" t="b">
        <f>TRUE()</f>
        <v>1</v>
      </c>
      <c r="J1582" s="9" t="s">
        <v>1361</v>
      </c>
      <c r="K1582" s="11">
        <v>77.47</v>
      </c>
      <c r="L1582" s="9" t="s">
        <v>19</v>
      </c>
      <c r="M1582" s="9" t="str">
        <f>IFERROR(INDEX(T_CleanCustomers[Sales_Rep_ID],MATCH(B1582,T_CleanCustomers[Customer_ID],0)),"Unmatched")</f>
        <v>REP014</v>
      </c>
      <c r="N1582" s="9" t="str">
        <f>IFERROR(INDEX(T_CleanCustomers[Channel],MATCH(B1582,T_CleanCustomers[Customer_ID],0)),"Unmatched")</f>
        <v>Direct Sales</v>
      </c>
      <c r="O1582" s="9" t="str">
        <f>IFERROR(INDEX(T_CleanCustomers[Product],MATCH(B1582,T_CleanCustomers[Customer_ID],0)),"Unmatched")</f>
        <v>EV Charge Card</v>
      </c>
      <c r="P1582" s="9" t="str">
        <f>IFERROR(INDEX(T_CleanCustomers[Customer_Segment],MATCH(B1582,T_CleanCustomers[Customer_ID],0)),"Unmatched")</f>
        <v>SME</v>
      </c>
    </row>
    <row r="1583" spans="1:16" ht="15" customHeight="1" x14ac:dyDescent="0.2">
      <c r="A1583" s="9" t="s">
        <v>2917</v>
      </c>
      <c r="B1583" s="9" t="s">
        <v>1345</v>
      </c>
      <c r="C1583" s="9" t="b">
        <f>TRUE()</f>
        <v>1</v>
      </c>
      <c r="D1583" s="10">
        <v>45865</v>
      </c>
      <c r="E1583" s="10">
        <v>45839</v>
      </c>
      <c r="F1583" s="9" t="s">
        <v>1423</v>
      </c>
      <c r="G1583" s="11">
        <v>3786.57</v>
      </c>
      <c r="H1583" s="11">
        <v>111.28</v>
      </c>
      <c r="I1583" s="9" t="b">
        <f>TRUE()</f>
        <v>1</v>
      </c>
      <c r="J1583" s="9" t="s">
        <v>1361</v>
      </c>
      <c r="K1583" s="11">
        <v>111.28</v>
      </c>
      <c r="L1583" s="9" t="s">
        <v>19</v>
      </c>
      <c r="M1583" s="9" t="str">
        <f>IFERROR(INDEX(T_CleanCustomers[Sales_Rep_ID],MATCH(B1583,T_CleanCustomers[Customer_ID],0)),"Unmatched")</f>
        <v>REP014</v>
      </c>
      <c r="N1583" s="9" t="str">
        <f>IFERROR(INDEX(T_CleanCustomers[Channel],MATCH(B1583,T_CleanCustomers[Customer_ID],0)),"Unmatched")</f>
        <v>Direct Sales</v>
      </c>
      <c r="O1583" s="9" t="str">
        <f>IFERROR(INDEX(T_CleanCustomers[Product],MATCH(B1583,T_CleanCustomers[Customer_ID],0)),"Unmatched")</f>
        <v>EV Charge Card</v>
      </c>
      <c r="P1583" s="9" t="str">
        <f>IFERROR(INDEX(T_CleanCustomers[Customer_Segment],MATCH(B1583,T_CleanCustomers[Customer_ID],0)),"Unmatched")</f>
        <v>SME</v>
      </c>
    </row>
    <row r="1584" spans="1:16" ht="15" customHeight="1" x14ac:dyDescent="0.2">
      <c r="A1584" s="9" t="s">
        <v>2918</v>
      </c>
      <c r="B1584" s="9" t="s">
        <v>1345</v>
      </c>
      <c r="C1584" s="9" t="b">
        <f>TRUE()</f>
        <v>1</v>
      </c>
      <c r="D1584" s="10">
        <v>45867</v>
      </c>
      <c r="E1584" s="10">
        <v>45839</v>
      </c>
      <c r="F1584" s="9" t="s">
        <v>1423</v>
      </c>
      <c r="G1584" s="11">
        <v>2864.72</v>
      </c>
      <c r="H1584" s="11">
        <v>85.99</v>
      </c>
      <c r="I1584" s="9" t="b">
        <f>TRUE()</f>
        <v>1</v>
      </c>
      <c r="J1584" s="9" t="s">
        <v>1361</v>
      </c>
      <c r="K1584" s="11">
        <v>85.99</v>
      </c>
      <c r="L1584" s="9" t="s">
        <v>19</v>
      </c>
      <c r="M1584" s="9" t="str">
        <f>IFERROR(INDEX(T_CleanCustomers[Sales_Rep_ID],MATCH(B1584,T_CleanCustomers[Customer_ID],0)),"Unmatched")</f>
        <v>REP014</v>
      </c>
      <c r="N1584" s="9" t="str">
        <f>IFERROR(INDEX(T_CleanCustomers[Channel],MATCH(B1584,T_CleanCustomers[Customer_ID],0)),"Unmatched")</f>
        <v>Direct Sales</v>
      </c>
      <c r="O1584" s="9" t="str">
        <f>IFERROR(INDEX(T_CleanCustomers[Product],MATCH(B1584,T_CleanCustomers[Customer_ID],0)),"Unmatched")</f>
        <v>EV Charge Card</v>
      </c>
      <c r="P1584" s="9" t="str">
        <f>IFERROR(INDEX(T_CleanCustomers[Customer_Segment],MATCH(B1584,T_CleanCustomers[Customer_ID],0)),"Unmatched")</f>
        <v>SME</v>
      </c>
    </row>
    <row r="1585" spans="1:16" ht="15" customHeight="1" x14ac:dyDescent="0.2">
      <c r="A1585" s="9" t="s">
        <v>2919</v>
      </c>
      <c r="B1585" s="9" t="s">
        <v>1345</v>
      </c>
      <c r="C1585" s="9" t="b">
        <f>TRUE()</f>
        <v>1</v>
      </c>
      <c r="D1585" s="10">
        <v>45871</v>
      </c>
      <c r="E1585" s="10">
        <v>45870</v>
      </c>
      <c r="F1585" s="9" t="s">
        <v>1423</v>
      </c>
      <c r="G1585" s="11">
        <v>4478.7299999999996</v>
      </c>
      <c r="H1585" s="11">
        <v>144.74</v>
      </c>
      <c r="I1585" s="9" t="b">
        <f>TRUE()</f>
        <v>1</v>
      </c>
      <c r="J1585" s="9" t="s">
        <v>1361</v>
      </c>
      <c r="K1585" s="11">
        <v>144.74</v>
      </c>
      <c r="L1585" s="9" t="s">
        <v>19</v>
      </c>
      <c r="M1585" s="9" t="str">
        <f>IFERROR(INDEX(T_CleanCustomers[Sales_Rep_ID],MATCH(B1585,T_CleanCustomers[Customer_ID],0)),"Unmatched")</f>
        <v>REP014</v>
      </c>
      <c r="N1585" s="9" t="str">
        <f>IFERROR(INDEX(T_CleanCustomers[Channel],MATCH(B1585,T_CleanCustomers[Customer_ID],0)),"Unmatched")</f>
        <v>Direct Sales</v>
      </c>
      <c r="O1585" s="9" t="str">
        <f>IFERROR(INDEX(T_CleanCustomers[Product],MATCH(B1585,T_CleanCustomers[Customer_ID],0)),"Unmatched")</f>
        <v>EV Charge Card</v>
      </c>
      <c r="P1585" s="9" t="str">
        <f>IFERROR(INDEX(T_CleanCustomers[Customer_Segment],MATCH(B1585,T_CleanCustomers[Customer_ID],0)),"Unmatched")</f>
        <v>SME</v>
      </c>
    </row>
    <row r="1586" spans="1:16" ht="15" customHeight="1" x14ac:dyDescent="0.2">
      <c r="A1586" s="9" t="s">
        <v>2920</v>
      </c>
      <c r="B1586" s="9" t="s">
        <v>1345</v>
      </c>
      <c r="C1586" s="9" t="b">
        <f>TRUE()</f>
        <v>1</v>
      </c>
      <c r="D1586" s="10">
        <v>45885</v>
      </c>
      <c r="E1586" s="10">
        <v>45870</v>
      </c>
      <c r="F1586" s="9" t="s">
        <v>1423</v>
      </c>
      <c r="G1586" s="11">
        <v>2773.35</v>
      </c>
      <c r="H1586" s="11">
        <v>80.819999999999993</v>
      </c>
      <c r="I1586" s="9" t="b">
        <f>TRUE()</f>
        <v>1</v>
      </c>
      <c r="J1586" s="9" t="s">
        <v>1361</v>
      </c>
      <c r="K1586" s="11">
        <v>80.819999999999993</v>
      </c>
      <c r="L1586" s="9" t="s">
        <v>19</v>
      </c>
      <c r="M1586" s="9" t="str">
        <f>IFERROR(INDEX(T_CleanCustomers[Sales_Rep_ID],MATCH(B1586,T_CleanCustomers[Customer_ID],0)),"Unmatched")</f>
        <v>REP014</v>
      </c>
      <c r="N1586" s="9" t="str">
        <f>IFERROR(INDEX(T_CleanCustomers[Channel],MATCH(B1586,T_CleanCustomers[Customer_ID],0)),"Unmatched")</f>
        <v>Direct Sales</v>
      </c>
      <c r="O1586" s="9" t="str">
        <f>IFERROR(INDEX(T_CleanCustomers[Product],MATCH(B1586,T_CleanCustomers[Customer_ID],0)),"Unmatched")</f>
        <v>EV Charge Card</v>
      </c>
      <c r="P1586" s="9" t="str">
        <f>IFERROR(INDEX(T_CleanCustomers[Customer_Segment],MATCH(B1586,T_CleanCustomers[Customer_ID],0)),"Unmatched")</f>
        <v>SME</v>
      </c>
    </row>
    <row r="1587" spans="1:16" ht="15" customHeight="1" x14ac:dyDescent="0.2">
      <c r="A1587" s="9" t="s">
        <v>2921</v>
      </c>
      <c r="B1587" s="9" t="s">
        <v>1345</v>
      </c>
      <c r="C1587" s="9" t="b">
        <f>TRUE()</f>
        <v>1</v>
      </c>
      <c r="D1587" s="10">
        <v>45887</v>
      </c>
      <c r="E1587" s="10">
        <v>45870</v>
      </c>
      <c r="F1587" s="9" t="s">
        <v>1423</v>
      </c>
      <c r="G1587" s="11">
        <v>1934.33</v>
      </c>
      <c r="H1587" s="11">
        <v>58.63</v>
      </c>
      <c r="I1587" s="9" t="b">
        <f>TRUE()</f>
        <v>1</v>
      </c>
      <c r="J1587" s="9" t="s">
        <v>1361</v>
      </c>
      <c r="K1587" s="11">
        <v>58.63</v>
      </c>
      <c r="L1587" s="9" t="s">
        <v>19</v>
      </c>
      <c r="M1587" s="9" t="str">
        <f>IFERROR(INDEX(T_CleanCustomers[Sales_Rep_ID],MATCH(B1587,T_CleanCustomers[Customer_ID],0)),"Unmatched")</f>
        <v>REP014</v>
      </c>
      <c r="N1587" s="9" t="str">
        <f>IFERROR(INDEX(T_CleanCustomers[Channel],MATCH(B1587,T_CleanCustomers[Customer_ID],0)),"Unmatched")</f>
        <v>Direct Sales</v>
      </c>
      <c r="O1587" s="9" t="str">
        <f>IFERROR(INDEX(T_CleanCustomers[Product],MATCH(B1587,T_CleanCustomers[Customer_ID],0)),"Unmatched")</f>
        <v>EV Charge Card</v>
      </c>
      <c r="P1587" s="9" t="str">
        <f>IFERROR(INDEX(T_CleanCustomers[Customer_Segment],MATCH(B1587,T_CleanCustomers[Customer_ID],0)),"Unmatched")</f>
        <v>SME</v>
      </c>
    </row>
    <row r="1588" spans="1:16" ht="15" customHeight="1" x14ac:dyDescent="0.2">
      <c r="A1588" s="9" t="s">
        <v>2922</v>
      </c>
      <c r="B1588" s="9" t="s">
        <v>1345</v>
      </c>
      <c r="C1588" s="9" t="b">
        <f>TRUE()</f>
        <v>1</v>
      </c>
      <c r="D1588" s="10">
        <v>45917</v>
      </c>
      <c r="E1588" s="10">
        <v>45901</v>
      </c>
      <c r="F1588" s="9" t="s">
        <v>1423</v>
      </c>
      <c r="G1588" s="11">
        <v>4097.25</v>
      </c>
      <c r="H1588" s="11">
        <v>110.55</v>
      </c>
      <c r="I1588" s="9" t="b">
        <f>TRUE()</f>
        <v>1</v>
      </c>
      <c r="J1588" s="9" t="s">
        <v>1361</v>
      </c>
      <c r="K1588" s="11">
        <v>110.55</v>
      </c>
      <c r="L1588" s="9" t="s">
        <v>19</v>
      </c>
      <c r="M1588" s="9" t="str">
        <f>IFERROR(INDEX(T_CleanCustomers[Sales_Rep_ID],MATCH(B1588,T_CleanCustomers[Customer_ID],0)),"Unmatched")</f>
        <v>REP014</v>
      </c>
      <c r="N1588" s="9" t="str">
        <f>IFERROR(INDEX(T_CleanCustomers[Channel],MATCH(B1588,T_CleanCustomers[Customer_ID],0)),"Unmatched")</f>
        <v>Direct Sales</v>
      </c>
      <c r="O1588" s="9" t="str">
        <f>IFERROR(INDEX(T_CleanCustomers[Product],MATCH(B1588,T_CleanCustomers[Customer_ID],0)),"Unmatched")</f>
        <v>EV Charge Card</v>
      </c>
      <c r="P1588" s="9" t="str">
        <f>IFERROR(INDEX(T_CleanCustomers[Customer_Segment],MATCH(B1588,T_CleanCustomers[Customer_ID],0)),"Unmatched")</f>
        <v>SME</v>
      </c>
    </row>
    <row r="1589" spans="1:16" ht="15" customHeight="1" x14ac:dyDescent="0.2">
      <c r="A1589" s="9" t="s">
        <v>2923</v>
      </c>
      <c r="B1589" s="9" t="s">
        <v>1345</v>
      </c>
      <c r="C1589" s="9" t="b">
        <f>TRUE()</f>
        <v>1</v>
      </c>
      <c r="D1589" s="10">
        <v>45943</v>
      </c>
      <c r="E1589" s="10">
        <v>45931</v>
      </c>
      <c r="F1589" s="9" t="s">
        <v>1423</v>
      </c>
      <c r="G1589" s="11">
        <v>2871.21</v>
      </c>
      <c r="H1589" s="11">
        <v>82.31</v>
      </c>
      <c r="I1589" s="9" t="b">
        <f>TRUE()</f>
        <v>1</v>
      </c>
      <c r="J1589" s="9" t="s">
        <v>1361</v>
      </c>
      <c r="K1589" s="11">
        <v>82.31</v>
      </c>
      <c r="L1589" s="9" t="s">
        <v>19</v>
      </c>
      <c r="M1589" s="9" t="str">
        <f>IFERROR(INDEX(T_CleanCustomers[Sales_Rep_ID],MATCH(B1589,T_CleanCustomers[Customer_ID],0)),"Unmatched")</f>
        <v>REP014</v>
      </c>
      <c r="N1589" s="9" t="str">
        <f>IFERROR(INDEX(T_CleanCustomers[Channel],MATCH(B1589,T_CleanCustomers[Customer_ID],0)),"Unmatched")</f>
        <v>Direct Sales</v>
      </c>
      <c r="O1589" s="9" t="str">
        <f>IFERROR(INDEX(T_CleanCustomers[Product],MATCH(B1589,T_CleanCustomers[Customer_ID],0)),"Unmatched")</f>
        <v>EV Charge Card</v>
      </c>
      <c r="P1589" s="9" t="str">
        <f>IFERROR(INDEX(T_CleanCustomers[Customer_Segment],MATCH(B1589,T_CleanCustomers[Customer_ID],0)),"Unmatched")</f>
        <v>SME</v>
      </c>
    </row>
    <row r="1590" spans="1:16" ht="15" customHeight="1" x14ac:dyDescent="0.2">
      <c r="A1590" s="9" t="s">
        <v>2924</v>
      </c>
      <c r="B1590" s="9" t="s">
        <v>1345</v>
      </c>
      <c r="C1590" s="9" t="b">
        <f>TRUE()</f>
        <v>1</v>
      </c>
      <c r="D1590" s="10">
        <v>45958</v>
      </c>
      <c r="E1590" s="10">
        <v>45931</v>
      </c>
      <c r="F1590" s="9" t="s">
        <v>1423</v>
      </c>
      <c r="G1590" s="11">
        <v>1795.05</v>
      </c>
      <c r="H1590" s="11">
        <v>48.76</v>
      </c>
      <c r="I1590" s="9" t="b">
        <f>TRUE()</f>
        <v>1</v>
      </c>
      <c r="J1590" s="9" t="s">
        <v>1361</v>
      </c>
      <c r="K1590" s="11">
        <v>48.76</v>
      </c>
      <c r="L1590" s="9" t="s">
        <v>19</v>
      </c>
      <c r="M1590" s="9" t="str">
        <f>IFERROR(INDEX(T_CleanCustomers[Sales_Rep_ID],MATCH(B1590,T_CleanCustomers[Customer_ID],0)),"Unmatched")</f>
        <v>REP014</v>
      </c>
      <c r="N1590" s="9" t="str">
        <f>IFERROR(INDEX(T_CleanCustomers[Channel],MATCH(B1590,T_CleanCustomers[Customer_ID],0)),"Unmatched")</f>
        <v>Direct Sales</v>
      </c>
      <c r="O1590" s="9" t="str">
        <f>IFERROR(INDEX(T_CleanCustomers[Product],MATCH(B1590,T_CleanCustomers[Customer_ID],0)),"Unmatched")</f>
        <v>EV Charge Card</v>
      </c>
      <c r="P1590" s="9" t="str">
        <f>IFERROR(INDEX(T_CleanCustomers[Customer_Segment],MATCH(B1590,T_CleanCustomers[Customer_ID],0)),"Unmatched")</f>
        <v>SME</v>
      </c>
    </row>
    <row r="1591" spans="1:16" ht="15" customHeight="1" x14ac:dyDescent="0.2">
      <c r="A1591" s="9" t="s">
        <v>2925</v>
      </c>
      <c r="B1591" s="9" t="s">
        <v>1345</v>
      </c>
      <c r="C1591" s="9" t="b">
        <f>TRUE()</f>
        <v>1</v>
      </c>
      <c r="D1591" s="10">
        <v>45979</v>
      </c>
      <c r="E1591" s="10">
        <v>45962</v>
      </c>
      <c r="F1591" s="9" t="s">
        <v>1423</v>
      </c>
      <c r="G1591" s="11">
        <v>3832.01</v>
      </c>
      <c r="H1591" s="11">
        <v>105.81</v>
      </c>
      <c r="I1591" s="9" t="b">
        <f>TRUE()</f>
        <v>1</v>
      </c>
      <c r="J1591" s="9" t="s">
        <v>1361</v>
      </c>
      <c r="K1591" s="11">
        <v>105.81</v>
      </c>
      <c r="L1591" s="9" t="s">
        <v>19</v>
      </c>
      <c r="M1591" s="9" t="str">
        <f>IFERROR(INDEX(T_CleanCustomers[Sales_Rep_ID],MATCH(B1591,T_CleanCustomers[Customer_ID],0)),"Unmatched")</f>
        <v>REP014</v>
      </c>
      <c r="N1591" s="9" t="str">
        <f>IFERROR(INDEX(T_CleanCustomers[Channel],MATCH(B1591,T_CleanCustomers[Customer_ID],0)),"Unmatched")</f>
        <v>Direct Sales</v>
      </c>
      <c r="O1591" s="9" t="str">
        <f>IFERROR(INDEX(T_CleanCustomers[Product],MATCH(B1591,T_CleanCustomers[Customer_ID],0)),"Unmatched")</f>
        <v>EV Charge Card</v>
      </c>
      <c r="P1591" s="9" t="str">
        <f>IFERROR(INDEX(T_CleanCustomers[Customer_Segment],MATCH(B1591,T_CleanCustomers[Customer_ID],0)),"Unmatched")</f>
        <v>SME</v>
      </c>
    </row>
    <row r="1592" spans="1:16" ht="15" customHeight="1" x14ac:dyDescent="0.2">
      <c r="A1592" s="9" t="s">
        <v>2926</v>
      </c>
      <c r="B1592" s="9" t="s">
        <v>1345</v>
      </c>
      <c r="C1592" s="9" t="b">
        <f>TRUE()</f>
        <v>1</v>
      </c>
      <c r="D1592" s="10">
        <v>45980</v>
      </c>
      <c r="E1592" s="10">
        <v>45962</v>
      </c>
      <c r="F1592" s="9" t="s">
        <v>1423</v>
      </c>
      <c r="G1592" s="11">
        <v>2985.7</v>
      </c>
      <c r="H1592" s="11">
        <v>89.29</v>
      </c>
      <c r="I1592" s="9" t="b">
        <f>TRUE()</f>
        <v>1</v>
      </c>
      <c r="J1592" s="9" t="s">
        <v>1361</v>
      </c>
      <c r="K1592" s="11">
        <v>89.29</v>
      </c>
      <c r="L1592" s="9" t="s">
        <v>19</v>
      </c>
      <c r="M1592" s="9" t="str">
        <f>IFERROR(INDEX(T_CleanCustomers[Sales_Rep_ID],MATCH(B1592,T_CleanCustomers[Customer_ID],0)),"Unmatched")</f>
        <v>REP014</v>
      </c>
      <c r="N1592" s="9" t="str">
        <f>IFERROR(INDEX(T_CleanCustomers[Channel],MATCH(B1592,T_CleanCustomers[Customer_ID],0)),"Unmatched")</f>
        <v>Direct Sales</v>
      </c>
      <c r="O1592" s="9" t="str">
        <f>IFERROR(INDEX(T_CleanCustomers[Product],MATCH(B1592,T_CleanCustomers[Customer_ID],0)),"Unmatched")</f>
        <v>EV Charge Card</v>
      </c>
      <c r="P1592" s="9" t="str">
        <f>IFERROR(INDEX(T_CleanCustomers[Customer_Segment],MATCH(B1592,T_CleanCustomers[Customer_ID],0)),"Unmatched")</f>
        <v>SME</v>
      </c>
    </row>
    <row r="1593" spans="1:16" ht="15" customHeight="1" x14ac:dyDescent="0.2">
      <c r="A1593" s="9" t="s">
        <v>2927</v>
      </c>
      <c r="B1593" s="9" t="s">
        <v>1345</v>
      </c>
      <c r="C1593" s="9" t="b">
        <f>TRUE()</f>
        <v>1</v>
      </c>
      <c r="D1593" s="10">
        <v>45980</v>
      </c>
      <c r="E1593" s="10">
        <v>45962</v>
      </c>
      <c r="F1593" s="9" t="s">
        <v>1423</v>
      </c>
      <c r="G1593" s="11">
        <v>2099.25</v>
      </c>
      <c r="H1593" s="11">
        <v>0</v>
      </c>
      <c r="I1593" s="9" t="b">
        <f>TRUE()</f>
        <v>1</v>
      </c>
      <c r="J1593" s="9" t="s">
        <v>1408</v>
      </c>
      <c r="K1593" s="11">
        <v>0</v>
      </c>
      <c r="L1593" s="9" t="s">
        <v>19</v>
      </c>
      <c r="M1593" s="9" t="str">
        <f>IFERROR(INDEX(T_CleanCustomers[Sales_Rep_ID],MATCH(B1593,T_CleanCustomers[Customer_ID],0)),"Unmatched")</f>
        <v>REP014</v>
      </c>
      <c r="N1593" s="9" t="str">
        <f>IFERROR(INDEX(T_CleanCustomers[Channel],MATCH(B1593,T_CleanCustomers[Customer_ID],0)),"Unmatched")</f>
        <v>Direct Sales</v>
      </c>
      <c r="O1593" s="9" t="str">
        <f>IFERROR(INDEX(T_CleanCustomers[Product],MATCH(B1593,T_CleanCustomers[Customer_ID],0)),"Unmatched")</f>
        <v>EV Charge Card</v>
      </c>
      <c r="P1593" s="9" t="str">
        <f>IFERROR(INDEX(T_CleanCustomers[Customer_Segment],MATCH(B1593,T_CleanCustomers[Customer_ID],0)),"Unmatched")</f>
        <v>SME</v>
      </c>
    </row>
    <row r="1594" spans="1:16" ht="15" customHeight="1" x14ac:dyDescent="0.2">
      <c r="A1594" s="9" t="s">
        <v>2928</v>
      </c>
      <c r="B1594" s="9" t="s">
        <v>1345</v>
      </c>
      <c r="C1594" s="9" t="b">
        <f>TRUE()</f>
        <v>1</v>
      </c>
      <c r="D1594" s="10">
        <v>46002</v>
      </c>
      <c r="E1594" s="10">
        <v>45992</v>
      </c>
      <c r="F1594" s="9" t="s">
        <v>1423</v>
      </c>
      <c r="G1594" s="11">
        <v>3674.61</v>
      </c>
      <c r="H1594" s="11">
        <v>125.45</v>
      </c>
      <c r="I1594" s="9" t="b">
        <f>TRUE()</f>
        <v>1</v>
      </c>
      <c r="J1594" s="9" t="s">
        <v>1361</v>
      </c>
      <c r="K1594" s="11">
        <v>125.45</v>
      </c>
      <c r="L1594" s="9" t="s">
        <v>19</v>
      </c>
      <c r="M1594" s="9" t="str">
        <f>IFERROR(INDEX(T_CleanCustomers[Sales_Rep_ID],MATCH(B1594,T_CleanCustomers[Customer_ID],0)),"Unmatched")</f>
        <v>REP014</v>
      </c>
      <c r="N1594" s="9" t="str">
        <f>IFERROR(INDEX(T_CleanCustomers[Channel],MATCH(B1594,T_CleanCustomers[Customer_ID],0)),"Unmatched")</f>
        <v>Direct Sales</v>
      </c>
      <c r="O1594" s="9" t="str">
        <f>IFERROR(INDEX(T_CleanCustomers[Product],MATCH(B1594,T_CleanCustomers[Customer_ID],0)),"Unmatched")</f>
        <v>EV Charge Card</v>
      </c>
      <c r="P1594" s="9" t="str">
        <f>IFERROR(INDEX(T_CleanCustomers[Customer_Segment],MATCH(B1594,T_CleanCustomers[Customer_ID],0)),"Unmatched")</f>
        <v>SME</v>
      </c>
    </row>
    <row r="1595" spans="1:16" ht="15" customHeight="1" x14ac:dyDescent="0.2">
      <c r="A1595" s="9" t="s">
        <v>2929</v>
      </c>
      <c r="B1595" s="9" t="s">
        <v>1345</v>
      </c>
      <c r="C1595" s="9" t="b">
        <f>TRUE()</f>
        <v>1</v>
      </c>
      <c r="D1595" s="10">
        <v>46006</v>
      </c>
      <c r="E1595" s="10">
        <v>45992</v>
      </c>
      <c r="F1595" s="9" t="s">
        <v>1423</v>
      </c>
      <c r="G1595" s="11">
        <v>3002.33</v>
      </c>
      <c r="H1595" s="11">
        <v>83.47</v>
      </c>
      <c r="I1595" s="9" t="b">
        <f>TRUE()</f>
        <v>1</v>
      </c>
      <c r="J1595" s="9" t="s">
        <v>1361</v>
      </c>
      <c r="K1595" s="11">
        <v>83.47</v>
      </c>
      <c r="L1595" s="9" t="s">
        <v>19</v>
      </c>
      <c r="M1595" s="9" t="str">
        <f>IFERROR(INDEX(T_CleanCustomers[Sales_Rep_ID],MATCH(B1595,T_CleanCustomers[Customer_ID],0)),"Unmatched")</f>
        <v>REP014</v>
      </c>
      <c r="N1595" s="9" t="str">
        <f>IFERROR(INDEX(T_CleanCustomers[Channel],MATCH(B1595,T_CleanCustomers[Customer_ID],0)),"Unmatched")</f>
        <v>Direct Sales</v>
      </c>
      <c r="O1595" s="9" t="str">
        <f>IFERROR(INDEX(T_CleanCustomers[Product],MATCH(B1595,T_CleanCustomers[Customer_ID],0)),"Unmatched")</f>
        <v>EV Charge Card</v>
      </c>
      <c r="P1595" s="9" t="str">
        <f>IFERROR(INDEX(T_CleanCustomers[Customer_Segment],MATCH(B1595,T_CleanCustomers[Customer_ID],0)),"Unmatched")</f>
        <v>SME</v>
      </c>
    </row>
    <row r="1596" spans="1:16" ht="15" customHeight="1" x14ac:dyDescent="0.2">
      <c r="A1596" s="9" t="s">
        <v>2930</v>
      </c>
      <c r="B1596" s="9" t="s">
        <v>1345</v>
      </c>
      <c r="C1596" s="9" t="b">
        <f>TRUE()</f>
        <v>1</v>
      </c>
      <c r="D1596" s="10">
        <v>45997</v>
      </c>
      <c r="E1596" s="10">
        <v>45992</v>
      </c>
      <c r="F1596" s="9" t="s">
        <v>1423</v>
      </c>
      <c r="G1596" s="11">
        <v>3090.04</v>
      </c>
      <c r="H1596" s="11">
        <v>109.25</v>
      </c>
      <c r="I1596" s="9" t="b">
        <f>TRUE()</f>
        <v>1</v>
      </c>
      <c r="J1596" s="9" t="s">
        <v>1361</v>
      </c>
      <c r="K1596" s="11">
        <v>109.25</v>
      </c>
      <c r="L1596" s="9" t="s">
        <v>19</v>
      </c>
      <c r="M1596" s="9" t="str">
        <f>IFERROR(INDEX(T_CleanCustomers[Sales_Rep_ID],MATCH(B1596,T_CleanCustomers[Customer_ID],0)),"Unmatched")</f>
        <v>REP014</v>
      </c>
      <c r="N1596" s="9" t="str">
        <f>IFERROR(INDEX(T_CleanCustomers[Channel],MATCH(B1596,T_CleanCustomers[Customer_ID],0)),"Unmatched")</f>
        <v>Direct Sales</v>
      </c>
      <c r="O1596" s="9" t="str">
        <f>IFERROR(INDEX(T_CleanCustomers[Product],MATCH(B1596,T_CleanCustomers[Customer_ID],0)),"Unmatched")</f>
        <v>EV Charge Card</v>
      </c>
      <c r="P1596" s="9" t="str">
        <f>IFERROR(INDEX(T_CleanCustomers[Customer_Segment],MATCH(B1596,T_CleanCustomers[Customer_ID],0)),"Unmatched")</f>
        <v>SME</v>
      </c>
    </row>
    <row r="1597" spans="1:16" ht="15" customHeight="1" x14ac:dyDescent="0.2">
      <c r="A1597" s="9" t="s">
        <v>2931</v>
      </c>
      <c r="B1597" s="9" t="s">
        <v>1347</v>
      </c>
      <c r="C1597" s="9" t="b">
        <f>TRUE()</f>
        <v>1</v>
      </c>
      <c r="D1597" s="10">
        <v>45869</v>
      </c>
      <c r="E1597" s="10">
        <v>45839</v>
      </c>
      <c r="F1597" s="9" t="s">
        <v>1373</v>
      </c>
      <c r="G1597" s="11">
        <v>2324.94</v>
      </c>
      <c r="H1597" s="11">
        <v>35.880000000000003</v>
      </c>
      <c r="I1597" s="9" t="b">
        <f>TRUE()</f>
        <v>1</v>
      </c>
      <c r="J1597" s="9" t="s">
        <v>1361</v>
      </c>
      <c r="K1597" s="11">
        <v>35.880000000000003</v>
      </c>
      <c r="L1597" s="9" t="s">
        <v>19</v>
      </c>
      <c r="M1597" s="9" t="str">
        <f>IFERROR(INDEX(T_CleanCustomers[Sales_Rep_ID],MATCH(B1597,T_CleanCustomers[Customer_ID],0)),"Unmatched")</f>
        <v>REP013</v>
      </c>
      <c r="N1597" s="9" t="str">
        <f>IFERROR(INDEX(T_CleanCustomers[Channel],MATCH(B1597,T_CleanCustomers[Customer_ID],0)),"Unmatched")</f>
        <v>Referral</v>
      </c>
      <c r="O1597" s="9" t="str">
        <f>IFERROR(INDEX(T_CleanCustomers[Product],MATCH(B1597,T_CleanCustomers[Customer_ID],0)),"Unmatched")</f>
        <v>Toll Solution</v>
      </c>
      <c r="P1597" s="9" t="str">
        <f>IFERROR(INDEX(T_CleanCustomers[Customer_Segment],MATCH(B1597,T_CleanCustomers[Customer_ID],0)),"Unmatched")</f>
        <v>SME</v>
      </c>
    </row>
    <row r="1598" spans="1:16" ht="15" customHeight="1" x14ac:dyDescent="0.2">
      <c r="A1598" s="9" t="s">
        <v>2932</v>
      </c>
      <c r="B1598" s="9" t="s">
        <v>1347</v>
      </c>
      <c r="C1598" s="9" t="b">
        <f>TRUE()</f>
        <v>1</v>
      </c>
      <c r="D1598" s="10">
        <v>45863</v>
      </c>
      <c r="E1598" s="10">
        <v>45839</v>
      </c>
      <c r="F1598" s="9" t="s">
        <v>1373</v>
      </c>
      <c r="G1598" s="11">
        <v>3117.58</v>
      </c>
      <c r="H1598" s="11">
        <v>52.54</v>
      </c>
      <c r="I1598" s="9" t="b">
        <f>TRUE()</f>
        <v>1</v>
      </c>
      <c r="J1598" s="9" t="s">
        <v>1361</v>
      </c>
      <c r="K1598" s="11">
        <v>52.54</v>
      </c>
      <c r="L1598" s="9" t="s">
        <v>19</v>
      </c>
      <c r="M1598" s="9" t="str">
        <f>IFERROR(INDEX(T_CleanCustomers[Sales_Rep_ID],MATCH(B1598,T_CleanCustomers[Customer_ID],0)),"Unmatched")</f>
        <v>REP013</v>
      </c>
      <c r="N1598" s="9" t="str">
        <f>IFERROR(INDEX(T_CleanCustomers[Channel],MATCH(B1598,T_CleanCustomers[Customer_ID],0)),"Unmatched")</f>
        <v>Referral</v>
      </c>
      <c r="O1598" s="9" t="str">
        <f>IFERROR(INDEX(T_CleanCustomers[Product],MATCH(B1598,T_CleanCustomers[Customer_ID],0)),"Unmatched")</f>
        <v>Toll Solution</v>
      </c>
      <c r="P1598" s="9" t="str">
        <f>IFERROR(INDEX(T_CleanCustomers[Customer_Segment],MATCH(B1598,T_CleanCustomers[Customer_ID],0)),"Unmatched")</f>
        <v>SME</v>
      </c>
    </row>
    <row r="1599" spans="1:16" ht="15" customHeight="1" x14ac:dyDescent="0.2">
      <c r="A1599" s="9" t="s">
        <v>138</v>
      </c>
      <c r="B1599" s="9" t="s">
        <v>1347</v>
      </c>
      <c r="C1599" s="9" t="b">
        <f>TRUE()</f>
        <v>1</v>
      </c>
      <c r="D1599" s="10">
        <v>45876</v>
      </c>
      <c r="E1599" s="10">
        <v>45870</v>
      </c>
      <c r="F1599" s="9" t="s">
        <v>1373</v>
      </c>
      <c r="G1599" s="11"/>
      <c r="H1599" s="11">
        <v>66.040000000000006</v>
      </c>
      <c r="I1599" s="9" t="b">
        <f>TRUE()</f>
        <v>1</v>
      </c>
      <c r="J1599" s="9" t="s">
        <v>1361</v>
      </c>
      <c r="K1599" s="11">
        <v>66.040000000000006</v>
      </c>
      <c r="L1599" s="9" t="s">
        <v>19</v>
      </c>
      <c r="M1599" s="9" t="str">
        <f>IFERROR(INDEX(T_CleanCustomers[Sales_Rep_ID],MATCH(B1599,T_CleanCustomers[Customer_ID],0)),"Unmatched")</f>
        <v>REP013</v>
      </c>
      <c r="N1599" s="9" t="str">
        <f>IFERROR(INDEX(T_CleanCustomers[Channel],MATCH(B1599,T_CleanCustomers[Customer_ID],0)),"Unmatched")</f>
        <v>Referral</v>
      </c>
      <c r="O1599" s="9" t="str">
        <f>IFERROR(INDEX(T_CleanCustomers[Product],MATCH(B1599,T_CleanCustomers[Customer_ID],0)),"Unmatched")</f>
        <v>Toll Solution</v>
      </c>
      <c r="P1599" s="9" t="str">
        <f>IFERROR(INDEX(T_CleanCustomers[Customer_Segment],MATCH(B1599,T_CleanCustomers[Customer_ID],0)),"Unmatched")</f>
        <v>SME</v>
      </c>
    </row>
    <row r="1600" spans="1:16" ht="15" customHeight="1" x14ac:dyDescent="0.2">
      <c r="A1600" s="9" t="s">
        <v>2933</v>
      </c>
      <c r="B1600" s="9" t="s">
        <v>1347</v>
      </c>
      <c r="C1600" s="9" t="b">
        <f>TRUE()</f>
        <v>1</v>
      </c>
      <c r="D1600" s="10">
        <v>45885</v>
      </c>
      <c r="E1600" s="10">
        <v>45870</v>
      </c>
      <c r="F1600" s="9" t="s">
        <v>1373</v>
      </c>
      <c r="G1600" s="11">
        <v>2455.2600000000002</v>
      </c>
      <c r="H1600" s="11">
        <v>49.26</v>
      </c>
      <c r="I1600" s="9" t="b">
        <f>TRUE()</f>
        <v>1</v>
      </c>
      <c r="J1600" s="9" t="s">
        <v>1361</v>
      </c>
      <c r="K1600" s="11">
        <v>49.26</v>
      </c>
      <c r="L1600" s="9" t="s">
        <v>19</v>
      </c>
      <c r="M1600" s="9" t="str">
        <f>IFERROR(INDEX(T_CleanCustomers[Sales_Rep_ID],MATCH(B1600,T_CleanCustomers[Customer_ID],0)),"Unmatched")</f>
        <v>REP013</v>
      </c>
      <c r="N1600" s="9" t="str">
        <f>IFERROR(INDEX(T_CleanCustomers[Channel],MATCH(B1600,T_CleanCustomers[Customer_ID],0)),"Unmatched")</f>
        <v>Referral</v>
      </c>
      <c r="O1600" s="9" t="str">
        <f>IFERROR(INDEX(T_CleanCustomers[Product],MATCH(B1600,T_CleanCustomers[Customer_ID],0)),"Unmatched")</f>
        <v>Toll Solution</v>
      </c>
      <c r="P1600" s="9" t="str">
        <f>IFERROR(INDEX(T_CleanCustomers[Customer_Segment],MATCH(B1600,T_CleanCustomers[Customer_ID],0)),"Unmatched")</f>
        <v>SME</v>
      </c>
    </row>
    <row r="1601" spans="1:16" ht="15" customHeight="1" x14ac:dyDescent="0.2">
      <c r="A1601" s="9" t="s">
        <v>2934</v>
      </c>
      <c r="B1601" s="9" t="s">
        <v>1347</v>
      </c>
      <c r="C1601" s="9" t="b">
        <f>TRUE()</f>
        <v>1</v>
      </c>
      <c r="D1601" s="10">
        <v>45871</v>
      </c>
      <c r="E1601" s="10">
        <v>45870</v>
      </c>
      <c r="F1601" s="9" t="s">
        <v>1373</v>
      </c>
      <c r="G1601" s="11">
        <v>3806.25</v>
      </c>
      <c r="H1601" s="11">
        <v>63.41</v>
      </c>
      <c r="I1601" s="9" t="b">
        <f>TRUE()</f>
        <v>1</v>
      </c>
      <c r="J1601" s="9" t="s">
        <v>1361</v>
      </c>
      <c r="K1601" s="11">
        <v>63.41</v>
      </c>
      <c r="L1601" s="9" t="s">
        <v>19</v>
      </c>
      <c r="M1601" s="9" t="str">
        <f>IFERROR(INDEX(T_CleanCustomers[Sales_Rep_ID],MATCH(B1601,T_CleanCustomers[Customer_ID],0)),"Unmatched")</f>
        <v>REP013</v>
      </c>
      <c r="N1601" s="9" t="str">
        <f>IFERROR(INDEX(T_CleanCustomers[Channel],MATCH(B1601,T_CleanCustomers[Customer_ID],0)),"Unmatched")</f>
        <v>Referral</v>
      </c>
      <c r="O1601" s="9" t="str">
        <f>IFERROR(INDEX(T_CleanCustomers[Product],MATCH(B1601,T_CleanCustomers[Customer_ID],0)),"Unmatched")</f>
        <v>Toll Solution</v>
      </c>
      <c r="P1601" s="9" t="str">
        <f>IFERROR(INDEX(T_CleanCustomers[Customer_Segment],MATCH(B1601,T_CleanCustomers[Customer_ID],0)),"Unmatched")</f>
        <v>SME</v>
      </c>
    </row>
    <row r="1602" spans="1:16" ht="15" customHeight="1" x14ac:dyDescent="0.2">
      <c r="A1602" s="9" t="s">
        <v>2935</v>
      </c>
      <c r="B1602" s="9" t="s">
        <v>1347</v>
      </c>
      <c r="C1602" s="9" t="b">
        <f>TRUE()</f>
        <v>1</v>
      </c>
      <c r="D1602" s="10">
        <v>45908</v>
      </c>
      <c r="E1602" s="10">
        <v>45901</v>
      </c>
      <c r="F1602" s="9" t="s">
        <v>1373</v>
      </c>
      <c r="G1602" s="11">
        <v>2272.65</v>
      </c>
      <c r="H1602" s="11">
        <v>39.799999999999997</v>
      </c>
      <c r="I1602" s="9" t="b">
        <f>TRUE()</f>
        <v>1</v>
      </c>
      <c r="J1602" s="9" t="s">
        <v>1361</v>
      </c>
      <c r="K1602" s="11">
        <v>39.799999999999997</v>
      </c>
      <c r="L1602" s="9" t="s">
        <v>19</v>
      </c>
      <c r="M1602" s="9" t="str">
        <f>IFERROR(INDEX(T_CleanCustomers[Sales_Rep_ID],MATCH(B1602,T_CleanCustomers[Customer_ID],0)),"Unmatched")</f>
        <v>REP013</v>
      </c>
      <c r="N1602" s="9" t="str">
        <f>IFERROR(INDEX(T_CleanCustomers[Channel],MATCH(B1602,T_CleanCustomers[Customer_ID],0)),"Unmatched")</f>
        <v>Referral</v>
      </c>
      <c r="O1602" s="9" t="str">
        <f>IFERROR(INDEX(T_CleanCustomers[Product],MATCH(B1602,T_CleanCustomers[Customer_ID],0)),"Unmatched")</f>
        <v>Toll Solution</v>
      </c>
      <c r="P1602" s="9" t="str">
        <f>IFERROR(INDEX(T_CleanCustomers[Customer_Segment],MATCH(B1602,T_CleanCustomers[Customer_ID],0)),"Unmatched")</f>
        <v>SME</v>
      </c>
    </row>
    <row r="1603" spans="1:16" ht="15" customHeight="1" x14ac:dyDescent="0.2">
      <c r="A1603" s="9" t="s">
        <v>2936</v>
      </c>
      <c r="B1603" s="9" t="s">
        <v>1347</v>
      </c>
      <c r="C1603" s="9" t="b">
        <f>TRUE()</f>
        <v>1</v>
      </c>
      <c r="D1603" s="10">
        <v>45905</v>
      </c>
      <c r="E1603" s="10">
        <v>45901</v>
      </c>
      <c r="F1603" s="9" t="s">
        <v>1373</v>
      </c>
      <c r="G1603" s="11">
        <v>1756.56</v>
      </c>
      <c r="H1603" s="11">
        <v>27.13</v>
      </c>
      <c r="I1603" s="9" t="b">
        <f>TRUE()</f>
        <v>1</v>
      </c>
      <c r="J1603" s="9" t="s">
        <v>1361</v>
      </c>
      <c r="K1603" s="11">
        <v>27.13</v>
      </c>
      <c r="L1603" s="9" t="s">
        <v>19</v>
      </c>
      <c r="M1603" s="9" t="str">
        <f>IFERROR(INDEX(T_CleanCustomers[Sales_Rep_ID],MATCH(B1603,T_CleanCustomers[Customer_ID],0)),"Unmatched")</f>
        <v>REP013</v>
      </c>
      <c r="N1603" s="9" t="str">
        <f>IFERROR(INDEX(T_CleanCustomers[Channel],MATCH(B1603,T_CleanCustomers[Customer_ID],0)),"Unmatched")</f>
        <v>Referral</v>
      </c>
      <c r="O1603" s="9" t="str">
        <f>IFERROR(INDEX(T_CleanCustomers[Product],MATCH(B1603,T_CleanCustomers[Customer_ID],0)),"Unmatched")</f>
        <v>Toll Solution</v>
      </c>
      <c r="P1603" s="9" t="str">
        <f>IFERROR(INDEX(T_CleanCustomers[Customer_Segment],MATCH(B1603,T_CleanCustomers[Customer_ID],0)),"Unmatched")</f>
        <v>SME</v>
      </c>
    </row>
    <row r="1604" spans="1:16" ht="15" customHeight="1" x14ac:dyDescent="0.2">
      <c r="A1604" s="9" t="s">
        <v>2937</v>
      </c>
      <c r="B1604" s="9" t="s">
        <v>1347</v>
      </c>
      <c r="C1604" s="9" t="b">
        <f>TRUE()</f>
        <v>1</v>
      </c>
      <c r="D1604" s="10">
        <v>45904</v>
      </c>
      <c r="E1604" s="10">
        <v>45901</v>
      </c>
      <c r="F1604" s="9" t="s">
        <v>1373</v>
      </c>
      <c r="G1604" s="11">
        <v>2344.98</v>
      </c>
      <c r="H1604" s="11">
        <v>42.89</v>
      </c>
      <c r="I1604" s="9" t="b">
        <f>TRUE()</f>
        <v>1</v>
      </c>
      <c r="J1604" s="9" t="s">
        <v>1361</v>
      </c>
      <c r="K1604" s="11">
        <v>42.89</v>
      </c>
      <c r="L1604" s="9" t="s">
        <v>19</v>
      </c>
      <c r="M1604" s="9" t="str">
        <f>IFERROR(INDEX(T_CleanCustomers[Sales_Rep_ID],MATCH(B1604,T_CleanCustomers[Customer_ID],0)),"Unmatched")</f>
        <v>REP013</v>
      </c>
      <c r="N1604" s="9" t="str">
        <f>IFERROR(INDEX(T_CleanCustomers[Channel],MATCH(B1604,T_CleanCustomers[Customer_ID],0)),"Unmatched")</f>
        <v>Referral</v>
      </c>
      <c r="O1604" s="9" t="str">
        <f>IFERROR(INDEX(T_CleanCustomers[Product],MATCH(B1604,T_CleanCustomers[Customer_ID],0)),"Unmatched")</f>
        <v>Toll Solution</v>
      </c>
      <c r="P1604" s="9" t="str">
        <f>IFERROR(INDEX(T_CleanCustomers[Customer_Segment],MATCH(B1604,T_CleanCustomers[Customer_ID],0)),"Unmatched")</f>
        <v>SME</v>
      </c>
    </row>
    <row r="1605" spans="1:16" ht="15" customHeight="1" x14ac:dyDescent="0.2">
      <c r="A1605" s="9" t="s">
        <v>2938</v>
      </c>
      <c r="B1605" s="9" t="s">
        <v>1347</v>
      </c>
      <c r="C1605" s="9" t="b">
        <f>TRUE()</f>
        <v>1</v>
      </c>
      <c r="D1605" s="10">
        <v>45955</v>
      </c>
      <c r="E1605" s="10">
        <v>45931</v>
      </c>
      <c r="F1605" s="9" t="s">
        <v>1373</v>
      </c>
      <c r="G1605" s="11">
        <v>2605.85</v>
      </c>
      <c r="H1605" s="11">
        <v>41.95</v>
      </c>
      <c r="I1605" s="9" t="b">
        <f>TRUE()</f>
        <v>1</v>
      </c>
      <c r="J1605" s="9" t="s">
        <v>1361</v>
      </c>
      <c r="K1605" s="11">
        <v>41.95</v>
      </c>
      <c r="L1605" s="9" t="s">
        <v>19</v>
      </c>
      <c r="M1605" s="9" t="str">
        <f>IFERROR(INDEX(T_CleanCustomers[Sales_Rep_ID],MATCH(B1605,T_CleanCustomers[Customer_ID],0)),"Unmatched")</f>
        <v>REP013</v>
      </c>
      <c r="N1605" s="9" t="str">
        <f>IFERROR(INDEX(T_CleanCustomers[Channel],MATCH(B1605,T_CleanCustomers[Customer_ID],0)),"Unmatched")</f>
        <v>Referral</v>
      </c>
      <c r="O1605" s="9" t="str">
        <f>IFERROR(INDEX(T_CleanCustomers[Product],MATCH(B1605,T_CleanCustomers[Customer_ID],0)),"Unmatched")</f>
        <v>Toll Solution</v>
      </c>
      <c r="P1605" s="9" t="str">
        <f>IFERROR(INDEX(T_CleanCustomers[Customer_Segment],MATCH(B1605,T_CleanCustomers[Customer_ID],0)),"Unmatched")</f>
        <v>SME</v>
      </c>
    </row>
    <row r="1606" spans="1:16" ht="15" customHeight="1" x14ac:dyDescent="0.2">
      <c r="A1606" s="9" t="s">
        <v>2939</v>
      </c>
      <c r="B1606" s="9" t="s">
        <v>1347</v>
      </c>
      <c r="C1606" s="9" t="b">
        <f>TRUE()</f>
        <v>1</v>
      </c>
      <c r="D1606" s="10">
        <v>45931</v>
      </c>
      <c r="E1606" s="10">
        <v>45931</v>
      </c>
      <c r="F1606" s="9" t="s">
        <v>1373</v>
      </c>
      <c r="G1606" s="11">
        <v>2940.94</v>
      </c>
      <c r="H1606" s="11">
        <v>48.32</v>
      </c>
      <c r="I1606" s="9" t="b">
        <f>TRUE()</f>
        <v>1</v>
      </c>
      <c r="J1606" s="9" t="s">
        <v>1361</v>
      </c>
      <c r="K1606" s="11">
        <v>48.32</v>
      </c>
      <c r="L1606" s="9" t="s">
        <v>19</v>
      </c>
      <c r="M1606" s="9" t="str">
        <f>IFERROR(INDEX(T_CleanCustomers[Sales_Rep_ID],MATCH(B1606,T_CleanCustomers[Customer_ID],0)),"Unmatched")</f>
        <v>REP013</v>
      </c>
      <c r="N1606" s="9" t="str">
        <f>IFERROR(INDEX(T_CleanCustomers[Channel],MATCH(B1606,T_CleanCustomers[Customer_ID],0)),"Unmatched")</f>
        <v>Referral</v>
      </c>
      <c r="O1606" s="9" t="str">
        <f>IFERROR(INDEX(T_CleanCustomers[Product],MATCH(B1606,T_CleanCustomers[Customer_ID],0)),"Unmatched")</f>
        <v>Toll Solution</v>
      </c>
      <c r="P1606" s="9" t="str">
        <f>IFERROR(INDEX(T_CleanCustomers[Customer_Segment],MATCH(B1606,T_CleanCustomers[Customer_ID],0)),"Unmatched")</f>
        <v>SME</v>
      </c>
    </row>
    <row r="1607" spans="1:16" ht="15" customHeight="1" x14ac:dyDescent="0.2">
      <c r="A1607" s="9" t="s">
        <v>2940</v>
      </c>
      <c r="B1607" s="9" t="s">
        <v>1347</v>
      </c>
      <c r="C1607" s="9" t="b">
        <f>TRUE()</f>
        <v>1</v>
      </c>
      <c r="D1607" s="10">
        <v>45966</v>
      </c>
      <c r="E1607" s="10">
        <v>45962</v>
      </c>
      <c r="F1607" s="9" t="s">
        <v>1373</v>
      </c>
      <c r="G1607" s="11">
        <v>3465.44</v>
      </c>
      <c r="H1607" s="11">
        <v>56.9</v>
      </c>
      <c r="I1607" s="9" t="b">
        <f>TRUE()</f>
        <v>1</v>
      </c>
      <c r="J1607" s="9" t="s">
        <v>1361</v>
      </c>
      <c r="K1607" s="11">
        <v>56.9</v>
      </c>
      <c r="L1607" s="9" t="s">
        <v>19</v>
      </c>
      <c r="M1607" s="9" t="str">
        <f>IFERROR(INDEX(T_CleanCustomers[Sales_Rep_ID],MATCH(B1607,T_CleanCustomers[Customer_ID],0)),"Unmatched")</f>
        <v>REP013</v>
      </c>
      <c r="N1607" s="9" t="str">
        <f>IFERROR(INDEX(T_CleanCustomers[Channel],MATCH(B1607,T_CleanCustomers[Customer_ID],0)),"Unmatched")</f>
        <v>Referral</v>
      </c>
      <c r="O1607" s="9" t="str">
        <f>IFERROR(INDEX(T_CleanCustomers[Product],MATCH(B1607,T_CleanCustomers[Customer_ID],0)),"Unmatched")</f>
        <v>Toll Solution</v>
      </c>
      <c r="P1607" s="9" t="str">
        <f>IFERROR(INDEX(T_CleanCustomers[Customer_Segment],MATCH(B1607,T_CleanCustomers[Customer_ID],0)),"Unmatched")</f>
        <v>SME</v>
      </c>
    </row>
    <row r="1608" spans="1:16" ht="15" customHeight="1" x14ac:dyDescent="0.2">
      <c r="A1608" s="9" t="s">
        <v>2941</v>
      </c>
      <c r="B1608" s="9" t="s">
        <v>1347</v>
      </c>
      <c r="C1608" s="9" t="b">
        <f>TRUE()</f>
        <v>1</v>
      </c>
      <c r="D1608" s="10">
        <v>45977</v>
      </c>
      <c r="E1608" s="10">
        <v>45962</v>
      </c>
      <c r="F1608" s="9" t="s">
        <v>1373</v>
      </c>
      <c r="G1608" s="11">
        <v>4485.51</v>
      </c>
      <c r="H1608" s="11">
        <v>68.930000000000007</v>
      </c>
      <c r="I1608" s="9" t="b">
        <f>TRUE()</f>
        <v>1</v>
      </c>
      <c r="J1608" s="9" t="s">
        <v>1361</v>
      </c>
      <c r="K1608" s="11">
        <v>68.930000000000007</v>
      </c>
      <c r="L1608" s="9" t="s">
        <v>19</v>
      </c>
      <c r="M1608" s="9" t="str">
        <f>IFERROR(INDEX(T_CleanCustomers[Sales_Rep_ID],MATCH(B1608,T_CleanCustomers[Customer_ID],0)),"Unmatched")</f>
        <v>REP013</v>
      </c>
      <c r="N1608" s="9" t="str">
        <f>IFERROR(INDEX(T_CleanCustomers[Channel],MATCH(B1608,T_CleanCustomers[Customer_ID],0)),"Unmatched")</f>
        <v>Referral</v>
      </c>
      <c r="O1608" s="9" t="str">
        <f>IFERROR(INDEX(T_CleanCustomers[Product],MATCH(B1608,T_CleanCustomers[Customer_ID],0)),"Unmatched")</f>
        <v>Toll Solution</v>
      </c>
      <c r="P1608" s="9" t="str">
        <f>IFERROR(INDEX(T_CleanCustomers[Customer_Segment],MATCH(B1608,T_CleanCustomers[Customer_ID],0)),"Unmatched")</f>
        <v>SME</v>
      </c>
    </row>
    <row r="1609" spans="1:16" ht="15" customHeight="1" x14ac:dyDescent="0.2">
      <c r="A1609" s="9" t="s">
        <v>128</v>
      </c>
      <c r="B1609" s="9" t="s">
        <v>1347</v>
      </c>
      <c r="C1609" s="9" t="b">
        <f>TRUE()</f>
        <v>1</v>
      </c>
      <c r="D1609" s="10">
        <v>45976</v>
      </c>
      <c r="E1609" s="10">
        <v>45962</v>
      </c>
      <c r="F1609" s="9" t="s">
        <v>1373</v>
      </c>
      <c r="G1609" s="11">
        <v>1406.07</v>
      </c>
      <c r="H1609" s="11">
        <v>-23.05</v>
      </c>
      <c r="I1609" s="9" t="b">
        <f>FALSE()</f>
        <v>0</v>
      </c>
      <c r="J1609" s="9" t="s">
        <v>1361</v>
      </c>
      <c r="K1609" s="11">
        <v>0</v>
      </c>
      <c r="L1609" s="9" t="s">
        <v>19</v>
      </c>
      <c r="M1609" s="9" t="str">
        <f>IFERROR(INDEX(T_CleanCustomers[Sales_Rep_ID],MATCH(B1609,T_CleanCustomers[Customer_ID],0)),"Unmatched")</f>
        <v>REP013</v>
      </c>
      <c r="N1609" s="9" t="str">
        <f>IFERROR(INDEX(T_CleanCustomers[Channel],MATCH(B1609,T_CleanCustomers[Customer_ID],0)),"Unmatched")</f>
        <v>Referral</v>
      </c>
      <c r="O1609" s="9" t="str">
        <f>IFERROR(INDEX(T_CleanCustomers[Product],MATCH(B1609,T_CleanCustomers[Customer_ID],0)),"Unmatched")</f>
        <v>Toll Solution</v>
      </c>
      <c r="P1609" s="9" t="str">
        <f>IFERROR(INDEX(T_CleanCustomers[Customer_Segment],MATCH(B1609,T_CleanCustomers[Customer_ID],0)),"Unmatched")</f>
        <v>SME</v>
      </c>
    </row>
    <row r="1610" spans="1:16" ht="15" customHeight="1" x14ac:dyDescent="0.2">
      <c r="A1610" s="9" t="s">
        <v>2942</v>
      </c>
      <c r="B1610" s="9" t="s">
        <v>1347</v>
      </c>
      <c r="C1610" s="9" t="b">
        <f>TRUE()</f>
        <v>1</v>
      </c>
      <c r="D1610" s="10">
        <v>45996</v>
      </c>
      <c r="E1610" s="10">
        <v>45992</v>
      </c>
      <c r="F1610" s="9" t="s">
        <v>1373</v>
      </c>
      <c r="G1610" s="11">
        <v>4148.46</v>
      </c>
      <c r="H1610" s="11">
        <v>85.59</v>
      </c>
      <c r="I1610" s="9" t="b">
        <f>TRUE()</f>
        <v>1</v>
      </c>
      <c r="J1610" s="9" t="s">
        <v>1361</v>
      </c>
      <c r="K1610" s="11">
        <v>85.59</v>
      </c>
      <c r="L1610" s="9" t="s">
        <v>19</v>
      </c>
      <c r="M1610" s="9" t="str">
        <f>IFERROR(INDEX(T_CleanCustomers[Sales_Rep_ID],MATCH(B1610,T_CleanCustomers[Customer_ID],0)),"Unmatched")</f>
        <v>REP013</v>
      </c>
      <c r="N1610" s="9" t="str">
        <f>IFERROR(INDEX(T_CleanCustomers[Channel],MATCH(B1610,T_CleanCustomers[Customer_ID],0)),"Unmatched")</f>
        <v>Referral</v>
      </c>
      <c r="O1610" s="9" t="str">
        <f>IFERROR(INDEX(T_CleanCustomers[Product],MATCH(B1610,T_CleanCustomers[Customer_ID],0)),"Unmatched")</f>
        <v>Toll Solution</v>
      </c>
      <c r="P1610" s="9" t="str">
        <f>IFERROR(INDEX(T_CleanCustomers[Customer_Segment],MATCH(B1610,T_CleanCustomers[Customer_ID],0)),"Unmatched")</f>
        <v>SME</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2F7B4-3E9E-48EE-A26C-A198785D75CA}">
  <dimension ref="A3:AA92"/>
  <sheetViews>
    <sheetView topLeftCell="A67" workbookViewId="0"/>
  </sheetViews>
  <sheetFormatPr defaultRowHeight="12.75" x14ac:dyDescent="0.2"/>
  <cols>
    <col min="1" max="1" width="17.85546875" bestFit="1" customWidth="1"/>
    <col min="2" max="2" width="11.7109375" bestFit="1" customWidth="1"/>
    <col min="3" max="3" width="5" bestFit="1" customWidth="1"/>
    <col min="4" max="4" width="14.42578125" bestFit="1" customWidth="1"/>
    <col min="5" max="5" width="11.7109375" bestFit="1" customWidth="1"/>
    <col min="6" max="6" width="21.140625" bestFit="1" customWidth="1"/>
    <col min="7" max="7" width="11.42578125" bestFit="1" customWidth="1"/>
    <col min="8" max="8" width="14.5703125" bestFit="1" customWidth="1"/>
    <col min="9" max="9" width="4.85546875" bestFit="1" customWidth="1"/>
    <col min="10" max="10" width="18.42578125" bestFit="1" customWidth="1"/>
    <col min="11" max="11" width="21.5703125" bestFit="1" customWidth="1"/>
    <col min="12" max="12" width="9" bestFit="1" customWidth="1"/>
    <col min="13" max="13" width="11.42578125" bestFit="1" customWidth="1"/>
    <col min="14" max="14" width="15.42578125" bestFit="1" customWidth="1"/>
    <col min="15" max="15" width="15.5703125" bestFit="1" customWidth="1"/>
    <col min="16" max="16" width="13.7109375" bestFit="1" customWidth="1"/>
    <col min="17" max="17" width="22.42578125" bestFit="1" customWidth="1"/>
    <col min="18" max="18" width="13.7109375" bestFit="1" customWidth="1"/>
    <col min="19" max="19" width="12.42578125" bestFit="1" customWidth="1"/>
    <col min="20" max="20" width="23.28515625" bestFit="1" customWidth="1"/>
    <col min="21" max="21" width="5.140625" bestFit="1" customWidth="1"/>
    <col min="22" max="22" width="10.5703125" bestFit="1" customWidth="1"/>
    <col min="23" max="23" width="9" bestFit="1" customWidth="1"/>
    <col min="24" max="24" width="14.28515625" bestFit="1" customWidth="1"/>
    <col min="25" max="25" width="9.42578125" bestFit="1" customWidth="1"/>
    <col min="26" max="26" width="8.7109375" bestFit="1" customWidth="1"/>
    <col min="27" max="27" width="11.140625" bestFit="1" customWidth="1"/>
  </cols>
  <sheetData>
    <row r="3" spans="1:25" ht="13.5" x14ac:dyDescent="0.25">
      <c r="A3" s="35" t="s">
        <v>31</v>
      </c>
      <c r="B3" s="31" t="s">
        <v>14</v>
      </c>
      <c r="D3" s="35" t="s">
        <v>14</v>
      </c>
      <c r="E3" s="35" t="s">
        <v>31</v>
      </c>
      <c r="F3" s="31"/>
      <c r="G3" s="31"/>
      <c r="H3" s="31"/>
      <c r="I3" s="31"/>
      <c r="J3" s="35" t="s">
        <v>14</v>
      </c>
      <c r="K3" s="35" t="s">
        <v>31</v>
      </c>
      <c r="L3" s="31"/>
      <c r="M3" s="31"/>
      <c r="N3" s="31"/>
      <c r="O3" s="31"/>
      <c r="R3" s="35" t="s">
        <v>17</v>
      </c>
      <c r="S3" s="31" t="s">
        <v>14</v>
      </c>
      <c r="T3" s="31" t="s">
        <v>3007</v>
      </c>
      <c r="V3" s="31" t="s">
        <v>14</v>
      </c>
      <c r="W3" s="31" t="s">
        <v>15</v>
      </c>
      <c r="X3" s="31" t="s">
        <v>1</v>
      </c>
      <c r="Y3" s="31" t="s">
        <v>3008</v>
      </c>
    </row>
    <row r="4" spans="1:25" ht="13.5" x14ac:dyDescent="0.25">
      <c r="A4" s="31" t="s">
        <v>152</v>
      </c>
      <c r="B4" s="32">
        <v>707</v>
      </c>
      <c r="D4" s="35" t="s">
        <v>139</v>
      </c>
      <c r="E4" s="31" t="s">
        <v>152</v>
      </c>
      <c r="F4" s="31" t="s">
        <v>190</v>
      </c>
      <c r="G4" s="31" t="s">
        <v>158</v>
      </c>
      <c r="H4" s="31" t="s">
        <v>15</v>
      </c>
      <c r="I4" s="31" t="s">
        <v>2</v>
      </c>
      <c r="J4" s="35" t="s">
        <v>23</v>
      </c>
      <c r="K4" s="31" t="s">
        <v>152</v>
      </c>
      <c r="L4" s="31" t="s">
        <v>190</v>
      </c>
      <c r="M4" s="31" t="s">
        <v>158</v>
      </c>
      <c r="N4" s="31" t="s">
        <v>15</v>
      </c>
      <c r="O4" s="31" t="s">
        <v>2</v>
      </c>
      <c r="R4" s="31" t="s">
        <v>18</v>
      </c>
      <c r="S4" s="32">
        <v>115</v>
      </c>
      <c r="T4" s="33">
        <v>261045.94999999992</v>
      </c>
      <c r="V4" s="32">
        <v>1000</v>
      </c>
      <c r="W4" s="32">
        <v>702</v>
      </c>
      <c r="X4" s="32">
        <v>531</v>
      </c>
      <c r="Y4" s="32">
        <v>220</v>
      </c>
    </row>
    <row r="5" spans="1:25" ht="13.5" x14ac:dyDescent="0.25">
      <c r="A5" s="31" t="s">
        <v>190</v>
      </c>
      <c r="B5" s="32">
        <v>25</v>
      </c>
      <c r="D5" s="36">
        <v>45658</v>
      </c>
      <c r="E5" s="32">
        <v>50</v>
      </c>
      <c r="F5" s="32"/>
      <c r="G5" s="32"/>
      <c r="H5" s="32"/>
      <c r="I5" s="32">
        <v>18</v>
      </c>
      <c r="J5" s="31" t="s">
        <v>24</v>
      </c>
      <c r="K5" s="32">
        <v>192</v>
      </c>
      <c r="L5" s="32">
        <v>9</v>
      </c>
      <c r="M5" s="32">
        <v>5</v>
      </c>
      <c r="N5" s="32">
        <v>4</v>
      </c>
      <c r="O5" s="32">
        <v>22</v>
      </c>
      <c r="R5" s="31" t="s">
        <v>19</v>
      </c>
      <c r="S5" s="32">
        <v>181</v>
      </c>
      <c r="T5" s="33">
        <v>398977.7800000002</v>
      </c>
    </row>
    <row r="6" spans="1:25" ht="13.5" x14ac:dyDescent="0.25">
      <c r="A6" s="31" t="s">
        <v>158</v>
      </c>
      <c r="B6" s="32">
        <v>29</v>
      </c>
      <c r="D6" s="36">
        <v>45689</v>
      </c>
      <c r="E6" s="32">
        <v>60</v>
      </c>
      <c r="F6" s="32"/>
      <c r="G6" s="32"/>
      <c r="H6" s="32"/>
      <c r="I6" s="32">
        <v>16</v>
      </c>
      <c r="J6" s="31" t="s">
        <v>25</v>
      </c>
      <c r="K6" s="32">
        <v>164</v>
      </c>
      <c r="L6" s="32">
        <v>3</v>
      </c>
      <c r="M6" s="32">
        <v>8</v>
      </c>
      <c r="N6" s="32">
        <v>3</v>
      </c>
      <c r="O6" s="32">
        <v>92</v>
      </c>
      <c r="R6" s="31" t="s">
        <v>20</v>
      </c>
      <c r="S6" s="32">
        <v>286</v>
      </c>
      <c r="T6" s="33">
        <v>691633.15999999992</v>
      </c>
    </row>
    <row r="7" spans="1:25" ht="13.5" x14ac:dyDescent="0.25">
      <c r="A7" s="31" t="s">
        <v>15</v>
      </c>
      <c r="B7" s="32">
        <v>19</v>
      </c>
      <c r="D7" s="36">
        <v>45717</v>
      </c>
      <c r="E7" s="32">
        <v>61</v>
      </c>
      <c r="F7" s="32"/>
      <c r="G7" s="32"/>
      <c r="H7" s="32"/>
      <c r="I7" s="32">
        <v>22</v>
      </c>
      <c r="J7" s="31" t="s">
        <v>26</v>
      </c>
      <c r="K7" s="32">
        <v>152</v>
      </c>
      <c r="L7" s="32">
        <v>5</v>
      </c>
      <c r="M7" s="32">
        <v>8</v>
      </c>
      <c r="N7" s="32">
        <v>4</v>
      </c>
      <c r="O7" s="32">
        <v>44</v>
      </c>
      <c r="R7" s="31" t="s">
        <v>21</v>
      </c>
      <c r="S7" s="32">
        <v>164</v>
      </c>
      <c r="T7" s="33">
        <v>368682.83999999991</v>
      </c>
    </row>
    <row r="8" spans="1:25" ht="13.5" x14ac:dyDescent="0.25">
      <c r="A8" s="31" t="s">
        <v>2</v>
      </c>
      <c r="B8" s="32">
        <v>220</v>
      </c>
      <c r="D8" s="36">
        <v>45748</v>
      </c>
      <c r="E8" s="32">
        <v>63</v>
      </c>
      <c r="F8" s="32"/>
      <c r="G8" s="32"/>
      <c r="H8" s="32"/>
      <c r="I8" s="32">
        <v>14</v>
      </c>
      <c r="J8" s="31" t="s">
        <v>27</v>
      </c>
      <c r="K8" s="32">
        <v>65</v>
      </c>
      <c r="L8" s="32">
        <v>1</v>
      </c>
      <c r="M8" s="32">
        <v>5</v>
      </c>
      <c r="N8" s="32">
        <v>3</v>
      </c>
      <c r="O8" s="32">
        <v>34</v>
      </c>
      <c r="R8" s="31" t="s">
        <v>22</v>
      </c>
      <c r="S8" s="32">
        <v>254</v>
      </c>
      <c r="T8" s="33">
        <v>533231.84999999986</v>
      </c>
    </row>
    <row r="9" spans="1:25" ht="13.5" x14ac:dyDescent="0.25">
      <c r="D9" s="36">
        <v>45778</v>
      </c>
      <c r="E9" s="32">
        <v>69</v>
      </c>
      <c r="F9" s="32"/>
      <c r="G9" s="32"/>
      <c r="H9" s="32"/>
      <c r="I9" s="32">
        <v>23</v>
      </c>
      <c r="J9" s="31" t="s">
        <v>28</v>
      </c>
      <c r="K9" s="32">
        <v>129</v>
      </c>
      <c r="L9" s="32">
        <v>6</v>
      </c>
      <c r="M9" s="32">
        <v>3</v>
      </c>
      <c r="N9" s="32">
        <v>5</v>
      </c>
      <c r="O9" s="32">
        <v>24</v>
      </c>
    </row>
    <row r="10" spans="1:25" ht="13.5" x14ac:dyDescent="0.25">
      <c r="D10" s="36">
        <v>45809</v>
      </c>
      <c r="E10" s="32">
        <v>71</v>
      </c>
      <c r="F10" s="32"/>
      <c r="G10" s="32"/>
      <c r="H10" s="32"/>
      <c r="I10" s="32">
        <v>15</v>
      </c>
      <c r="J10" s="31" t="s">
        <v>375</v>
      </c>
      <c r="K10" s="32">
        <v>5</v>
      </c>
      <c r="L10" s="32">
        <v>1</v>
      </c>
      <c r="M10" s="32"/>
      <c r="N10" s="32"/>
      <c r="O10" s="32">
        <v>4</v>
      </c>
    </row>
    <row r="11" spans="1:25" ht="13.5" x14ac:dyDescent="0.25">
      <c r="D11" s="36">
        <v>45839</v>
      </c>
      <c r="E11" s="32">
        <v>72</v>
      </c>
      <c r="F11" s="32"/>
      <c r="G11" s="32"/>
      <c r="H11" s="32"/>
      <c r="I11" s="32">
        <v>16</v>
      </c>
    </row>
    <row r="12" spans="1:25" ht="13.5" x14ac:dyDescent="0.25">
      <c r="D12" s="36">
        <v>45870</v>
      </c>
      <c r="E12" s="32">
        <v>70</v>
      </c>
      <c r="F12" s="32"/>
      <c r="G12" s="32"/>
      <c r="H12" s="32"/>
      <c r="I12" s="32">
        <v>18</v>
      </c>
    </row>
    <row r="13" spans="1:25" ht="13.5" x14ac:dyDescent="0.25">
      <c r="D13" s="36">
        <v>45901</v>
      </c>
      <c r="E13" s="32">
        <v>64</v>
      </c>
      <c r="F13" s="32"/>
      <c r="G13" s="32"/>
      <c r="H13" s="32"/>
      <c r="I13" s="32">
        <v>18</v>
      </c>
    </row>
    <row r="14" spans="1:25" ht="13.5" x14ac:dyDescent="0.25">
      <c r="D14" s="36">
        <v>45931</v>
      </c>
      <c r="E14" s="32">
        <v>62</v>
      </c>
      <c r="F14" s="32"/>
      <c r="G14" s="32"/>
      <c r="H14" s="32"/>
      <c r="I14" s="32">
        <v>18</v>
      </c>
    </row>
    <row r="15" spans="1:25" ht="13.5" x14ac:dyDescent="0.25">
      <c r="D15" s="36">
        <v>45962</v>
      </c>
      <c r="E15" s="32">
        <v>56</v>
      </c>
      <c r="F15" s="32"/>
      <c r="G15" s="32"/>
      <c r="H15" s="32">
        <v>3</v>
      </c>
      <c r="I15" s="32">
        <v>23</v>
      </c>
    </row>
    <row r="16" spans="1:25" ht="13.5" x14ac:dyDescent="0.25">
      <c r="D16" s="36">
        <v>45992</v>
      </c>
      <c r="E16" s="32">
        <v>9</v>
      </c>
      <c r="F16" s="32">
        <v>25</v>
      </c>
      <c r="G16" s="32">
        <v>29</v>
      </c>
      <c r="H16" s="32">
        <v>16</v>
      </c>
      <c r="I16" s="32">
        <v>19</v>
      </c>
    </row>
    <row r="30" spans="1:25" ht="13.5" x14ac:dyDescent="0.25">
      <c r="A30" s="35" t="s">
        <v>14</v>
      </c>
      <c r="B30" s="35" t="s">
        <v>31</v>
      </c>
      <c r="C30" s="31"/>
      <c r="D30" s="31"/>
      <c r="E30" s="31"/>
      <c r="F30" s="31"/>
      <c r="J30" s="35" t="s">
        <v>42</v>
      </c>
      <c r="K30" s="31" t="s">
        <v>3009</v>
      </c>
      <c r="L30" s="31" t="s">
        <v>7</v>
      </c>
      <c r="M30" s="31" t="s">
        <v>3010</v>
      </c>
      <c r="P30" s="35" t="s">
        <v>3009</v>
      </c>
      <c r="Q30" s="35" t="s">
        <v>1148</v>
      </c>
      <c r="R30" s="31"/>
      <c r="S30" s="31"/>
      <c r="T30" s="31"/>
      <c r="V30" s="31" t="s">
        <v>3009</v>
      </c>
      <c r="W30" s="31" t="s">
        <v>7</v>
      </c>
      <c r="X30" s="31" t="s">
        <v>1155</v>
      </c>
      <c r="Y30" s="31" t="s">
        <v>3010</v>
      </c>
    </row>
    <row r="31" spans="1:25" ht="13.5" x14ac:dyDescent="0.25">
      <c r="A31" s="35" t="s">
        <v>39</v>
      </c>
      <c r="B31" s="31" t="s">
        <v>152</v>
      </c>
      <c r="C31" s="31" t="s">
        <v>190</v>
      </c>
      <c r="D31" s="31" t="s">
        <v>158</v>
      </c>
      <c r="E31" s="31" t="s">
        <v>15</v>
      </c>
      <c r="F31" s="31" t="s">
        <v>2</v>
      </c>
      <c r="J31" s="31" t="s">
        <v>150</v>
      </c>
      <c r="K31" s="32">
        <v>33</v>
      </c>
      <c r="L31" s="32">
        <v>32</v>
      </c>
      <c r="M31" s="34">
        <v>27.06451612903226</v>
      </c>
      <c r="P31" s="35" t="s">
        <v>17</v>
      </c>
      <c r="Q31" s="31" t="s">
        <v>1151</v>
      </c>
      <c r="R31" s="31" t="s">
        <v>1155</v>
      </c>
      <c r="S31" s="31" t="s">
        <v>1160</v>
      </c>
      <c r="T31" s="31" t="s">
        <v>1189</v>
      </c>
      <c r="V31" s="32">
        <v>220</v>
      </c>
      <c r="W31" s="32">
        <v>174</v>
      </c>
      <c r="X31" s="32">
        <v>13</v>
      </c>
      <c r="Y31" s="34">
        <v>25.058479532163744</v>
      </c>
    </row>
    <row r="32" spans="1:25" ht="13.5" x14ac:dyDescent="0.25">
      <c r="A32" s="31" t="s">
        <v>167</v>
      </c>
      <c r="B32" s="32">
        <v>66</v>
      </c>
      <c r="C32" s="32">
        <v>3</v>
      </c>
      <c r="D32" s="32">
        <v>6</v>
      </c>
      <c r="E32" s="32">
        <v>3</v>
      </c>
      <c r="F32" s="32">
        <v>14</v>
      </c>
      <c r="J32" s="31" t="s">
        <v>161</v>
      </c>
      <c r="K32" s="32">
        <v>64</v>
      </c>
      <c r="L32" s="32">
        <v>49</v>
      </c>
      <c r="M32" s="34">
        <v>25.666666666666668</v>
      </c>
      <c r="P32" s="31" t="s">
        <v>18</v>
      </c>
      <c r="Q32" s="32">
        <v>22</v>
      </c>
      <c r="R32" s="32">
        <v>3</v>
      </c>
      <c r="S32" s="32">
        <v>3</v>
      </c>
      <c r="T32" s="32"/>
    </row>
    <row r="33" spans="1:20" ht="13.5" x14ac:dyDescent="0.25">
      <c r="A33" s="31" t="s">
        <v>189</v>
      </c>
      <c r="B33" s="32">
        <v>58</v>
      </c>
      <c r="C33" s="32">
        <v>4</v>
      </c>
      <c r="D33" s="32">
        <v>5</v>
      </c>
      <c r="E33" s="32">
        <v>1</v>
      </c>
      <c r="F33" s="32">
        <v>19</v>
      </c>
      <c r="J33" s="31" t="s">
        <v>156</v>
      </c>
      <c r="K33" s="32">
        <v>115</v>
      </c>
      <c r="L33" s="32">
        <v>87</v>
      </c>
      <c r="M33" s="34">
        <v>24.988372093023255</v>
      </c>
      <c r="P33" s="31" t="s">
        <v>19</v>
      </c>
      <c r="Q33" s="32">
        <v>34</v>
      </c>
      <c r="R33" s="32">
        <v>2</v>
      </c>
      <c r="S33" s="32">
        <v>3</v>
      </c>
      <c r="T33" s="32"/>
    </row>
    <row r="34" spans="1:20" ht="13.5" x14ac:dyDescent="0.25">
      <c r="A34" s="31" t="s">
        <v>192</v>
      </c>
      <c r="B34" s="32">
        <v>77</v>
      </c>
      <c r="C34" s="32">
        <v>1</v>
      </c>
      <c r="D34" s="32">
        <v>1</v>
      </c>
      <c r="E34" s="32">
        <v>1</v>
      </c>
      <c r="F34" s="32">
        <v>26</v>
      </c>
      <c r="J34" s="31" t="s">
        <v>1173</v>
      </c>
      <c r="K34" s="32">
        <v>8</v>
      </c>
      <c r="L34" s="32">
        <v>6</v>
      </c>
      <c r="M34" s="34">
        <v>10.833333333333334</v>
      </c>
      <c r="P34" s="31" t="s">
        <v>20</v>
      </c>
      <c r="Q34" s="32">
        <v>35</v>
      </c>
      <c r="R34" s="32">
        <v>2</v>
      </c>
      <c r="S34" s="32">
        <v>20</v>
      </c>
      <c r="T34" s="32">
        <v>2</v>
      </c>
    </row>
    <row r="35" spans="1:20" ht="13.5" x14ac:dyDescent="0.25">
      <c r="A35" s="31" t="s">
        <v>151</v>
      </c>
      <c r="B35" s="32">
        <v>71</v>
      </c>
      <c r="C35" s="32">
        <v>1</v>
      </c>
      <c r="D35" s="32"/>
      <c r="E35" s="32">
        <v>2</v>
      </c>
      <c r="F35" s="32">
        <v>12</v>
      </c>
      <c r="P35" s="31" t="s">
        <v>21</v>
      </c>
      <c r="Q35" s="32">
        <v>28</v>
      </c>
      <c r="R35" s="32">
        <v>6</v>
      </c>
      <c r="S35" s="32">
        <v>7</v>
      </c>
      <c r="T35" s="32"/>
    </row>
    <row r="36" spans="1:20" ht="13.5" x14ac:dyDescent="0.25">
      <c r="A36" s="31" t="s">
        <v>170</v>
      </c>
      <c r="B36" s="32">
        <v>55</v>
      </c>
      <c r="C36" s="32">
        <v>3</v>
      </c>
      <c r="D36" s="32">
        <v>1</v>
      </c>
      <c r="E36" s="32">
        <v>3</v>
      </c>
      <c r="F36" s="32">
        <v>17</v>
      </c>
      <c r="P36" s="31" t="s">
        <v>22</v>
      </c>
      <c r="Q36" s="32">
        <v>39</v>
      </c>
      <c r="R36" s="32">
        <v>3</v>
      </c>
      <c r="S36" s="32">
        <v>8</v>
      </c>
      <c r="T36" s="32">
        <v>3</v>
      </c>
    </row>
    <row r="37" spans="1:20" ht="13.5" x14ac:dyDescent="0.25">
      <c r="A37" s="31" t="s">
        <v>165</v>
      </c>
      <c r="B37" s="32">
        <v>59</v>
      </c>
      <c r="C37" s="32">
        <v>2</v>
      </c>
      <c r="D37" s="32">
        <v>2</v>
      </c>
      <c r="E37" s="32"/>
      <c r="F37" s="32">
        <v>24</v>
      </c>
    </row>
    <row r="38" spans="1:20" ht="13.5" x14ac:dyDescent="0.25">
      <c r="A38" s="31" t="s">
        <v>183</v>
      </c>
      <c r="B38" s="32">
        <v>29</v>
      </c>
      <c r="C38" s="32">
        <v>2</v>
      </c>
      <c r="D38" s="32">
        <v>3</v>
      </c>
      <c r="E38" s="32">
        <v>1</v>
      </c>
      <c r="F38" s="32">
        <v>10</v>
      </c>
    </row>
    <row r="39" spans="1:20" ht="13.5" x14ac:dyDescent="0.25">
      <c r="A39" s="31" t="s">
        <v>162</v>
      </c>
      <c r="B39" s="32">
        <v>42</v>
      </c>
      <c r="C39" s="32"/>
      <c r="D39" s="32">
        <v>4</v>
      </c>
      <c r="E39" s="32">
        <v>1</v>
      </c>
      <c r="F39" s="32">
        <v>14</v>
      </c>
    </row>
    <row r="40" spans="1:20" ht="13.5" x14ac:dyDescent="0.25">
      <c r="A40" s="31" t="s">
        <v>176</v>
      </c>
      <c r="B40" s="32">
        <v>40</v>
      </c>
      <c r="C40" s="32">
        <v>1</v>
      </c>
      <c r="D40" s="32"/>
      <c r="E40" s="32"/>
      <c r="F40" s="32">
        <v>16</v>
      </c>
    </row>
    <row r="41" spans="1:20" ht="13.5" x14ac:dyDescent="0.25">
      <c r="A41" s="31" t="s">
        <v>251</v>
      </c>
      <c r="B41" s="32">
        <v>20</v>
      </c>
      <c r="C41" s="32">
        <v>1</v>
      </c>
      <c r="D41" s="32">
        <v>1</v>
      </c>
      <c r="E41" s="32"/>
      <c r="F41" s="32">
        <v>7</v>
      </c>
    </row>
    <row r="42" spans="1:20" ht="13.5" x14ac:dyDescent="0.25">
      <c r="A42" s="31" t="s">
        <v>201</v>
      </c>
      <c r="B42" s="32">
        <v>37</v>
      </c>
      <c r="C42" s="32">
        <v>1</v>
      </c>
      <c r="D42" s="32">
        <v>1</v>
      </c>
      <c r="E42" s="32">
        <v>1</v>
      </c>
      <c r="F42" s="32">
        <v>8</v>
      </c>
    </row>
    <row r="43" spans="1:20" ht="13.5" x14ac:dyDescent="0.25">
      <c r="A43" s="31" t="s">
        <v>157</v>
      </c>
      <c r="B43" s="32">
        <v>23</v>
      </c>
      <c r="C43" s="32">
        <v>1</v>
      </c>
      <c r="D43" s="32">
        <v>1</v>
      </c>
      <c r="E43" s="32"/>
      <c r="F43" s="32">
        <v>13</v>
      </c>
    </row>
    <row r="44" spans="1:20" ht="13.5" x14ac:dyDescent="0.25">
      <c r="A44" s="31" t="s">
        <v>207</v>
      </c>
      <c r="B44" s="32">
        <v>43</v>
      </c>
      <c r="C44" s="32">
        <v>1</v>
      </c>
      <c r="D44" s="32"/>
      <c r="E44" s="32">
        <v>1</v>
      </c>
      <c r="F44" s="32">
        <v>9</v>
      </c>
    </row>
    <row r="45" spans="1:20" ht="13.5" x14ac:dyDescent="0.25">
      <c r="A45" s="31" t="s">
        <v>210</v>
      </c>
      <c r="B45" s="32">
        <v>41</v>
      </c>
      <c r="C45" s="32">
        <v>2</v>
      </c>
      <c r="D45" s="32">
        <v>3</v>
      </c>
      <c r="E45" s="32">
        <v>1</v>
      </c>
      <c r="F45" s="32">
        <v>13</v>
      </c>
    </row>
    <row r="46" spans="1:20" ht="13.5" x14ac:dyDescent="0.25">
      <c r="A46" s="31" t="s">
        <v>179</v>
      </c>
      <c r="B46" s="32">
        <v>41</v>
      </c>
      <c r="C46" s="32">
        <v>2</v>
      </c>
      <c r="D46" s="32">
        <v>1</v>
      </c>
      <c r="E46" s="32">
        <v>4</v>
      </c>
      <c r="F46" s="32">
        <v>17</v>
      </c>
    </row>
    <row r="47" spans="1:20" ht="13.5" x14ac:dyDescent="0.25">
      <c r="A47" s="31" t="s">
        <v>265</v>
      </c>
      <c r="B47" s="32">
        <v>5</v>
      </c>
      <c r="C47" s="32"/>
      <c r="D47" s="32"/>
      <c r="E47" s="32"/>
      <c r="F47" s="32">
        <v>1</v>
      </c>
    </row>
    <row r="56" spans="1:12" ht="13.5" x14ac:dyDescent="0.25">
      <c r="A56" s="35" t="s">
        <v>1350</v>
      </c>
      <c r="B56" s="31" t="s">
        <v>3011</v>
      </c>
      <c r="C56" s="31" t="s">
        <v>3012</v>
      </c>
      <c r="F56" s="35" t="s">
        <v>1356</v>
      </c>
      <c r="G56" s="31" t="s">
        <v>3011</v>
      </c>
      <c r="K56" s="31" t="s">
        <v>3011</v>
      </c>
      <c r="L56" s="31" t="s">
        <v>3012</v>
      </c>
    </row>
    <row r="57" spans="1:12" ht="13.5" x14ac:dyDescent="0.25">
      <c r="A57" s="36">
        <v>45689</v>
      </c>
      <c r="B57" s="33">
        <v>5118.0400000000009</v>
      </c>
      <c r="C57" s="32">
        <v>13</v>
      </c>
      <c r="F57" s="31" t="s">
        <v>24</v>
      </c>
      <c r="G57" s="33">
        <v>54033.69</v>
      </c>
      <c r="K57" s="33">
        <v>507744.95</v>
      </c>
      <c r="L57" s="32">
        <v>1609</v>
      </c>
    </row>
    <row r="58" spans="1:12" ht="13.5" x14ac:dyDescent="0.25">
      <c r="A58" s="36">
        <v>45717</v>
      </c>
      <c r="B58" s="33">
        <v>13574.550000000001</v>
      </c>
      <c r="C58" s="32">
        <v>36</v>
      </c>
      <c r="F58" s="31" t="s">
        <v>25</v>
      </c>
      <c r="G58" s="33">
        <v>190040.03000000009</v>
      </c>
    </row>
    <row r="59" spans="1:12" ht="13.5" x14ac:dyDescent="0.25">
      <c r="A59" s="36">
        <v>45748</v>
      </c>
      <c r="B59" s="33">
        <v>23741.43</v>
      </c>
      <c r="C59" s="32">
        <v>64</v>
      </c>
      <c r="F59" s="31" t="s">
        <v>26</v>
      </c>
      <c r="G59" s="33">
        <v>127442.08000000003</v>
      </c>
    </row>
    <row r="60" spans="1:12" ht="13.5" x14ac:dyDescent="0.25">
      <c r="A60" s="36">
        <v>45778</v>
      </c>
      <c r="B60" s="33">
        <v>32383.38</v>
      </c>
      <c r="C60" s="32">
        <v>91</v>
      </c>
      <c r="F60" s="31" t="s">
        <v>27</v>
      </c>
      <c r="G60" s="33">
        <v>81776.869999999893</v>
      </c>
    </row>
    <row r="61" spans="1:12" ht="13.5" x14ac:dyDescent="0.25">
      <c r="A61" s="36">
        <v>45809</v>
      </c>
      <c r="B61" s="33">
        <v>42829.799999999988</v>
      </c>
      <c r="C61" s="32">
        <v>117</v>
      </c>
      <c r="F61" s="31" t="s">
        <v>28</v>
      </c>
      <c r="G61" s="33">
        <v>54452.280000000013</v>
      </c>
    </row>
    <row r="62" spans="1:12" ht="13.5" x14ac:dyDescent="0.25">
      <c r="A62" s="36">
        <v>45839</v>
      </c>
      <c r="B62" s="33">
        <v>60369.829999999958</v>
      </c>
      <c r="C62" s="32">
        <v>163</v>
      </c>
      <c r="F62" s="31" t="s">
        <v>3013</v>
      </c>
      <c r="G62" s="33">
        <v>0</v>
      </c>
    </row>
    <row r="63" spans="1:12" ht="13.5" x14ac:dyDescent="0.25">
      <c r="A63" s="36">
        <v>45870</v>
      </c>
      <c r="B63" s="33">
        <v>55415.949999999983</v>
      </c>
      <c r="C63" s="32">
        <v>182</v>
      </c>
    </row>
    <row r="64" spans="1:12" ht="13.5" x14ac:dyDescent="0.25">
      <c r="A64" s="36">
        <v>45901</v>
      </c>
      <c r="B64" s="33">
        <v>65443.05999999999</v>
      </c>
      <c r="C64" s="32">
        <v>214</v>
      </c>
    </row>
    <row r="65" spans="1:27" ht="13.5" x14ac:dyDescent="0.25">
      <c r="A65" s="36">
        <v>45931</v>
      </c>
      <c r="B65" s="33">
        <v>62657.359999999993</v>
      </c>
      <c r="C65" s="32">
        <v>212</v>
      </c>
    </row>
    <row r="66" spans="1:27" ht="13.5" x14ac:dyDescent="0.25">
      <c r="A66" s="36">
        <v>45962</v>
      </c>
      <c r="B66" s="33">
        <v>68212.309999999983</v>
      </c>
      <c r="C66" s="32">
        <v>241</v>
      </c>
    </row>
    <row r="67" spans="1:27" ht="13.5" x14ac:dyDescent="0.25">
      <c r="A67" s="36">
        <v>45992</v>
      </c>
      <c r="B67" s="33">
        <v>77999.239999999976</v>
      </c>
      <c r="C67" s="32">
        <v>276</v>
      </c>
    </row>
    <row r="80" spans="1:27" x14ac:dyDescent="0.2">
      <c r="A80" s="28" t="s">
        <v>3014</v>
      </c>
      <c r="B80" s="28" t="s">
        <v>14</v>
      </c>
      <c r="D80" s="28" t="s">
        <v>23</v>
      </c>
      <c r="E80" s="28" t="s">
        <v>14</v>
      </c>
      <c r="G80" s="28" t="s">
        <v>23</v>
      </c>
      <c r="H80" s="28" t="s">
        <v>3016</v>
      </c>
      <c r="J80" s="28" t="s">
        <v>2953</v>
      </c>
      <c r="K80" s="28" t="s">
        <v>9</v>
      </c>
      <c r="M80" s="28" t="s">
        <v>16</v>
      </c>
      <c r="N80" s="28" t="s">
        <v>3017</v>
      </c>
      <c r="O80" s="28" t="s">
        <v>11</v>
      </c>
      <c r="P80" s="28" t="s">
        <v>3018</v>
      </c>
      <c r="R80" s="28" t="s">
        <v>23</v>
      </c>
      <c r="S80" s="28" t="s">
        <v>14</v>
      </c>
      <c r="T80" s="28" t="s">
        <v>5</v>
      </c>
      <c r="U80" s="28" t="s">
        <v>2</v>
      </c>
      <c r="X80" s="28" t="s">
        <v>17</v>
      </c>
      <c r="Y80" s="28" t="s">
        <v>7</v>
      </c>
      <c r="Z80" s="28" t="s">
        <v>1155</v>
      </c>
      <c r="AA80" s="28" t="s">
        <v>13</v>
      </c>
    </row>
    <row r="81" spans="1:27" x14ac:dyDescent="0.2">
      <c r="A81" t="s">
        <v>3015</v>
      </c>
      <c r="B81" s="20">
        <f>IFERROR(GETPIVOTDATA("Leads",Pivot!$V$3),0)</f>
        <v>1000</v>
      </c>
      <c r="D81" t="s">
        <v>24</v>
      </c>
      <c r="E81" s="20">
        <f>IFERROR(GETPIVOTDATA("Leads",Pivot!$J$3,"Channel",D81),COUNTIFS(T_CleanLeads[Channel],D81))</f>
        <v>232</v>
      </c>
      <c r="G81" t="s">
        <v>24</v>
      </c>
      <c r="H81" s="24">
        <f>IFERROR(GETPIVOTDATA("Revenue",Pivot!$F$56,"Channel_via_Customer",G81),SUMIFS(T_CleanTxns[Revenue_Usable],T_CleanTxns[Channel_via_Customer],G81))</f>
        <v>54033.69</v>
      </c>
      <c r="J81" t="s">
        <v>150</v>
      </c>
      <c r="K81" s="26">
        <f>IFERROR(GETPIVOTDATA("AvgDays",Pivot!$J$30,"Customer_Segment",J81),0)</f>
        <v>27.06451612903226</v>
      </c>
      <c r="M81" s="23">
        <f>MIN(TargetsTable[Month])</f>
        <v>45658</v>
      </c>
      <c r="N81" s="24">
        <f>IFERROR(GETPIVOTDATA("Revenue",Pivot!$A$56,"Transaction_Month",M81),SUMIFS(T_CleanTxns[Revenue_Usable],T_CleanTxns[Transaction_Month],M81))</f>
        <v>0</v>
      </c>
      <c r="O81" s="24">
        <f>SUMIFS(TargetsTable[Revenue_Target_EUR],TargetsTable[Month],M81)</f>
        <v>1062000</v>
      </c>
      <c r="P81" s="29">
        <f t="shared" ref="P81:P92" si="0">IFERROR(N81/O81,0)</f>
        <v>0</v>
      </c>
      <c r="R81" t="s">
        <v>24</v>
      </c>
      <c r="S81" s="20">
        <f>IFERROR(GETPIVOTDATA("Leads",Pivot!$J$3,"Channel",R81),COUNTIFS(T_CleanLeads[Channel],R81))</f>
        <v>232</v>
      </c>
      <c r="T81" s="29">
        <f t="shared" ref="T81:T86" si="1">IFERROR(U81/S81,0)</f>
        <v>9.4827586206896547E-2</v>
      </c>
      <c r="U81" s="20">
        <f>IFERROR(GETPIVOTDATA("Leads",Pivot!$J$3,"Channel",R81,"Lead_Status","Won"),COUNTIFS(T_CleanLeads[Channel],R81,T_CleanLeads[Lead_Status],"Won"))</f>
        <v>22</v>
      </c>
      <c r="X81" t="s">
        <v>18</v>
      </c>
      <c r="Y81" s="20">
        <f>COUNTIFS(T_CleanCustomers[Market],X81,T_CleanCustomers[Activated_Flag],TRUE)</f>
        <v>25</v>
      </c>
      <c r="Z81" s="20">
        <f>COUNTIFS(T_CleanCustomers[Market],X81,T_CleanCustomers[Activated_Flag],TRUE,T_CleanCustomers[Customer_Status_Clean],"Churned")</f>
        <v>3</v>
      </c>
      <c r="AA81" s="29">
        <f>IFERROR(Z81/Y81,0)</f>
        <v>0.12</v>
      </c>
    </row>
    <row r="82" spans="1:27" x14ac:dyDescent="0.2">
      <c r="A82" t="s">
        <v>15</v>
      </c>
      <c r="B82" s="20">
        <f>IFERROR(GETPIVOTDATA("Qualified",Pivot!$V$3),0)</f>
        <v>702</v>
      </c>
      <c r="D82" t="s">
        <v>25</v>
      </c>
      <c r="E82" s="20">
        <f>IFERROR(GETPIVOTDATA("Leads",Pivot!$J$3,"Channel",D82),COUNTIFS(T_CleanLeads[Channel],D82))</f>
        <v>270</v>
      </c>
      <c r="G82" t="s">
        <v>25</v>
      </c>
      <c r="H82" s="24">
        <f>IFERROR(GETPIVOTDATA("Revenue",Pivot!$F$56,"Channel_via_Customer",G82),SUMIFS(T_CleanTxns[Revenue_Usable],T_CleanTxns[Channel_via_Customer],G82))</f>
        <v>190040.03000000009</v>
      </c>
      <c r="J82" t="s">
        <v>161</v>
      </c>
      <c r="K82" s="26">
        <f>IFERROR(GETPIVOTDATA("AvgDays",Pivot!$J$30,"Customer_Segment",J82),0)</f>
        <v>25.666666666666668</v>
      </c>
      <c r="M82" s="23">
        <f t="shared" ref="M82:M92" si="2">EDATE(M81,1)</f>
        <v>45689</v>
      </c>
      <c r="N82" s="24">
        <f>IFERROR(GETPIVOTDATA("Revenue",Pivot!$A$56,"Transaction_Month",M82),SUMIFS(T_CleanTxns[Revenue_Usable],T_CleanTxns[Transaction_Month],M82))</f>
        <v>5118.0400000000009</v>
      </c>
      <c r="O82" s="24">
        <f>SUMIFS(TargetsTable[Revenue_Target_EUR],TargetsTable[Month],M82)</f>
        <v>1062000</v>
      </c>
      <c r="P82" s="29">
        <f t="shared" si="0"/>
        <v>4.8192467043314509E-3</v>
      </c>
      <c r="R82" t="s">
        <v>25</v>
      </c>
      <c r="S82" s="20">
        <f>IFERROR(GETPIVOTDATA("Leads",Pivot!$J$3,"Channel",R82),COUNTIFS(T_CleanLeads[Channel],R82))</f>
        <v>270</v>
      </c>
      <c r="T82" s="29">
        <f t="shared" si="1"/>
        <v>0.34074074074074073</v>
      </c>
      <c r="U82" s="20">
        <f>IFERROR(GETPIVOTDATA("Leads",Pivot!$J$3,"Channel",R82,"Lead_Status","Won"),COUNTIFS(T_CleanLeads[Channel],R82,T_CleanLeads[Lead_Status],"Won"))</f>
        <v>92</v>
      </c>
      <c r="X82" t="s">
        <v>19</v>
      </c>
      <c r="Y82" s="20">
        <f>COUNTIFS(T_CleanCustomers[Market],X82,T_CleanCustomers[Activated_Flag],TRUE)</f>
        <v>35</v>
      </c>
      <c r="Z82" s="20">
        <f>COUNTIFS(T_CleanCustomers[Market],X82,T_CleanCustomers[Activated_Flag],TRUE,T_CleanCustomers[Customer_Status_Clean],"Churned")</f>
        <v>2</v>
      </c>
      <c r="AA82" s="29">
        <f>IFERROR(Z82/Y82,0)</f>
        <v>5.7142857142857141E-2</v>
      </c>
    </row>
    <row r="83" spans="1:27" x14ac:dyDescent="0.2">
      <c r="A83" t="s">
        <v>158</v>
      </c>
      <c r="B83" s="20">
        <f>IFERROR(GETPIVOTDATA("Opportunities",Pivot!$V$3),0)</f>
        <v>531</v>
      </c>
      <c r="D83" t="s">
        <v>26</v>
      </c>
      <c r="E83" s="20">
        <f>IFERROR(GETPIVOTDATA("Leads",Pivot!$J$3,"Channel",D83),COUNTIFS(T_CleanLeads[Channel],D83))</f>
        <v>213</v>
      </c>
      <c r="G83" t="s">
        <v>26</v>
      </c>
      <c r="H83" s="24">
        <f>IFERROR(GETPIVOTDATA("Revenue",Pivot!$F$56,"Channel_via_Customer",G83),SUMIFS(T_CleanTxns[Revenue_Usable],T_CleanTxns[Channel_via_Customer],G83))</f>
        <v>127442.08000000003</v>
      </c>
      <c r="J83" t="s">
        <v>156</v>
      </c>
      <c r="K83" s="26">
        <f>IFERROR(GETPIVOTDATA("AvgDays",Pivot!$J$30,"Customer_Segment",J83),0)</f>
        <v>24.988372093023255</v>
      </c>
      <c r="M83" s="23">
        <f t="shared" si="2"/>
        <v>45717</v>
      </c>
      <c r="N83" s="24">
        <f>IFERROR(GETPIVOTDATA("Revenue",Pivot!$A$56,"Transaction_Month",M83),SUMIFS(T_CleanTxns[Revenue_Usable],T_CleanTxns[Transaction_Month],M83))</f>
        <v>13574.550000000001</v>
      </c>
      <c r="O83" s="24">
        <f>SUMIFS(TargetsTable[Revenue_Target_EUR],TargetsTable[Month],M83)</f>
        <v>1180000</v>
      </c>
      <c r="P83" s="29">
        <f t="shared" si="0"/>
        <v>1.1503855932203391E-2</v>
      </c>
      <c r="R83" t="s">
        <v>26</v>
      </c>
      <c r="S83" s="20">
        <f>IFERROR(GETPIVOTDATA("Leads",Pivot!$J$3,"Channel",R83),COUNTIFS(T_CleanLeads[Channel],R83))</f>
        <v>213</v>
      </c>
      <c r="T83" s="29">
        <f t="shared" si="1"/>
        <v>0.20657276995305165</v>
      </c>
      <c r="U83" s="20">
        <f>IFERROR(GETPIVOTDATA("Leads",Pivot!$J$3,"Channel",R83,"Lead_Status","Won"),COUNTIFS(T_CleanLeads[Channel],R83,T_CleanLeads[Lead_Status],"Won"))</f>
        <v>44</v>
      </c>
      <c r="X83" t="s">
        <v>20</v>
      </c>
      <c r="Y83" s="20">
        <f>COUNTIFS(T_CleanCustomers[Market],X83,T_CleanCustomers[Activated_Flag],TRUE)</f>
        <v>37</v>
      </c>
      <c r="Z83" s="20">
        <f>COUNTIFS(T_CleanCustomers[Market],X83,T_CleanCustomers[Activated_Flag],TRUE,T_CleanCustomers[Customer_Status_Clean],"Churned")</f>
        <v>2</v>
      </c>
      <c r="AA83" s="29">
        <f>IFERROR(Z83/Y83,0)</f>
        <v>5.4054054054054057E-2</v>
      </c>
    </row>
    <row r="84" spans="1:27" x14ac:dyDescent="0.2">
      <c r="A84" t="s">
        <v>2</v>
      </c>
      <c r="B84" s="20">
        <f>IFERROR(GETPIVOTDATA("Wins",Pivot!$V$3),0)</f>
        <v>220</v>
      </c>
      <c r="D84" t="s">
        <v>27</v>
      </c>
      <c r="E84" s="20">
        <f>IFERROR(GETPIVOTDATA("Leads",Pivot!$J$3,"Channel",D84),COUNTIFS(T_CleanLeads[Channel],D84))</f>
        <v>108</v>
      </c>
      <c r="G84" t="s">
        <v>27</v>
      </c>
      <c r="H84" s="24">
        <f>IFERROR(GETPIVOTDATA("Revenue",Pivot!$F$56,"Channel_via_Customer",G84),SUMIFS(T_CleanTxns[Revenue_Usable],T_CleanTxns[Channel_via_Customer],G84))</f>
        <v>81776.869999999893</v>
      </c>
      <c r="J84" t="s">
        <v>1173</v>
      </c>
      <c r="K84" s="26">
        <f>IFERROR(GETPIVOTDATA("AvgDays",Pivot!$J$30,"Customer_Segment",J84),0)</f>
        <v>10.833333333333334</v>
      </c>
      <c r="M84" s="23">
        <f t="shared" si="2"/>
        <v>45748</v>
      </c>
      <c r="N84" s="24">
        <f>IFERROR(GETPIVOTDATA("Revenue",Pivot!$A$56,"Transaction_Month",M84),SUMIFS(T_CleanTxns[Revenue_Usable],T_CleanTxns[Transaction_Month],M84))</f>
        <v>23741.43</v>
      </c>
      <c r="O84" s="24">
        <f>SUMIFS(TargetsTable[Revenue_Target_EUR],TargetsTable[Month],M84)</f>
        <v>1180000</v>
      </c>
      <c r="P84" s="29">
        <f t="shared" si="0"/>
        <v>2.011985593220339E-2</v>
      </c>
      <c r="R84" t="s">
        <v>27</v>
      </c>
      <c r="S84" s="20">
        <f>IFERROR(GETPIVOTDATA("Leads",Pivot!$J$3,"Channel",R84),COUNTIFS(T_CleanLeads[Channel],R84))</f>
        <v>108</v>
      </c>
      <c r="T84" s="29">
        <f t="shared" si="1"/>
        <v>0.31481481481481483</v>
      </c>
      <c r="U84" s="20">
        <f>IFERROR(GETPIVOTDATA("Leads",Pivot!$J$3,"Channel",R84,"Lead_Status","Won"),COUNTIFS(T_CleanLeads[Channel],R84,T_CleanLeads[Lead_Status],"Won"))</f>
        <v>34</v>
      </c>
      <c r="X84" t="s">
        <v>21</v>
      </c>
      <c r="Y84" s="20">
        <f>COUNTIFS(T_CleanCustomers[Market],X84,T_CleanCustomers[Activated_Flag],TRUE)</f>
        <v>33</v>
      </c>
      <c r="Z84" s="20">
        <f>COUNTIFS(T_CleanCustomers[Market],X84,T_CleanCustomers[Activated_Flag],TRUE,T_CleanCustomers[Customer_Status_Clean],"Churned")</f>
        <v>6</v>
      </c>
      <c r="AA84" s="29">
        <f>IFERROR(Z84/Y84,0)</f>
        <v>0.18181818181818182</v>
      </c>
    </row>
    <row r="85" spans="1:27" x14ac:dyDescent="0.2">
      <c r="A85" t="s">
        <v>7</v>
      </c>
      <c r="B85" s="20">
        <f>IFERROR(GETPIVOTDATA("Activated",Pivot!$V$30),0)</f>
        <v>174</v>
      </c>
      <c r="D85" t="s">
        <v>28</v>
      </c>
      <c r="E85" s="20">
        <f>IFERROR(GETPIVOTDATA("Leads",Pivot!$J$3,"Channel",D85),COUNTIFS(T_CleanLeads[Channel],D85))</f>
        <v>167</v>
      </c>
      <c r="G85" t="s">
        <v>28</v>
      </c>
      <c r="H85" s="24">
        <f>IFERROR(GETPIVOTDATA("Revenue",Pivot!$F$56,"Channel_via_Customer",G85),SUMIFS(T_CleanTxns[Revenue_Usable],T_CleanTxns[Channel_via_Customer],G85))</f>
        <v>54452.280000000013</v>
      </c>
      <c r="M85" s="23">
        <f t="shared" si="2"/>
        <v>45778</v>
      </c>
      <c r="N85" s="24">
        <f>IFERROR(GETPIVOTDATA("Revenue",Pivot!$A$56,"Transaction_Month",M85),SUMIFS(T_CleanTxns[Revenue_Usable],T_CleanTxns[Transaction_Month],M85))</f>
        <v>32383.38</v>
      </c>
      <c r="O85" s="24">
        <f>SUMIFS(TargetsTable[Revenue_Target_EUR],TargetsTable[Month],M85)</f>
        <v>1180000</v>
      </c>
      <c r="P85" s="29">
        <f t="shared" si="0"/>
        <v>2.7443542372881356E-2</v>
      </c>
      <c r="R85" t="s">
        <v>28</v>
      </c>
      <c r="S85" s="20">
        <f>IFERROR(GETPIVOTDATA("Leads",Pivot!$J$3,"Channel",R85),COUNTIFS(T_CleanLeads[Channel],R85))</f>
        <v>167</v>
      </c>
      <c r="T85" s="29">
        <f t="shared" si="1"/>
        <v>0.1437125748502994</v>
      </c>
      <c r="U85" s="20">
        <f>IFERROR(GETPIVOTDATA("Leads",Pivot!$J$3,"Channel",R85,"Lead_Status","Won"),COUNTIFS(T_CleanLeads[Channel],R85,T_CleanLeads[Lead_Status],"Won"))</f>
        <v>24</v>
      </c>
      <c r="X85" t="s">
        <v>22</v>
      </c>
      <c r="Y85" s="20">
        <f>COUNTIFS(T_CleanCustomers[Market],X85,T_CleanCustomers[Activated_Flag],TRUE)</f>
        <v>41</v>
      </c>
      <c r="Z85" s="20">
        <f>COUNTIFS(T_CleanCustomers[Market],X85,T_CleanCustomers[Activated_Flag],TRUE,T_CleanCustomers[Customer_Status_Clean],"Churned")</f>
        <v>3</v>
      </c>
      <c r="AA85" s="29">
        <f>IFERROR(Z85/Y85,0)</f>
        <v>7.3170731707317069E-2</v>
      </c>
    </row>
    <row r="86" spans="1:27" x14ac:dyDescent="0.2">
      <c r="D86" t="s">
        <v>375</v>
      </c>
      <c r="E86" s="20">
        <f>IFERROR(GETPIVOTDATA("Leads",Pivot!$J$3,"Channel",D86),COUNTIFS(T_CleanLeads[Channel],D86))</f>
        <v>10</v>
      </c>
      <c r="G86" t="s">
        <v>3013</v>
      </c>
      <c r="H86" s="24">
        <f>IFERROR(GETPIVOTDATA("Revenue",Pivot!$F$56,"Channel_via_Customer",G86),SUMIFS(T_CleanTxns[Revenue_Usable],T_CleanTxns[Channel_via_Customer],G86))</f>
        <v>0</v>
      </c>
      <c r="M86" s="23">
        <f t="shared" si="2"/>
        <v>45809</v>
      </c>
      <c r="N86" s="24">
        <f>IFERROR(GETPIVOTDATA("Revenue",Pivot!$A$56,"Transaction_Month",M86),SUMIFS(T_CleanTxns[Revenue_Usable],T_CleanTxns[Transaction_Month],M86))</f>
        <v>42829.799999999988</v>
      </c>
      <c r="O86" s="24">
        <f>SUMIFS(TargetsTable[Revenue_Target_EUR],TargetsTable[Month],M86)</f>
        <v>1180000</v>
      </c>
      <c r="P86" s="29">
        <f t="shared" si="0"/>
        <v>3.6296440677966092E-2</v>
      </c>
      <c r="R86" t="s">
        <v>375</v>
      </c>
      <c r="S86" s="20">
        <f>IFERROR(GETPIVOTDATA("Leads",Pivot!$J$3,"Channel",R86),COUNTIFS(T_CleanLeads[Channel],R86))</f>
        <v>10</v>
      </c>
      <c r="T86" s="29">
        <f t="shared" si="1"/>
        <v>0.4</v>
      </c>
      <c r="U86" s="20">
        <f>IFERROR(GETPIVOTDATA("Leads",Pivot!$J$3,"Channel",R86,"Lead_Status","Won"),COUNTIFS(T_CleanLeads[Channel],R86,T_CleanLeads[Lead_Status],"Won"))</f>
        <v>4</v>
      </c>
    </row>
    <row r="87" spans="1:27" x14ac:dyDescent="0.2">
      <c r="M87" s="23">
        <f t="shared" si="2"/>
        <v>45839</v>
      </c>
      <c r="N87" s="24">
        <f>IFERROR(GETPIVOTDATA("Revenue",Pivot!$A$56,"Transaction_Month",M87),SUMIFS(T_CleanTxns[Revenue_Usable],T_CleanTxns[Transaction_Month],M87))</f>
        <v>60369.829999999958</v>
      </c>
      <c r="O87" s="24">
        <f>SUMIFS(TargetsTable[Revenue_Target_EUR],TargetsTable[Month],M87)</f>
        <v>1180000</v>
      </c>
      <c r="P87" s="29">
        <f t="shared" si="0"/>
        <v>5.1160872881355894E-2</v>
      </c>
    </row>
    <row r="88" spans="1:27" x14ac:dyDescent="0.2">
      <c r="M88" s="23">
        <f t="shared" si="2"/>
        <v>45870</v>
      </c>
      <c r="N88" s="24">
        <f>IFERROR(GETPIVOTDATA("Revenue",Pivot!$A$56,"Transaction_Month",M88),SUMIFS(T_CleanTxns[Revenue_Usable],T_CleanTxns[Transaction_Month],M88))</f>
        <v>55415.949999999983</v>
      </c>
      <c r="O88" s="24">
        <f>SUMIFS(TargetsTable[Revenue_Target_EUR],TargetsTable[Month],M88)</f>
        <v>1180000</v>
      </c>
      <c r="P88" s="29">
        <f t="shared" si="0"/>
        <v>4.6962669491525409E-2</v>
      </c>
    </row>
    <row r="89" spans="1:27" x14ac:dyDescent="0.2">
      <c r="M89" s="23">
        <f t="shared" si="2"/>
        <v>45901</v>
      </c>
      <c r="N89" s="24">
        <f>IFERROR(GETPIVOTDATA("Revenue",Pivot!$A$56,"Transaction_Month",M89),SUMIFS(T_CleanTxns[Revenue_Usable],T_CleanTxns[Transaction_Month],M89))</f>
        <v>65443.05999999999</v>
      </c>
      <c r="O89" s="24">
        <f>SUMIFS(TargetsTable[Revenue_Target_EUR],TargetsTable[Month],M89)</f>
        <v>1321600</v>
      </c>
      <c r="P89" s="29">
        <f t="shared" si="0"/>
        <v>4.9518053874092E-2</v>
      </c>
    </row>
    <row r="90" spans="1:27" x14ac:dyDescent="0.2">
      <c r="M90" s="23">
        <f t="shared" si="2"/>
        <v>45931</v>
      </c>
      <c r="N90" s="24">
        <f>IFERROR(GETPIVOTDATA("Revenue",Pivot!$A$56,"Transaction_Month",M90),SUMIFS(T_CleanTxns[Revenue_Usable],T_CleanTxns[Transaction_Month],M90))</f>
        <v>62657.359999999993</v>
      </c>
      <c r="O90" s="24">
        <f>SUMIFS(TargetsTable[Revenue_Target_EUR],TargetsTable[Month],M90)</f>
        <v>1321600</v>
      </c>
      <c r="P90" s="29">
        <f t="shared" si="0"/>
        <v>4.7410230024213067E-2</v>
      </c>
    </row>
    <row r="91" spans="1:27" x14ac:dyDescent="0.2">
      <c r="M91" s="23">
        <f t="shared" si="2"/>
        <v>45962</v>
      </c>
      <c r="N91" s="24">
        <f>IFERROR(GETPIVOTDATA("Revenue",Pivot!$A$56,"Transaction_Month",M91),SUMIFS(T_CleanTxns[Revenue_Usable],T_CleanTxns[Transaction_Month],M91))</f>
        <v>68212.309999999983</v>
      </c>
      <c r="O91" s="24">
        <f>SUMIFS(TargetsTable[Revenue_Target_EUR],TargetsTable[Month],M91)</f>
        <v>1321600</v>
      </c>
      <c r="P91" s="29">
        <f t="shared" si="0"/>
        <v>5.1613430690072626E-2</v>
      </c>
    </row>
    <row r="92" spans="1:27" x14ac:dyDescent="0.2">
      <c r="M92" s="23">
        <f t="shared" si="2"/>
        <v>45992</v>
      </c>
      <c r="N92" s="24">
        <f>IFERROR(GETPIVOTDATA("Revenue",Pivot!$A$56,"Transaction_Month",M92),SUMIFS(T_CleanTxns[Revenue_Usable],T_CleanTxns[Transaction_Month],M92))</f>
        <v>77999.239999999976</v>
      </c>
      <c r="O92" s="24">
        <f>SUMIFS(TargetsTable[Revenue_Target_EUR],TargetsTable[Month],M92)</f>
        <v>1180000</v>
      </c>
      <c r="P92" s="29">
        <f t="shared" si="0"/>
        <v>6.6101050847457613E-2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O79"/>
  <sheetViews>
    <sheetView zoomScaleNormal="100" workbookViewId="0">
      <pane ySplit="3" topLeftCell="A4" activePane="bottomLeft" state="frozen"/>
      <selection pane="bottomLeft" activeCell="I83" sqref="I83"/>
    </sheetView>
  </sheetViews>
  <sheetFormatPr defaultColWidth="8.7109375" defaultRowHeight="15" x14ac:dyDescent="0.25"/>
  <cols>
    <col min="1" max="1" width="16" style="2" customWidth="1"/>
    <col min="2" max="2" width="18" style="2" customWidth="1"/>
    <col min="3" max="3" width="14" style="2" customWidth="1"/>
    <col min="4" max="4" width="16" style="2" customWidth="1"/>
    <col min="5" max="6" width="10" style="2" customWidth="1"/>
    <col min="7" max="7" width="12" style="2" customWidth="1"/>
    <col min="8" max="8" width="16" style="2" customWidth="1"/>
    <col min="9" max="9" width="14" style="2" customWidth="1"/>
    <col min="10" max="13" width="16" style="2" customWidth="1"/>
    <col min="14" max="15" width="12" style="2" customWidth="1"/>
  </cols>
  <sheetData>
    <row r="1" spans="1:11" ht="17.25" customHeight="1" x14ac:dyDescent="0.25">
      <c r="A1" s="7" t="s">
        <v>2943</v>
      </c>
    </row>
    <row r="2" spans="1:11" ht="15" customHeight="1" x14ac:dyDescent="0.25">
      <c r="A2" s="1" t="s">
        <v>2944</v>
      </c>
    </row>
    <row r="4" spans="1:11" ht="19.5" customHeight="1" x14ac:dyDescent="0.25">
      <c r="A4" s="42" t="s">
        <v>2945</v>
      </c>
      <c r="B4" s="42"/>
      <c r="C4" s="42"/>
      <c r="D4" s="42"/>
      <c r="E4" s="42"/>
      <c r="F4" s="42"/>
      <c r="G4" s="42"/>
      <c r="H4" s="42"/>
      <c r="I4" s="42"/>
      <c r="J4" s="42"/>
    </row>
    <row r="6" spans="1:11" ht="23.25" customHeight="1" x14ac:dyDescent="0.25">
      <c r="A6" s="12" t="s">
        <v>16</v>
      </c>
      <c r="B6" s="12" t="s">
        <v>14</v>
      </c>
      <c r="C6" s="12" t="s">
        <v>15</v>
      </c>
      <c r="D6" s="12" t="s">
        <v>1</v>
      </c>
      <c r="E6" s="12" t="s">
        <v>2</v>
      </c>
      <c r="F6" s="12" t="s">
        <v>3</v>
      </c>
      <c r="G6" s="12" t="s">
        <v>4</v>
      </c>
      <c r="H6" s="12" t="s">
        <v>5</v>
      </c>
      <c r="I6" s="12" t="s">
        <v>2946</v>
      </c>
      <c r="J6" s="12" t="s">
        <v>2947</v>
      </c>
      <c r="K6" s="12" t="s">
        <v>12</v>
      </c>
    </row>
    <row r="7" spans="1:11" ht="15" customHeight="1" x14ac:dyDescent="0.25">
      <c r="A7" s="13">
        <v>45658</v>
      </c>
      <c r="B7" s="4">
        <f>COUNTIFS(T_CleanLeads[Created_Month],A7)</f>
        <v>68</v>
      </c>
      <c r="C7" s="4">
        <f>COUNTIFS(T_CleanLeads[Created_Month],A7,T_CleanLeads[Qualified_Flag],"Yes")</f>
        <v>59</v>
      </c>
      <c r="D7" s="4">
        <f>COUNTIFS(T_CleanLeads[Created_Month],A7,T_CleanLeads[Opportunity_Date],"&lt;&gt;")</f>
        <v>43</v>
      </c>
      <c r="E7" s="4">
        <f>COUNTIFS(T_CleanLeads[Created_Month],A7,T_CleanLeads[Lead_Status],"Won")</f>
        <v>18</v>
      </c>
      <c r="F7" s="5">
        <f t="shared" ref="F7:F19" si="0">IFERROR(C7/B7,0)</f>
        <v>0.86764705882352944</v>
      </c>
      <c r="G7" s="5">
        <f t="shared" ref="G7:G19" si="1">IFERROR(D7/C7,0)</f>
        <v>0.72881355932203384</v>
      </c>
      <c r="H7" s="5">
        <f t="shared" ref="H7:H19" si="2">IFERROR(E7/D7,0)</f>
        <v>0.41860465116279072</v>
      </c>
      <c r="I7" s="4">
        <f>SUMIFS(T_CleanTxns[Revenue_Usable],T_CleanTxns[Transaction_Month],A7)</f>
        <v>0</v>
      </c>
      <c r="J7" s="4">
        <f>SUMIFS(Targets!$F$3:$F$62,Targets!$A$3:$A$62,A7)</f>
        <v>1062000</v>
      </c>
      <c r="K7" s="5">
        <f t="shared" ref="K7:K19" si="3">IFERROR(I7/J7,0)</f>
        <v>0</v>
      </c>
    </row>
    <row r="8" spans="1:11" ht="15" customHeight="1" x14ac:dyDescent="0.25">
      <c r="A8" s="13">
        <v>45689</v>
      </c>
      <c r="B8" s="4">
        <f>COUNTIFS(T_CleanLeads[Created_Month],A8)</f>
        <v>76</v>
      </c>
      <c r="C8" s="4">
        <f>COUNTIFS(T_CleanLeads[Created_Month],A8,T_CleanLeads[Qualified_Flag],"Yes")</f>
        <v>54</v>
      </c>
      <c r="D8" s="4">
        <f>COUNTIFS(T_CleanLeads[Created_Month],A8,T_CleanLeads[Opportunity_Date],"&lt;&gt;")</f>
        <v>39</v>
      </c>
      <c r="E8" s="4">
        <f>COUNTIFS(T_CleanLeads[Created_Month],A8,T_CleanLeads[Lead_Status],"Won")</f>
        <v>16</v>
      </c>
      <c r="F8" s="5">
        <f t="shared" si="0"/>
        <v>0.71052631578947367</v>
      </c>
      <c r="G8" s="5">
        <f t="shared" si="1"/>
        <v>0.72222222222222221</v>
      </c>
      <c r="H8" s="5">
        <f t="shared" si="2"/>
        <v>0.41025641025641024</v>
      </c>
      <c r="I8" s="4">
        <f>SUMIFS(T_CleanTxns[Revenue_Usable],T_CleanTxns[Transaction_Month],A8)</f>
        <v>5118.0400000000009</v>
      </c>
      <c r="J8" s="4">
        <f>SUMIFS(Targets!$F$3:$F$62,Targets!$A$3:$A$62,A8)</f>
        <v>1062000</v>
      </c>
      <c r="K8" s="5">
        <f t="shared" si="3"/>
        <v>4.8192467043314509E-3</v>
      </c>
    </row>
    <row r="9" spans="1:11" ht="15" customHeight="1" x14ac:dyDescent="0.25">
      <c r="A9" s="13">
        <v>45717</v>
      </c>
      <c r="B9" s="4">
        <f>COUNTIFS(T_CleanLeads[Created_Month],A9)</f>
        <v>83</v>
      </c>
      <c r="C9" s="4">
        <f>COUNTIFS(T_CleanLeads[Created_Month],A9,T_CleanLeads[Qualified_Flag],"Yes")</f>
        <v>55</v>
      </c>
      <c r="D9" s="4">
        <f>COUNTIFS(T_CleanLeads[Created_Month],A9,T_CleanLeads[Opportunity_Date],"&lt;&gt;")</f>
        <v>45</v>
      </c>
      <c r="E9" s="4">
        <f>COUNTIFS(T_CleanLeads[Created_Month],A9,T_CleanLeads[Lead_Status],"Won")</f>
        <v>22</v>
      </c>
      <c r="F9" s="5">
        <f t="shared" si="0"/>
        <v>0.66265060240963858</v>
      </c>
      <c r="G9" s="5">
        <f t="shared" si="1"/>
        <v>0.81818181818181823</v>
      </c>
      <c r="H9" s="5">
        <f t="shared" si="2"/>
        <v>0.48888888888888887</v>
      </c>
      <c r="I9" s="4">
        <f>SUMIFS(T_CleanTxns[Revenue_Usable],T_CleanTxns[Transaction_Month],A9)</f>
        <v>13574.550000000001</v>
      </c>
      <c r="J9" s="4">
        <f>SUMIFS(Targets!$F$3:$F$62,Targets!$A$3:$A$62,A9)</f>
        <v>1180000</v>
      </c>
      <c r="K9" s="5">
        <f t="shared" si="3"/>
        <v>1.1503855932203391E-2</v>
      </c>
    </row>
    <row r="10" spans="1:11" ht="15" customHeight="1" x14ac:dyDescent="0.25">
      <c r="A10" s="13">
        <v>45748</v>
      </c>
      <c r="B10" s="4">
        <f>COUNTIFS(T_CleanLeads[Created_Month],A10)</f>
        <v>77</v>
      </c>
      <c r="C10" s="4">
        <f>COUNTIFS(T_CleanLeads[Created_Month],A10,T_CleanLeads[Qualified_Flag],"Yes")</f>
        <v>54</v>
      </c>
      <c r="D10" s="4">
        <f>COUNTIFS(T_CleanLeads[Created_Month],A10,T_CleanLeads[Opportunity_Date],"&lt;&gt;")</f>
        <v>45</v>
      </c>
      <c r="E10" s="4">
        <f>COUNTIFS(T_CleanLeads[Created_Month],A10,T_CleanLeads[Lead_Status],"Won")</f>
        <v>14</v>
      </c>
      <c r="F10" s="5">
        <f t="shared" si="0"/>
        <v>0.70129870129870131</v>
      </c>
      <c r="G10" s="5">
        <f t="shared" si="1"/>
        <v>0.83333333333333337</v>
      </c>
      <c r="H10" s="5">
        <f t="shared" si="2"/>
        <v>0.31111111111111112</v>
      </c>
      <c r="I10" s="4">
        <f>SUMIFS(T_CleanTxns[Revenue_Usable],T_CleanTxns[Transaction_Month],A10)</f>
        <v>23741.43</v>
      </c>
      <c r="J10" s="4">
        <f>SUMIFS(Targets!$F$3:$F$62,Targets!$A$3:$A$62,A10)</f>
        <v>1180000</v>
      </c>
      <c r="K10" s="5">
        <f t="shared" si="3"/>
        <v>2.011985593220339E-2</v>
      </c>
    </row>
    <row r="11" spans="1:11" ht="15" customHeight="1" x14ac:dyDescent="0.25">
      <c r="A11" s="13">
        <v>45778</v>
      </c>
      <c r="B11" s="4">
        <f>COUNTIFS(T_CleanLeads[Created_Month],A11)</f>
        <v>92</v>
      </c>
      <c r="C11" s="4">
        <f>COUNTIFS(T_CleanLeads[Created_Month],A11,T_CleanLeads[Qualified_Flag],"Yes")</f>
        <v>66</v>
      </c>
      <c r="D11" s="4">
        <f>COUNTIFS(T_CleanLeads[Created_Month],A11,T_CleanLeads[Opportunity_Date],"&lt;&gt;")</f>
        <v>49</v>
      </c>
      <c r="E11" s="4">
        <f>COUNTIFS(T_CleanLeads[Created_Month],A11,T_CleanLeads[Lead_Status],"Won")</f>
        <v>23</v>
      </c>
      <c r="F11" s="5">
        <f t="shared" si="0"/>
        <v>0.71739130434782605</v>
      </c>
      <c r="G11" s="5">
        <f t="shared" si="1"/>
        <v>0.74242424242424243</v>
      </c>
      <c r="H11" s="5">
        <f t="shared" si="2"/>
        <v>0.46938775510204084</v>
      </c>
      <c r="I11" s="4">
        <f>SUMIFS(T_CleanTxns[Revenue_Usable],T_CleanTxns[Transaction_Month],A11)</f>
        <v>32383.38</v>
      </c>
      <c r="J11" s="4">
        <f>SUMIFS(Targets!$F$3:$F$62,Targets!$A$3:$A$62,A11)</f>
        <v>1180000</v>
      </c>
      <c r="K11" s="5">
        <f t="shared" si="3"/>
        <v>2.7443542372881356E-2</v>
      </c>
    </row>
    <row r="12" spans="1:11" ht="15" customHeight="1" x14ac:dyDescent="0.25">
      <c r="A12" s="13">
        <v>45809</v>
      </c>
      <c r="B12" s="4">
        <f>COUNTIFS(T_CleanLeads[Created_Month],A12)</f>
        <v>86</v>
      </c>
      <c r="C12" s="4">
        <f>COUNTIFS(T_CleanLeads[Created_Month],A12,T_CleanLeads[Qualified_Flag],"Yes")</f>
        <v>60</v>
      </c>
      <c r="D12" s="4">
        <f>COUNTIFS(T_CleanLeads[Created_Month],A12,T_CleanLeads[Opportunity_Date],"&lt;&gt;")</f>
        <v>44</v>
      </c>
      <c r="E12" s="4">
        <f>COUNTIFS(T_CleanLeads[Created_Month],A12,T_CleanLeads[Lead_Status],"Won")</f>
        <v>15</v>
      </c>
      <c r="F12" s="5">
        <f t="shared" si="0"/>
        <v>0.69767441860465118</v>
      </c>
      <c r="G12" s="5">
        <f t="shared" si="1"/>
        <v>0.73333333333333328</v>
      </c>
      <c r="H12" s="5">
        <f t="shared" si="2"/>
        <v>0.34090909090909088</v>
      </c>
      <c r="I12" s="4">
        <f>SUMIFS(T_CleanTxns[Revenue_Usable],T_CleanTxns[Transaction_Month],A12)</f>
        <v>42829.799999999988</v>
      </c>
      <c r="J12" s="4">
        <f>SUMIFS(Targets!$F$3:$F$62,Targets!$A$3:$A$62,A12)</f>
        <v>1180000</v>
      </c>
      <c r="K12" s="5">
        <f t="shared" si="3"/>
        <v>3.6296440677966092E-2</v>
      </c>
    </row>
    <row r="13" spans="1:11" ht="15" customHeight="1" x14ac:dyDescent="0.25">
      <c r="A13" s="13">
        <v>45839</v>
      </c>
      <c r="B13" s="4">
        <f>COUNTIFS(T_CleanLeads[Created_Month],A13)</f>
        <v>88</v>
      </c>
      <c r="C13" s="4">
        <f>COUNTIFS(T_CleanLeads[Created_Month],A13,T_CleanLeads[Qualified_Flag],"Yes")</f>
        <v>62</v>
      </c>
      <c r="D13" s="4">
        <f>COUNTIFS(T_CleanLeads[Created_Month],A13,T_CleanLeads[Opportunity_Date],"&lt;&gt;")</f>
        <v>45</v>
      </c>
      <c r="E13" s="4">
        <f>COUNTIFS(T_CleanLeads[Created_Month],A13,T_CleanLeads[Lead_Status],"Won")</f>
        <v>16</v>
      </c>
      <c r="F13" s="5">
        <f t="shared" si="0"/>
        <v>0.70454545454545459</v>
      </c>
      <c r="G13" s="5">
        <f t="shared" si="1"/>
        <v>0.72580645161290325</v>
      </c>
      <c r="H13" s="5">
        <f t="shared" si="2"/>
        <v>0.35555555555555557</v>
      </c>
      <c r="I13" s="4">
        <f>SUMIFS(T_CleanTxns[Revenue_Usable],T_CleanTxns[Transaction_Month],A13)</f>
        <v>60369.829999999958</v>
      </c>
      <c r="J13" s="4">
        <f>SUMIFS(Targets!$F$3:$F$62,Targets!$A$3:$A$62,A13)</f>
        <v>1180000</v>
      </c>
      <c r="K13" s="5">
        <f t="shared" si="3"/>
        <v>5.1160872881355894E-2</v>
      </c>
    </row>
    <row r="14" spans="1:11" ht="15" customHeight="1" x14ac:dyDescent="0.25">
      <c r="A14" s="13">
        <v>45870</v>
      </c>
      <c r="B14" s="4">
        <f>COUNTIFS(T_CleanLeads[Created_Month],A14)</f>
        <v>88</v>
      </c>
      <c r="C14" s="4">
        <f>COUNTIFS(T_CleanLeads[Created_Month],A14,T_CleanLeads[Qualified_Flag],"Yes")</f>
        <v>58</v>
      </c>
      <c r="D14" s="4">
        <f>COUNTIFS(T_CleanLeads[Created_Month],A14,T_CleanLeads[Opportunity_Date],"&lt;&gt;")</f>
        <v>45</v>
      </c>
      <c r="E14" s="4">
        <f>COUNTIFS(T_CleanLeads[Created_Month],A14,T_CleanLeads[Lead_Status],"Won")</f>
        <v>18</v>
      </c>
      <c r="F14" s="5">
        <f t="shared" si="0"/>
        <v>0.65909090909090906</v>
      </c>
      <c r="G14" s="5">
        <f t="shared" si="1"/>
        <v>0.77586206896551724</v>
      </c>
      <c r="H14" s="5">
        <f t="shared" si="2"/>
        <v>0.4</v>
      </c>
      <c r="I14" s="4">
        <f>SUMIFS(T_CleanTxns[Revenue_Usable],T_CleanTxns[Transaction_Month],A14)</f>
        <v>55415.949999999983</v>
      </c>
      <c r="J14" s="4">
        <f>SUMIFS(Targets!$F$3:$F$62,Targets!$A$3:$A$62,A14)</f>
        <v>1180000</v>
      </c>
      <c r="K14" s="5">
        <f t="shared" si="3"/>
        <v>4.6962669491525409E-2</v>
      </c>
    </row>
    <row r="15" spans="1:11" ht="15" customHeight="1" x14ac:dyDescent="0.25">
      <c r="A15" s="13">
        <v>45901</v>
      </c>
      <c r="B15" s="4">
        <f>COUNTIFS(T_CleanLeads[Created_Month],A15)</f>
        <v>82</v>
      </c>
      <c r="C15" s="4">
        <f>COUNTIFS(T_CleanLeads[Created_Month],A15,T_CleanLeads[Qualified_Flag],"Yes")</f>
        <v>61</v>
      </c>
      <c r="D15" s="4">
        <f>COUNTIFS(T_CleanLeads[Created_Month],A15,T_CleanLeads[Opportunity_Date],"&lt;&gt;")</f>
        <v>47</v>
      </c>
      <c r="E15" s="4">
        <f>COUNTIFS(T_CleanLeads[Created_Month],A15,T_CleanLeads[Lead_Status],"Won")</f>
        <v>18</v>
      </c>
      <c r="F15" s="5">
        <f t="shared" si="0"/>
        <v>0.74390243902439024</v>
      </c>
      <c r="G15" s="5">
        <f t="shared" si="1"/>
        <v>0.77049180327868849</v>
      </c>
      <c r="H15" s="5">
        <f t="shared" si="2"/>
        <v>0.38297872340425532</v>
      </c>
      <c r="I15" s="4">
        <f>SUMIFS(T_CleanTxns[Revenue_Usable],T_CleanTxns[Transaction_Month],A15)</f>
        <v>65443.05999999999</v>
      </c>
      <c r="J15" s="4">
        <f>SUMIFS(Targets!$F$3:$F$62,Targets!$A$3:$A$62,A15)</f>
        <v>1321600</v>
      </c>
      <c r="K15" s="5">
        <f t="shared" si="3"/>
        <v>4.9518053874092E-2</v>
      </c>
    </row>
    <row r="16" spans="1:11" ht="15" customHeight="1" x14ac:dyDescent="0.25">
      <c r="A16" s="13">
        <v>45931</v>
      </c>
      <c r="B16" s="4">
        <f>COUNTIFS(T_CleanLeads[Created_Month],A16)</f>
        <v>80</v>
      </c>
      <c r="C16" s="4">
        <f>COUNTIFS(T_CleanLeads[Created_Month],A16,T_CleanLeads[Qualified_Flag],"Yes")</f>
        <v>50</v>
      </c>
      <c r="D16" s="4">
        <f>COUNTIFS(T_CleanLeads[Created_Month],A16,T_CleanLeads[Opportunity_Date],"&lt;&gt;")</f>
        <v>35</v>
      </c>
      <c r="E16" s="4">
        <f>COUNTIFS(T_CleanLeads[Created_Month],A16,T_CleanLeads[Lead_Status],"Won")</f>
        <v>18</v>
      </c>
      <c r="F16" s="5">
        <f t="shared" si="0"/>
        <v>0.625</v>
      </c>
      <c r="G16" s="5">
        <f t="shared" si="1"/>
        <v>0.7</v>
      </c>
      <c r="H16" s="5">
        <f t="shared" si="2"/>
        <v>0.51428571428571423</v>
      </c>
      <c r="I16" s="4">
        <f>SUMIFS(T_CleanTxns[Revenue_Usable],T_CleanTxns[Transaction_Month],A16)</f>
        <v>62657.359999999993</v>
      </c>
      <c r="J16" s="4">
        <f>SUMIFS(Targets!$F$3:$F$62,Targets!$A$3:$A$62,A16)</f>
        <v>1321600</v>
      </c>
      <c r="K16" s="5">
        <f t="shared" si="3"/>
        <v>4.7410230024213067E-2</v>
      </c>
    </row>
    <row r="17" spans="1:15" ht="15" customHeight="1" x14ac:dyDescent="0.25">
      <c r="A17" s="13">
        <v>45962</v>
      </c>
      <c r="B17" s="4">
        <f>COUNTIFS(T_CleanLeads[Created_Month],A17)</f>
        <v>82</v>
      </c>
      <c r="C17" s="4">
        <f>COUNTIFS(T_CleanLeads[Created_Month],A17,T_CleanLeads[Qualified_Flag],"Yes")</f>
        <v>59</v>
      </c>
      <c r="D17" s="4">
        <f>COUNTIFS(T_CleanLeads[Created_Month],A17,T_CleanLeads[Opportunity_Date],"&lt;&gt;")</f>
        <v>46</v>
      </c>
      <c r="E17" s="4">
        <f>COUNTIFS(T_CleanLeads[Created_Month],A17,T_CleanLeads[Lead_Status],"Won")</f>
        <v>23</v>
      </c>
      <c r="F17" s="5">
        <f t="shared" si="0"/>
        <v>0.71951219512195119</v>
      </c>
      <c r="G17" s="5">
        <f t="shared" si="1"/>
        <v>0.77966101694915257</v>
      </c>
      <c r="H17" s="5">
        <f t="shared" si="2"/>
        <v>0.5</v>
      </c>
      <c r="I17" s="4">
        <f>SUMIFS(T_CleanTxns[Revenue_Usable],T_CleanTxns[Transaction_Month],A17)</f>
        <v>68212.309999999983</v>
      </c>
      <c r="J17" s="4">
        <f>SUMIFS(Targets!$F$3:$F$62,Targets!$A$3:$A$62,A17)</f>
        <v>1321600</v>
      </c>
      <c r="K17" s="5">
        <f t="shared" si="3"/>
        <v>5.1613430690072626E-2</v>
      </c>
    </row>
    <row r="18" spans="1:15" ht="15" customHeight="1" x14ac:dyDescent="0.25">
      <c r="A18" s="13">
        <v>45992</v>
      </c>
      <c r="B18" s="4">
        <f>COUNTIFS(T_CleanLeads[Created_Month],A18)</f>
        <v>98</v>
      </c>
      <c r="C18" s="4">
        <f>COUNTIFS(T_CleanLeads[Created_Month],A18,T_CleanLeads[Qualified_Flag],"Yes")</f>
        <v>64</v>
      </c>
      <c r="D18" s="4">
        <f>COUNTIFS(T_CleanLeads[Created_Month],A18,T_CleanLeads[Opportunity_Date],"&lt;&gt;")</f>
        <v>48</v>
      </c>
      <c r="E18" s="4">
        <f>COUNTIFS(T_CleanLeads[Created_Month],A18,T_CleanLeads[Lead_Status],"Won")</f>
        <v>19</v>
      </c>
      <c r="F18" s="5">
        <f t="shared" si="0"/>
        <v>0.65306122448979587</v>
      </c>
      <c r="G18" s="5">
        <f t="shared" si="1"/>
        <v>0.75</v>
      </c>
      <c r="H18" s="5">
        <f t="shared" si="2"/>
        <v>0.39583333333333331</v>
      </c>
      <c r="I18" s="4">
        <f>SUMIFS(T_CleanTxns[Revenue_Usable],T_CleanTxns[Transaction_Month],A18)</f>
        <v>77999.239999999976</v>
      </c>
      <c r="J18" s="4">
        <f>SUMIFS(Targets!$F$3:$F$62,Targets!$A$3:$A$62,A18)</f>
        <v>1180000</v>
      </c>
      <c r="K18" s="5">
        <f t="shared" si="3"/>
        <v>6.6101050847457613E-2</v>
      </c>
    </row>
    <row r="19" spans="1:15" ht="15" customHeight="1" x14ac:dyDescent="0.25">
      <c r="A19" s="14" t="s">
        <v>2948</v>
      </c>
      <c r="B19" s="15">
        <f>SUM(B7:B18)</f>
        <v>1000</v>
      </c>
      <c r="C19" s="15">
        <f>SUM(C7:C18)</f>
        <v>702</v>
      </c>
      <c r="D19" s="15">
        <f>SUM(D7:D18)</f>
        <v>531</v>
      </c>
      <c r="E19" s="15">
        <f>SUM(E7:E18)</f>
        <v>220</v>
      </c>
      <c r="F19" s="16">
        <f t="shared" si="0"/>
        <v>0.70199999999999996</v>
      </c>
      <c r="G19" s="16">
        <f t="shared" si="1"/>
        <v>0.75641025641025639</v>
      </c>
      <c r="H19" s="16">
        <f t="shared" si="2"/>
        <v>0.4143126177024482</v>
      </c>
      <c r="I19" s="15">
        <f>SUM(I7:I18)</f>
        <v>507744.9499999999</v>
      </c>
      <c r="J19" s="15">
        <f>SUM(J7:J18)</f>
        <v>14348800</v>
      </c>
      <c r="K19" s="16">
        <f t="shared" si="3"/>
        <v>3.5385882443131123E-2</v>
      </c>
    </row>
    <row r="22" spans="1:15" ht="19.5" customHeight="1" x14ac:dyDescent="0.25">
      <c r="A22" s="42" t="s">
        <v>2949</v>
      </c>
      <c r="B22" s="42"/>
      <c r="C22" s="42"/>
      <c r="D22" s="42"/>
      <c r="E22" s="42"/>
      <c r="F22" s="42"/>
      <c r="G22" s="42"/>
      <c r="H22" s="42"/>
      <c r="I22" s="42"/>
      <c r="J22" s="42"/>
      <c r="K22" s="42"/>
      <c r="L22" s="42"/>
    </row>
    <row r="24" spans="1:15" ht="23.25" customHeight="1" x14ac:dyDescent="0.2">
      <c r="A24" s="12" t="s">
        <v>17</v>
      </c>
      <c r="B24" s="12" t="s">
        <v>14</v>
      </c>
      <c r="C24" s="12" t="s">
        <v>3</v>
      </c>
      <c r="D24" s="12" t="s">
        <v>1</v>
      </c>
      <c r="E24" s="12" t="s">
        <v>2</v>
      </c>
      <c r="F24" s="12" t="s">
        <v>5</v>
      </c>
      <c r="G24" s="12" t="s">
        <v>6</v>
      </c>
      <c r="H24" s="12" t="s">
        <v>7</v>
      </c>
      <c r="I24" s="12" t="s">
        <v>8</v>
      </c>
      <c r="J24" s="12" t="s">
        <v>9</v>
      </c>
      <c r="K24" s="12" t="s">
        <v>2946</v>
      </c>
      <c r="L24" s="12" t="s">
        <v>2947</v>
      </c>
      <c r="M24" s="12" t="s">
        <v>12</v>
      </c>
      <c r="N24" s="12" t="s">
        <v>1155</v>
      </c>
      <c r="O24" s="12" t="s">
        <v>13</v>
      </c>
    </row>
    <row r="25" spans="1:15" ht="15" customHeight="1" x14ac:dyDescent="0.2">
      <c r="A25" s="9" t="s">
        <v>18</v>
      </c>
      <c r="B25" s="4">
        <f>COUNTIFS(T_CleanLeads[Market],A25)</f>
        <v>115</v>
      </c>
      <c r="C25" s="5">
        <f>IFERROR(COUNTIFS(T_CleanLeads[Market],A25,T_CleanLeads[Qualified_Flag],"Yes")/B25,0)</f>
        <v>0.75652173913043474</v>
      </c>
      <c r="D25" s="4">
        <f>COUNTIFS(T_CleanLeads[Market],A25,T_CleanLeads[Opportunity_Date],"&lt;&gt;")</f>
        <v>78</v>
      </c>
      <c r="E25" s="4">
        <f>COUNTIFS(T_CleanLeads[Market],A25,T_CleanLeads[Lead_Status],"Won")</f>
        <v>28</v>
      </c>
      <c r="F25" s="5">
        <f>IFERROR(E25/D25,0)</f>
        <v>0.35897435897435898</v>
      </c>
      <c r="G25" s="4">
        <f>COUNTIFS(T_CleanCustomers[Market],A25)</f>
        <v>28</v>
      </c>
      <c r="H25" s="4">
        <f>COUNTIFS(T_CleanCustomers[Market],A25,T_CleanCustomers[Activated_Flag],TRUE())</f>
        <v>25</v>
      </c>
      <c r="I25" s="5">
        <f>IFERROR(H25/G25,0)</f>
        <v>0.8928571428571429</v>
      </c>
      <c r="J25" s="6">
        <f>IFERROR(AVERAGEIFS(T_CleanCustomers[Days_To_Activation],T_CleanCustomers[Market],A25,T_CleanCustomers[Activated_Flag],TRUE()),0)</f>
        <v>25.24</v>
      </c>
      <c r="K25" s="4">
        <f>SUMIFS(T_CleanTxns[Revenue_Usable],T_CleanTxns[Market],A25)</f>
        <v>71510.50999999998</v>
      </c>
      <c r="L25" s="4">
        <f>SUMIFS(Targets!$F$3:$F$62,Targets!$B$3:$B$62,A25)</f>
        <v>1824000</v>
      </c>
      <c r="M25" s="5">
        <f>IFERROR(K25/L25,0)</f>
        <v>3.9205323464912269E-2</v>
      </c>
      <c r="N25" s="4">
        <f>COUNTIFS(T_CleanCustomers[Market],A25,T_CleanCustomers[Activated_Flag],TRUE(),T_CleanCustomers[Customer_Status_Clean],"Churned")</f>
        <v>3</v>
      </c>
      <c r="O25" s="5">
        <f>IFERROR(N25/H25,0)</f>
        <v>0.12</v>
      </c>
    </row>
    <row r="26" spans="1:15" ht="15" customHeight="1" x14ac:dyDescent="0.2">
      <c r="A26" s="9" t="s">
        <v>19</v>
      </c>
      <c r="B26" s="4">
        <f>COUNTIFS(T_CleanLeads[Market],A26)</f>
        <v>181</v>
      </c>
      <c r="C26" s="5">
        <f>IFERROR(COUNTIFS(T_CleanLeads[Market],A26,T_CleanLeads[Qualified_Flag],"Yes")/B26,0)</f>
        <v>0.6795580110497238</v>
      </c>
      <c r="D26" s="4">
        <f>COUNTIFS(T_CleanLeads[Market],A26,T_CleanLeads[Opportunity_Date],"&lt;&gt;")</f>
        <v>96</v>
      </c>
      <c r="E26" s="4">
        <f>COUNTIFS(T_CleanLeads[Market],A26,T_CleanLeads[Lead_Status],"Won")</f>
        <v>39</v>
      </c>
      <c r="F26" s="5">
        <f>IFERROR(E26/D26,0)</f>
        <v>0.40625</v>
      </c>
      <c r="G26" s="4">
        <f>COUNTIFS(T_CleanCustomers[Market],A26)</f>
        <v>39</v>
      </c>
      <c r="H26" s="4">
        <f>COUNTIFS(T_CleanCustomers[Market],A26,T_CleanCustomers[Activated_Flag],TRUE())</f>
        <v>35</v>
      </c>
      <c r="I26" s="5">
        <f>IFERROR(H26/G26,0)</f>
        <v>0.89743589743589747</v>
      </c>
      <c r="J26" s="6">
        <f>IFERROR(AVERAGEIFS(T_CleanCustomers[Days_To_Activation],T_CleanCustomers[Market],A26,T_CleanCustomers[Activated_Flag],TRUE()),0)</f>
        <v>22.8</v>
      </c>
      <c r="K26" s="4">
        <f>SUMIFS(T_CleanTxns[Revenue_Usable],T_CleanTxns[Market],A26)</f>
        <v>123062.52999999994</v>
      </c>
      <c r="L26" s="4">
        <f>SUMIFS(Targets!$F$3:$F$62,Targets!$B$3:$B$62,A26)</f>
        <v>2675200</v>
      </c>
      <c r="M26" s="5">
        <f>IFERROR(K26/L26,0)</f>
        <v>4.6001244766746392E-2</v>
      </c>
      <c r="N26" s="4">
        <f>COUNTIFS(T_CleanCustomers[Market],A26,T_CleanCustomers[Activated_Flag],TRUE(),T_CleanCustomers[Customer_Status_Clean],"Churned")</f>
        <v>2</v>
      </c>
      <c r="O26" s="5">
        <f>IFERROR(N26/H26,0)</f>
        <v>5.7142857142857141E-2</v>
      </c>
    </row>
    <row r="27" spans="1:15" ht="15" customHeight="1" x14ac:dyDescent="0.2">
      <c r="A27" s="9" t="s">
        <v>20</v>
      </c>
      <c r="B27" s="4">
        <f>COUNTIFS(T_CleanLeads[Market],A27)</f>
        <v>286</v>
      </c>
      <c r="C27" s="5">
        <f>IFERROR(COUNTIFS(T_CleanLeads[Market],A27,T_CleanLeads[Qualified_Flag],"Yes")/B27,0)</f>
        <v>0.71328671328671334</v>
      </c>
      <c r="D27" s="4">
        <f>COUNTIFS(T_CleanLeads[Market],A27,T_CleanLeads[Opportunity_Date],"&lt;&gt;")</f>
        <v>154</v>
      </c>
      <c r="E27" s="4">
        <f>COUNTIFS(T_CleanLeads[Market],A27,T_CleanLeads[Lead_Status],"Won")</f>
        <v>59</v>
      </c>
      <c r="F27" s="5">
        <f>IFERROR(E27/D27,0)</f>
        <v>0.38311688311688313</v>
      </c>
      <c r="G27" s="4">
        <f>COUNTIFS(T_CleanCustomers[Market],A27)</f>
        <v>59</v>
      </c>
      <c r="H27" s="4">
        <f>COUNTIFS(T_CleanCustomers[Market],A27,T_CleanCustomers[Activated_Flag],TRUE())</f>
        <v>37</v>
      </c>
      <c r="I27" s="5">
        <f>IFERROR(H27/G27,0)</f>
        <v>0.6271186440677966</v>
      </c>
      <c r="J27" s="6">
        <f>IFERROR(AVERAGEIFS(T_CleanCustomers[Days_To_Activation],T_CleanCustomers[Market],A27,T_CleanCustomers[Activated_Flag],TRUE()),0)</f>
        <v>28.432432432432432</v>
      </c>
      <c r="K27" s="4">
        <f>SUMIFS(T_CleanTxns[Revenue_Usable],T_CleanTxns[Market],A27)</f>
        <v>133782.69000000003</v>
      </c>
      <c r="L27" s="4">
        <f>SUMIFS(Targets!$F$3:$F$62,Targets!$B$3:$B$62,A27)</f>
        <v>3891200</v>
      </c>
      <c r="M27" s="5">
        <f>IFERROR(K27/L27,0)</f>
        <v>3.4380831106085537E-2</v>
      </c>
      <c r="N27" s="4">
        <f>COUNTIFS(T_CleanCustomers[Market],A27,T_CleanCustomers[Activated_Flag],TRUE(),T_CleanCustomers[Customer_Status_Clean],"Churned")</f>
        <v>2</v>
      </c>
      <c r="O27" s="5">
        <f>IFERROR(N27/H27,0)</f>
        <v>5.4054054054054057E-2</v>
      </c>
    </row>
    <row r="28" spans="1:15" ht="15" customHeight="1" x14ac:dyDescent="0.2">
      <c r="A28" s="9" t="s">
        <v>21</v>
      </c>
      <c r="B28" s="4">
        <f>COUNTIFS(T_CleanLeads[Market],A28)</f>
        <v>164</v>
      </c>
      <c r="C28" s="5">
        <f>IFERROR(COUNTIFS(T_CleanLeads[Market],A28,T_CleanLeads[Qualified_Flag],"Yes")/B28,0)</f>
        <v>0.68292682926829273</v>
      </c>
      <c r="D28" s="4">
        <f>COUNTIFS(T_CleanLeads[Market],A28,T_CleanLeads[Opportunity_Date],"&lt;&gt;")</f>
        <v>81</v>
      </c>
      <c r="E28" s="4">
        <f>COUNTIFS(T_CleanLeads[Market],A28,T_CleanLeads[Lead_Status],"Won")</f>
        <v>41</v>
      </c>
      <c r="F28" s="5">
        <f>IFERROR(E28/D28,0)</f>
        <v>0.50617283950617287</v>
      </c>
      <c r="G28" s="4">
        <f>COUNTIFS(T_CleanCustomers[Market],A28)</f>
        <v>41</v>
      </c>
      <c r="H28" s="4">
        <f>COUNTIFS(T_CleanCustomers[Market],A28,T_CleanCustomers[Activated_Flag],TRUE())</f>
        <v>33</v>
      </c>
      <c r="I28" s="5">
        <f>IFERROR(H28/G28,0)</f>
        <v>0.80487804878048785</v>
      </c>
      <c r="J28" s="6">
        <f>IFERROR(AVERAGEIFS(T_CleanCustomers[Days_To_Activation],T_CleanCustomers[Market],A28,T_CleanCustomers[Activated_Flag],TRUE()),0)</f>
        <v>19.303030303030305</v>
      </c>
      <c r="K28" s="4">
        <f>SUMIFS(T_CleanTxns[Revenue_Usable],T_CleanTxns[Market],A28)</f>
        <v>64518.329999999958</v>
      </c>
      <c r="L28" s="4">
        <f>SUMIFS(Targets!$F$3:$F$62,Targets!$B$3:$B$62,A28)</f>
        <v>2310400</v>
      </c>
      <c r="M28" s="5">
        <f>IFERROR(K28/L28,0)</f>
        <v>2.7925177458448736E-2</v>
      </c>
      <c r="N28" s="4">
        <f>COUNTIFS(T_CleanCustomers[Market],A28,T_CleanCustomers[Activated_Flag],TRUE(),T_CleanCustomers[Customer_Status_Clean],"Churned")</f>
        <v>6</v>
      </c>
      <c r="O28" s="5">
        <f>IFERROR(N28/H28,0)</f>
        <v>0.18181818181818182</v>
      </c>
    </row>
    <row r="29" spans="1:15" ht="15" customHeight="1" x14ac:dyDescent="0.2">
      <c r="A29" s="9" t="s">
        <v>22</v>
      </c>
      <c r="B29" s="4">
        <f>COUNTIFS(T_CleanLeads[Market],A29)</f>
        <v>254</v>
      </c>
      <c r="C29" s="5">
        <f>IFERROR(COUNTIFS(T_CleanLeads[Market],A29,T_CleanLeads[Qualified_Flag],"Yes")/B29,0)</f>
        <v>0.69291338582677164</v>
      </c>
      <c r="D29" s="4">
        <f>COUNTIFS(T_CleanLeads[Market],A29,T_CleanLeads[Opportunity_Date],"&lt;&gt;")</f>
        <v>122</v>
      </c>
      <c r="E29" s="4">
        <f>COUNTIFS(T_CleanLeads[Market],A29,T_CleanLeads[Lead_Status],"Won")</f>
        <v>53</v>
      </c>
      <c r="F29" s="5">
        <f>IFERROR(E29/D29,0)</f>
        <v>0.4344262295081967</v>
      </c>
      <c r="G29" s="4">
        <f>COUNTIFS(T_CleanCustomers[Market],A29)</f>
        <v>53</v>
      </c>
      <c r="H29" s="4">
        <f>COUNTIFS(T_CleanCustomers[Market],A29,T_CleanCustomers[Activated_Flag],TRUE())</f>
        <v>41</v>
      </c>
      <c r="I29" s="5">
        <f>IFERROR(H29/G29,0)</f>
        <v>0.77358490566037741</v>
      </c>
      <c r="J29" s="6">
        <f>IFERROR(AVERAGEIFS(T_CleanCustomers[Days_To_Activation],T_CleanCustomers[Market],A29,T_CleanCustomers[Activated_Flag],TRUE()),0)</f>
        <v>28.463414634146343</v>
      </c>
      <c r="K29" s="4">
        <f>SUMIFS(T_CleanTxns[Revenue_Usable],T_CleanTxns[Market],A29)</f>
        <v>114870.88999999996</v>
      </c>
      <c r="L29" s="4">
        <f>SUMIFS(Targets!$F$3:$F$62,Targets!$B$3:$B$62,A29)</f>
        <v>3648000</v>
      </c>
      <c r="M29" s="5">
        <f>IFERROR(K29/L29,0)</f>
        <v>3.1488730811403499E-2</v>
      </c>
      <c r="N29" s="4">
        <f>COUNTIFS(T_CleanCustomers[Market],A29,T_CleanCustomers[Activated_Flag],TRUE(),T_CleanCustomers[Customer_Status_Clean],"Churned")</f>
        <v>3</v>
      </c>
      <c r="O29" s="5">
        <f>IFERROR(N29/H29,0)</f>
        <v>7.3170731707317069E-2</v>
      </c>
    </row>
    <row r="32" spans="1:15" ht="19.5" customHeight="1" x14ac:dyDescent="0.25">
      <c r="A32" s="42" t="s">
        <v>2950</v>
      </c>
      <c r="B32" s="42"/>
      <c r="C32" s="42"/>
      <c r="D32" s="42"/>
      <c r="E32" s="42"/>
      <c r="F32" s="42"/>
      <c r="G32" s="42"/>
      <c r="H32" s="42"/>
      <c r="I32" s="42"/>
      <c r="J32" s="42"/>
      <c r="K32" s="42"/>
      <c r="L32" s="42"/>
    </row>
    <row r="34" spans="1:12" ht="23.25" customHeight="1" x14ac:dyDescent="0.25">
      <c r="A34" s="12" t="s">
        <v>23</v>
      </c>
      <c r="B34" s="12" t="s">
        <v>14</v>
      </c>
      <c r="C34" s="12" t="s">
        <v>15</v>
      </c>
      <c r="D34" s="12" t="s">
        <v>3</v>
      </c>
      <c r="E34" s="12" t="s">
        <v>1</v>
      </c>
      <c r="F34" s="12" t="s">
        <v>2</v>
      </c>
      <c r="G34" s="12" t="s">
        <v>5</v>
      </c>
      <c r="H34" s="12" t="s">
        <v>2946</v>
      </c>
    </row>
    <row r="35" spans="1:12" ht="15" customHeight="1" x14ac:dyDescent="0.25">
      <c r="A35" s="9" t="s">
        <v>24</v>
      </c>
      <c r="B35" s="4">
        <f>COUNTIFS(T_CleanLeads[Channel],A35)</f>
        <v>232</v>
      </c>
      <c r="C35" s="4">
        <f>COUNTIFS(T_CleanLeads[Channel],A35,T_CleanLeads[Qualified_Flag],"Yes")</f>
        <v>123</v>
      </c>
      <c r="D35" s="5">
        <f t="shared" ref="D35:D40" si="4">IFERROR(C35/B35,0)</f>
        <v>0.53017241379310343</v>
      </c>
      <c r="E35" s="4">
        <f>COUNTIFS(T_CleanLeads[Channel],A35,T_CleanLeads[Opportunity_Date],"&lt;&gt;")</f>
        <v>91</v>
      </c>
      <c r="F35" s="4">
        <f>COUNTIFS(T_CleanLeads[Channel],A35,T_CleanLeads[Lead_Status],"Won")</f>
        <v>22</v>
      </c>
      <c r="G35" s="5">
        <f t="shared" ref="G35:G40" si="5">IFERROR(F35/E35,0)</f>
        <v>0.24175824175824176</v>
      </c>
      <c r="H35" s="4">
        <f>SUMIFS(T_CleanTxns[Revenue_Usable],T_CleanTxns[Channel_via_Customer],A35)</f>
        <v>54033.69</v>
      </c>
    </row>
    <row r="36" spans="1:12" ht="15" customHeight="1" x14ac:dyDescent="0.25">
      <c r="A36" s="9" t="s">
        <v>25</v>
      </c>
      <c r="B36" s="4">
        <f>COUNTIFS(T_CleanLeads[Channel],A36)</f>
        <v>270</v>
      </c>
      <c r="C36" s="4">
        <f>COUNTIFS(T_CleanLeads[Channel],A36,T_CleanLeads[Qualified_Flag],"Yes")</f>
        <v>220</v>
      </c>
      <c r="D36" s="5">
        <f t="shared" si="4"/>
        <v>0.81481481481481477</v>
      </c>
      <c r="E36" s="4">
        <f>COUNTIFS(T_CleanLeads[Channel],A36,T_CleanLeads[Opportunity_Date],"&lt;&gt;")</f>
        <v>166</v>
      </c>
      <c r="F36" s="4">
        <f>COUNTIFS(T_CleanLeads[Channel],A36,T_CleanLeads[Lead_Status],"Won")</f>
        <v>92</v>
      </c>
      <c r="G36" s="5">
        <f t="shared" si="5"/>
        <v>0.55421686746987953</v>
      </c>
      <c r="H36" s="4">
        <f>SUMIFS(T_CleanTxns[Revenue_Usable],T_CleanTxns[Channel_via_Customer],A36)</f>
        <v>190040.03000000009</v>
      </c>
    </row>
    <row r="37" spans="1:12" ht="15" customHeight="1" x14ac:dyDescent="0.25">
      <c r="A37" s="9" t="s">
        <v>26</v>
      </c>
      <c r="B37" s="4">
        <f>COUNTIFS(T_CleanLeads[Channel],A37)</f>
        <v>213</v>
      </c>
      <c r="C37" s="4">
        <f>COUNTIFS(T_CleanLeads[Channel],A37,T_CleanLeads[Qualified_Flag],"Yes")</f>
        <v>150</v>
      </c>
      <c r="D37" s="5">
        <f t="shared" si="4"/>
        <v>0.70422535211267601</v>
      </c>
      <c r="E37" s="4">
        <f>COUNTIFS(T_CleanLeads[Channel],A37,T_CleanLeads[Opportunity_Date],"&lt;&gt;")</f>
        <v>112</v>
      </c>
      <c r="F37" s="4">
        <f>COUNTIFS(T_CleanLeads[Channel],A37,T_CleanLeads[Lead_Status],"Won")</f>
        <v>44</v>
      </c>
      <c r="G37" s="5">
        <f t="shared" si="5"/>
        <v>0.39285714285714285</v>
      </c>
      <c r="H37" s="4">
        <f>SUMIFS(T_CleanTxns[Revenue_Usable],T_CleanTxns[Channel_via_Customer],A37)</f>
        <v>127442.08000000003</v>
      </c>
    </row>
    <row r="38" spans="1:12" ht="15" customHeight="1" x14ac:dyDescent="0.25">
      <c r="A38" s="9" t="s">
        <v>27</v>
      </c>
      <c r="B38" s="4">
        <f>COUNTIFS(T_CleanLeads[Channel],A38)</f>
        <v>108</v>
      </c>
      <c r="C38" s="4">
        <f>COUNTIFS(T_CleanLeads[Channel],A38,T_CleanLeads[Qualified_Flag],"Yes")</f>
        <v>93</v>
      </c>
      <c r="D38" s="5">
        <f t="shared" si="4"/>
        <v>0.86111111111111116</v>
      </c>
      <c r="E38" s="4">
        <f>COUNTIFS(T_CleanLeads[Channel],A38,T_CleanLeads[Opportunity_Date],"&lt;&gt;")</f>
        <v>73</v>
      </c>
      <c r="F38" s="4">
        <f>COUNTIFS(T_CleanLeads[Channel],A38,T_CleanLeads[Lead_Status],"Won")</f>
        <v>34</v>
      </c>
      <c r="G38" s="5">
        <f t="shared" si="5"/>
        <v>0.46575342465753422</v>
      </c>
      <c r="H38" s="4">
        <f>SUMIFS(T_CleanTxns[Revenue_Usable],T_CleanTxns[Channel_via_Customer],A38)</f>
        <v>81776.869999999893</v>
      </c>
    </row>
    <row r="39" spans="1:12" ht="15" customHeight="1" x14ac:dyDescent="0.25">
      <c r="A39" s="9" t="s">
        <v>28</v>
      </c>
      <c r="B39" s="4">
        <f>COUNTIFS(T_CleanLeads[Channel],A39)</f>
        <v>167</v>
      </c>
      <c r="C39" s="4">
        <f>COUNTIFS(T_CleanLeads[Channel],A39,T_CleanLeads[Qualified_Flag],"Yes")</f>
        <v>111</v>
      </c>
      <c r="D39" s="5">
        <f t="shared" si="4"/>
        <v>0.66467065868263475</v>
      </c>
      <c r="E39" s="4">
        <f>COUNTIFS(T_CleanLeads[Channel],A39,T_CleanLeads[Opportunity_Date],"&lt;&gt;")</f>
        <v>85</v>
      </c>
      <c r="F39" s="4">
        <f>COUNTIFS(T_CleanLeads[Channel],A39,T_CleanLeads[Lead_Status],"Won")</f>
        <v>24</v>
      </c>
      <c r="G39" s="5">
        <f t="shared" si="5"/>
        <v>0.28235294117647058</v>
      </c>
      <c r="H39" s="4">
        <f>SUMIFS(T_CleanTxns[Revenue_Usable],T_CleanTxns[Channel_via_Customer],A39)</f>
        <v>54452.280000000013</v>
      </c>
    </row>
    <row r="40" spans="1:12" ht="15" customHeight="1" x14ac:dyDescent="0.25">
      <c r="A40" s="9" t="s">
        <v>375</v>
      </c>
      <c r="B40" s="4">
        <f>COUNTIFS(T_CleanLeads[Channel],A40)</f>
        <v>10</v>
      </c>
      <c r="C40" s="4">
        <f>COUNTIFS(T_CleanLeads[Channel],A40,T_CleanLeads[Qualified_Flag],"Yes")</f>
        <v>5</v>
      </c>
      <c r="D40" s="5">
        <f t="shared" si="4"/>
        <v>0.5</v>
      </c>
      <c r="E40" s="4">
        <f>COUNTIFS(T_CleanLeads[Channel],A40,T_CleanLeads[Opportunity_Date],"&lt;&gt;")</f>
        <v>4</v>
      </c>
      <c r="F40" s="4">
        <f>COUNTIFS(T_CleanLeads[Channel],A40,T_CleanLeads[Lead_Status],"Won")</f>
        <v>4</v>
      </c>
      <c r="G40" s="5">
        <f t="shared" si="5"/>
        <v>1</v>
      </c>
      <c r="H40" s="4">
        <f>SUMIFS(T_CleanTxns[Revenue_Usable],T_CleanTxns[Channel_via_Customer],A40)</f>
        <v>0</v>
      </c>
    </row>
    <row r="43" spans="1:12" ht="19.5" customHeight="1" x14ac:dyDescent="0.25">
      <c r="A43" s="42" t="s">
        <v>2951</v>
      </c>
      <c r="B43" s="42"/>
      <c r="C43" s="42"/>
      <c r="D43" s="42"/>
      <c r="E43" s="42"/>
      <c r="F43" s="42"/>
      <c r="G43" s="42"/>
      <c r="H43" s="42"/>
      <c r="I43" s="42"/>
      <c r="J43" s="42"/>
      <c r="K43" s="42"/>
      <c r="L43" s="42"/>
    </row>
    <row r="45" spans="1:12" ht="34.5" customHeight="1" x14ac:dyDescent="0.25">
      <c r="A45" s="12" t="s">
        <v>140</v>
      </c>
      <c r="B45" s="12" t="s">
        <v>14</v>
      </c>
      <c r="C45" s="12" t="s">
        <v>2</v>
      </c>
      <c r="D45" s="12" t="s">
        <v>5</v>
      </c>
      <c r="E45" s="12" t="s">
        <v>2946</v>
      </c>
    </row>
    <row r="46" spans="1:12" ht="15" customHeight="1" x14ac:dyDescent="0.25">
      <c r="A46" s="9" t="s">
        <v>186</v>
      </c>
      <c r="B46" s="4">
        <f>COUNTIFS(T_CleanLeads[Product],A46)</f>
        <v>185</v>
      </c>
      <c r="C46" s="4">
        <f>COUNTIFS(T_CleanLeads[Product],A46,T_CleanLeads[Lead_Status],"Won")</f>
        <v>45</v>
      </c>
      <c r="D46" s="5">
        <f>IFERROR(C46/B46,0)</f>
        <v>0.24324324324324326</v>
      </c>
      <c r="E46" s="4">
        <f>SUMIFS(T_CleanTxns[Revenue_Usable],T_CleanTxns[Product_via_Customer],A46)</f>
        <v>154991.56000000011</v>
      </c>
    </row>
    <row r="47" spans="1:12" ht="15" customHeight="1" x14ac:dyDescent="0.25">
      <c r="A47" s="9" t="s">
        <v>160</v>
      </c>
      <c r="B47" s="4">
        <f>COUNTIFS(T_CleanLeads[Product],A47)</f>
        <v>193</v>
      </c>
      <c r="C47" s="4">
        <f>COUNTIFS(T_CleanLeads[Product],A47,T_CleanLeads[Lead_Status],"Won")</f>
        <v>37</v>
      </c>
      <c r="D47" s="5">
        <f>IFERROR(C47/B47,0)</f>
        <v>0.19170984455958548</v>
      </c>
      <c r="E47" s="4">
        <f>SUMIFS(T_CleanTxns[Revenue_Usable],T_CleanTxns[Product_via_Customer],A47)</f>
        <v>78741.83</v>
      </c>
    </row>
    <row r="48" spans="1:12" ht="15" customHeight="1" x14ac:dyDescent="0.25">
      <c r="A48" s="9" t="s">
        <v>149</v>
      </c>
      <c r="B48" s="4">
        <f>COUNTIFS(T_CleanLeads[Product],A48)</f>
        <v>435</v>
      </c>
      <c r="C48" s="4">
        <f>COUNTIFS(T_CleanLeads[Product],A48,T_CleanLeads[Lead_Status],"Won")</f>
        <v>98</v>
      </c>
      <c r="D48" s="5">
        <f>IFERROR(C48/B48,0)</f>
        <v>0.22528735632183908</v>
      </c>
      <c r="E48" s="4">
        <f>SUMIFS(T_CleanTxns[Revenue_Usable],T_CleanTxns[Product_via_Customer],A48)</f>
        <v>194878.05999999994</v>
      </c>
    </row>
    <row r="49" spans="1:12" ht="15" customHeight="1" x14ac:dyDescent="0.25">
      <c r="A49" s="9" t="s">
        <v>155</v>
      </c>
      <c r="B49" s="4">
        <f>COUNTIFS(T_CleanLeads[Product],A49)</f>
        <v>187</v>
      </c>
      <c r="C49" s="4">
        <f>COUNTIFS(T_CleanLeads[Product],A49,T_CleanLeads[Lead_Status],"Won")</f>
        <v>40</v>
      </c>
      <c r="D49" s="5">
        <f>IFERROR(C49/B49,0)</f>
        <v>0.21390374331550802</v>
      </c>
      <c r="E49" s="4">
        <f>SUMIFS(T_CleanTxns[Revenue_Usable],T_CleanTxns[Product_via_Customer],A49)</f>
        <v>79133.499999999985</v>
      </c>
    </row>
    <row r="52" spans="1:12" ht="19.5" customHeight="1" x14ac:dyDescent="0.25">
      <c r="A52" s="42" t="s">
        <v>2952</v>
      </c>
      <c r="B52" s="42"/>
      <c r="C52" s="42"/>
      <c r="D52" s="42"/>
      <c r="E52" s="42"/>
      <c r="F52" s="42"/>
      <c r="G52" s="42"/>
      <c r="H52" s="42"/>
      <c r="I52" s="42"/>
      <c r="J52" s="42"/>
      <c r="K52" s="42"/>
      <c r="L52" s="42"/>
    </row>
    <row r="54" spans="1:12" ht="34.5" customHeight="1" x14ac:dyDescent="0.25">
      <c r="A54" s="12" t="s">
        <v>2953</v>
      </c>
      <c r="B54" s="12" t="s">
        <v>6</v>
      </c>
      <c r="C54" s="12" t="s">
        <v>7</v>
      </c>
      <c r="D54" s="12" t="s">
        <v>8</v>
      </c>
      <c r="E54" s="12" t="s">
        <v>1155</v>
      </c>
      <c r="F54" s="12" t="s">
        <v>13</v>
      </c>
      <c r="G54" s="12" t="s">
        <v>2946</v>
      </c>
    </row>
    <row r="55" spans="1:12" ht="15" customHeight="1" x14ac:dyDescent="0.25">
      <c r="A55" s="9" t="s">
        <v>150</v>
      </c>
      <c r="B55" s="4">
        <f>COUNTIFS(T_CleanCustomers[Customer_Segment],A55)</f>
        <v>33</v>
      </c>
      <c r="C55" s="4">
        <f>COUNTIFS(T_CleanCustomers[Customer_Segment],A55,T_CleanCustomers[Activated_Flag],TRUE())</f>
        <v>31</v>
      </c>
      <c r="D55" s="5">
        <f>IFERROR(C55/B55,0)</f>
        <v>0.93939393939393945</v>
      </c>
      <c r="E55" s="4">
        <f>COUNTIFS(T_CleanCustomers[Customer_Segment],A55,T_CleanCustomers[Activated_Flag],TRUE(),T_CleanCustomers[Customer_Status_Clean],"Churned")</f>
        <v>2</v>
      </c>
      <c r="F55" s="5">
        <f>IFERROR(E55/C55,0)</f>
        <v>6.4516129032258063E-2</v>
      </c>
      <c r="G55" s="4">
        <f>SUMIFS(T_CleanTxns[Revenue_Usable],T_CleanTxns[Segment_via_Customer],A55)</f>
        <v>316898.51</v>
      </c>
    </row>
    <row r="56" spans="1:12" ht="15" customHeight="1" x14ac:dyDescent="0.25">
      <c r="A56" s="9" t="s">
        <v>161</v>
      </c>
      <c r="B56" s="4">
        <f>COUNTIFS(T_CleanCustomers[Customer_Segment],A56)</f>
        <v>64</v>
      </c>
      <c r="C56" s="4">
        <f>COUNTIFS(T_CleanCustomers[Customer_Segment],A56,T_CleanCustomers[Activated_Flag],TRUE())</f>
        <v>48</v>
      </c>
      <c r="D56" s="5">
        <f>IFERROR(C56/B56,0)</f>
        <v>0.75</v>
      </c>
      <c r="E56" s="4">
        <f>COUNTIFS(T_CleanCustomers[Customer_Segment],A56,T_CleanCustomers[Activated_Flag],TRUE(),T_CleanCustomers[Customer_Status_Clean],"Churned")</f>
        <v>6</v>
      </c>
      <c r="F56" s="5">
        <f>IFERROR(E56/C56,0)</f>
        <v>0.125</v>
      </c>
      <c r="G56" s="4">
        <f>SUMIFS(T_CleanTxns[Revenue_Usable],T_CleanTxns[Segment_via_Customer],A56)</f>
        <v>131903.92000000013</v>
      </c>
    </row>
    <row r="57" spans="1:12" ht="15" customHeight="1" x14ac:dyDescent="0.25">
      <c r="A57" s="9" t="s">
        <v>156</v>
      </c>
      <c r="B57" s="4">
        <f>COUNTIFS(T_CleanCustomers[Customer_Segment],A57)</f>
        <v>115</v>
      </c>
      <c r="C57" s="4">
        <f>COUNTIFS(T_CleanCustomers[Customer_Segment],A57,T_CleanCustomers[Activated_Flag],TRUE())</f>
        <v>86</v>
      </c>
      <c r="D57" s="5">
        <f>IFERROR(C57/B57,0)</f>
        <v>0.74782608695652175</v>
      </c>
      <c r="E57" s="4">
        <f>COUNTIFS(T_CleanCustomers[Customer_Segment],A57,T_CleanCustomers[Activated_Flag],TRUE(),T_CleanCustomers[Customer_Status_Clean],"Churned")</f>
        <v>7</v>
      </c>
      <c r="F57" s="5">
        <f>IFERROR(E57/C57,0)</f>
        <v>8.1395348837209308E-2</v>
      </c>
      <c r="G57" s="4">
        <f>SUMIFS(T_CleanTxns[Revenue_Usable],T_CleanTxns[Segment_via_Customer],A57)</f>
        <v>54112.939999999959</v>
      </c>
    </row>
    <row r="58" spans="1:12" ht="15" customHeight="1" x14ac:dyDescent="0.25">
      <c r="A58" s="9" t="s">
        <v>1173</v>
      </c>
      <c r="B58" s="4">
        <f>COUNTIFS(T_CleanCustomers[Customer_Segment],A58)</f>
        <v>8</v>
      </c>
      <c r="C58" s="4">
        <f>COUNTIFS(T_CleanCustomers[Customer_Segment],A58,T_CleanCustomers[Activated_Flag],TRUE())</f>
        <v>6</v>
      </c>
      <c r="D58" s="5">
        <f>IFERROR(C58/B58,0)</f>
        <v>0.75</v>
      </c>
      <c r="E58" s="4">
        <f>COUNTIFS(T_CleanCustomers[Customer_Segment],A58,T_CleanCustomers[Activated_Flag],TRUE(),T_CleanCustomers[Customer_Status_Clean],"Churned")</f>
        <v>1</v>
      </c>
      <c r="F58" s="5">
        <f>IFERROR(E58/C58,0)</f>
        <v>0.16666666666666666</v>
      </c>
      <c r="G58" s="4">
        <f>SUMIFS(T_CleanTxns[Revenue_Usable],T_CleanTxns[Segment_via_Customer],A58)</f>
        <v>4829.58</v>
      </c>
    </row>
    <row r="61" spans="1:12" ht="19.5" customHeight="1" x14ac:dyDescent="0.25">
      <c r="A61" s="42" t="s">
        <v>2954</v>
      </c>
      <c r="B61" s="42"/>
      <c r="C61" s="42"/>
      <c r="D61" s="42"/>
      <c r="E61" s="42"/>
      <c r="F61" s="42"/>
      <c r="G61" s="42"/>
      <c r="H61" s="42"/>
      <c r="I61" s="42"/>
      <c r="J61" s="42"/>
      <c r="K61" s="42"/>
      <c r="L61" s="42"/>
    </row>
    <row r="63" spans="1:12" ht="23.25" customHeight="1" x14ac:dyDescent="0.25">
      <c r="A63" s="12" t="s">
        <v>2955</v>
      </c>
      <c r="B63" s="12" t="s">
        <v>2956</v>
      </c>
      <c r="C63" s="12" t="s">
        <v>17</v>
      </c>
      <c r="D63" s="12" t="s">
        <v>2957</v>
      </c>
      <c r="E63" s="12" t="s">
        <v>14</v>
      </c>
      <c r="F63" s="12" t="s">
        <v>2</v>
      </c>
      <c r="G63" s="12" t="s">
        <v>5</v>
      </c>
      <c r="H63" s="12" t="s">
        <v>2946</v>
      </c>
      <c r="I63" s="12" t="s">
        <v>2958</v>
      </c>
      <c r="J63" s="12" t="s">
        <v>38</v>
      </c>
    </row>
    <row r="64" spans="1:12" ht="15" customHeight="1" x14ac:dyDescent="0.25">
      <c r="A64" s="9" t="s">
        <v>167</v>
      </c>
      <c r="B64" s="2" t="str">
        <f>IFERROR(INDEX(Sales_Reps!$B$4:$B$18,MATCH(A64,Sales_Reps!$A$4:$A$18,0)),"")</f>
        <v>Anna Schmidt</v>
      </c>
      <c r="C64" s="2" t="str">
        <f>IFERROR(INDEX(Sales_Reps!$C$4:$C$18,MATCH(A64,Sales_Reps!$A$4:$A$18,0)),"")</f>
        <v>Germany</v>
      </c>
      <c r="D64" s="2" t="str">
        <f>IFERROR(INDEX(Sales_Reps!$E$4:$E$18,MATCH(A64,Sales_Reps!$A$4:$A$18,0)),"")</f>
        <v>Enterprise</v>
      </c>
      <c r="E64" s="4">
        <f>COUNTIFS(T_CleanLeads[Sales_Rep_ID],A64)</f>
        <v>92</v>
      </c>
      <c r="F64" s="4">
        <f>COUNTIFS(T_CleanLeads[Sales_Rep_ID],A64,T_CleanLeads[Lead_Status],"Won")</f>
        <v>14</v>
      </c>
      <c r="G64" s="5">
        <f t="shared" ref="G64:G79" si="6">IFERROR(F64/E64,0)</f>
        <v>0.15217391304347827</v>
      </c>
      <c r="H64" s="4">
        <f>SUMIFS(T_CleanTxns[Revenue_Usable],T_CleanTxns[Rep_ID_via_Customer],A64)</f>
        <v>42286.059999999983</v>
      </c>
      <c r="I64" s="4">
        <f>IFERROR(INDEX(Sales_Reps!$F$4:$F$18,MATCH(A64,Sales_Reps!$A$4:$A$18,0))*12,0)</f>
        <v>2268000</v>
      </c>
      <c r="J64" s="5">
        <f t="shared" ref="J64:J78" si="7">IFERROR(H64/I64,0)</f>
        <v>1.8644647266313926E-2</v>
      </c>
    </row>
    <row r="65" spans="1:10" ht="15" customHeight="1" x14ac:dyDescent="0.25">
      <c r="A65" s="9" t="s">
        <v>189</v>
      </c>
      <c r="B65" s="2" t="str">
        <f>IFERROR(INDEX(Sales_Reps!$B$4:$B$18,MATCH(A65,Sales_Reps!$A$4:$A$18,0)),"")</f>
        <v>Lukas Meyer</v>
      </c>
      <c r="C65" s="2" t="str">
        <f>IFERROR(INDEX(Sales_Reps!$C$4:$C$18,MATCH(A65,Sales_Reps!$A$4:$A$18,0)),"")</f>
        <v>Germany</v>
      </c>
      <c r="D65" s="2" t="str">
        <f>IFERROR(INDEX(Sales_Reps!$E$4:$E$18,MATCH(A65,Sales_Reps!$A$4:$A$18,0)),"")</f>
        <v>Mid-Market</v>
      </c>
      <c r="E65" s="4">
        <f>COUNTIFS(T_CleanLeads[Sales_Rep_ID],A65)</f>
        <v>87</v>
      </c>
      <c r="F65" s="4">
        <f>COUNTIFS(T_CleanLeads[Sales_Rep_ID],A65,T_CleanLeads[Lead_Status],"Won")</f>
        <v>19</v>
      </c>
      <c r="G65" s="5">
        <f t="shared" si="6"/>
        <v>0.21839080459770116</v>
      </c>
      <c r="H65" s="4">
        <f>SUMIFS(T_CleanTxns[Revenue_Usable],T_CleanTxns[Rep_ID_via_Customer],A65)</f>
        <v>42852.269999999975</v>
      </c>
      <c r="I65" s="4">
        <f>IFERROR(INDEX(Sales_Reps!$F$4:$F$18,MATCH(A65,Sales_Reps!$A$4:$A$18,0))*12,0)</f>
        <v>1890000</v>
      </c>
      <c r="J65" s="5">
        <f t="shared" si="7"/>
        <v>2.2673158730158717E-2</v>
      </c>
    </row>
    <row r="66" spans="1:10" ht="15" customHeight="1" x14ac:dyDescent="0.25">
      <c r="A66" s="9" t="s">
        <v>192</v>
      </c>
      <c r="B66" s="2" t="str">
        <f>IFERROR(INDEX(Sales_Reps!$B$4:$B$18,MATCH(A66,Sales_Reps!$A$4:$A$18,0)),"")</f>
        <v>Sophie Brown</v>
      </c>
      <c r="C66" s="2" t="str">
        <f>IFERROR(INDEX(Sales_Reps!$C$4:$C$18,MATCH(A66,Sales_Reps!$A$4:$A$18,0)),"")</f>
        <v>Germany</v>
      </c>
      <c r="D66" s="2" t="str">
        <f>IFERROR(INDEX(Sales_Reps!$E$4:$E$18,MATCH(A66,Sales_Reps!$A$4:$A$18,0)),"")</f>
        <v>SME</v>
      </c>
      <c r="E66" s="4">
        <f>COUNTIFS(T_CleanLeads[Sales_Rep_ID],A66)</f>
        <v>106</v>
      </c>
      <c r="F66" s="4">
        <f>COUNTIFS(T_CleanLeads[Sales_Rep_ID],A66,T_CleanLeads[Lead_Status],"Won")</f>
        <v>26</v>
      </c>
      <c r="G66" s="5">
        <f t="shared" si="6"/>
        <v>0.24528301886792453</v>
      </c>
      <c r="H66" s="4">
        <f>SUMIFS(T_CleanTxns[Revenue_Usable],T_CleanTxns[Rep_ID_via_Customer],A66)</f>
        <v>48644.36</v>
      </c>
      <c r="I66" s="4">
        <f>IFERROR(INDEX(Sales_Reps!$F$4:$F$18,MATCH(A66,Sales_Reps!$A$4:$A$18,0))*12,0)</f>
        <v>1701000</v>
      </c>
      <c r="J66" s="5">
        <f t="shared" si="7"/>
        <v>2.8597507348618462E-2</v>
      </c>
    </row>
    <row r="67" spans="1:10" ht="15" customHeight="1" x14ac:dyDescent="0.25">
      <c r="A67" s="9" t="s">
        <v>151</v>
      </c>
      <c r="B67" s="2" t="str">
        <f>IFERROR(INDEX(Sales_Reps!$B$4:$B$18,MATCH(A67,Sales_Reps!$A$4:$A$18,0)),"")</f>
        <v>David Taylor</v>
      </c>
      <c r="C67" s="2" t="str">
        <f>IFERROR(INDEX(Sales_Reps!$C$4:$C$18,MATCH(A67,Sales_Reps!$A$4:$A$18,0)),"")</f>
        <v>United Kingdom</v>
      </c>
      <c r="D67" s="2" t="str">
        <f>IFERROR(INDEX(Sales_Reps!$E$4:$E$18,MATCH(A67,Sales_Reps!$A$4:$A$18,0)),"")</f>
        <v>Enterprise</v>
      </c>
      <c r="E67" s="4">
        <f>COUNTIFS(T_CleanLeads[Sales_Rep_ID],A67)</f>
        <v>86</v>
      </c>
      <c r="F67" s="4">
        <f>COUNTIFS(T_CleanLeads[Sales_Rep_ID],A67,T_CleanLeads[Lead_Status],"Won")</f>
        <v>12</v>
      </c>
      <c r="G67" s="5">
        <f t="shared" si="6"/>
        <v>0.13953488372093023</v>
      </c>
      <c r="H67" s="4">
        <f>SUMIFS(T_CleanTxns[Revenue_Usable],T_CleanTxns[Rep_ID_via_Customer],A67)</f>
        <v>10938.280000000002</v>
      </c>
      <c r="I67" s="4">
        <f>IFERROR(INDEX(Sales_Reps!$F$4:$F$18,MATCH(A67,Sales_Reps!$A$4:$A$18,0))*12,0)</f>
        <v>2268000</v>
      </c>
      <c r="J67" s="5">
        <f t="shared" si="7"/>
        <v>4.8228747795414475E-3</v>
      </c>
    </row>
    <row r="68" spans="1:10" ht="15" customHeight="1" x14ac:dyDescent="0.25">
      <c r="A68" s="9" t="s">
        <v>170</v>
      </c>
      <c r="B68" s="2" t="str">
        <f>IFERROR(INDEX(Sales_Reps!$B$4:$B$18,MATCH(A68,Sales_Reps!$A$4:$A$18,0)),"")</f>
        <v>Emma de Vries</v>
      </c>
      <c r="C68" s="2" t="str">
        <f>IFERROR(INDEX(Sales_Reps!$C$4:$C$18,MATCH(A68,Sales_Reps!$A$4:$A$18,0)),"")</f>
        <v>United Kingdom</v>
      </c>
      <c r="D68" s="2" t="str">
        <f>IFERROR(INDEX(Sales_Reps!$E$4:$E$18,MATCH(A68,Sales_Reps!$A$4:$A$18,0)),"")</f>
        <v>Mid-Market</v>
      </c>
      <c r="E68" s="4">
        <f>COUNTIFS(T_CleanLeads[Sales_Rep_ID],A68)</f>
        <v>79</v>
      </c>
      <c r="F68" s="4">
        <f>COUNTIFS(T_CleanLeads[Sales_Rep_ID],A68,T_CleanLeads[Lead_Status],"Won")</f>
        <v>17</v>
      </c>
      <c r="G68" s="5">
        <f t="shared" si="6"/>
        <v>0.21518987341772153</v>
      </c>
      <c r="H68" s="4">
        <f>SUMIFS(T_CleanTxns[Revenue_Usable],T_CleanTxns[Rep_ID_via_Customer],A68)</f>
        <v>41248.390000000014</v>
      </c>
      <c r="I68" s="4">
        <f>IFERROR(INDEX(Sales_Reps!$F$4:$F$18,MATCH(A68,Sales_Reps!$A$4:$A$18,0))*12,0)</f>
        <v>1890000</v>
      </c>
      <c r="J68" s="5">
        <f t="shared" si="7"/>
        <v>2.1824544973544982E-2</v>
      </c>
    </row>
    <row r="69" spans="1:10" ht="15" customHeight="1" x14ac:dyDescent="0.25">
      <c r="A69" s="9" t="s">
        <v>165</v>
      </c>
      <c r="B69" s="2" t="str">
        <f>IFERROR(INDEX(Sales_Reps!$B$4:$B$18,MATCH(A69,Sales_Reps!$A$4:$A$18,0)),"")</f>
        <v>Tom Jansen</v>
      </c>
      <c r="C69" s="2" t="str">
        <f>IFERROR(INDEX(Sales_Reps!$C$4:$C$18,MATCH(A69,Sales_Reps!$A$4:$A$18,0)),"")</f>
        <v>United Kingdom</v>
      </c>
      <c r="D69" s="2" t="str">
        <f>IFERROR(INDEX(Sales_Reps!$E$4:$E$18,MATCH(A69,Sales_Reps!$A$4:$A$18,0)),"")</f>
        <v>SME</v>
      </c>
      <c r="E69" s="4">
        <f>COUNTIFS(T_CleanLeads[Sales_Rep_ID],A69)</f>
        <v>87</v>
      </c>
      <c r="F69" s="4">
        <f>COUNTIFS(T_CleanLeads[Sales_Rep_ID],A69,T_CleanLeads[Lead_Status],"Won")</f>
        <v>24</v>
      </c>
      <c r="G69" s="5">
        <f t="shared" si="6"/>
        <v>0.27586206896551724</v>
      </c>
      <c r="H69" s="4">
        <f>SUMIFS(T_CleanTxns[Revenue_Usable],T_CleanTxns[Rep_ID_via_Customer],A69)</f>
        <v>62684.219999999972</v>
      </c>
      <c r="I69" s="4">
        <f>IFERROR(INDEX(Sales_Reps!$F$4:$F$18,MATCH(A69,Sales_Reps!$A$4:$A$18,0))*12,0)</f>
        <v>1701000</v>
      </c>
      <c r="J69" s="5">
        <f t="shared" si="7"/>
        <v>3.6851393298059948E-2</v>
      </c>
    </row>
    <row r="70" spans="1:10" ht="15" customHeight="1" x14ac:dyDescent="0.25">
      <c r="A70" s="9" t="s">
        <v>183</v>
      </c>
      <c r="B70" s="2" t="str">
        <f>IFERROR(INDEX(Sales_Reps!$B$4:$B$18,MATCH(A70,Sales_Reps!$A$4:$A$18,0)),"")</f>
        <v>Nina Novak</v>
      </c>
      <c r="C70" s="2" t="str">
        <f>IFERROR(INDEX(Sales_Reps!$C$4:$C$18,MATCH(A70,Sales_Reps!$A$4:$A$18,0)),"")</f>
        <v>Netherlands</v>
      </c>
      <c r="D70" s="2" t="str">
        <f>IFERROR(INDEX(Sales_Reps!$E$4:$E$18,MATCH(A70,Sales_Reps!$A$4:$A$18,0)),"")</f>
        <v>Enterprise</v>
      </c>
      <c r="E70" s="4">
        <f>COUNTIFS(T_CleanLeads[Sales_Rep_ID],A70)</f>
        <v>45</v>
      </c>
      <c r="F70" s="4">
        <f>COUNTIFS(T_CleanLeads[Sales_Rep_ID],A70,T_CleanLeads[Lead_Status],"Won")</f>
        <v>10</v>
      </c>
      <c r="G70" s="5">
        <f t="shared" si="6"/>
        <v>0.22222222222222221</v>
      </c>
      <c r="H70" s="4">
        <f>SUMIFS(T_CleanTxns[Revenue_Usable],T_CleanTxns[Rep_ID_via_Customer],A70)</f>
        <v>10119.210000000003</v>
      </c>
      <c r="I70" s="4">
        <f>IFERROR(INDEX(Sales_Reps!$F$4:$F$18,MATCH(A70,Sales_Reps!$A$4:$A$18,0))*12,0)</f>
        <v>1944000</v>
      </c>
      <c r="J70" s="5">
        <f t="shared" si="7"/>
        <v>5.205354938271606E-3</v>
      </c>
    </row>
    <row r="71" spans="1:10" ht="15" customHeight="1" x14ac:dyDescent="0.25">
      <c r="A71" s="9" t="s">
        <v>162</v>
      </c>
      <c r="B71" s="2" t="str">
        <f>IFERROR(INDEX(Sales_Reps!$B$4:$B$18,MATCH(A71,Sales_Reps!$A$4:$A$18,0)),"")</f>
        <v>Jan Dvorak</v>
      </c>
      <c r="C71" s="2" t="str">
        <f>IFERROR(INDEX(Sales_Reps!$C$4:$C$18,MATCH(A71,Sales_Reps!$A$4:$A$18,0)),"")</f>
        <v>Netherlands</v>
      </c>
      <c r="D71" s="2" t="str">
        <f>IFERROR(INDEX(Sales_Reps!$E$4:$E$18,MATCH(A71,Sales_Reps!$A$4:$A$18,0)),"")</f>
        <v>Mid-Market</v>
      </c>
      <c r="E71" s="4">
        <f>COUNTIFS(T_CleanLeads[Sales_Rep_ID],A71)</f>
        <v>61</v>
      </c>
      <c r="F71" s="4">
        <f>COUNTIFS(T_CleanLeads[Sales_Rep_ID],A71,T_CleanLeads[Lead_Status],"Won")</f>
        <v>14</v>
      </c>
      <c r="G71" s="5">
        <f t="shared" si="6"/>
        <v>0.22950819672131148</v>
      </c>
      <c r="H71" s="4">
        <f>SUMIFS(T_CleanTxns[Revenue_Usable],T_CleanTxns[Rep_ID_via_Customer],A71)</f>
        <v>26603.419999999995</v>
      </c>
      <c r="I71" s="4">
        <f>IFERROR(INDEX(Sales_Reps!$F$4:$F$18,MATCH(A71,Sales_Reps!$A$4:$A$18,0))*12,0)</f>
        <v>1620000</v>
      </c>
      <c r="J71" s="5">
        <f t="shared" si="7"/>
        <v>1.6421864197530861E-2</v>
      </c>
    </row>
    <row r="72" spans="1:10" ht="15" customHeight="1" x14ac:dyDescent="0.25">
      <c r="A72" s="9" t="s">
        <v>176</v>
      </c>
      <c r="B72" s="2" t="str">
        <f>IFERROR(INDEX(Sales_Reps!$B$4:$B$18,MATCH(A72,Sales_Reps!$A$4:$A$18,0)),"")</f>
        <v>Laura Martin</v>
      </c>
      <c r="C72" s="2" t="str">
        <f>IFERROR(INDEX(Sales_Reps!$C$4:$C$18,MATCH(A72,Sales_Reps!$A$4:$A$18,0)),"")</f>
        <v>Netherlands</v>
      </c>
      <c r="D72" s="2" t="str">
        <f>IFERROR(INDEX(Sales_Reps!$E$4:$E$18,MATCH(A72,Sales_Reps!$A$4:$A$18,0)),"")</f>
        <v>SME</v>
      </c>
      <c r="E72" s="4">
        <f>COUNTIFS(T_CleanLeads[Sales_Rep_ID],A72)</f>
        <v>57</v>
      </c>
      <c r="F72" s="4">
        <f>COUNTIFS(T_CleanLeads[Sales_Rep_ID],A72,T_CleanLeads[Lead_Status],"Won")</f>
        <v>16</v>
      </c>
      <c r="G72" s="5">
        <f t="shared" si="6"/>
        <v>0.2807017543859649</v>
      </c>
      <c r="H72" s="4">
        <f>SUMIFS(T_CleanTxns[Revenue_Usable],T_CleanTxns[Rep_ID_via_Customer],A72)</f>
        <v>26626.779999999995</v>
      </c>
      <c r="I72" s="4">
        <f>IFERROR(INDEX(Sales_Reps!$F$4:$F$18,MATCH(A72,Sales_Reps!$A$4:$A$18,0))*12,0)</f>
        <v>1458000</v>
      </c>
      <c r="J72" s="5">
        <f t="shared" si="7"/>
        <v>1.826253772290809E-2</v>
      </c>
    </row>
    <row r="73" spans="1:10" ht="15" customHeight="1" x14ac:dyDescent="0.25">
      <c r="A73" s="9" t="s">
        <v>251</v>
      </c>
      <c r="B73" s="2" t="str">
        <f>IFERROR(INDEX(Sales_Reps!$B$4:$B$18,MATCH(A73,Sales_Reps!$A$4:$A$18,0)),"")</f>
        <v>Peter Dubois</v>
      </c>
      <c r="C73" s="2" t="str">
        <f>IFERROR(INDEX(Sales_Reps!$C$4:$C$18,MATCH(A73,Sales_Reps!$A$4:$A$18,0)),"")</f>
        <v>Czech Republic</v>
      </c>
      <c r="D73" s="2" t="str">
        <f>IFERROR(INDEX(Sales_Reps!$E$4:$E$18,MATCH(A73,Sales_Reps!$A$4:$A$18,0)),"")</f>
        <v>Enterprise</v>
      </c>
      <c r="E73" s="4">
        <f>COUNTIFS(T_CleanLeads[Sales_Rep_ID],A73)</f>
        <v>29</v>
      </c>
      <c r="F73" s="4">
        <f>COUNTIFS(T_CleanLeads[Sales_Rep_ID],A73,T_CleanLeads[Lead_Status],"Won")</f>
        <v>7</v>
      </c>
      <c r="G73" s="5">
        <f t="shared" si="6"/>
        <v>0.2413793103448276</v>
      </c>
      <c r="H73" s="4">
        <f>SUMIFS(T_CleanTxns[Revenue_Usable],T_CleanTxns[Rep_ID_via_Customer],A73)</f>
        <v>21538.929999999993</v>
      </c>
      <c r="I73" s="4">
        <f>IFERROR(INDEX(Sales_Reps!$F$4:$F$18,MATCH(A73,Sales_Reps!$A$4:$A$18,0))*12,0)</f>
        <v>1944000</v>
      </c>
      <c r="J73" s="5">
        <f t="shared" si="7"/>
        <v>1.1079696502057609E-2</v>
      </c>
    </row>
    <row r="74" spans="1:10" ht="15" customHeight="1" x14ac:dyDescent="0.25">
      <c r="A74" s="9" t="s">
        <v>201</v>
      </c>
      <c r="B74" s="2" t="str">
        <f>IFERROR(INDEX(Sales_Reps!$B$4:$B$18,MATCH(A74,Sales_Reps!$A$4:$A$18,0)),"")</f>
        <v>Marta Wilson</v>
      </c>
      <c r="C74" s="2" t="str">
        <f>IFERROR(INDEX(Sales_Reps!$C$4:$C$18,MATCH(A74,Sales_Reps!$A$4:$A$18,0)),"")</f>
        <v>Czech Republic</v>
      </c>
      <c r="D74" s="2" t="str">
        <f>IFERROR(INDEX(Sales_Reps!$E$4:$E$18,MATCH(A74,Sales_Reps!$A$4:$A$18,0)),"")</f>
        <v>Mid-Market</v>
      </c>
      <c r="E74" s="4">
        <f>COUNTIFS(T_CleanLeads[Sales_Rep_ID],A74)</f>
        <v>48</v>
      </c>
      <c r="F74" s="4">
        <f>COUNTIFS(T_CleanLeads[Sales_Rep_ID],A74,T_CleanLeads[Lead_Status],"Won")</f>
        <v>8</v>
      </c>
      <c r="G74" s="5">
        <f t="shared" si="6"/>
        <v>0.16666666666666666</v>
      </c>
      <c r="H74" s="4">
        <f>SUMIFS(T_CleanTxns[Revenue_Usable],T_CleanTxns[Rep_ID_via_Customer],A74)</f>
        <v>29584.960000000006</v>
      </c>
      <c r="I74" s="4">
        <f>IFERROR(INDEX(Sales_Reps!$F$4:$F$18,MATCH(A74,Sales_Reps!$A$4:$A$18,0))*12,0)</f>
        <v>1620000</v>
      </c>
      <c r="J74" s="5">
        <f t="shared" si="7"/>
        <v>1.8262320987654325E-2</v>
      </c>
    </row>
    <row r="75" spans="1:10" ht="15" customHeight="1" x14ac:dyDescent="0.25">
      <c r="A75" s="9" t="s">
        <v>157</v>
      </c>
      <c r="B75" s="2" t="str">
        <f>IFERROR(INDEX(Sales_Reps!$B$4:$B$18,MATCH(A75,Sales_Reps!$A$4:$A$18,0)),"")</f>
        <v>Daniel Baker</v>
      </c>
      <c r="C75" s="2" t="str">
        <f>IFERROR(INDEX(Sales_Reps!$C$4:$C$18,MATCH(A75,Sales_Reps!$A$4:$A$18,0)),"")</f>
        <v>Czech Republic</v>
      </c>
      <c r="D75" s="2" t="str">
        <f>IFERROR(INDEX(Sales_Reps!$E$4:$E$18,MATCH(A75,Sales_Reps!$A$4:$A$18,0)),"")</f>
        <v>SME</v>
      </c>
      <c r="E75" s="4">
        <f>COUNTIFS(T_CleanLeads[Sales_Rep_ID],A75)</f>
        <v>38</v>
      </c>
      <c r="F75" s="4">
        <f>COUNTIFS(T_CleanLeads[Sales_Rep_ID],A75,T_CleanLeads[Lead_Status],"Won")</f>
        <v>13</v>
      </c>
      <c r="G75" s="5">
        <f t="shared" si="6"/>
        <v>0.34210526315789475</v>
      </c>
      <c r="H75" s="4">
        <f>SUMIFS(T_CleanTxns[Revenue_Usable],T_CleanTxns[Rep_ID_via_Customer],A75)</f>
        <v>20386.62</v>
      </c>
      <c r="I75" s="4">
        <f>IFERROR(INDEX(Sales_Reps!$F$4:$F$18,MATCH(A75,Sales_Reps!$A$4:$A$18,0))*12,0)</f>
        <v>1458000</v>
      </c>
      <c r="J75" s="5">
        <f t="shared" si="7"/>
        <v>1.3982592592592592E-2</v>
      </c>
    </row>
    <row r="76" spans="1:10" ht="15" customHeight="1" x14ac:dyDescent="0.25">
      <c r="A76" s="9" t="s">
        <v>207</v>
      </c>
      <c r="B76" s="2" t="str">
        <f>IFERROR(INDEX(Sales_Reps!$B$4:$B$18,MATCH(A76,Sales_Reps!$A$4:$A$18,0)),"")</f>
        <v>Eva Klein</v>
      </c>
      <c r="C76" s="2" t="str">
        <f>IFERROR(INDEX(Sales_Reps!$C$4:$C$18,MATCH(A76,Sales_Reps!$A$4:$A$18,0)),"")</f>
        <v>France</v>
      </c>
      <c r="D76" s="2" t="str">
        <f>IFERROR(INDEX(Sales_Reps!$E$4:$E$18,MATCH(A76,Sales_Reps!$A$4:$A$18,0)),"")</f>
        <v>Enterprise</v>
      </c>
      <c r="E76" s="4">
        <f>COUNTIFS(T_CleanLeads[Sales_Rep_ID],A76)</f>
        <v>54</v>
      </c>
      <c r="F76" s="4">
        <f>COUNTIFS(T_CleanLeads[Sales_Rep_ID],A76,T_CleanLeads[Lead_Status],"Won")</f>
        <v>9</v>
      </c>
      <c r="G76" s="5">
        <f t="shared" si="6"/>
        <v>0.16666666666666666</v>
      </c>
      <c r="H76" s="4">
        <f>SUMIFS(T_CleanTxns[Revenue_Usable],T_CleanTxns[Rep_ID_via_Customer],A76)</f>
        <v>4877.1000000000013</v>
      </c>
      <c r="I76" s="4">
        <f>IFERROR(INDEX(Sales_Reps!$F$4:$F$18,MATCH(A76,Sales_Reps!$A$4:$A$18,0))*12,0)</f>
        <v>1944000</v>
      </c>
      <c r="J76" s="5">
        <f t="shared" si="7"/>
        <v>2.5087962962962972E-3</v>
      </c>
    </row>
    <row r="77" spans="1:10" ht="15" customHeight="1" x14ac:dyDescent="0.25">
      <c r="A77" s="9" t="s">
        <v>210</v>
      </c>
      <c r="B77" s="2" t="str">
        <f>IFERROR(INDEX(Sales_Reps!$B$4:$B$18,MATCH(A77,Sales_Reps!$A$4:$A$18,0)),"")</f>
        <v>Martin Hoffmann</v>
      </c>
      <c r="C77" s="2" t="str">
        <f>IFERROR(INDEX(Sales_Reps!$C$4:$C$18,MATCH(A77,Sales_Reps!$A$4:$A$18,0)),"")</f>
        <v>France</v>
      </c>
      <c r="D77" s="2" t="str">
        <f>IFERROR(INDEX(Sales_Reps!$E$4:$E$18,MATCH(A77,Sales_Reps!$A$4:$A$18,0)),"")</f>
        <v>Mid-Market</v>
      </c>
      <c r="E77" s="4">
        <f>COUNTIFS(T_CleanLeads[Sales_Rep_ID],A77)</f>
        <v>60</v>
      </c>
      <c r="F77" s="4">
        <f>COUNTIFS(T_CleanLeads[Sales_Rep_ID],A77,T_CleanLeads[Lead_Status],"Won")</f>
        <v>13</v>
      </c>
      <c r="G77" s="5">
        <f t="shared" si="6"/>
        <v>0.21666666666666667</v>
      </c>
      <c r="H77" s="4">
        <f>SUMIFS(T_CleanTxns[Revenue_Usable],T_CleanTxns[Rep_ID_via_Customer],A77)</f>
        <v>61194.799999999981</v>
      </c>
      <c r="I77" s="4">
        <f>IFERROR(INDEX(Sales_Reps!$F$4:$F$18,MATCH(A77,Sales_Reps!$A$4:$A$18,0))*12,0)</f>
        <v>1620000</v>
      </c>
      <c r="J77" s="5">
        <f t="shared" si="7"/>
        <v>3.7774567901234554E-2</v>
      </c>
    </row>
    <row r="78" spans="1:10" ht="15" customHeight="1" x14ac:dyDescent="0.25">
      <c r="A78" s="9" t="s">
        <v>179</v>
      </c>
      <c r="B78" s="2" t="str">
        <f>IFERROR(INDEX(Sales_Reps!$B$4:$B$18,MATCH(A78,Sales_Reps!$A$4:$A$18,0)),"")</f>
        <v>Clara Vos</v>
      </c>
      <c r="C78" s="2" t="str">
        <f>IFERROR(INDEX(Sales_Reps!$C$4:$C$18,MATCH(A78,Sales_Reps!$A$4:$A$18,0)),"")</f>
        <v>France</v>
      </c>
      <c r="D78" s="2" t="str">
        <f>IFERROR(INDEX(Sales_Reps!$E$4:$E$18,MATCH(A78,Sales_Reps!$A$4:$A$18,0)),"")</f>
        <v>SME</v>
      </c>
      <c r="E78" s="4">
        <f>COUNTIFS(T_CleanLeads[Sales_Rep_ID],A78)</f>
        <v>65</v>
      </c>
      <c r="F78" s="4">
        <f>COUNTIFS(T_CleanLeads[Sales_Rep_ID],A78,T_CleanLeads[Lead_Status],"Won")</f>
        <v>17</v>
      </c>
      <c r="G78" s="5">
        <f t="shared" si="6"/>
        <v>0.26153846153846155</v>
      </c>
      <c r="H78" s="4">
        <f>SUMIFS(T_CleanTxns[Revenue_Usable],T_CleanTxns[Rep_ID_via_Customer],A78)</f>
        <v>56990.630000000005</v>
      </c>
      <c r="I78" s="4">
        <f>IFERROR(INDEX(Sales_Reps!$F$4:$F$18,MATCH(A78,Sales_Reps!$A$4:$A$18,0))*12,0)</f>
        <v>1458000</v>
      </c>
      <c r="J78" s="5">
        <f t="shared" si="7"/>
        <v>3.9088223593964341E-2</v>
      </c>
    </row>
    <row r="79" spans="1:10" ht="15" customHeight="1" x14ac:dyDescent="0.25">
      <c r="A79" s="9" t="s">
        <v>265</v>
      </c>
      <c r="B79" s="9" t="s">
        <v>2959</v>
      </c>
      <c r="E79" s="4">
        <f>COUNTIFS(T_CleanLeads[Sales_Rep_ID],A79)</f>
        <v>6</v>
      </c>
      <c r="F79" s="4">
        <f>COUNTIFS(T_CleanLeads[Sales_Rep_ID],A79,T_CleanLeads[Lead_Status],"Won")</f>
        <v>1</v>
      </c>
      <c r="G79" s="5">
        <f t="shared" si="6"/>
        <v>0.16666666666666666</v>
      </c>
      <c r="H79" s="4"/>
      <c r="I79" s="4"/>
      <c r="J79" s="5"/>
    </row>
  </sheetData>
  <mergeCells count="6">
    <mergeCell ref="A61:L61"/>
    <mergeCell ref="A4:J4"/>
    <mergeCell ref="A22:L22"/>
    <mergeCell ref="A32:L32"/>
    <mergeCell ref="A43:L43"/>
    <mergeCell ref="A52:L52"/>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79A9B-D1B3-42D3-849E-4020C6A22FBB}">
  <sheetPr>
    <pageSetUpPr fitToPage="1"/>
  </sheetPr>
  <dimension ref="A1:AG40"/>
  <sheetViews>
    <sheetView showGridLines="0" topLeftCell="A23" zoomScale="70" zoomScaleNormal="70" workbookViewId="0">
      <selection activeCell="L44" sqref="L44"/>
    </sheetView>
  </sheetViews>
  <sheetFormatPr defaultRowHeight="13.5" x14ac:dyDescent="0.25"/>
  <cols>
    <col min="1" max="30" width="8" style="21" customWidth="1"/>
    <col min="31" max="16384" width="9.140625" style="21"/>
  </cols>
  <sheetData>
    <row r="1" spans="1:33" ht="21.95" customHeight="1" x14ac:dyDescent="0.25">
      <c r="A1" s="37"/>
      <c r="B1" s="37"/>
      <c r="C1" s="37"/>
      <c r="D1" s="37"/>
      <c r="E1" s="37"/>
      <c r="F1" s="37"/>
      <c r="G1" s="37"/>
      <c r="H1" s="37"/>
      <c r="I1" s="37"/>
      <c r="J1" s="37"/>
      <c r="K1" s="37"/>
      <c r="L1" s="37"/>
      <c r="M1" s="37"/>
      <c r="N1" s="37"/>
      <c r="O1" s="37"/>
      <c r="P1" s="37"/>
      <c r="Q1" s="37"/>
      <c r="R1" s="37"/>
      <c r="S1" s="37"/>
      <c r="T1" s="37"/>
      <c r="U1" s="37"/>
      <c r="V1" s="37"/>
      <c r="W1" s="37"/>
      <c r="X1" s="37"/>
      <c r="Y1" s="39"/>
      <c r="Z1" s="39"/>
      <c r="AA1" s="39"/>
      <c r="AB1" s="39"/>
      <c r="AC1" s="39"/>
      <c r="AD1" s="39"/>
    </row>
    <row r="2" spans="1:33" ht="21.95" customHeight="1" x14ac:dyDescent="0.25">
      <c r="A2" s="37"/>
      <c r="B2" s="37"/>
      <c r="C2" s="37"/>
      <c r="D2" s="37"/>
      <c r="E2" s="37"/>
      <c r="F2" s="37"/>
      <c r="G2" s="37"/>
      <c r="H2" s="37"/>
      <c r="I2" s="37"/>
      <c r="J2" s="37"/>
      <c r="K2" s="37"/>
      <c r="L2" s="37"/>
      <c r="M2" s="37"/>
      <c r="N2" s="37"/>
      <c r="O2" s="37"/>
      <c r="P2" s="37"/>
      <c r="Q2" s="37"/>
      <c r="R2" s="37"/>
      <c r="S2" s="37"/>
      <c r="T2" s="37"/>
      <c r="U2" s="37"/>
      <c r="V2" s="37"/>
      <c r="W2" s="37"/>
      <c r="X2" s="37"/>
      <c r="Y2" s="39"/>
      <c r="Z2" s="39"/>
      <c r="AA2" s="39"/>
      <c r="AB2" s="39"/>
      <c r="AC2" s="39"/>
      <c r="AD2" s="39"/>
      <c r="AF2" s="22">
        <f>IFERROR(GETPIVOTDATA("Leads",Pivot!$V$3),0)</f>
        <v>1000</v>
      </c>
      <c r="AG2" s="21" t="s">
        <v>0</v>
      </c>
    </row>
    <row r="3" spans="1:33" ht="21.95" customHeight="1" x14ac:dyDescent="0.25">
      <c r="A3" s="37"/>
      <c r="B3" s="37"/>
      <c r="C3" s="37"/>
      <c r="D3" s="37"/>
      <c r="E3" s="37"/>
      <c r="F3" s="37"/>
      <c r="G3" s="37"/>
      <c r="H3" s="37"/>
      <c r="I3" s="37"/>
      <c r="J3" s="37"/>
      <c r="K3" s="37"/>
      <c r="L3" s="37"/>
      <c r="M3" s="37"/>
      <c r="N3" s="37"/>
      <c r="O3" s="37"/>
      <c r="P3" s="37"/>
      <c r="Q3" s="37"/>
      <c r="R3" s="37"/>
      <c r="S3" s="37"/>
      <c r="T3" s="37"/>
      <c r="U3" s="37"/>
      <c r="V3" s="37"/>
      <c r="W3" s="37"/>
      <c r="X3" s="37"/>
      <c r="Y3" s="39"/>
      <c r="Z3" s="39"/>
      <c r="AA3" s="39"/>
      <c r="AB3" s="39"/>
      <c r="AC3" s="39"/>
      <c r="AD3" s="39"/>
      <c r="AF3" s="30">
        <f>IFERROR(GETPIVOTDATA("Qualified",Pivot!$V$3)/GETPIVOTDATA("Leads",Pivot!$V$3),0)</f>
        <v>0.70199999999999996</v>
      </c>
      <c r="AG3" s="21" t="s">
        <v>3</v>
      </c>
    </row>
    <row r="4" spans="1:33" ht="18" customHeight="1" x14ac:dyDescent="0.25">
      <c r="A4" s="38"/>
      <c r="B4" s="38"/>
      <c r="C4" s="38"/>
      <c r="D4" s="38"/>
      <c r="E4" s="38"/>
      <c r="F4" s="38"/>
      <c r="G4" s="38"/>
      <c r="H4" s="38"/>
      <c r="I4" s="38"/>
      <c r="J4" s="38"/>
      <c r="K4" s="38"/>
      <c r="L4" s="38"/>
      <c r="M4" s="38"/>
      <c r="N4" s="38"/>
      <c r="O4" s="38"/>
      <c r="P4" s="38"/>
      <c r="Q4" s="38"/>
      <c r="R4" s="38"/>
      <c r="S4" s="38"/>
      <c r="T4" s="38"/>
      <c r="U4" s="38"/>
      <c r="V4" s="38"/>
      <c r="W4" s="38"/>
      <c r="X4" s="38"/>
      <c r="Y4" s="39"/>
      <c r="Z4" s="39"/>
      <c r="AA4" s="39"/>
      <c r="AB4" s="39"/>
      <c r="AC4" s="39"/>
      <c r="AD4" s="39"/>
      <c r="AF4" s="30">
        <f>IFERROR(GETPIVOTDATA("Opportunities",Pivot!$V$3)/GETPIVOTDATA("Qualified",Pivot!$V$3),0)</f>
        <v>0.75641025641025639</v>
      </c>
      <c r="AG4" s="21" t="s">
        <v>4</v>
      </c>
    </row>
    <row r="5" spans="1:33" ht="18" customHeight="1" x14ac:dyDescent="0.25">
      <c r="A5" s="38"/>
      <c r="B5" s="38"/>
      <c r="C5" s="38"/>
      <c r="D5" s="38"/>
      <c r="E5" s="38"/>
      <c r="F5" s="38"/>
      <c r="G5" s="38"/>
      <c r="H5" s="38"/>
      <c r="I5" s="38"/>
      <c r="J5" s="38"/>
      <c r="K5" s="38"/>
      <c r="L5" s="38"/>
      <c r="M5" s="38"/>
      <c r="N5" s="38"/>
      <c r="O5" s="38"/>
      <c r="P5" s="38"/>
      <c r="Q5" s="38"/>
      <c r="R5" s="38"/>
      <c r="S5" s="38"/>
      <c r="T5" s="38"/>
      <c r="U5" s="38"/>
      <c r="V5" s="38"/>
      <c r="W5" s="38"/>
      <c r="X5" s="38"/>
      <c r="Y5" s="39"/>
      <c r="Z5" s="39"/>
      <c r="AA5" s="39"/>
      <c r="AB5" s="39"/>
      <c r="AC5" s="39"/>
      <c r="AD5" s="39"/>
      <c r="AF5" s="30">
        <f>IFERROR(GETPIVOTDATA("Wins",Pivot!$V$3)/GETPIVOTDATA("Opportunities",Pivot!$V$3),0)</f>
        <v>0.4143126177024482</v>
      </c>
      <c r="AG5" s="21" t="s">
        <v>5</v>
      </c>
    </row>
    <row r="6" spans="1:33" ht="18" customHeight="1" x14ac:dyDescent="0.25">
      <c r="A6" s="38"/>
      <c r="B6" s="38"/>
      <c r="C6" s="38"/>
      <c r="D6" s="38"/>
      <c r="E6" s="38"/>
      <c r="F6" s="38"/>
      <c r="G6" s="38"/>
      <c r="H6" s="38"/>
      <c r="I6" s="38"/>
      <c r="J6" s="38"/>
      <c r="K6" s="38"/>
      <c r="L6" s="38"/>
      <c r="M6" s="38"/>
      <c r="N6" s="38"/>
      <c r="O6" s="38"/>
      <c r="P6" s="38"/>
      <c r="Q6" s="38"/>
      <c r="R6" s="38"/>
      <c r="S6" s="38"/>
      <c r="T6" s="38"/>
      <c r="U6" s="38"/>
      <c r="V6" s="38"/>
      <c r="W6" s="38"/>
      <c r="X6" s="38"/>
      <c r="Y6" s="39"/>
      <c r="Z6" s="39"/>
      <c r="AA6" s="39"/>
      <c r="AB6" s="39"/>
      <c r="AC6" s="39"/>
      <c r="AD6" s="39"/>
      <c r="AF6" s="30">
        <f>IFERROR(GETPIVOTDATA("Activated",Pivot!$V$30)/GETPIVOTDATA("Customers",Pivot!$V$30),0)</f>
        <v>0.79090909090909089</v>
      </c>
      <c r="AG6" s="21" t="s">
        <v>8</v>
      </c>
    </row>
    <row r="7" spans="1:33" ht="18" customHeight="1" x14ac:dyDescent="0.25">
      <c r="A7" s="38"/>
      <c r="B7" s="38"/>
      <c r="C7" s="38"/>
      <c r="D7" s="38"/>
      <c r="E7" s="38"/>
      <c r="F7" s="38"/>
      <c r="G7" s="38"/>
      <c r="H7" s="38"/>
      <c r="I7" s="38"/>
      <c r="J7" s="38"/>
      <c r="K7" s="38"/>
      <c r="L7" s="38"/>
      <c r="M7" s="38"/>
      <c r="N7" s="38"/>
      <c r="O7" s="38"/>
      <c r="P7" s="38"/>
      <c r="Q7" s="38"/>
      <c r="R7" s="38"/>
      <c r="S7" s="38"/>
      <c r="T7" s="38"/>
      <c r="U7" s="38"/>
      <c r="V7" s="38"/>
      <c r="W7" s="38"/>
      <c r="X7" s="38"/>
      <c r="Y7" s="39"/>
      <c r="Z7" s="39"/>
      <c r="AA7" s="39"/>
      <c r="AB7" s="39"/>
      <c r="AC7" s="39"/>
      <c r="AD7" s="39"/>
      <c r="AF7" s="27">
        <f>IFERROR(GETPIVOTDATA("AvgDays",Pivot!$V$30),0)</f>
        <v>25.058479532163744</v>
      </c>
      <c r="AG7" s="21" t="s">
        <v>9</v>
      </c>
    </row>
    <row r="8" spans="1:33" ht="18" customHeight="1" x14ac:dyDescent="0.25">
      <c r="A8" s="38"/>
      <c r="B8" s="38"/>
      <c r="C8" s="38"/>
      <c r="D8" s="38"/>
      <c r="E8" s="38"/>
      <c r="F8" s="38"/>
      <c r="G8" s="38"/>
      <c r="H8" s="38"/>
      <c r="I8" s="38"/>
      <c r="J8" s="38"/>
      <c r="K8" s="38"/>
      <c r="L8" s="38"/>
      <c r="M8" s="38"/>
      <c r="N8" s="38"/>
      <c r="O8" s="38"/>
      <c r="P8" s="38"/>
      <c r="Q8" s="38"/>
      <c r="R8" s="38"/>
      <c r="S8" s="38"/>
      <c r="T8" s="38"/>
      <c r="U8" s="38"/>
      <c r="V8" s="38"/>
      <c r="W8" s="38"/>
      <c r="X8" s="38"/>
      <c r="Y8" s="39"/>
      <c r="Z8" s="39"/>
      <c r="AA8" s="39"/>
      <c r="AB8" s="39"/>
      <c r="AC8" s="39"/>
      <c r="AD8" s="39"/>
      <c r="AF8" s="25">
        <f>IFERROR(GETPIVOTDATA("Revenue",Pivot!$K$56),0)</f>
        <v>507744.95</v>
      </c>
      <c r="AG8" s="21" t="s">
        <v>10</v>
      </c>
    </row>
    <row r="9" spans="1:33" ht="18" customHeight="1" x14ac:dyDescent="0.25">
      <c r="A9" s="38"/>
      <c r="B9" s="38"/>
      <c r="C9" s="38"/>
      <c r="D9" s="38"/>
      <c r="E9" s="38"/>
      <c r="F9" s="38"/>
      <c r="G9" s="38"/>
      <c r="H9" s="38"/>
      <c r="I9" s="38"/>
      <c r="J9" s="38"/>
      <c r="K9" s="38"/>
      <c r="L9" s="38"/>
      <c r="M9" s="38"/>
      <c r="N9" s="38"/>
      <c r="O9" s="38"/>
      <c r="P9" s="38"/>
      <c r="Q9" s="38"/>
      <c r="R9" s="38"/>
      <c r="S9" s="38"/>
      <c r="T9" s="38"/>
      <c r="U9" s="38"/>
      <c r="V9" s="38"/>
      <c r="W9" s="38"/>
      <c r="X9" s="38"/>
      <c r="Y9" s="39"/>
      <c r="Z9" s="39"/>
      <c r="AA9" s="39"/>
      <c r="AB9" s="39"/>
      <c r="AC9" s="39"/>
      <c r="AD9" s="39"/>
      <c r="AF9" s="30">
        <f>IFERROR($AF$8/SUM(TargetsTable[Revenue_Target_EUR]),0)</f>
        <v>3.5385882443131136E-2</v>
      </c>
      <c r="AG9" s="21" t="s">
        <v>12</v>
      </c>
    </row>
    <row r="10" spans="1:33" ht="18" customHeight="1" x14ac:dyDescent="0.25">
      <c r="A10" s="38"/>
      <c r="B10" s="38"/>
      <c r="C10" s="38"/>
      <c r="D10" s="38"/>
      <c r="E10" s="38"/>
      <c r="F10" s="38"/>
      <c r="G10" s="38"/>
      <c r="H10" s="38"/>
      <c r="I10" s="38"/>
      <c r="J10" s="38"/>
      <c r="K10" s="38"/>
      <c r="L10" s="38"/>
      <c r="M10" s="38"/>
      <c r="N10" s="38"/>
      <c r="O10" s="38"/>
      <c r="P10" s="38"/>
      <c r="Q10" s="38"/>
      <c r="R10" s="38"/>
      <c r="S10" s="38"/>
      <c r="T10" s="38"/>
      <c r="U10" s="38"/>
      <c r="V10" s="38"/>
      <c r="W10" s="38"/>
      <c r="X10" s="38"/>
      <c r="Y10" s="39"/>
      <c r="Z10" s="39"/>
      <c r="AA10" s="39"/>
      <c r="AB10" s="39"/>
      <c r="AC10" s="39"/>
      <c r="AD10" s="39"/>
      <c r="AF10" s="30">
        <f>IFERROR(GETPIVOTDATA("Churned",Pivot!$V$30)/GETPIVOTDATA("Activated",Pivot!$V$30),0)</f>
        <v>7.4712643678160925E-2</v>
      </c>
      <c r="AG10" s="21" t="s">
        <v>13</v>
      </c>
    </row>
    <row r="11" spans="1:33" ht="18" customHeight="1" x14ac:dyDescent="0.25">
      <c r="A11" s="38"/>
      <c r="B11" s="38"/>
      <c r="C11" s="38"/>
      <c r="D11" s="38"/>
      <c r="E11" s="38"/>
      <c r="F11" s="38"/>
      <c r="G11" s="38"/>
      <c r="H11" s="38"/>
      <c r="I11" s="38"/>
      <c r="J11" s="38"/>
      <c r="K11" s="38"/>
      <c r="L11" s="38"/>
      <c r="M11" s="38"/>
      <c r="N11" s="38"/>
      <c r="O11" s="38"/>
      <c r="P11" s="38"/>
      <c r="Q11" s="38"/>
      <c r="R11" s="38"/>
      <c r="S11" s="38"/>
      <c r="T11" s="38"/>
      <c r="U11" s="38"/>
      <c r="V11" s="38"/>
      <c r="W11" s="38"/>
      <c r="X11" s="38"/>
      <c r="Y11" s="39"/>
      <c r="Z11" s="39"/>
      <c r="AA11" s="39"/>
      <c r="AB11" s="39"/>
      <c r="AC11" s="39"/>
      <c r="AD11" s="39"/>
      <c r="AF11" s="22">
        <f>COUNTA(#REF!)</f>
        <v>1</v>
      </c>
      <c r="AG11" s="21" t="s">
        <v>3019</v>
      </c>
    </row>
    <row r="12" spans="1:33" ht="18" customHeight="1" x14ac:dyDescent="0.25">
      <c r="A12" s="38"/>
      <c r="B12" s="38"/>
      <c r="C12" s="38"/>
      <c r="D12" s="38"/>
      <c r="E12" s="38"/>
      <c r="F12" s="38"/>
      <c r="G12" s="38"/>
      <c r="H12" s="38"/>
      <c r="I12" s="38"/>
      <c r="J12" s="38"/>
      <c r="K12" s="38"/>
      <c r="L12" s="38"/>
      <c r="M12" s="38"/>
      <c r="N12" s="38"/>
      <c r="O12" s="38"/>
      <c r="P12" s="38"/>
      <c r="Q12" s="38"/>
      <c r="R12" s="38"/>
      <c r="S12" s="38"/>
      <c r="T12" s="38"/>
      <c r="U12" s="38"/>
      <c r="V12" s="38"/>
      <c r="W12" s="38"/>
      <c r="X12" s="38"/>
      <c r="Y12" s="39"/>
      <c r="Z12" s="39"/>
      <c r="AA12" s="39"/>
      <c r="AB12" s="39"/>
      <c r="AC12" s="39"/>
      <c r="AD12" s="39"/>
    </row>
    <row r="13" spans="1:33" ht="18" customHeight="1" x14ac:dyDescent="0.25">
      <c r="A13" s="37"/>
      <c r="B13" s="37"/>
      <c r="C13" s="37"/>
      <c r="D13" s="37"/>
      <c r="E13" s="37"/>
      <c r="F13" s="37"/>
      <c r="G13" s="37"/>
      <c r="H13" s="37"/>
      <c r="I13" s="37"/>
      <c r="J13" s="37"/>
      <c r="K13" s="37"/>
      <c r="L13" s="37"/>
      <c r="M13" s="37"/>
      <c r="N13" s="37"/>
      <c r="O13" s="37"/>
      <c r="P13" s="37"/>
      <c r="Q13" s="37"/>
      <c r="R13" s="37"/>
      <c r="S13" s="37"/>
      <c r="T13" s="37"/>
      <c r="U13" s="37"/>
      <c r="V13" s="37"/>
      <c r="W13" s="37"/>
      <c r="X13" s="37"/>
      <c r="Y13" s="39"/>
      <c r="Z13" s="39"/>
      <c r="AA13" s="39"/>
      <c r="AB13" s="39"/>
      <c r="AC13" s="39"/>
      <c r="AD13" s="39"/>
    </row>
    <row r="14" spans="1:33" ht="18" customHeight="1" x14ac:dyDescent="0.25">
      <c r="A14" s="37"/>
      <c r="B14" s="37"/>
      <c r="C14" s="37"/>
      <c r="D14" s="37"/>
      <c r="E14" s="37"/>
      <c r="F14" s="37"/>
      <c r="G14" s="37"/>
      <c r="H14" s="37"/>
      <c r="I14" s="37"/>
      <c r="J14" s="37"/>
      <c r="K14" s="37"/>
      <c r="L14" s="37"/>
      <c r="M14" s="37"/>
      <c r="N14" s="37"/>
      <c r="O14" s="37"/>
      <c r="P14" s="37"/>
      <c r="Q14" s="37"/>
      <c r="R14" s="37"/>
      <c r="S14" s="37"/>
      <c r="T14" s="37"/>
      <c r="U14" s="37"/>
      <c r="V14" s="37"/>
      <c r="W14" s="37"/>
      <c r="X14" s="37"/>
      <c r="Y14" s="39"/>
      <c r="Z14" s="39"/>
      <c r="AA14" s="39"/>
      <c r="AB14" s="39"/>
      <c r="AC14" s="39"/>
      <c r="AD14" s="39"/>
    </row>
    <row r="15" spans="1:33" ht="18" customHeight="1" x14ac:dyDescent="0.25">
      <c r="A15" s="37"/>
      <c r="B15" s="37"/>
      <c r="C15" s="37"/>
      <c r="D15" s="37"/>
      <c r="E15" s="37"/>
      <c r="F15" s="37"/>
      <c r="G15" s="37"/>
      <c r="H15" s="37"/>
      <c r="I15" s="37"/>
      <c r="J15" s="37"/>
      <c r="K15" s="37"/>
      <c r="L15" s="37"/>
      <c r="M15" s="37"/>
      <c r="N15" s="37"/>
      <c r="O15" s="37"/>
      <c r="P15" s="37"/>
      <c r="Q15" s="37"/>
      <c r="R15" s="37"/>
      <c r="S15" s="37"/>
      <c r="T15" s="37"/>
      <c r="U15" s="37"/>
      <c r="V15" s="37"/>
      <c r="W15" s="37"/>
      <c r="X15" s="37"/>
      <c r="Y15" s="39"/>
      <c r="Z15" s="39"/>
      <c r="AA15" s="39"/>
      <c r="AB15" s="39"/>
      <c r="AC15" s="39"/>
      <c r="AD15" s="39"/>
    </row>
    <row r="16" spans="1:33" ht="18" customHeight="1" x14ac:dyDescent="0.25">
      <c r="A16" s="37"/>
      <c r="B16" s="37"/>
      <c r="C16" s="37"/>
      <c r="D16" s="37"/>
      <c r="E16" s="37"/>
      <c r="F16" s="37"/>
      <c r="G16" s="37"/>
      <c r="H16" s="37"/>
      <c r="I16" s="37"/>
      <c r="J16" s="37"/>
      <c r="K16" s="37"/>
      <c r="L16" s="37"/>
      <c r="M16" s="37"/>
      <c r="N16" s="37"/>
      <c r="O16" s="37"/>
      <c r="P16" s="37"/>
      <c r="Q16" s="37"/>
      <c r="R16" s="37"/>
      <c r="S16" s="37"/>
      <c r="T16" s="37"/>
      <c r="U16" s="37"/>
      <c r="V16" s="37"/>
      <c r="W16" s="37"/>
      <c r="X16" s="37"/>
      <c r="Y16" s="39"/>
      <c r="Z16" s="39"/>
      <c r="AA16" s="39"/>
      <c r="AB16" s="39"/>
      <c r="AC16" s="39"/>
      <c r="AD16" s="39"/>
    </row>
    <row r="17" spans="1:30" ht="18" customHeight="1" x14ac:dyDescent="0.25">
      <c r="A17" s="37"/>
      <c r="B17" s="37"/>
      <c r="C17" s="37"/>
      <c r="D17" s="37"/>
      <c r="E17" s="37"/>
      <c r="F17" s="37"/>
      <c r="G17" s="37"/>
      <c r="H17" s="37"/>
      <c r="I17" s="37"/>
      <c r="J17" s="37"/>
      <c r="K17" s="37"/>
      <c r="L17" s="37"/>
      <c r="M17" s="37"/>
      <c r="N17" s="37"/>
      <c r="O17" s="37"/>
      <c r="P17" s="37"/>
      <c r="Q17" s="37"/>
      <c r="R17" s="37"/>
      <c r="S17" s="37"/>
      <c r="T17" s="37"/>
      <c r="U17" s="37"/>
      <c r="V17" s="37"/>
      <c r="W17" s="37"/>
      <c r="X17" s="37"/>
      <c r="Y17" s="39"/>
      <c r="Z17" s="39"/>
      <c r="AA17" s="39"/>
      <c r="AB17" s="39"/>
      <c r="AC17" s="39"/>
      <c r="AD17" s="39"/>
    </row>
    <row r="18" spans="1:30" ht="18" customHeight="1" x14ac:dyDescent="0.25">
      <c r="A18" s="37"/>
      <c r="B18" s="37"/>
      <c r="C18" s="37"/>
      <c r="D18" s="37"/>
      <c r="E18" s="37"/>
      <c r="F18" s="37"/>
      <c r="G18" s="37"/>
      <c r="H18" s="37"/>
      <c r="I18" s="37"/>
      <c r="J18" s="37"/>
      <c r="K18" s="37"/>
      <c r="L18" s="37"/>
      <c r="M18" s="37"/>
      <c r="N18" s="37"/>
      <c r="O18" s="37"/>
      <c r="P18" s="37"/>
      <c r="Q18" s="37"/>
      <c r="R18" s="37"/>
      <c r="S18" s="37"/>
      <c r="T18" s="37"/>
      <c r="U18" s="37"/>
      <c r="V18" s="37"/>
      <c r="W18" s="37"/>
      <c r="X18" s="37"/>
      <c r="Y18" s="39"/>
      <c r="Z18" s="39"/>
      <c r="AA18" s="39"/>
      <c r="AB18" s="39"/>
      <c r="AC18" s="39"/>
      <c r="AD18" s="39"/>
    </row>
    <row r="19" spans="1:30" ht="18" customHeight="1" x14ac:dyDescent="0.25">
      <c r="A19" s="37"/>
      <c r="B19" s="37"/>
      <c r="C19" s="37"/>
      <c r="D19" s="37"/>
      <c r="E19" s="37"/>
      <c r="F19" s="37"/>
      <c r="G19" s="37"/>
      <c r="H19" s="37"/>
      <c r="I19" s="37"/>
      <c r="J19" s="37"/>
      <c r="K19" s="37"/>
      <c r="L19" s="37"/>
      <c r="M19" s="37"/>
      <c r="N19" s="37"/>
      <c r="O19" s="37"/>
      <c r="P19" s="37"/>
      <c r="Q19" s="37"/>
      <c r="R19" s="37"/>
      <c r="S19" s="37"/>
      <c r="T19" s="37"/>
      <c r="U19" s="37"/>
      <c r="V19" s="37"/>
      <c r="W19" s="37"/>
      <c r="X19" s="37"/>
      <c r="Y19" s="39"/>
      <c r="Z19" s="39"/>
      <c r="AA19" s="39"/>
      <c r="AB19" s="39"/>
      <c r="AC19" s="39"/>
      <c r="AD19" s="39"/>
    </row>
    <row r="20" spans="1:30" ht="18" customHeight="1" x14ac:dyDescent="0.25">
      <c r="A20" s="37"/>
      <c r="B20" s="37"/>
      <c r="C20" s="37"/>
      <c r="D20" s="37"/>
      <c r="E20" s="37"/>
      <c r="F20" s="37"/>
      <c r="G20" s="37"/>
      <c r="H20" s="37"/>
      <c r="I20" s="37"/>
      <c r="J20" s="37"/>
      <c r="K20" s="37"/>
      <c r="L20" s="37"/>
      <c r="M20" s="37"/>
      <c r="N20" s="37"/>
      <c r="O20" s="37"/>
      <c r="P20" s="37"/>
      <c r="Q20" s="37"/>
      <c r="R20" s="37"/>
      <c r="S20" s="37"/>
      <c r="T20" s="37"/>
      <c r="U20" s="37"/>
      <c r="V20" s="37"/>
      <c r="W20" s="37"/>
      <c r="X20" s="37"/>
      <c r="Y20" s="39"/>
      <c r="Z20" s="39"/>
      <c r="AA20" s="39"/>
      <c r="AB20" s="39"/>
      <c r="AC20" s="39"/>
      <c r="AD20" s="39"/>
    </row>
    <row r="21" spans="1:30" ht="18" customHeight="1" x14ac:dyDescent="0.25">
      <c r="A21" s="37"/>
      <c r="B21" s="37"/>
      <c r="C21" s="37"/>
      <c r="D21" s="37"/>
      <c r="E21" s="37"/>
      <c r="F21" s="37"/>
      <c r="G21" s="37"/>
      <c r="H21" s="37"/>
      <c r="I21" s="37"/>
      <c r="J21" s="37"/>
      <c r="K21" s="37"/>
      <c r="L21" s="37"/>
      <c r="M21" s="37"/>
      <c r="N21" s="37"/>
      <c r="O21" s="37"/>
      <c r="P21" s="37"/>
      <c r="Q21" s="37"/>
      <c r="R21" s="37"/>
      <c r="S21" s="37"/>
      <c r="T21" s="37"/>
      <c r="U21" s="37"/>
      <c r="V21" s="37"/>
      <c r="W21" s="37"/>
      <c r="X21" s="37"/>
      <c r="Y21" s="39"/>
      <c r="Z21" s="39"/>
      <c r="AA21" s="39"/>
      <c r="AB21" s="39"/>
      <c r="AC21" s="39"/>
      <c r="AD21" s="39"/>
    </row>
    <row r="22" spans="1:30" ht="18" customHeight="1" x14ac:dyDescent="0.25">
      <c r="A22" s="37"/>
      <c r="B22" s="37"/>
      <c r="C22" s="37"/>
      <c r="D22" s="37"/>
      <c r="E22" s="37"/>
      <c r="F22" s="37"/>
      <c r="G22" s="37"/>
      <c r="H22" s="37"/>
      <c r="I22" s="37"/>
      <c r="J22" s="37"/>
      <c r="K22" s="37"/>
      <c r="L22" s="37"/>
      <c r="M22" s="37"/>
      <c r="N22" s="37"/>
      <c r="O22" s="37"/>
      <c r="P22" s="37"/>
      <c r="Q22" s="37"/>
      <c r="R22" s="37"/>
      <c r="S22" s="37"/>
      <c r="T22" s="37"/>
      <c r="U22" s="37"/>
      <c r="V22" s="37"/>
      <c r="W22" s="37"/>
      <c r="X22" s="37"/>
      <c r="Y22" s="39"/>
      <c r="Z22" s="39"/>
      <c r="AA22" s="39"/>
      <c r="AB22" s="39"/>
      <c r="AC22" s="39"/>
      <c r="AD22" s="39"/>
    </row>
    <row r="23" spans="1:30" ht="18" customHeight="1" x14ac:dyDescent="0.25">
      <c r="A23" s="37"/>
      <c r="B23" s="37"/>
      <c r="C23" s="37"/>
      <c r="D23" s="37"/>
      <c r="E23" s="37"/>
      <c r="F23" s="37"/>
      <c r="G23" s="37"/>
      <c r="H23" s="37"/>
      <c r="I23" s="37"/>
      <c r="J23" s="37"/>
      <c r="K23" s="37"/>
      <c r="L23" s="37"/>
      <c r="M23" s="37"/>
      <c r="N23" s="37"/>
      <c r="O23" s="37"/>
      <c r="P23" s="37"/>
      <c r="Q23" s="37"/>
      <c r="R23" s="37"/>
      <c r="S23" s="37"/>
      <c r="T23" s="37"/>
      <c r="U23" s="37"/>
      <c r="V23" s="37"/>
      <c r="W23" s="37"/>
      <c r="X23" s="37"/>
      <c r="Y23" s="39"/>
      <c r="Z23" s="39"/>
      <c r="AA23" s="39"/>
      <c r="AB23" s="39"/>
      <c r="AC23" s="39"/>
      <c r="AD23" s="39"/>
    </row>
    <row r="24" spans="1:30" ht="18" customHeight="1" x14ac:dyDescent="0.25">
      <c r="A24" s="37"/>
      <c r="B24" s="37"/>
      <c r="C24" s="37"/>
      <c r="D24" s="37"/>
      <c r="E24" s="37"/>
      <c r="F24" s="37"/>
      <c r="G24" s="37"/>
      <c r="H24" s="37"/>
      <c r="I24" s="37"/>
      <c r="J24" s="37"/>
      <c r="K24" s="37"/>
      <c r="L24" s="37"/>
      <c r="M24" s="37"/>
      <c r="N24" s="37"/>
      <c r="O24" s="37"/>
      <c r="P24" s="37"/>
      <c r="Q24" s="37"/>
      <c r="R24" s="37"/>
      <c r="S24" s="37"/>
      <c r="T24" s="37"/>
      <c r="U24" s="37"/>
      <c r="V24" s="37"/>
      <c r="W24" s="37"/>
      <c r="X24" s="37"/>
      <c r="Y24" s="39"/>
      <c r="Z24" s="39"/>
      <c r="AA24" s="39"/>
      <c r="AB24" s="39"/>
      <c r="AC24" s="39"/>
      <c r="AD24" s="39"/>
    </row>
    <row r="25" spans="1:30" ht="18" customHeight="1" x14ac:dyDescent="0.25">
      <c r="A25" s="37"/>
      <c r="B25" s="37"/>
      <c r="C25" s="37"/>
      <c r="D25" s="37"/>
      <c r="E25" s="37"/>
      <c r="F25" s="37"/>
      <c r="G25" s="37"/>
      <c r="H25" s="37"/>
      <c r="I25" s="37"/>
      <c r="J25" s="37"/>
      <c r="K25" s="37"/>
      <c r="L25" s="37"/>
      <c r="M25" s="37"/>
      <c r="N25" s="37"/>
      <c r="O25" s="37"/>
      <c r="P25" s="37"/>
      <c r="Q25" s="37"/>
      <c r="R25" s="37"/>
      <c r="S25" s="37"/>
      <c r="T25" s="37"/>
      <c r="U25" s="37"/>
      <c r="V25" s="37"/>
      <c r="W25" s="37"/>
      <c r="X25" s="37"/>
      <c r="Y25" s="39"/>
      <c r="Z25" s="39"/>
      <c r="AA25" s="39"/>
      <c r="AB25" s="39"/>
      <c r="AC25" s="39"/>
      <c r="AD25" s="39"/>
    </row>
    <row r="26" spans="1:30" ht="18" customHeight="1" x14ac:dyDescent="0.25">
      <c r="A26" s="37"/>
      <c r="B26" s="37"/>
      <c r="C26" s="37"/>
      <c r="D26" s="37"/>
      <c r="E26" s="37"/>
      <c r="F26" s="37"/>
      <c r="G26" s="37"/>
      <c r="H26" s="37"/>
      <c r="I26" s="37"/>
      <c r="J26" s="37"/>
      <c r="K26" s="37"/>
      <c r="L26" s="37"/>
      <c r="M26" s="37"/>
      <c r="N26" s="37"/>
      <c r="O26" s="37"/>
      <c r="P26" s="37"/>
      <c r="Q26" s="37"/>
      <c r="R26" s="37"/>
      <c r="S26" s="37"/>
      <c r="T26" s="37"/>
      <c r="U26" s="37"/>
      <c r="V26" s="37"/>
      <c r="W26" s="37"/>
      <c r="X26" s="37"/>
      <c r="Y26" s="39"/>
      <c r="Z26" s="39"/>
      <c r="AA26" s="39"/>
      <c r="AB26" s="39"/>
      <c r="AC26" s="39"/>
      <c r="AD26" s="39"/>
    </row>
    <row r="27" spans="1:30" ht="18" customHeight="1" x14ac:dyDescent="0.25">
      <c r="A27" s="37"/>
      <c r="B27" s="37"/>
      <c r="C27" s="37"/>
      <c r="D27" s="37"/>
      <c r="E27" s="37"/>
      <c r="F27" s="37"/>
      <c r="G27" s="37"/>
      <c r="H27" s="37"/>
      <c r="I27" s="37"/>
      <c r="J27" s="37"/>
      <c r="K27" s="37"/>
      <c r="L27" s="37"/>
      <c r="M27" s="37"/>
      <c r="N27" s="37"/>
      <c r="O27" s="37"/>
      <c r="P27" s="37"/>
      <c r="Q27" s="37"/>
      <c r="R27" s="37"/>
      <c r="S27" s="37"/>
      <c r="T27" s="37"/>
      <c r="U27" s="37"/>
      <c r="V27" s="37"/>
      <c r="W27" s="37"/>
      <c r="X27" s="37"/>
      <c r="Y27" s="39"/>
      <c r="Z27" s="39"/>
      <c r="AA27" s="39"/>
      <c r="AB27" s="39"/>
      <c r="AC27" s="39"/>
      <c r="AD27" s="39"/>
    </row>
    <row r="28" spans="1:30" ht="18" customHeight="1" x14ac:dyDescent="0.25">
      <c r="A28" s="37"/>
      <c r="B28" s="37"/>
      <c r="C28" s="37"/>
      <c r="D28" s="37"/>
      <c r="E28" s="37"/>
      <c r="F28" s="37"/>
      <c r="G28" s="37"/>
      <c r="H28" s="37"/>
      <c r="I28" s="37"/>
      <c r="J28" s="37"/>
      <c r="K28" s="37"/>
      <c r="L28" s="37"/>
      <c r="M28" s="37"/>
      <c r="N28" s="37"/>
      <c r="O28" s="37"/>
      <c r="P28" s="37"/>
      <c r="Q28" s="37"/>
      <c r="R28" s="37"/>
      <c r="S28" s="37"/>
      <c r="T28" s="37"/>
      <c r="U28" s="37"/>
      <c r="V28" s="37"/>
      <c r="W28" s="37"/>
      <c r="X28" s="37"/>
      <c r="Y28" s="39"/>
      <c r="Z28" s="39"/>
      <c r="AA28" s="39"/>
      <c r="AB28" s="39"/>
      <c r="AC28" s="39"/>
      <c r="AD28" s="39"/>
    </row>
    <row r="29" spans="1:30" ht="18" customHeight="1" x14ac:dyDescent="0.25">
      <c r="A29" s="37"/>
      <c r="B29" s="37"/>
      <c r="C29" s="37"/>
      <c r="D29" s="37"/>
      <c r="E29" s="37"/>
      <c r="F29" s="37"/>
      <c r="G29" s="37"/>
      <c r="H29" s="37"/>
      <c r="I29" s="37"/>
      <c r="J29" s="37"/>
      <c r="K29" s="37"/>
      <c r="L29" s="37"/>
      <c r="M29" s="37"/>
      <c r="N29" s="37"/>
      <c r="O29" s="37"/>
      <c r="P29" s="37"/>
      <c r="Q29" s="37"/>
      <c r="R29" s="37"/>
      <c r="S29" s="37"/>
      <c r="T29" s="37"/>
      <c r="U29" s="37"/>
      <c r="V29" s="37"/>
      <c r="W29" s="37"/>
      <c r="X29" s="37"/>
      <c r="Y29" s="39"/>
      <c r="Z29" s="39"/>
      <c r="AA29" s="39"/>
      <c r="AB29" s="39"/>
      <c r="AC29" s="39"/>
      <c r="AD29" s="39"/>
    </row>
    <row r="30" spans="1:30" ht="18" customHeight="1" x14ac:dyDescent="0.25">
      <c r="A30" s="37"/>
      <c r="B30" s="37"/>
      <c r="C30" s="37"/>
      <c r="D30" s="37"/>
      <c r="E30" s="37"/>
      <c r="F30" s="37"/>
      <c r="G30" s="37"/>
      <c r="H30" s="37"/>
      <c r="I30" s="37"/>
      <c r="J30" s="37"/>
      <c r="K30" s="37"/>
      <c r="L30" s="37"/>
      <c r="M30" s="37"/>
      <c r="N30" s="37"/>
      <c r="O30" s="37"/>
      <c r="P30" s="37"/>
      <c r="Q30" s="37"/>
      <c r="R30" s="37"/>
      <c r="S30" s="37"/>
      <c r="T30" s="37"/>
      <c r="U30" s="37"/>
      <c r="V30" s="37"/>
      <c r="W30" s="37"/>
      <c r="X30" s="37"/>
      <c r="Y30" s="39"/>
      <c r="Z30" s="39"/>
      <c r="AA30" s="39"/>
      <c r="AB30" s="39"/>
      <c r="AC30" s="39"/>
      <c r="AD30" s="39"/>
    </row>
    <row r="31" spans="1:30" ht="18" customHeight="1" x14ac:dyDescent="0.25">
      <c r="A31" s="37"/>
      <c r="B31" s="37"/>
      <c r="C31" s="37"/>
      <c r="D31" s="37"/>
      <c r="E31" s="37"/>
      <c r="F31" s="37"/>
      <c r="G31" s="37"/>
      <c r="H31" s="37"/>
      <c r="I31" s="37"/>
      <c r="J31" s="37"/>
      <c r="K31" s="37"/>
      <c r="L31" s="37"/>
      <c r="M31" s="37"/>
      <c r="N31" s="37"/>
      <c r="O31" s="37"/>
      <c r="P31" s="37"/>
      <c r="Q31" s="37"/>
      <c r="R31" s="37"/>
      <c r="S31" s="37"/>
      <c r="T31" s="37"/>
      <c r="U31" s="37"/>
      <c r="V31" s="37"/>
      <c r="W31" s="37"/>
      <c r="X31" s="37"/>
      <c r="Y31" s="39"/>
      <c r="Z31" s="39"/>
      <c r="AA31" s="39"/>
      <c r="AB31" s="39"/>
      <c r="AC31" s="39"/>
      <c r="AD31" s="39"/>
    </row>
    <row r="32" spans="1:30" ht="18" customHeight="1" x14ac:dyDescent="0.25">
      <c r="A32" s="37"/>
      <c r="B32" s="37"/>
      <c r="C32" s="37"/>
      <c r="D32" s="37"/>
      <c r="E32" s="37"/>
      <c r="F32" s="37"/>
      <c r="G32" s="37"/>
      <c r="H32" s="37"/>
      <c r="I32" s="37"/>
      <c r="J32" s="37"/>
      <c r="K32" s="37"/>
      <c r="L32" s="37"/>
      <c r="M32" s="37"/>
      <c r="N32" s="37"/>
      <c r="O32" s="37"/>
      <c r="P32" s="37"/>
      <c r="Q32" s="37"/>
      <c r="R32" s="37"/>
      <c r="S32" s="37"/>
      <c r="T32" s="37"/>
      <c r="U32" s="37"/>
      <c r="V32" s="37"/>
      <c r="W32" s="37"/>
      <c r="X32" s="37"/>
      <c r="Y32" s="39"/>
      <c r="Z32" s="39"/>
      <c r="AA32" s="39"/>
      <c r="AB32" s="39"/>
      <c r="AC32" s="39"/>
      <c r="AD32" s="39"/>
    </row>
    <row r="33" spans="1:30" ht="18" customHeight="1" x14ac:dyDescent="0.25">
      <c r="A33" s="41"/>
      <c r="B33" s="41"/>
      <c r="C33" s="41"/>
      <c r="D33" s="41"/>
      <c r="E33" s="41"/>
      <c r="F33" s="41"/>
      <c r="G33" s="41"/>
      <c r="H33" s="41"/>
      <c r="I33" s="41"/>
      <c r="J33" s="41"/>
      <c r="K33" s="41"/>
      <c r="L33" s="41"/>
      <c r="M33" s="41"/>
      <c r="N33" s="41"/>
      <c r="O33" s="41"/>
      <c r="P33" s="41"/>
      <c r="Q33" s="41"/>
      <c r="R33" s="41"/>
      <c r="S33" s="41"/>
      <c r="T33" s="41"/>
      <c r="U33" s="41"/>
      <c r="V33" s="41"/>
      <c r="W33" s="41"/>
      <c r="X33" s="41"/>
      <c r="Y33" s="39"/>
      <c r="Z33" s="39"/>
      <c r="AA33" s="39"/>
      <c r="AB33" s="39"/>
      <c r="AC33" s="39"/>
      <c r="AD33" s="39"/>
    </row>
    <row r="34" spans="1:30" ht="18" customHeight="1" x14ac:dyDescent="0.25">
      <c r="A34" s="37"/>
      <c r="B34" s="37"/>
      <c r="C34" s="37"/>
      <c r="D34" s="37"/>
      <c r="E34" s="37"/>
      <c r="F34" s="37"/>
      <c r="G34" s="37"/>
      <c r="H34" s="37"/>
      <c r="I34" s="37"/>
      <c r="J34" s="37"/>
      <c r="K34" s="37"/>
      <c r="L34" s="37"/>
      <c r="M34" s="37"/>
      <c r="N34" s="37"/>
      <c r="O34" s="37"/>
      <c r="P34" s="37"/>
      <c r="Q34" s="37"/>
      <c r="R34" s="37"/>
      <c r="S34" s="37"/>
      <c r="T34" s="37"/>
      <c r="U34" s="37"/>
      <c r="V34" s="37"/>
      <c r="W34" s="37"/>
      <c r="X34" s="37"/>
      <c r="Y34" s="39"/>
      <c r="Z34" s="39"/>
      <c r="AA34" s="39"/>
      <c r="AB34" s="39"/>
      <c r="AC34" s="39"/>
      <c r="AD34" s="39"/>
    </row>
    <row r="35" spans="1:30" x14ac:dyDescent="0.25">
      <c r="A35" s="37"/>
      <c r="B35" s="37"/>
      <c r="C35" s="37"/>
      <c r="D35" s="37"/>
      <c r="E35" s="37"/>
      <c r="F35" s="37"/>
      <c r="G35" s="37"/>
      <c r="H35" s="37"/>
      <c r="I35" s="37"/>
      <c r="J35" s="37"/>
      <c r="K35" s="37"/>
      <c r="L35" s="37"/>
      <c r="M35" s="37"/>
      <c r="N35" s="37"/>
      <c r="O35" s="37"/>
      <c r="P35" s="37"/>
      <c r="Q35" s="37"/>
      <c r="R35" s="37"/>
      <c r="S35" s="37"/>
      <c r="T35" s="37"/>
      <c r="U35" s="37"/>
      <c r="V35" s="37"/>
      <c r="W35" s="37"/>
      <c r="X35" s="37"/>
      <c r="Y35" s="39"/>
      <c r="Z35" s="39"/>
      <c r="AA35" s="39"/>
      <c r="AB35" s="39"/>
      <c r="AC35" s="39"/>
      <c r="AD35" s="39"/>
    </row>
    <row r="36" spans="1:30" x14ac:dyDescent="0.25">
      <c r="A36" s="37"/>
      <c r="B36" s="37"/>
      <c r="C36" s="37"/>
      <c r="D36" s="37"/>
      <c r="E36" s="37"/>
      <c r="F36" s="37"/>
      <c r="G36" s="37"/>
      <c r="H36" s="37"/>
      <c r="I36" s="37"/>
      <c r="J36" s="37"/>
      <c r="K36" s="37"/>
      <c r="L36" s="37"/>
      <c r="M36" s="37"/>
      <c r="N36" s="37"/>
      <c r="O36" s="37"/>
      <c r="P36" s="37"/>
      <c r="Q36" s="37"/>
      <c r="R36" s="37"/>
      <c r="S36" s="37"/>
      <c r="T36" s="37"/>
      <c r="U36" s="37"/>
      <c r="V36" s="37"/>
      <c r="W36" s="37"/>
      <c r="X36" s="37"/>
      <c r="Y36" s="39"/>
      <c r="Z36" s="39"/>
      <c r="AA36" s="39"/>
      <c r="AB36" s="39"/>
      <c r="AC36" s="39"/>
      <c r="AD36" s="39"/>
    </row>
    <row r="37" spans="1:30" x14ac:dyDescent="0.25">
      <c r="A37" s="37"/>
      <c r="B37" s="37"/>
      <c r="C37" s="37"/>
      <c r="D37" s="37"/>
      <c r="E37" s="37"/>
      <c r="F37" s="37"/>
      <c r="G37" s="37"/>
      <c r="H37" s="37"/>
      <c r="I37" s="37"/>
      <c r="J37" s="37"/>
      <c r="K37" s="37"/>
      <c r="L37" s="37"/>
      <c r="M37" s="37"/>
      <c r="N37" s="37"/>
      <c r="O37" s="37"/>
      <c r="P37" s="37"/>
      <c r="Q37" s="37"/>
      <c r="R37" s="37"/>
      <c r="S37" s="37"/>
      <c r="T37" s="37"/>
      <c r="U37" s="37"/>
      <c r="V37" s="37"/>
      <c r="W37" s="37"/>
      <c r="X37" s="37"/>
      <c r="Y37" s="39"/>
      <c r="Z37" s="39"/>
      <c r="AA37" s="39"/>
      <c r="AB37" s="39"/>
      <c r="AC37" s="39"/>
      <c r="AD37" s="39"/>
    </row>
    <row r="38" spans="1:30" x14ac:dyDescent="0.25">
      <c r="A38" s="37"/>
      <c r="B38" s="37"/>
      <c r="C38" s="37"/>
      <c r="D38" s="37"/>
      <c r="E38" s="37"/>
      <c r="F38" s="37"/>
      <c r="G38" s="37"/>
      <c r="H38" s="37"/>
      <c r="I38" s="37"/>
      <c r="J38" s="37"/>
      <c r="K38" s="37"/>
      <c r="L38" s="37"/>
      <c r="M38" s="37"/>
      <c r="N38" s="37"/>
      <c r="O38" s="37"/>
      <c r="P38" s="37"/>
      <c r="Q38" s="37"/>
      <c r="R38" s="37"/>
      <c r="S38" s="37"/>
      <c r="T38" s="37"/>
      <c r="U38" s="37"/>
      <c r="V38" s="37"/>
      <c r="W38" s="37"/>
      <c r="X38" s="37"/>
      <c r="Y38" s="39"/>
      <c r="Z38" s="39"/>
      <c r="AA38" s="39"/>
      <c r="AB38" s="39"/>
      <c r="AC38" s="39"/>
      <c r="AD38" s="39"/>
    </row>
    <row r="39" spans="1:30" x14ac:dyDescent="0.25">
      <c r="A39" s="37"/>
      <c r="B39" s="37"/>
      <c r="C39" s="37"/>
      <c r="D39" s="37"/>
      <c r="E39" s="37"/>
      <c r="F39" s="37"/>
      <c r="G39" s="37"/>
      <c r="H39" s="37"/>
      <c r="I39" s="37"/>
      <c r="J39" s="37"/>
      <c r="K39" s="37"/>
      <c r="L39" s="37"/>
      <c r="M39" s="37"/>
      <c r="N39" s="37"/>
      <c r="O39" s="37"/>
      <c r="P39" s="37"/>
      <c r="Q39" s="37"/>
      <c r="R39" s="37"/>
      <c r="S39" s="37"/>
      <c r="T39" s="37"/>
      <c r="U39" s="37"/>
      <c r="V39" s="37"/>
      <c r="W39" s="37"/>
      <c r="X39" s="37"/>
      <c r="Y39" s="39"/>
      <c r="Z39" s="39"/>
      <c r="AA39" s="39"/>
      <c r="AB39" s="39"/>
      <c r="AC39" s="39"/>
      <c r="AD39" s="39"/>
    </row>
    <row r="40" spans="1:30" x14ac:dyDescent="0.25">
      <c r="A40" s="37"/>
      <c r="B40" s="37"/>
      <c r="C40" s="37"/>
      <c r="D40" s="37"/>
      <c r="E40" s="37"/>
      <c r="F40" s="37"/>
      <c r="G40" s="37"/>
      <c r="H40" s="37"/>
      <c r="I40" s="37"/>
      <c r="J40" s="37"/>
      <c r="K40" s="37"/>
      <c r="L40" s="37"/>
      <c r="M40" s="37"/>
      <c r="N40" s="37"/>
      <c r="O40" s="37"/>
      <c r="P40" s="37"/>
      <c r="Q40" s="37"/>
      <c r="R40" s="37"/>
      <c r="S40" s="37"/>
      <c r="T40" s="37"/>
      <c r="U40" s="37"/>
      <c r="V40" s="37"/>
      <c r="W40" s="37"/>
      <c r="X40" s="37"/>
      <c r="Y40" s="39"/>
      <c r="Z40" s="39"/>
      <c r="AA40" s="39"/>
      <c r="AB40" s="39"/>
      <c r="AC40" s="39"/>
      <c r="AD40" s="39"/>
    </row>
  </sheetData>
  <mergeCells count="1">
    <mergeCell ref="A33:X33"/>
  </mergeCells>
  <pageMargins left="0.7" right="0.7" top="0.75" bottom="0.75" header="0.3" footer="0.3"/>
  <pageSetup scale="52" orientation="landscape"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N1011"/>
  <sheetViews>
    <sheetView tabSelected="1" zoomScaleNormal="100" workbookViewId="0">
      <selection sqref="A1:N1"/>
    </sheetView>
  </sheetViews>
  <sheetFormatPr defaultColWidth="8.7109375" defaultRowHeight="15" x14ac:dyDescent="0.25"/>
  <cols>
    <col min="1" max="1" width="14" style="2" customWidth="1"/>
    <col min="2" max="2" width="13" style="2" customWidth="1"/>
    <col min="3" max="6" width="16" style="2" customWidth="1"/>
    <col min="7" max="7" width="14" style="2" customWidth="1"/>
    <col min="8" max="8" width="18" style="2" customWidth="1"/>
    <col min="9" max="9" width="16" style="2" customWidth="1"/>
    <col min="10" max="13" width="13" style="2" customWidth="1"/>
    <col min="14" max="14" width="18" style="2" customWidth="1"/>
  </cols>
  <sheetData>
    <row r="1" spans="1:14" ht="27.75" customHeight="1" x14ac:dyDescent="0.2">
      <c r="A1" s="40" t="s">
        <v>2960</v>
      </c>
      <c r="B1" s="40"/>
      <c r="C1" s="40"/>
      <c r="D1" s="40"/>
      <c r="E1" s="40"/>
      <c r="F1" s="40"/>
      <c r="G1" s="40"/>
      <c r="H1" s="40"/>
      <c r="I1" s="40"/>
      <c r="J1" s="40"/>
      <c r="K1" s="40"/>
      <c r="L1" s="40"/>
      <c r="M1" s="40"/>
      <c r="N1" s="40"/>
    </row>
    <row r="3" spans="1:14" ht="30" customHeight="1" x14ac:dyDescent="0.2">
      <c r="A3" s="3" t="s">
        <v>29</v>
      </c>
      <c r="B3" s="3" t="s">
        <v>30</v>
      </c>
      <c r="C3" s="3" t="s">
        <v>17</v>
      </c>
      <c r="D3" s="3" t="s">
        <v>23</v>
      </c>
      <c r="E3" s="3" t="s">
        <v>140</v>
      </c>
      <c r="F3" s="3" t="s">
        <v>141</v>
      </c>
      <c r="G3" s="3" t="s">
        <v>39</v>
      </c>
      <c r="H3" s="3" t="s">
        <v>31</v>
      </c>
      <c r="I3" s="3" t="s">
        <v>143</v>
      </c>
      <c r="J3" s="3" t="s">
        <v>144</v>
      </c>
      <c r="K3" s="3" t="s">
        <v>145</v>
      </c>
      <c r="L3" s="3" t="s">
        <v>40</v>
      </c>
      <c r="M3" s="3" t="s">
        <v>146</v>
      </c>
      <c r="N3" s="3" t="s">
        <v>32</v>
      </c>
    </row>
    <row r="4" spans="1:14" ht="15" customHeight="1" x14ac:dyDescent="0.25">
      <c r="A4" s="2" t="s">
        <v>148</v>
      </c>
      <c r="B4" s="17">
        <v>45936</v>
      </c>
      <c r="C4" s="2" t="s">
        <v>22</v>
      </c>
      <c r="D4" s="2" t="s">
        <v>28</v>
      </c>
      <c r="E4" s="2" t="s">
        <v>149</v>
      </c>
      <c r="F4" s="2" t="s">
        <v>150</v>
      </c>
      <c r="G4" s="2" t="s">
        <v>151</v>
      </c>
      <c r="H4" s="2" t="s">
        <v>152</v>
      </c>
      <c r="I4" s="2" t="s">
        <v>153</v>
      </c>
      <c r="J4" s="17">
        <v>45941</v>
      </c>
      <c r="K4" s="17">
        <v>45944</v>
      </c>
      <c r="L4" s="17"/>
      <c r="M4" s="17">
        <v>45967</v>
      </c>
      <c r="N4" s="18">
        <v>10091.73</v>
      </c>
    </row>
    <row r="5" spans="1:14" ht="15" customHeight="1" x14ac:dyDescent="0.25">
      <c r="A5" s="2" t="s">
        <v>154</v>
      </c>
      <c r="B5" s="17">
        <v>45999</v>
      </c>
      <c r="C5" s="2" t="s">
        <v>18</v>
      </c>
      <c r="D5" s="2" t="s">
        <v>26</v>
      </c>
      <c r="E5" s="2" t="s">
        <v>155</v>
      </c>
      <c r="F5" s="2" t="s">
        <v>156</v>
      </c>
      <c r="G5" s="2" t="s">
        <v>157</v>
      </c>
      <c r="H5" s="2" t="s">
        <v>158</v>
      </c>
      <c r="I5" s="2" t="s">
        <v>153</v>
      </c>
      <c r="J5" s="17">
        <v>46005</v>
      </c>
      <c r="K5" s="17">
        <v>46020</v>
      </c>
      <c r="L5" s="17"/>
      <c r="M5" s="17"/>
      <c r="N5" s="18">
        <v>702.99</v>
      </c>
    </row>
    <row r="6" spans="1:14" ht="15" customHeight="1" x14ac:dyDescent="0.25">
      <c r="A6" s="2" t="s">
        <v>159</v>
      </c>
      <c r="B6" s="17">
        <v>45960</v>
      </c>
      <c r="C6" s="2" t="s">
        <v>21</v>
      </c>
      <c r="D6" s="2" t="s">
        <v>28</v>
      </c>
      <c r="E6" s="2" t="s">
        <v>160</v>
      </c>
      <c r="F6" s="2" t="s">
        <v>161</v>
      </c>
      <c r="G6" s="2" t="s">
        <v>162</v>
      </c>
      <c r="H6" s="2" t="s">
        <v>152</v>
      </c>
      <c r="I6" s="2" t="s">
        <v>163</v>
      </c>
      <c r="J6" s="17"/>
      <c r="K6" s="17"/>
      <c r="L6" s="17"/>
      <c r="M6" s="17">
        <v>45963</v>
      </c>
      <c r="N6" s="18">
        <v>2285.31</v>
      </c>
    </row>
    <row r="7" spans="1:14" ht="15" customHeight="1" x14ac:dyDescent="0.25">
      <c r="A7" s="2" t="s">
        <v>164</v>
      </c>
      <c r="B7" s="17">
        <v>45892</v>
      </c>
      <c r="C7" s="2" t="s">
        <v>22</v>
      </c>
      <c r="D7" s="2" t="s">
        <v>26</v>
      </c>
      <c r="E7" s="2" t="s">
        <v>155</v>
      </c>
      <c r="F7" s="2" t="s">
        <v>150</v>
      </c>
      <c r="G7" s="2" t="s">
        <v>165</v>
      </c>
      <c r="H7" s="2" t="s">
        <v>152</v>
      </c>
      <c r="I7" s="2" t="s">
        <v>153</v>
      </c>
      <c r="J7" s="17">
        <v>45902</v>
      </c>
      <c r="K7" s="17">
        <v>45915</v>
      </c>
      <c r="L7" s="17"/>
      <c r="M7" s="17">
        <v>45920</v>
      </c>
      <c r="N7" s="18">
        <v>5065.21</v>
      </c>
    </row>
    <row r="8" spans="1:14" ht="15" customHeight="1" x14ac:dyDescent="0.25">
      <c r="A8" s="2" t="s">
        <v>166</v>
      </c>
      <c r="B8" s="17">
        <v>45946</v>
      </c>
      <c r="C8" s="2" t="s">
        <v>20</v>
      </c>
      <c r="D8" s="2" t="s">
        <v>25</v>
      </c>
      <c r="E8" s="2" t="s">
        <v>160</v>
      </c>
      <c r="F8" s="2" t="s">
        <v>156</v>
      </c>
      <c r="G8" s="2" t="s">
        <v>167</v>
      </c>
      <c r="H8" s="2" t="s">
        <v>152</v>
      </c>
      <c r="I8" s="2" t="s">
        <v>163</v>
      </c>
      <c r="J8" s="17"/>
      <c r="K8" s="17"/>
      <c r="L8" s="17"/>
      <c r="M8" s="17">
        <v>45963</v>
      </c>
      <c r="N8" s="18">
        <v>669.1</v>
      </c>
    </row>
    <row r="9" spans="1:14" ht="15" customHeight="1" x14ac:dyDescent="0.25">
      <c r="A9" s="2" t="s">
        <v>168</v>
      </c>
      <c r="B9" s="17">
        <v>45748</v>
      </c>
      <c r="C9" s="2" t="s">
        <v>22</v>
      </c>
      <c r="D9" s="2" t="s">
        <v>25</v>
      </c>
      <c r="E9" s="2" t="s">
        <v>149</v>
      </c>
      <c r="F9" s="2" t="s">
        <v>156</v>
      </c>
      <c r="G9" s="2" t="s">
        <v>151</v>
      </c>
      <c r="H9" s="2" t="s">
        <v>152</v>
      </c>
      <c r="I9" s="2" t="s">
        <v>153</v>
      </c>
      <c r="J9" s="17">
        <v>45752</v>
      </c>
      <c r="K9" s="17">
        <v>45753</v>
      </c>
      <c r="L9" s="17"/>
      <c r="M9" s="17">
        <v>45765</v>
      </c>
      <c r="N9" s="18">
        <v>784.3</v>
      </c>
    </row>
    <row r="10" spans="1:14" ht="15" customHeight="1" x14ac:dyDescent="0.25">
      <c r="A10" s="2" t="s">
        <v>169</v>
      </c>
      <c r="B10" s="17">
        <v>45849</v>
      </c>
      <c r="C10" s="2" t="s">
        <v>22</v>
      </c>
      <c r="D10" s="2" t="s">
        <v>24</v>
      </c>
      <c r="E10" s="2" t="s">
        <v>155</v>
      </c>
      <c r="F10" s="2" t="s">
        <v>150</v>
      </c>
      <c r="G10" s="2" t="s">
        <v>170</v>
      </c>
      <c r="H10" s="2" t="s">
        <v>152</v>
      </c>
      <c r="I10" s="2" t="s">
        <v>153</v>
      </c>
      <c r="J10" s="17">
        <v>45850</v>
      </c>
      <c r="K10" s="17">
        <v>45858</v>
      </c>
      <c r="L10" s="17"/>
      <c r="M10" s="17">
        <v>45872</v>
      </c>
      <c r="N10" s="18">
        <v>5511.46</v>
      </c>
    </row>
    <row r="11" spans="1:14" ht="15" customHeight="1" x14ac:dyDescent="0.25">
      <c r="A11" s="2" t="s">
        <v>171</v>
      </c>
      <c r="B11" s="17">
        <v>45826</v>
      </c>
      <c r="C11" s="2" t="s">
        <v>20</v>
      </c>
      <c r="D11" s="2" t="s">
        <v>28</v>
      </c>
      <c r="E11" s="2" t="s">
        <v>149</v>
      </c>
      <c r="F11" s="2" t="s">
        <v>161</v>
      </c>
      <c r="G11" s="2" t="s">
        <v>167</v>
      </c>
      <c r="H11" s="2" t="s">
        <v>152</v>
      </c>
      <c r="I11" s="2" t="s">
        <v>153</v>
      </c>
      <c r="J11" s="17">
        <v>45829</v>
      </c>
      <c r="K11" s="17">
        <v>45837</v>
      </c>
      <c r="L11" s="17"/>
      <c r="M11" s="17">
        <v>45856</v>
      </c>
      <c r="N11" s="18">
        <v>2834.62</v>
      </c>
    </row>
    <row r="12" spans="1:14" ht="15" customHeight="1" x14ac:dyDescent="0.25">
      <c r="A12" s="2" t="s">
        <v>172</v>
      </c>
      <c r="B12" s="17">
        <v>45783</v>
      </c>
      <c r="C12" s="2" t="s">
        <v>22</v>
      </c>
      <c r="D12" s="2" t="s">
        <v>28</v>
      </c>
      <c r="E12" s="2" t="s">
        <v>155</v>
      </c>
      <c r="F12" s="2" t="s">
        <v>156</v>
      </c>
      <c r="G12" s="2" t="s">
        <v>151</v>
      </c>
      <c r="H12" s="2" t="s">
        <v>152</v>
      </c>
      <c r="I12" s="2" t="s">
        <v>163</v>
      </c>
      <c r="J12" s="17"/>
      <c r="K12" s="17"/>
      <c r="L12" s="17"/>
      <c r="M12" s="17">
        <v>45794</v>
      </c>
      <c r="N12" s="18">
        <v>488.24</v>
      </c>
    </row>
    <row r="13" spans="1:14" ht="15" customHeight="1" x14ac:dyDescent="0.25">
      <c r="A13" s="2" t="s">
        <v>173</v>
      </c>
      <c r="B13" s="17">
        <v>46000</v>
      </c>
      <c r="C13" s="2" t="s">
        <v>2961</v>
      </c>
      <c r="D13" s="2" t="s">
        <v>27</v>
      </c>
      <c r="E13" s="2" t="s">
        <v>155</v>
      </c>
      <c r="F13" s="2" t="s">
        <v>150</v>
      </c>
      <c r="G13" s="2" t="s">
        <v>165</v>
      </c>
      <c r="H13" s="2" t="s">
        <v>2</v>
      </c>
      <c r="I13" s="2" t="s">
        <v>153</v>
      </c>
      <c r="J13" s="17">
        <v>46004</v>
      </c>
      <c r="K13" s="17">
        <v>46007</v>
      </c>
      <c r="L13" s="17">
        <v>46023</v>
      </c>
      <c r="M13" s="17"/>
      <c r="N13" s="18">
        <v>6898.05</v>
      </c>
    </row>
    <row r="14" spans="1:14" ht="15" customHeight="1" x14ac:dyDescent="0.25">
      <c r="A14" s="2" t="s">
        <v>174</v>
      </c>
      <c r="B14" s="17">
        <v>45858</v>
      </c>
      <c r="C14" s="2" t="s">
        <v>22</v>
      </c>
      <c r="D14" s="2" t="s">
        <v>24</v>
      </c>
      <c r="E14" s="2" t="s">
        <v>155</v>
      </c>
      <c r="F14" s="2" t="s">
        <v>156</v>
      </c>
      <c r="G14" s="2" t="s">
        <v>165</v>
      </c>
      <c r="H14" s="2" t="s">
        <v>152</v>
      </c>
      <c r="I14" s="2" t="s">
        <v>153</v>
      </c>
      <c r="J14" s="17">
        <v>45868</v>
      </c>
      <c r="K14" s="17"/>
      <c r="L14" s="17"/>
      <c r="M14" s="17">
        <v>45893</v>
      </c>
      <c r="N14" s="18">
        <v>696.21</v>
      </c>
    </row>
    <row r="15" spans="1:14" ht="15" customHeight="1" x14ac:dyDescent="0.25">
      <c r="A15" s="2" t="s">
        <v>175</v>
      </c>
      <c r="B15" s="17">
        <v>45807</v>
      </c>
      <c r="C15" s="2" t="s">
        <v>21</v>
      </c>
      <c r="D15" s="2" t="s">
        <v>27</v>
      </c>
      <c r="E15" s="2" t="s">
        <v>149</v>
      </c>
      <c r="F15" s="2" t="s">
        <v>156</v>
      </c>
      <c r="G15" s="2" t="s">
        <v>176</v>
      </c>
      <c r="H15" s="2" t="s">
        <v>2</v>
      </c>
      <c r="I15" s="2" t="s">
        <v>153</v>
      </c>
      <c r="J15" s="17">
        <v>45817</v>
      </c>
      <c r="K15" s="17">
        <v>45831</v>
      </c>
      <c r="L15" s="17">
        <v>45842</v>
      </c>
      <c r="M15" s="17"/>
      <c r="N15" s="18">
        <v>732.38</v>
      </c>
    </row>
    <row r="16" spans="1:14" ht="15" customHeight="1" x14ac:dyDescent="0.25">
      <c r="A16" s="2" t="s">
        <v>177</v>
      </c>
      <c r="B16" s="17">
        <v>46013</v>
      </c>
      <c r="C16" s="2" t="s">
        <v>21</v>
      </c>
      <c r="D16" s="2" t="s">
        <v>25</v>
      </c>
      <c r="E16" s="2" t="s">
        <v>149</v>
      </c>
      <c r="F16" s="2" t="s">
        <v>161</v>
      </c>
      <c r="G16" s="2" t="s">
        <v>162</v>
      </c>
      <c r="H16" s="2" t="s">
        <v>158</v>
      </c>
      <c r="I16" s="2" t="s">
        <v>153</v>
      </c>
      <c r="J16" s="17">
        <v>46016</v>
      </c>
      <c r="K16" s="17">
        <v>46028</v>
      </c>
      <c r="L16" s="17"/>
      <c r="M16" s="17"/>
      <c r="N16" s="18">
        <v>3026.95</v>
      </c>
    </row>
    <row r="17" spans="1:14" ht="15" customHeight="1" x14ac:dyDescent="0.25">
      <c r="A17" s="2" t="s">
        <v>178</v>
      </c>
      <c r="B17" s="17">
        <v>46008</v>
      </c>
      <c r="C17" s="2" t="s">
        <v>19</v>
      </c>
      <c r="D17" s="2" t="s">
        <v>28</v>
      </c>
      <c r="E17" s="2" t="s">
        <v>155</v>
      </c>
      <c r="F17" s="2" t="s">
        <v>150</v>
      </c>
      <c r="G17" s="2" t="s">
        <v>179</v>
      </c>
      <c r="H17" s="2" t="s">
        <v>15</v>
      </c>
      <c r="I17" s="2" t="s">
        <v>153</v>
      </c>
      <c r="J17" s="17">
        <v>46016</v>
      </c>
      <c r="K17" s="17"/>
      <c r="L17" s="17"/>
      <c r="M17" s="17"/>
      <c r="N17" s="18">
        <v>4150.6899999999996</v>
      </c>
    </row>
    <row r="18" spans="1:14" ht="15" customHeight="1" x14ac:dyDescent="0.25">
      <c r="A18" s="2" t="s">
        <v>180</v>
      </c>
      <c r="B18" s="17">
        <v>45719</v>
      </c>
      <c r="C18" s="2" t="s">
        <v>19</v>
      </c>
      <c r="D18" s="2" t="s">
        <v>26</v>
      </c>
      <c r="E18" s="2" t="s">
        <v>155</v>
      </c>
      <c r="F18" s="2" t="s">
        <v>161</v>
      </c>
      <c r="G18" s="2" t="s">
        <v>179</v>
      </c>
      <c r="H18" s="2" t="s">
        <v>2</v>
      </c>
      <c r="I18" s="2" t="s">
        <v>153</v>
      </c>
      <c r="J18" s="17">
        <v>45722</v>
      </c>
      <c r="K18" s="17">
        <v>45731</v>
      </c>
      <c r="L18" s="17">
        <v>45759</v>
      </c>
      <c r="M18" s="17"/>
      <c r="N18" s="18">
        <v>1713.23</v>
      </c>
    </row>
    <row r="19" spans="1:14" ht="15" customHeight="1" x14ac:dyDescent="0.25">
      <c r="A19" s="2" t="s">
        <v>181</v>
      </c>
      <c r="B19" s="17">
        <v>45779</v>
      </c>
      <c r="C19" s="2" t="s">
        <v>22</v>
      </c>
      <c r="D19" s="2" t="s">
        <v>25</v>
      </c>
      <c r="E19" s="2" t="s">
        <v>149</v>
      </c>
      <c r="F19" s="2" t="s">
        <v>161</v>
      </c>
      <c r="G19" s="2" t="s">
        <v>151</v>
      </c>
      <c r="H19" s="2" t="s">
        <v>2</v>
      </c>
      <c r="I19" s="2" t="s">
        <v>153</v>
      </c>
      <c r="J19" s="17">
        <v>45783</v>
      </c>
      <c r="K19" s="17">
        <v>45791</v>
      </c>
      <c r="L19" s="17">
        <v>45821</v>
      </c>
      <c r="M19" s="17"/>
      <c r="N19" s="18">
        <v>2249.42</v>
      </c>
    </row>
    <row r="20" spans="1:14" ht="15" customHeight="1" x14ac:dyDescent="0.25">
      <c r="A20" s="2" t="s">
        <v>182</v>
      </c>
      <c r="B20" s="17">
        <v>45938</v>
      </c>
      <c r="C20" s="2" t="s">
        <v>21</v>
      </c>
      <c r="D20" s="2" t="s">
        <v>24</v>
      </c>
      <c r="E20" s="2" t="s">
        <v>149</v>
      </c>
      <c r="F20" s="2" t="s">
        <v>156</v>
      </c>
      <c r="G20" s="2" t="s">
        <v>183</v>
      </c>
      <c r="H20" s="2" t="s">
        <v>152</v>
      </c>
      <c r="I20" s="2" t="s">
        <v>163</v>
      </c>
      <c r="J20" s="17"/>
      <c r="K20" s="17"/>
      <c r="L20" s="17"/>
      <c r="M20" s="17">
        <v>45940</v>
      </c>
      <c r="N20" s="18">
        <v>758</v>
      </c>
    </row>
    <row r="21" spans="1:14" ht="15" customHeight="1" x14ac:dyDescent="0.25">
      <c r="A21" s="2" t="s">
        <v>184</v>
      </c>
      <c r="B21" s="17">
        <v>45864</v>
      </c>
      <c r="C21" s="2" t="s">
        <v>22</v>
      </c>
      <c r="D21" s="2" t="s">
        <v>28</v>
      </c>
      <c r="E21" s="2" t="s">
        <v>160</v>
      </c>
      <c r="F21" s="2" t="s">
        <v>156</v>
      </c>
      <c r="G21" s="2" t="s">
        <v>170</v>
      </c>
      <c r="H21" s="2" t="s">
        <v>152</v>
      </c>
      <c r="I21" s="2" t="s">
        <v>163</v>
      </c>
      <c r="J21" s="17"/>
      <c r="K21" s="17"/>
      <c r="L21" s="17"/>
      <c r="M21" s="17">
        <v>45874</v>
      </c>
      <c r="N21" s="18">
        <v>606.03</v>
      </c>
    </row>
    <row r="22" spans="1:14" ht="15" customHeight="1" x14ac:dyDescent="0.25">
      <c r="A22" s="2" t="s">
        <v>185</v>
      </c>
      <c r="B22" s="17">
        <v>45843</v>
      </c>
      <c r="C22" s="2" t="s">
        <v>22</v>
      </c>
      <c r="D22" s="2" t="s">
        <v>25</v>
      </c>
      <c r="E22" s="2" t="s">
        <v>186</v>
      </c>
      <c r="F22" s="2" t="s">
        <v>156</v>
      </c>
      <c r="G22" s="2" t="s">
        <v>165</v>
      </c>
      <c r="H22" s="2" t="s">
        <v>152</v>
      </c>
      <c r="I22" s="2" t="s">
        <v>153</v>
      </c>
      <c r="J22" s="17">
        <v>45851</v>
      </c>
      <c r="K22" s="17">
        <v>45863</v>
      </c>
      <c r="L22" s="17"/>
      <c r="M22" s="17">
        <v>45868</v>
      </c>
      <c r="N22" s="18">
        <v>697.01</v>
      </c>
    </row>
    <row r="23" spans="1:14" ht="15" customHeight="1" x14ac:dyDescent="0.25">
      <c r="A23" s="2" t="s">
        <v>187</v>
      </c>
      <c r="B23" s="17">
        <v>45843</v>
      </c>
      <c r="C23" s="2" t="s">
        <v>22</v>
      </c>
      <c r="D23" s="2" t="s">
        <v>26</v>
      </c>
      <c r="E23" s="2" t="s">
        <v>149</v>
      </c>
      <c r="F23" s="2" t="s">
        <v>156</v>
      </c>
      <c r="G23" s="2" t="s">
        <v>170</v>
      </c>
      <c r="H23" s="2" t="s">
        <v>152</v>
      </c>
      <c r="I23" s="2" t="s">
        <v>153</v>
      </c>
      <c r="J23" s="17">
        <v>45849</v>
      </c>
      <c r="K23" s="17">
        <v>45861</v>
      </c>
      <c r="L23" s="17"/>
      <c r="M23" s="17">
        <v>45876</v>
      </c>
      <c r="N23" s="18">
        <v>1032.97</v>
      </c>
    </row>
    <row r="24" spans="1:14" ht="15" customHeight="1" x14ac:dyDescent="0.25">
      <c r="A24" s="2" t="s">
        <v>188</v>
      </c>
      <c r="B24" s="17">
        <v>46011</v>
      </c>
      <c r="C24" s="2" t="s">
        <v>20</v>
      </c>
      <c r="D24" s="2" t="s">
        <v>26</v>
      </c>
      <c r="E24" s="2" t="s">
        <v>149</v>
      </c>
      <c r="F24" s="2" t="s">
        <v>150</v>
      </c>
      <c r="G24" s="2" t="s">
        <v>189</v>
      </c>
      <c r="H24" s="2" t="s">
        <v>190</v>
      </c>
      <c r="I24" s="2" t="s">
        <v>163</v>
      </c>
      <c r="J24" s="17"/>
      <c r="K24" s="17"/>
      <c r="L24" s="17"/>
      <c r="M24" s="17"/>
      <c r="N24" s="18">
        <v>8553.35</v>
      </c>
    </row>
    <row r="25" spans="1:14" ht="15" customHeight="1" x14ac:dyDescent="0.25">
      <c r="A25" s="2" t="s">
        <v>191</v>
      </c>
      <c r="B25" s="17">
        <v>45747</v>
      </c>
      <c r="C25" s="2" t="s">
        <v>20</v>
      </c>
      <c r="D25" s="2" t="s">
        <v>26</v>
      </c>
      <c r="E25" s="2" t="s">
        <v>149</v>
      </c>
      <c r="F25" s="2" t="s">
        <v>161</v>
      </c>
      <c r="G25" s="2" t="s">
        <v>192</v>
      </c>
      <c r="H25" s="2" t="s">
        <v>152</v>
      </c>
      <c r="I25" s="2" t="s">
        <v>163</v>
      </c>
      <c r="J25" s="17"/>
      <c r="K25" s="17"/>
      <c r="L25" s="17"/>
      <c r="M25" s="17">
        <v>45767</v>
      </c>
      <c r="N25" s="18">
        <v>2924.3</v>
      </c>
    </row>
    <row r="26" spans="1:14" ht="15" customHeight="1" x14ac:dyDescent="0.25">
      <c r="A26" s="2" t="s">
        <v>193</v>
      </c>
      <c r="B26" s="17">
        <v>45691</v>
      </c>
      <c r="C26" s="2" t="s">
        <v>22</v>
      </c>
      <c r="D26" s="2" t="s">
        <v>25</v>
      </c>
      <c r="E26" s="2" t="s">
        <v>186</v>
      </c>
      <c r="F26" s="2" t="s">
        <v>161</v>
      </c>
      <c r="G26" s="2" t="s">
        <v>151</v>
      </c>
      <c r="H26" s="2" t="s">
        <v>152</v>
      </c>
      <c r="I26" s="2" t="s">
        <v>153</v>
      </c>
      <c r="J26" s="17">
        <v>45701</v>
      </c>
      <c r="K26" s="17">
        <v>45713</v>
      </c>
      <c r="L26" s="17"/>
      <c r="M26" s="17">
        <v>45724</v>
      </c>
      <c r="N26" s="18">
        <v>1869.87</v>
      </c>
    </row>
    <row r="27" spans="1:14" ht="15" customHeight="1" x14ac:dyDescent="0.25">
      <c r="A27" s="2" t="s">
        <v>194</v>
      </c>
      <c r="B27" s="17">
        <v>45694</v>
      </c>
      <c r="C27" s="2" t="s">
        <v>21</v>
      </c>
      <c r="D27" s="2" t="s">
        <v>24</v>
      </c>
      <c r="E27" s="2" t="s">
        <v>149</v>
      </c>
      <c r="F27" s="2" t="s">
        <v>156</v>
      </c>
      <c r="G27" s="2" t="s">
        <v>176</v>
      </c>
      <c r="H27" s="2" t="s">
        <v>152</v>
      </c>
      <c r="I27" s="2" t="s">
        <v>153</v>
      </c>
      <c r="J27" s="17">
        <v>45699</v>
      </c>
      <c r="K27" s="17">
        <v>45703</v>
      </c>
      <c r="L27" s="17"/>
      <c r="M27" s="17">
        <v>45736</v>
      </c>
      <c r="N27" s="18">
        <v>902.15</v>
      </c>
    </row>
    <row r="28" spans="1:14" ht="15" customHeight="1" x14ac:dyDescent="0.25">
      <c r="A28" s="2" t="s">
        <v>195</v>
      </c>
      <c r="B28" s="17">
        <v>46022</v>
      </c>
      <c r="C28" s="2" t="s">
        <v>22</v>
      </c>
      <c r="D28" s="2" t="s">
        <v>25</v>
      </c>
      <c r="E28" s="2" t="s">
        <v>186</v>
      </c>
      <c r="F28" s="2" t="s">
        <v>156</v>
      </c>
      <c r="G28" s="2" t="s">
        <v>165</v>
      </c>
      <c r="H28" s="2" t="s">
        <v>2</v>
      </c>
      <c r="I28" s="2" t="s">
        <v>153</v>
      </c>
      <c r="J28" s="17">
        <v>46025</v>
      </c>
      <c r="K28" s="17">
        <v>46027</v>
      </c>
      <c r="L28" s="17">
        <v>46043</v>
      </c>
      <c r="M28" s="17"/>
      <c r="N28" s="18">
        <v>670.98</v>
      </c>
    </row>
    <row r="29" spans="1:14" ht="15" customHeight="1" x14ac:dyDescent="0.25">
      <c r="A29" s="2" t="s">
        <v>196</v>
      </c>
      <c r="B29" s="17">
        <v>45876</v>
      </c>
      <c r="C29" s="2" t="s">
        <v>19</v>
      </c>
      <c r="D29" s="2" t="s">
        <v>24</v>
      </c>
      <c r="E29" s="2" t="s">
        <v>155</v>
      </c>
      <c r="F29" s="2" t="s">
        <v>156</v>
      </c>
      <c r="G29" s="2" t="s">
        <v>179</v>
      </c>
      <c r="H29" s="2" t="s">
        <v>152</v>
      </c>
      <c r="I29" s="2" t="s">
        <v>163</v>
      </c>
      <c r="J29" s="17"/>
      <c r="K29" s="17"/>
      <c r="L29" s="17"/>
      <c r="M29" s="17">
        <v>45889</v>
      </c>
      <c r="N29" s="18">
        <v>668.86</v>
      </c>
    </row>
    <row r="30" spans="1:14" ht="15" customHeight="1" x14ac:dyDescent="0.25">
      <c r="A30" s="2" t="s">
        <v>197</v>
      </c>
      <c r="B30" s="17">
        <v>45667</v>
      </c>
      <c r="C30" s="2" t="s">
        <v>22</v>
      </c>
      <c r="D30" s="2" t="s">
        <v>24</v>
      </c>
      <c r="E30" s="2" t="s">
        <v>186</v>
      </c>
      <c r="F30" s="2" t="s">
        <v>161</v>
      </c>
      <c r="G30" s="2" t="s">
        <v>151</v>
      </c>
      <c r="H30" s="2" t="s">
        <v>152</v>
      </c>
      <c r="I30" s="2" t="s">
        <v>153</v>
      </c>
      <c r="J30" s="17">
        <v>45670</v>
      </c>
      <c r="K30" s="17">
        <v>45671</v>
      </c>
      <c r="L30" s="17"/>
      <c r="M30" s="17">
        <v>45677</v>
      </c>
      <c r="N30" s="18">
        <v>1973.56</v>
      </c>
    </row>
    <row r="31" spans="1:14" ht="15" customHeight="1" x14ac:dyDescent="0.25">
      <c r="A31" s="2" t="s">
        <v>198</v>
      </c>
      <c r="B31" s="17">
        <v>46008</v>
      </c>
      <c r="C31" s="2" t="s">
        <v>21</v>
      </c>
      <c r="D31" s="2" t="s">
        <v>25</v>
      </c>
      <c r="E31" s="2" t="s">
        <v>149</v>
      </c>
      <c r="F31" s="2" t="s">
        <v>161</v>
      </c>
      <c r="G31" s="2" t="s">
        <v>162</v>
      </c>
      <c r="H31" s="2" t="s">
        <v>15</v>
      </c>
      <c r="I31" s="2" t="s">
        <v>153</v>
      </c>
      <c r="J31" s="17">
        <v>46010</v>
      </c>
      <c r="K31" s="17"/>
      <c r="L31" s="17"/>
      <c r="M31" s="17"/>
      <c r="N31" s="18">
        <v>3492.52</v>
      </c>
    </row>
    <row r="32" spans="1:14" ht="15" customHeight="1" x14ac:dyDescent="0.25">
      <c r="A32" s="2" t="s">
        <v>199</v>
      </c>
      <c r="B32" s="17">
        <v>45963</v>
      </c>
      <c r="C32" s="2" t="s">
        <v>22</v>
      </c>
      <c r="D32" s="2" t="s">
        <v>26</v>
      </c>
      <c r="E32" s="2" t="s">
        <v>155</v>
      </c>
      <c r="F32" s="2" t="s">
        <v>156</v>
      </c>
      <c r="G32" s="2" t="s">
        <v>151</v>
      </c>
      <c r="H32" s="2" t="s">
        <v>152</v>
      </c>
      <c r="I32" s="2" t="s">
        <v>153</v>
      </c>
      <c r="J32" s="17">
        <v>45968</v>
      </c>
      <c r="K32" s="17">
        <v>45973</v>
      </c>
      <c r="L32" s="17"/>
      <c r="M32" s="17">
        <v>45998</v>
      </c>
      <c r="N32" s="18">
        <v>642.32000000000005</v>
      </c>
    </row>
    <row r="33" spans="1:14" ht="15" customHeight="1" x14ac:dyDescent="0.25">
      <c r="A33" s="2" t="s">
        <v>200</v>
      </c>
      <c r="B33" s="17">
        <v>45993</v>
      </c>
      <c r="C33" s="2" t="s">
        <v>18</v>
      </c>
      <c r="D33" s="2" t="s">
        <v>24</v>
      </c>
      <c r="E33" s="2" t="s">
        <v>149</v>
      </c>
      <c r="F33" s="2" t="s">
        <v>156</v>
      </c>
      <c r="G33" s="2" t="s">
        <v>201</v>
      </c>
      <c r="H33" s="2" t="s">
        <v>15</v>
      </c>
      <c r="I33" s="2" t="s">
        <v>153</v>
      </c>
      <c r="J33" s="17">
        <v>46000</v>
      </c>
      <c r="K33" s="17"/>
      <c r="L33" s="17"/>
      <c r="M33" s="17"/>
      <c r="N33" s="18">
        <v>1099.29</v>
      </c>
    </row>
    <row r="34" spans="1:14" ht="15" customHeight="1" x14ac:dyDescent="0.25">
      <c r="A34" s="2" t="s">
        <v>202</v>
      </c>
      <c r="B34" s="17">
        <v>45929</v>
      </c>
      <c r="C34" s="2" t="s">
        <v>20</v>
      </c>
      <c r="D34" s="2" t="s">
        <v>26</v>
      </c>
      <c r="E34" s="2" t="s">
        <v>149</v>
      </c>
      <c r="F34" s="2" t="s">
        <v>156</v>
      </c>
      <c r="G34" s="2" t="s">
        <v>167</v>
      </c>
      <c r="H34" s="2" t="s">
        <v>152</v>
      </c>
      <c r="I34" s="2" t="s">
        <v>163</v>
      </c>
      <c r="J34" s="17"/>
      <c r="K34" s="17"/>
      <c r="L34" s="17"/>
      <c r="M34" s="17">
        <v>45948</v>
      </c>
      <c r="N34" s="18">
        <v>911.88</v>
      </c>
    </row>
    <row r="35" spans="1:14" ht="15" customHeight="1" x14ac:dyDescent="0.25">
      <c r="A35" s="2" t="s">
        <v>203</v>
      </c>
      <c r="B35" s="17">
        <v>45999</v>
      </c>
      <c r="C35" s="2" t="s">
        <v>20</v>
      </c>
      <c r="D35" s="2" t="s">
        <v>24</v>
      </c>
      <c r="E35" s="2" t="s">
        <v>155</v>
      </c>
      <c r="F35" s="2" t="s">
        <v>161</v>
      </c>
      <c r="G35" s="2" t="s">
        <v>189</v>
      </c>
      <c r="H35" s="2" t="s">
        <v>158</v>
      </c>
      <c r="I35" s="2" t="s">
        <v>153</v>
      </c>
      <c r="J35" s="17">
        <v>46009</v>
      </c>
      <c r="K35" s="17">
        <v>46023</v>
      </c>
      <c r="L35" s="17"/>
      <c r="M35" s="17"/>
      <c r="N35" s="18">
        <v>1958.18</v>
      </c>
    </row>
    <row r="36" spans="1:14" ht="15" customHeight="1" x14ac:dyDescent="0.25">
      <c r="A36" s="2" t="s">
        <v>204</v>
      </c>
      <c r="B36" s="17">
        <v>45985</v>
      </c>
      <c r="C36" s="2" t="s">
        <v>22</v>
      </c>
      <c r="D36" s="2" t="s">
        <v>25</v>
      </c>
      <c r="E36" s="2" t="s">
        <v>149</v>
      </c>
      <c r="F36" s="2" t="s">
        <v>156</v>
      </c>
      <c r="G36" s="2" t="s">
        <v>165</v>
      </c>
      <c r="H36" s="2" t="s">
        <v>2</v>
      </c>
      <c r="I36" s="2" t="s">
        <v>153</v>
      </c>
      <c r="J36" s="17">
        <v>45995</v>
      </c>
      <c r="K36" s="17">
        <v>45996</v>
      </c>
      <c r="L36" s="17">
        <v>46004</v>
      </c>
      <c r="M36" s="17"/>
      <c r="N36" s="18">
        <v>725.29</v>
      </c>
    </row>
    <row r="37" spans="1:14" ht="15" customHeight="1" x14ac:dyDescent="0.25">
      <c r="A37" s="2" t="s">
        <v>205</v>
      </c>
      <c r="B37" s="17">
        <v>45882</v>
      </c>
      <c r="C37" s="2" t="s">
        <v>18</v>
      </c>
      <c r="D37" s="2" t="s">
        <v>25</v>
      </c>
      <c r="E37" s="2" t="s">
        <v>149</v>
      </c>
      <c r="F37" s="2" t="s">
        <v>161</v>
      </c>
      <c r="G37" s="2" t="s">
        <v>201</v>
      </c>
      <c r="H37" s="2" t="s">
        <v>152</v>
      </c>
      <c r="I37" s="2" t="s">
        <v>153</v>
      </c>
      <c r="J37" s="17">
        <v>45884</v>
      </c>
      <c r="K37" s="17">
        <v>45898</v>
      </c>
      <c r="L37" s="17"/>
      <c r="M37" s="17">
        <v>45933</v>
      </c>
      <c r="N37" s="18">
        <v>2842.9</v>
      </c>
    </row>
    <row r="38" spans="1:14" ht="15" customHeight="1" x14ac:dyDescent="0.25">
      <c r="A38" s="2" t="s">
        <v>206</v>
      </c>
      <c r="B38" s="17">
        <v>45669</v>
      </c>
      <c r="C38" s="2" t="s">
        <v>19</v>
      </c>
      <c r="D38" s="2" t="s">
        <v>26</v>
      </c>
      <c r="E38" s="2" t="s">
        <v>149</v>
      </c>
      <c r="F38" s="2" t="s">
        <v>156</v>
      </c>
      <c r="G38" s="2" t="s">
        <v>207</v>
      </c>
      <c r="H38" s="2" t="s">
        <v>2</v>
      </c>
      <c r="I38" s="2" t="s">
        <v>153</v>
      </c>
      <c r="J38" s="17">
        <v>45674</v>
      </c>
      <c r="K38" s="17">
        <v>45681</v>
      </c>
      <c r="L38" s="17">
        <v>45700</v>
      </c>
      <c r="M38" s="17"/>
      <c r="N38" s="18">
        <v>1113.1099999999999</v>
      </c>
    </row>
    <row r="39" spans="1:14" ht="15" customHeight="1" x14ac:dyDescent="0.25">
      <c r="A39" s="2" t="s">
        <v>208</v>
      </c>
      <c r="B39" s="17">
        <v>45715</v>
      </c>
      <c r="C39" s="2" t="s">
        <v>19</v>
      </c>
      <c r="D39" s="2" t="s">
        <v>26</v>
      </c>
      <c r="E39" s="2" t="s">
        <v>160</v>
      </c>
      <c r="F39" s="2" t="s">
        <v>156</v>
      </c>
      <c r="G39" s="2" t="s">
        <v>207</v>
      </c>
      <c r="H39" s="2" t="s">
        <v>152</v>
      </c>
      <c r="I39" s="2" t="s">
        <v>153</v>
      </c>
      <c r="J39" s="17">
        <v>45720</v>
      </c>
      <c r="K39" s="17">
        <v>45734</v>
      </c>
      <c r="L39" s="17"/>
      <c r="M39" s="17">
        <v>45741</v>
      </c>
      <c r="N39" s="18">
        <v>613.5</v>
      </c>
    </row>
    <row r="40" spans="1:14" ht="15" customHeight="1" x14ac:dyDescent="0.25">
      <c r="A40" s="2" t="s">
        <v>209</v>
      </c>
      <c r="B40" s="17">
        <v>45992</v>
      </c>
      <c r="C40" s="2" t="s">
        <v>19</v>
      </c>
      <c r="D40" s="2" t="s">
        <v>25</v>
      </c>
      <c r="E40" s="2" t="s">
        <v>155</v>
      </c>
      <c r="F40" s="2" t="s">
        <v>161</v>
      </c>
      <c r="G40" s="2" t="s">
        <v>210</v>
      </c>
      <c r="H40" s="2" t="s">
        <v>158</v>
      </c>
      <c r="I40" s="2" t="s">
        <v>153</v>
      </c>
      <c r="J40" s="17">
        <v>45993</v>
      </c>
      <c r="K40" s="17">
        <v>46001</v>
      </c>
      <c r="L40" s="17"/>
      <c r="M40" s="17"/>
      <c r="N40" s="18">
        <v>1617.27</v>
      </c>
    </row>
    <row r="41" spans="1:14" ht="15" customHeight="1" x14ac:dyDescent="0.25">
      <c r="A41" s="2" t="s">
        <v>211</v>
      </c>
      <c r="B41" s="17">
        <v>45702</v>
      </c>
      <c r="C41" s="2" t="s">
        <v>21</v>
      </c>
      <c r="D41" s="2" t="s">
        <v>27</v>
      </c>
      <c r="E41" s="2" t="s">
        <v>149</v>
      </c>
      <c r="F41" s="2" t="s">
        <v>161</v>
      </c>
      <c r="G41" s="2" t="s">
        <v>176</v>
      </c>
      <c r="H41" s="2" t="s">
        <v>2</v>
      </c>
      <c r="I41" s="2" t="s">
        <v>153</v>
      </c>
      <c r="J41" s="17">
        <v>45710</v>
      </c>
      <c r="K41" s="17">
        <v>45714</v>
      </c>
      <c r="L41" s="17">
        <v>45717</v>
      </c>
      <c r="M41" s="17"/>
      <c r="N41" s="18">
        <v>3476.46</v>
      </c>
    </row>
    <row r="42" spans="1:14" ht="15" customHeight="1" x14ac:dyDescent="0.25">
      <c r="A42" s="2" t="s">
        <v>212</v>
      </c>
      <c r="B42" s="17">
        <v>45888</v>
      </c>
      <c r="C42" s="2" t="s">
        <v>21</v>
      </c>
      <c r="D42" s="2" t="s">
        <v>26</v>
      </c>
      <c r="E42" s="2" t="s">
        <v>149</v>
      </c>
      <c r="F42" s="2" t="s">
        <v>156</v>
      </c>
      <c r="G42" s="2" t="s">
        <v>176</v>
      </c>
      <c r="H42" s="2" t="s">
        <v>152</v>
      </c>
      <c r="I42" s="2" t="s">
        <v>163</v>
      </c>
      <c r="J42" s="17"/>
      <c r="K42" s="17"/>
      <c r="L42" s="17"/>
      <c r="M42" s="17">
        <v>45891</v>
      </c>
      <c r="N42" s="18">
        <v>618.24</v>
      </c>
    </row>
    <row r="43" spans="1:14" ht="15" customHeight="1" x14ac:dyDescent="0.25">
      <c r="A43" s="2" t="s">
        <v>213</v>
      </c>
      <c r="B43" s="17">
        <v>45705</v>
      </c>
      <c r="C43" s="2" t="s">
        <v>20</v>
      </c>
      <c r="D43" s="2" t="s">
        <v>26</v>
      </c>
      <c r="E43" s="2" t="s">
        <v>155</v>
      </c>
      <c r="F43" s="2" t="s">
        <v>161</v>
      </c>
      <c r="G43" s="2" t="s">
        <v>189</v>
      </c>
      <c r="H43" s="2" t="s">
        <v>152</v>
      </c>
      <c r="I43" s="2" t="s">
        <v>153</v>
      </c>
      <c r="J43" s="17">
        <v>45706</v>
      </c>
      <c r="K43" s="17">
        <v>45720</v>
      </c>
      <c r="L43" s="17"/>
      <c r="M43" s="17">
        <v>45729</v>
      </c>
      <c r="N43" s="18">
        <v>1760.69</v>
      </c>
    </row>
    <row r="44" spans="1:14" ht="15" customHeight="1" x14ac:dyDescent="0.25">
      <c r="A44" s="2" t="s">
        <v>214</v>
      </c>
      <c r="B44" s="17">
        <v>45714</v>
      </c>
      <c r="C44" s="2" t="s">
        <v>22</v>
      </c>
      <c r="D44" s="2" t="s">
        <v>27</v>
      </c>
      <c r="E44" s="2" t="s">
        <v>186</v>
      </c>
      <c r="F44" s="2" t="s">
        <v>150</v>
      </c>
      <c r="G44" s="2" t="s">
        <v>165</v>
      </c>
      <c r="H44" s="2" t="s">
        <v>2</v>
      </c>
      <c r="I44" s="2" t="s">
        <v>153</v>
      </c>
      <c r="J44" s="17">
        <v>45720</v>
      </c>
      <c r="K44" s="17">
        <v>45732</v>
      </c>
      <c r="L44" s="17">
        <v>45741</v>
      </c>
      <c r="M44" s="17"/>
      <c r="N44" s="18">
        <v>5529.48</v>
      </c>
    </row>
    <row r="45" spans="1:14" ht="15" customHeight="1" x14ac:dyDescent="0.25">
      <c r="A45" s="2" t="s">
        <v>215</v>
      </c>
      <c r="B45" s="17">
        <v>45964</v>
      </c>
      <c r="C45" s="2" t="s">
        <v>18</v>
      </c>
      <c r="D45" s="2" t="s">
        <v>26</v>
      </c>
      <c r="E45" s="2" t="s">
        <v>160</v>
      </c>
      <c r="F45" s="2" t="s">
        <v>156</v>
      </c>
      <c r="G45" s="2" t="s">
        <v>157</v>
      </c>
      <c r="H45" s="2" t="s">
        <v>152</v>
      </c>
      <c r="I45" s="2" t="s">
        <v>153</v>
      </c>
      <c r="J45" s="17">
        <v>45970</v>
      </c>
      <c r="K45" s="17">
        <v>45971</v>
      </c>
      <c r="L45" s="17"/>
      <c r="M45" s="17">
        <v>45990</v>
      </c>
      <c r="N45" s="18">
        <v>900.45</v>
      </c>
    </row>
    <row r="46" spans="1:14" ht="15" customHeight="1" x14ac:dyDescent="0.25">
      <c r="A46" s="2" t="s">
        <v>216</v>
      </c>
      <c r="B46" s="17">
        <v>45705</v>
      </c>
      <c r="C46" s="2" t="s">
        <v>20</v>
      </c>
      <c r="D46" s="2" t="s">
        <v>24</v>
      </c>
      <c r="E46" s="2" t="s">
        <v>155</v>
      </c>
      <c r="F46" s="2" t="s">
        <v>156</v>
      </c>
      <c r="G46" s="2" t="s">
        <v>167</v>
      </c>
      <c r="H46" s="2" t="s">
        <v>152</v>
      </c>
      <c r="I46" s="2" t="s">
        <v>163</v>
      </c>
      <c r="J46" s="17"/>
      <c r="K46" s="17"/>
      <c r="L46" s="17"/>
      <c r="M46" s="17">
        <v>45709</v>
      </c>
      <c r="N46" s="18">
        <v>507.65</v>
      </c>
    </row>
    <row r="47" spans="1:14" ht="15" customHeight="1" x14ac:dyDescent="0.25">
      <c r="A47" s="2" t="s">
        <v>217</v>
      </c>
      <c r="B47" s="17">
        <v>45886</v>
      </c>
      <c r="C47" s="2" t="s">
        <v>20</v>
      </c>
      <c r="D47" s="2" t="s">
        <v>26</v>
      </c>
      <c r="E47" s="2" t="s">
        <v>149</v>
      </c>
      <c r="F47" s="2" t="s">
        <v>156</v>
      </c>
      <c r="G47" s="2" t="s">
        <v>189</v>
      </c>
      <c r="H47" s="2" t="s">
        <v>152</v>
      </c>
      <c r="I47" s="2" t="s">
        <v>153</v>
      </c>
      <c r="J47" s="17">
        <v>45896</v>
      </c>
      <c r="K47" s="17">
        <v>45905</v>
      </c>
      <c r="L47" s="17"/>
      <c r="M47" s="17">
        <v>45935</v>
      </c>
      <c r="N47" s="18">
        <v>784.45</v>
      </c>
    </row>
    <row r="48" spans="1:14" ht="15" customHeight="1" x14ac:dyDescent="0.25">
      <c r="A48" s="2" t="s">
        <v>218</v>
      </c>
      <c r="B48" s="17">
        <v>45665</v>
      </c>
      <c r="C48" s="2" t="s">
        <v>22</v>
      </c>
      <c r="D48" s="2" t="s">
        <v>28</v>
      </c>
      <c r="E48" s="2" t="s">
        <v>155</v>
      </c>
      <c r="F48" s="2" t="s">
        <v>156</v>
      </c>
      <c r="G48" s="2" t="s">
        <v>151</v>
      </c>
      <c r="H48" s="2" t="s">
        <v>152</v>
      </c>
      <c r="I48" s="2" t="s">
        <v>153</v>
      </c>
      <c r="J48" s="17">
        <v>45671</v>
      </c>
      <c r="K48" s="17"/>
      <c r="L48" s="17"/>
      <c r="M48" s="17">
        <v>45678</v>
      </c>
      <c r="N48" s="18">
        <v>423.81</v>
      </c>
    </row>
    <row r="49" spans="1:14" ht="15" customHeight="1" x14ac:dyDescent="0.25">
      <c r="A49" s="2" t="s">
        <v>219</v>
      </c>
      <c r="B49" s="17">
        <v>45914</v>
      </c>
      <c r="C49" s="2" t="s">
        <v>22</v>
      </c>
      <c r="D49" s="2" t="s">
        <v>25</v>
      </c>
      <c r="E49" s="2" t="s">
        <v>149</v>
      </c>
      <c r="F49" s="2" t="s">
        <v>156</v>
      </c>
      <c r="G49" s="2" t="s">
        <v>151</v>
      </c>
      <c r="H49" s="2" t="s">
        <v>2</v>
      </c>
      <c r="I49" s="2" t="s">
        <v>153</v>
      </c>
      <c r="J49" s="17">
        <v>45917</v>
      </c>
      <c r="K49" s="17">
        <v>45932</v>
      </c>
      <c r="L49" s="17">
        <v>45952</v>
      </c>
      <c r="M49" s="17"/>
      <c r="N49" s="18">
        <v>823.17</v>
      </c>
    </row>
    <row r="50" spans="1:14" ht="15" customHeight="1" x14ac:dyDescent="0.25">
      <c r="A50" s="2" t="s">
        <v>220</v>
      </c>
      <c r="B50" s="17">
        <v>45814</v>
      </c>
      <c r="C50" s="2" t="s">
        <v>20</v>
      </c>
      <c r="D50" s="2" t="s">
        <v>24</v>
      </c>
      <c r="E50" s="2" t="s">
        <v>149</v>
      </c>
      <c r="F50" s="2" t="s">
        <v>156</v>
      </c>
      <c r="G50" s="2" t="s">
        <v>192</v>
      </c>
      <c r="H50" s="2" t="s">
        <v>152</v>
      </c>
      <c r="I50" s="2" t="s">
        <v>153</v>
      </c>
      <c r="J50" s="17">
        <v>45817</v>
      </c>
      <c r="K50" s="17"/>
      <c r="L50" s="17"/>
      <c r="M50" s="17">
        <v>45837</v>
      </c>
      <c r="N50" s="18">
        <v>881.41</v>
      </c>
    </row>
    <row r="51" spans="1:14" ht="15" customHeight="1" x14ac:dyDescent="0.25">
      <c r="A51" s="2" t="s">
        <v>221</v>
      </c>
      <c r="B51" s="17">
        <v>45885</v>
      </c>
      <c r="C51" s="2" t="s">
        <v>20</v>
      </c>
      <c r="D51" s="2" t="s">
        <v>25</v>
      </c>
      <c r="E51" s="2" t="s">
        <v>149</v>
      </c>
      <c r="F51" s="2" t="s">
        <v>156</v>
      </c>
      <c r="G51" s="2" t="s">
        <v>192</v>
      </c>
      <c r="H51" s="2" t="s">
        <v>152</v>
      </c>
      <c r="I51" s="2" t="s">
        <v>153</v>
      </c>
      <c r="J51" s="17">
        <v>45891</v>
      </c>
      <c r="K51" s="17">
        <v>45902</v>
      </c>
      <c r="L51" s="17"/>
      <c r="M51" s="17">
        <v>45913</v>
      </c>
      <c r="N51" s="18">
        <v>589.09</v>
      </c>
    </row>
    <row r="52" spans="1:14" ht="15" customHeight="1" x14ac:dyDescent="0.25">
      <c r="A52" s="2" t="s">
        <v>49</v>
      </c>
      <c r="B52" s="17">
        <v>45886</v>
      </c>
      <c r="C52" s="2" t="s">
        <v>20</v>
      </c>
      <c r="D52" s="2" t="s">
        <v>27</v>
      </c>
      <c r="E52" s="2" t="s">
        <v>155</v>
      </c>
      <c r="F52" s="2" t="s">
        <v>156</v>
      </c>
      <c r="G52" s="2" t="s">
        <v>189</v>
      </c>
      <c r="H52" s="2" t="s">
        <v>2</v>
      </c>
      <c r="I52" s="2" t="s">
        <v>153</v>
      </c>
      <c r="J52" s="17">
        <v>45896</v>
      </c>
      <c r="K52" s="17">
        <v>45899</v>
      </c>
      <c r="L52" s="17">
        <v>45923</v>
      </c>
      <c r="M52" s="17"/>
      <c r="N52" s="18">
        <v>682.3</v>
      </c>
    </row>
    <row r="53" spans="1:14" ht="15" customHeight="1" x14ac:dyDescent="0.25">
      <c r="A53" s="2" t="s">
        <v>222</v>
      </c>
      <c r="B53" s="17">
        <v>45668</v>
      </c>
      <c r="C53" s="2" t="s">
        <v>19</v>
      </c>
      <c r="D53" s="2" t="s">
        <v>24</v>
      </c>
      <c r="E53" s="2" t="s">
        <v>186</v>
      </c>
      <c r="F53" s="2" t="s">
        <v>156</v>
      </c>
      <c r="G53" s="2" t="s">
        <v>179</v>
      </c>
      <c r="H53" s="2" t="s">
        <v>152</v>
      </c>
      <c r="I53" s="2" t="s">
        <v>153</v>
      </c>
      <c r="J53" s="17">
        <v>45669</v>
      </c>
      <c r="K53" s="17">
        <v>45672</v>
      </c>
      <c r="L53" s="17"/>
      <c r="M53" s="17">
        <v>45706</v>
      </c>
      <c r="N53" s="18">
        <v>631.30999999999995</v>
      </c>
    </row>
    <row r="54" spans="1:14" ht="15" customHeight="1" x14ac:dyDescent="0.25">
      <c r="A54" s="2" t="s">
        <v>223</v>
      </c>
      <c r="B54" s="17">
        <v>45732</v>
      </c>
      <c r="C54" s="2" t="s">
        <v>20</v>
      </c>
      <c r="D54" s="2" t="s">
        <v>24</v>
      </c>
      <c r="E54" s="2" t="s">
        <v>186</v>
      </c>
      <c r="F54" s="2" t="s">
        <v>156</v>
      </c>
      <c r="G54" s="2" t="s">
        <v>167</v>
      </c>
      <c r="H54" s="2" t="s">
        <v>152</v>
      </c>
      <c r="I54" s="2" t="s">
        <v>163</v>
      </c>
      <c r="J54" s="17"/>
      <c r="K54" s="17"/>
      <c r="L54" s="17"/>
      <c r="M54" s="17">
        <v>45739</v>
      </c>
      <c r="N54" s="18">
        <v>827.95</v>
      </c>
    </row>
    <row r="55" spans="1:14" ht="15" customHeight="1" x14ac:dyDescent="0.25">
      <c r="A55" s="2" t="s">
        <v>224</v>
      </c>
      <c r="B55" s="17">
        <v>46000</v>
      </c>
      <c r="C55" s="2" t="s">
        <v>22</v>
      </c>
      <c r="D55" s="2" t="s">
        <v>24</v>
      </c>
      <c r="E55" s="2" t="s">
        <v>149</v>
      </c>
      <c r="F55" s="2" t="s">
        <v>156</v>
      </c>
      <c r="G55" s="2" t="s">
        <v>165</v>
      </c>
      <c r="H55" s="2" t="s">
        <v>190</v>
      </c>
      <c r="I55" s="2" t="s">
        <v>163</v>
      </c>
      <c r="J55" s="17"/>
      <c r="K55" s="17"/>
      <c r="L55" s="17"/>
      <c r="M55" s="17"/>
      <c r="N55" s="18">
        <v>599.71</v>
      </c>
    </row>
    <row r="56" spans="1:14" ht="15" customHeight="1" x14ac:dyDescent="0.25">
      <c r="A56" s="2" t="s">
        <v>225</v>
      </c>
      <c r="B56" s="17">
        <v>45955</v>
      </c>
      <c r="C56" s="2" t="s">
        <v>20</v>
      </c>
      <c r="D56" s="2" t="s">
        <v>24</v>
      </c>
      <c r="E56" s="2" t="s">
        <v>186</v>
      </c>
      <c r="F56" s="2" t="s">
        <v>156</v>
      </c>
      <c r="G56" s="2" t="s">
        <v>189</v>
      </c>
      <c r="H56" s="2" t="s">
        <v>152</v>
      </c>
      <c r="I56" s="2" t="s">
        <v>153</v>
      </c>
      <c r="J56" s="17">
        <v>45960</v>
      </c>
      <c r="K56" s="17">
        <v>45973</v>
      </c>
      <c r="L56" s="17"/>
      <c r="M56" s="17">
        <v>46008</v>
      </c>
      <c r="N56" s="18">
        <v>748.39</v>
      </c>
    </row>
    <row r="57" spans="1:14" ht="15" customHeight="1" x14ac:dyDescent="0.25">
      <c r="A57" s="2" t="s">
        <v>226</v>
      </c>
      <c r="B57" s="17">
        <v>45781</v>
      </c>
      <c r="C57" s="2" t="s">
        <v>22</v>
      </c>
      <c r="D57" s="2" t="s">
        <v>24</v>
      </c>
      <c r="E57" s="2" t="s">
        <v>149</v>
      </c>
      <c r="F57" s="2" t="s">
        <v>156</v>
      </c>
      <c r="G57" s="2" t="s">
        <v>165</v>
      </c>
      <c r="H57" s="2" t="s">
        <v>152</v>
      </c>
      <c r="I57" s="2" t="s">
        <v>153</v>
      </c>
      <c r="J57" s="17">
        <v>45789</v>
      </c>
      <c r="K57" s="17">
        <v>45799</v>
      </c>
      <c r="L57" s="17"/>
      <c r="M57" s="17">
        <v>45816</v>
      </c>
      <c r="N57" s="18">
        <v>1063.06</v>
      </c>
    </row>
    <row r="58" spans="1:14" ht="15" customHeight="1" x14ac:dyDescent="0.25">
      <c r="A58" s="2" t="s">
        <v>227</v>
      </c>
      <c r="B58" s="17">
        <v>45887</v>
      </c>
      <c r="C58" s="2" t="s">
        <v>20</v>
      </c>
      <c r="D58" s="2" t="s">
        <v>28</v>
      </c>
      <c r="E58" s="2" t="s">
        <v>149</v>
      </c>
      <c r="F58" s="2" t="s">
        <v>161</v>
      </c>
      <c r="G58" s="2" t="s">
        <v>189</v>
      </c>
      <c r="H58" s="2" t="s">
        <v>152</v>
      </c>
      <c r="I58" s="2" t="s">
        <v>153</v>
      </c>
      <c r="J58" s="17">
        <v>45888</v>
      </c>
      <c r="K58" s="17">
        <v>45898</v>
      </c>
      <c r="L58" s="17"/>
      <c r="M58" s="17">
        <v>45910</v>
      </c>
      <c r="N58" s="18">
        <v>2246.29</v>
      </c>
    </row>
    <row r="59" spans="1:14" ht="15" customHeight="1" x14ac:dyDescent="0.25">
      <c r="A59" s="2" t="s">
        <v>46</v>
      </c>
      <c r="B59" s="17">
        <v>45731</v>
      </c>
      <c r="C59" s="2" t="s">
        <v>22</v>
      </c>
      <c r="D59" s="2" t="s">
        <v>25</v>
      </c>
      <c r="E59" s="2" t="s">
        <v>160</v>
      </c>
      <c r="F59" s="2" t="s">
        <v>161</v>
      </c>
      <c r="G59" s="2" t="s">
        <v>165</v>
      </c>
      <c r="H59" s="2" t="s">
        <v>152</v>
      </c>
      <c r="I59" s="2" t="s">
        <v>163</v>
      </c>
      <c r="J59" s="17"/>
      <c r="K59" s="17"/>
      <c r="L59" s="17"/>
      <c r="M59" s="17">
        <v>45745</v>
      </c>
      <c r="N59" s="18">
        <v>2089.17</v>
      </c>
    </row>
    <row r="60" spans="1:14" ht="15" customHeight="1" x14ac:dyDescent="0.25">
      <c r="A60" s="2" t="s">
        <v>228</v>
      </c>
      <c r="B60" s="17">
        <v>45843</v>
      </c>
      <c r="C60" s="2" t="s">
        <v>19</v>
      </c>
      <c r="D60" s="2" t="s">
        <v>27</v>
      </c>
      <c r="E60" s="2" t="s">
        <v>149</v>
      </c>
      <c r="F60" s="2" t="s">
        <v>161</v>
      </c>
      <c r="G60" s="2" t="s">
        <v>179</v>
      </c>
      <c r="H60" s="2" t="s">
        <v>152</v>
      </c>
      <c r="I60" s="2" t="s">
        <v>153</v>
      </c>
      <c r="J60" s="17">
        <v>45848</v>
      </c>
      <c r="K60" s="17">
        <v>45856</v>
      </c>
      <c r="L60" s="17"/>
      <c r="M60" s="17">
        <v>45875</v>
      </c>
      <c r="N60" s="18">
        <v>2375.59</v>
      </c>
    </row>
    <row r="61" spans="1:14" ht="15" customHeight="1" x14ac:dyDescent="0.25">
      <c r="A61" s="2" t="s">
        <v>229</v>
      </c>
      <c r="B61" s="17">
        <v>45715</v>
      </c>
      <c r="C61" s="2" t="s">
        <v>22</v>
      </c>
      <c r="D61" s="2" t="s">
        <v>26</v>
      </c>
      <c r="E61" s="2" t="s">
        <v>186</v>
      </c>
      <c r="F61" s="2" t="s">
        <v>156</v>
      </c>
      <c r="G61" s="2" t="s">
        <v>165</v>
      </c>
      <c r="H61" s="2" t="s">
        <v>2</v>
      </c>
      <c r="I61" s="2" t="s">
        <v>153</v>
      </c>
      <c r="J61" s="17">
        <v>45723</v>
      </c>
      <c r="K61" s="17">
        <v>45730</v>
      </c>
      <c r="L61" s="17">
        <v>45757</v>
      </c>
      <c r="M61" s="17"/>
      <c r="N61" s="18">
        <v>710.84</v>
      </c>
    </row>
    <row r="62" spans="1:14" ht="15" customHeight="1" x14ac:dyDescent="0.25">
      <c r="A62" s="2" t="s">
        <v>230</v>
      </c>
      <c r="B62" s="17">
        <v>45754</v>
      </c>
      <c r="C62" s="2" t="s">
        <v>20</v>
      </c>
      <c r="D62" s="2" t="s">
        <v>24</v>
      </c>
      <c r="E62" s="2" t="s">
        <v>149</v>
      </c>
      <c r="F62" s="2" t="s">
        <v>156</v>
      </c>
      <c r="G62" s="2" t="s">
        <v>192</v>
      </c>
      <c r="H62" s="2" t="s">
        <v>152</v>
      </c>
      <c r="I62" s="2" t="s">
        <v>163</v>
      </c>
      <c r="J62" s="17"/>
      <c r="K62" s="17"/>
      <c r="L62" s="17"/>
      <c r="M62" s="17">
        <v>45762</v>
      </c>
      <c r="N62" s="18">
        <v>637.48</v>
      </c>
    </row>
    <row r="63" spans="1:14" ht="15" customHeight="1" x14ac:dyDescent="0.25">
      <c r="A63" s="2" t="s">
        <v>231</v>
      </c>
      <c r="B63" s="17">
        <v>45709</v>
      </c>
      <c r="C63" s="2" t="s">
        <v>20</v>
      </c>
      <c r="D63" s="2" t="s">
        <v>24</v>
      </c>
      <c r="E63" s="2" t="s">
        <v>155</v>
      </c>
      <c r="F63" s="2" t="s">
        <v>161</v>
      </c>
      <c r="G63" s="2" t="s">
        <v>189</v>
      </c>
      <c r="H63" s="2" t="s">
        <v>152</v>
      </c>
      <c r="I63" s="2" t="s">
        <v>163</v>
      </c>
      <c r="J63" s="17"/>
      <c r="K63" s="17"/>
      <c r="L63" s="17"/>
      <c r="M63" s="17">
        <v>45716</v>
      </c>
      <c r="N63" s="18">
        <v>1597.04</v>
      </c>
    </row>
    <row r="64" spans="1:14" ht="15" customHeight="1" x14ac:dyDescent="0.25">
      <c r="A64" s="2" t="s">
        <v>232</v>
      </c>
      <c r="B64" s="17">
        <v>45687</v>
      </c>
      <c r="C64" s="2" t="s">
        <v>22</v>
      </c>
      <c r="D64" s="2" t="s">
        <v>26</v>
      </c>
      <c r="E64" s="2" t="s">
        <v>149</v>
      </c>
      <c r="F64" s="2" t="s">
        <v>156</v>
      </c>
      <c r="G64" s="2" t="s">
        <v>151</v>
      </c>
      <c r="H64" s="2" t="s">
        <v>152</v>
      </c>
      <c r="I64" s="2" t="s">
        <v>153</v>
      </c>
      <c r="J64" s="17">
        <v>45694</v>
      </c>
      <c r="K64" s="17">
        <v>45699</v>
      </c>
      <c r="L64" s="17"/>
      <c r="M64" s="17">
        <v>45729</v>
      </c>
      <c r="N64" s="18">
        <v>756.66</v>
      </c>
    </row>
    <row r="65" spans="1:14" ht="15" customHeight="1" x14ac:dyDescent="0.25">
      <c r="A65" s="2" t="s">
        <v>233</v>
      </c>
      <c r="B65" s="17">
        <v>45953</v>
      </c>
      <c r="C65" s="2" t="s">
        <v>22</v>
      </c>
      <c r="D65" s="2" t="s">
        <v>26</v>
      </c>
      <c r="E65" s="2" t="s">
        <v>186</v>
      </c>
      <c r="F65" s="2" t="s">
        <v>156</v>
      </c>
      <c r="G65" s="2" t="s">
        <v>165</v>
      </c>
      <c r="H65" s="2" t="s">
        <v>152</v>
      </c>
      <c r="I65" s="2" t="s">
        <v>153</v>
      </c>
      <c r="J65" s="17">
        <v>45954</v>
      </c>
      <c r="K65" s="17">
        <v>45964</v>
      </c>
      <c r="L65" s="17"/>
      <c r="M65" s="17">
        <v>45975</v>
      </c>
      <c r="N65" s="18">
        <v>533.04999999999995</v>
      </c>
    </row>
    <row r="66" spans="1:14" ht="15" customHeight="1" x14ac:dyDescent="0.25">
      <c r="A66" s="2" t="s">
        <v>234</v>
      </c>
      <c r="B66" s="17">
        <v>45974</v>
      </c>
      <c r="C66" s="2" t="s">
        <v>20</v>
      </c>
      <c r="D66" s="2" t="s">
        <v>24</v>
      </c>
      <c r="E66" s="2" t="s">
        <v>155</v>
      </c>
      <c r="F66" s="2" t="s">
        <v>161</v>
      </c>
      <c r="G66" s="2" t="s">
        <v>192</v>
      </c>
      <c r="H66" s="2" t="s">
        <v>152</v>
      </c>
      <c r="I66" s="2" t="s">
        <v>153</v>
      </c>
      <c r="J66" s="17">
        <v>45980</v>
      </c>
      <c r="K66" s="17">
        <v>45983</v>
      </c>
      <c r="L66" s="17"/>
      <c r="M66" s="17">
        <v>46012</v>
      </c>
      <c r="N66" s="18">
        <v>2073.1</v>
      </c>
    </row>
    <row r="67" spans="1:14" ht="15" customHeight="1" x14ac:dyDescent="0.25">
      <c r="A67" s="2" t="s">
        <v>235</v>
      </c>
      <c r="B67" s="17">
        <v>45992</v>
      </c>
      <c r="C67" s="2" t="s">
        <v>22</v>
      </c>
      <c r="D67" s="2" t="s">
        <v>28</v>
      </c>
      <c r="E67" s="2" t="s">
        <v>186</v>
      </c>
      <c r="F67" s="2" t="s">
        <v>156</v>
      </c>
      <c r="G67" s="2" t="s">
        <v>165</v>
      </c>
      <c r="H67" s="2" t="s">
        <v>2</v>
      </c>
      <c r="I67" s="2" t="s">
        <v>153</v>
      </c>
      <c r="J67" s="17">
        <v>45997</v>
      </c>
      <c r="K67" s="17">
        <v>46010</v>
      </c>
      <c r="L67" s="17">
        <v>46021</v>
      </c>
      <c r="M67" s="17"/>
      <c r="N67" s="18">
        <v>565.82000000000005</v>
      </c>
    </row>
    <row r="68" spans="1:14" ht="15" customHeight="1" x14ac:dyDescent="0.25">
      <c r="A68" s="2" t="s">
        <v>236</v>
      </c>
      <c r="B68" s="17">
        <v>45724</v>
      </c>
      <c r="C68" s="2" t="s">
        <v>20</v>
      </c>
      <c r="D68" s="2" t="s">
        <v>28</v>
      </c>
      <c r="E68" s="2" t="s">
        <v>149</v>
      </c>
      <c r="F68" s="2" t="s">
        <v>156</v>
      </c>
      <c r="G68" s="2" t="s">
        <v>189</v>
      </c>
      <c r="H68" s="2" t="s">
        <v>152</v>
      </c>
      <c r="I68" s="2" t="s">
        <v>163</v>
      </c>
      <c r="J68" s="17"/>
      <c r="K68" s="17"/>
      <c r="L68" s="17"/>
      <c r="M68" s="17">
        <v>45735</v>
      </c>
      <c r="N68" s="18">
        <v>1009.09</v>
      </c>
    </row>
    <row r="69" spans="1:14" ht="15" customHeight="1" x14ac:dyDescent="0.25">
      <c r="A69" s="2" t="s">
        <v>237</v>
      </c>
      <c r="B69" s="17">
        <v>45799</v>
      </c>
      <c r="C69" s="2" t="s">
        <v>19</v>
      </c>
      <c r="D69" s="2" t="s">
        <v>25</v>
      </c>
      <c r="E69" s="2" t="s">
        <v>149</v>
      </c>
      <c r="F69" s="2" t="s">
        <v>156</v>
      </c>
      <c r="G69" s="2" t="s">
        <v>207</v>
      </c>
      <c r="H69" s="2" t="s">
        <v>152</v>
      </c>
      <c r="I69" s="2" t="s">
        <v>153</v>
      </c>
      <c r="J69" s="17">
        <v>45803</v>
      </c>
      <c r="K69" s="17"/>
      <c r="L69" s="17"/>
      <c r="M69" s="17">
        <v>45808</v>
      </c>
      <c r="N69" s="18">
        <v>605.79999999999995</v>
      </c>
    </row>
    <row r="70" spans="1:14" ht="15" customHeight="1" x14ac:dyDescent="0.25">
      <c r="A70" s="2" t="s">
        <v>238</v>
      </c>
      <c r="B70" s="17">
        <v>45879</v>
      </c>
      <c r="C70" s="2" t="s">
        <v>19</v>
      </c>
      <c r="D70" s="2" t="s">
        <v>25</v>
      </c>
      <c r="E70" s="2" t="s">
        <v>149</v>
      </c>
      <c r="F70" s="2" t="s">
        <v>156</v>
      </c>
      <c r="G70" s="2" t="s">
        <v>210</v>
      </c>
      <c r="H70" s="2" t="s">
        <v>152</v>
      </c>
      <c r="I70" s="2" t="s">
        <v>153</v>
      </c>
      <c r="J70" s="17">
        <v>45882</v>
      </c>
      <c r="K70" s="17">
        <v>45889</v>
      </c>
      <c r="L70" s="17"/>
      <c r="M70" s="17">
        <v>45911</v>
      </c>
      <c r="N70" s="18">
        <v>712.15</v>
      </c>
    </row>
    <row r="71" spans="1:14" ht="15" customHeight="1" x14ac:dyDescent="0.25">
      <c r="A71" s="2" t="s">
        <v>239</v>
      </c>
      <c r="B71" s="17">
        <v>45901</v>
      </c>
      <c r="C71" s="2" t="s">
        <v>21</v>
      </c>
      <c r="D71" s="2" t="s">
        <v>28</v>
      </c>
      <c r="E71" s="2" t="s">
        <v>149</v>
      </c>
      <c r="F71" s="2" t="s">
        <v>150</v>
      </c>
      <c r="G71" s="2" t="s">
        <v>162</v>
      </c>
      <c r="H71" s="2" t="s">
        <v>152</v>
      </c>
      <c r="I71" s="2" t="s">
        <v>163</v>
      </c>
      <c r="J71" s="17"/>
      <c r="K71" s="17"/>
      <c r="L71" s="17"/>
      <c r="M71" s="17">
        <v>45907</v>
      </c>
      <c r="N71" s="18">
        <v>6370.11</v>
      </c>
    </row>
    <row r="72" spans="1:14" ht="15" customHeight="1" x14ac:dyDescent="0.25">
      <c r="A72" s="2" t="s">
        <v>240</v>
      </c>
      <c r="B72" s="17">
        <v>45801</v>
      </c>
      <c r="C72" s="2" t="s">
        <v>20</v>
      </c>
      <c r="D72" s="2" t="s">
        <v>25</v>
      </c>
      <c r="E72" s="2" t="s">
        <v>149</v>
      </c>
      <c r="F72" s="2" t="s">
        <v>156</v>
      </c>
      <c r="G72" s="2" t="s">
        <v>189</v>
      </c>
      <c r="H72" s="2" t="s">
        <v>2</v>
      </c>
      <c r="I72" s="2" t="s">
        <v>153</v>
      </c>
      <c r="J72" s="17">
        <v>45809</v>
      </c>
      <c r="K72" s="17">
        <v>45811</v>
      </c>
      <c r="L72" s="17">
        <v>45828</v>
      </c>
      <c r="M72" s="17"/>
      <c r="N72" s="18">
        <v>601.64</v>
      </c>
    </row>
    <row r="73" spans="1:14" ht="15" customHeight="1" x14ac:dyDescent="0.25">
      <c r="A73" s="2" t="s">
        <v>241</v>
      </c>
      <c r="B73" s="17">
        <v>45802</v>
      </c>
      <c r="C73" s="2" t="s">
        <v>19</v>
      </c>
      <c r="D73" s="2" t="s">
        <v>25</v>
      </c>
      <c r="E73" s="2" t="s">
        <v>155</v>
      </c>
      <c r="F73" s="2" t="s">
        <v>156</v>
      </c>
      <c r="G73" s="2" t="s">
        <v>210</v>
      </c>
      <c r="H73" s="2" t="s">
        <v>152</v>
      </c>
      <c r="I73" s="2" t="s">
        <v>163</v>
      </c>
      <c r="J73" s="17"/>
      <c r="K73" s="17"/>
      <c r="L73" s="17"/>
      <c r="M73" s="17">
        <v>45809</v>
      </c>
      <c r="N73" s="18">
        <v>539.51</v>
      </c>
    </row>
    <row r="74" spans="1:14" ht="15" customHeight="1" x14ac:dyDescent="0.25">
      <c r="A74" s="2" t="s">
        <v>242</v>
      </c>
      <c r="B74" s="17">
        <v>46019</v>
      </c>
      <c r="C74" s="2" t="s">
        <v>20</v>
      </c>
      <c r="D74" s="2" t="s">
        <v>27</v>
      </c>
      <c r="E74" s="2" t="s">
        <v>160</v>
      </c>
      <c r="F74" s="2" t="s">
        <v>150</v>
      </c>
      <c r="G74" s="2" t="s">
        <v>167</v>
      </c>
      <c r="H74" s="2" t="s">
        <v>15</v>
      </c>
      <c r="I74" s="2" t="s">
        <v>153</v>
      </c>
      <c r="J74" s="17">
        <v>46020</v>
      </c>
      <c r="K74" s="17"/>
      <c r="L74" s="17"/>
      <c r="M74" s="17"/>
      <c r="N74" s="18">
        <v>6508.29</v>
      </c>
    </row>
    <row r="75" spans="1:14" ht="15" customHeight="1" x14ac:dyDescent="0.25">
      <c r="A75" s="2" t="s">
        <v>243</v>
      </c>
      <c r="B75" s="17">
        <v>45727</v>
      </c>
      <c r="C75" s="2" t="s">
        <v>22</v>
      </c>
      <c r="D75" s="2" t="s">
        <v>25</v>
      </c>
      <c r="E75" s="2" t="s">
        <v>160</v>
      </c>
      <c r="F75" s="2" t="s">
        <v>156</v>
      </c>
      <c r="G75" s="2" t="s">
        <v>165</v>
      </c>
      <c r="H75" s="2" t="s">
        <v>2</v>
      </c>
      <c r="I75" s="2" t="s">
        <v>153</v>
      </c>
      <c r="J75" s="17">
        <v>45734</v>
      </c>
      <c r="K75" s="17">
        <v>45742</v>
      </c>
      <c r="L75" s="17">
        <v>45769</v>
      </c>
      <c r="M75" s="17"/>
      <c r="N75" s="18">
        <v>594.28</v>
      </c>
    </row>
    <row r="76" spans="1:14" ht="15" customHeight="1" x14ac:dyDescent="0.25">
      <c r="A76" s="2" t="s">
        <v>244</v>
      </c>
      <c r="B76" s="17">
        <v>45977</v>
      </c>
      <c r="C76" s="2" t="s">
        <v>22</v>
      </c>
      <c r="D76" s="2" t="s">
        <v>25</v>
      </c>
      <c r="E76" s="2" t="s">
        <v>149</v>
      </c>
      <c r="F76" s="2" t="s">
        <v>156</v>
      </c>
      <c r="G76" s="2" t="s">
        <v>151</v>
      </c>
      <c r="H76" s="2" t="s">
        <v>152</v>
      </c>
      <c r="I76" s="2" t="s">
        <v>153</v>
      </c>
      <c r="J76" s="17">
        <v>45987</v>
      </c>
      <c r="K76" s="17">
        <v>45995</v>
      </c>
      <c r="L76" s="17"/>
      <c r="M76" s="17">
        <v>46007</v>
      </c>
      <c r="N76" s="18">
        <v>731.84</v>
      </c>
    </row>
    <row r="77" spans="1:14" ht="15" customHeight="1" x14ac:dyDescent="0.25">
      <c r="A77" s="2" t="s">
        <v>245</v>
      </c>
      <c r="B77" s="17">
        <v>45953</v>
      </c>
      <c r="C77" s="2" t="s">
        <v>20</v>
      </c>
      <c r="D77" s="2" t="s">
        <v>24</v>
      </c>
      <c r="E77" s="2" t="s">
        <v>186</v>
      </c>
      <c r="F77" s="2" t="s">
        <v>156</v>
      </c>
      <c r="G77" s="2" t="s">
        <v>167</v>
      </c>
      <c r="H77" s="2" t="s">
        <v>2</v>
      </c>
      <c r="I77" s="2" t="s">
        <v>153</v>
      </c>
      <c r="J77" s="17">
        <v>45961</v>
      </c>
      <c r="K77" s="17">
        <v>45963</v>
      </c>
      <c r="L77" s="17">
        <v>45989</v>
      </c>
      <c r="M77" s="17"/>
      <c r="N77" s="18">
        <v>755.27</v>
      </c>
    </row>
    <row r="78" spans="1:14" ht="15" customHeight="1" x14ac:dyDescent="0.25">
      <c r="A78" s="2" t="s">
        <v>246</v>
      </c>
      <c r="B78" s="17">
        <v>45776</v>
      </c>
      <c r="C78" s="2" t="s">
        <v>19</v>
      </c>
      <c r="D78" s="2" t="s">
        <v>26</v>
      </c>
      <c r="E78" s="2" t="s">
        <v>149</v>
      </c>
      <c r="F78" s="2" t="s">
        <v>161</v>
      </c>
      <c r="G78" s="2" t="s">
        <v>179</v>
      </c>
      <c r="H78" s="2" t="s">
        <v>2</v>
      </c>
      <c r="I78" s="2" t="s">
        <v>153</v>
      </c>
      <c r="J78" s="17">
        <v>45784</v>
      </c>
      <c r="K78" s="17">
        <v>45795</v>
      </c>
      <c r="L78" s="17">
        <v>45824</v>
      </c>
      <c r="M78" s="17"/>
      <c r="N78" s="18">
        <v>2303.13</v>
      </c>
    </row>
    <row r="79" spans="1:14" ht="15" customHeight="1" x14ac:dyDescent="0.25">
      <c r="A79" s="2" t="s">
        <v>247</v>
      </c>
      <c r="B79" s="17">
        <v>45694</v>
      </c>
      <c r="C79" s="2" t="s">
        <v>21</v>
      </c>
      <c r="D79" s="2" t="s">
        <v>26</v>
      </c>
      <c r="E79" s="2" t="s">
        <v>160</v>
      </c>
      <c r="F79" s="2" t="s">
        <v>161</v>
      </c>
      <c r="G79" s="2" t="s">
        <v>176</v>
      </c>
      <c r="H79" s="2" t="s">
        <v>152</v>
      </c>
      <c r="I79" s="2" t="s">
        <v>153</v>
      </c>
      <c r="J79" s="17">
        <v>45697</v>
      </c>
      <c r="K79" s="17"/>
      <c r="L79" s="17"/>
      <c r="M79" s="17">
        <v>45710</v>
      </c>
      <c r="N79" s="18">
        <v>3178.98</v>
      </c>
    </row>
    <row r="80" spans="1:14" ht="15" customHeight="1" x14ac:dyDescent="0.25">
      <c r="A80" s="2" t="s">
        <v>248</v>
      </c>
      <c r="B80" s="17">
        <v>45728</v>
      </c>
      <c r="C80" s="2" t="s">
        <v>20</v>
      </c>
      <c r="D80" s="2" t="s">
        <v>27</v>
      </c>
      <c r="E80" s="2" t="s">
        <v>186</v>
      </c>
      <c r="F80" s="2" t="s">
        <v>156</v>
      </c>
      <c r="G80" s="2" t="s">
        <v>189</v>
      </c>
      <c r="H80" s="2" t="s">
        <v>152</v>
      </c>
      <c r="I80" s="2" t="s">
        <v>153</v>
      </c>
      <c r="J80" s="17">
        <v>45734</v>
      </c>
      <c r="K80" s="17">
        <v>45749</v>
      </c>
      <c r="L80" s="17"/>
      <c r="M80" s="17">
        <v>45769</v>
      </c>
      <c r="N80" s="18">
        <v>806.31</v>
      </c>
    </row>
    <row r="81" spans="1:14" ht="15" customHeight="1" x14ac:dyDescent="0.25">
      <c r="A81" s="2" t="s">
        <v>249</v>
      </c>
      <c r="B81" s="17">
        <v>46013</v>
      </c>
      <c r="C81" s="2" t="s">
        <v>20</v>
      </c>
      <c r="D81" s="2" t="s">
        <v>26</v>
      </c>
      <c r="E81" s="2" t="s">
        <v>149</v>
      </c>
      <c r="F81" s="2" t="s">
        <v>156</v>
      </c>
      <c r="G81" s="2" t="s">
        <v>189</v>
      </c>
      <c r="H81" s="2" t="s">
        <v>190</v>
      </c>
      <c r="I81" s="2" t="s">
        <v>163</v>
      </c>
      <c r="J81" s="17"/>
      <c r="K81" s="17"/>
      <c r="L81" s="17"/>
      <c r="M81" s="17"/>
      <c r="N81" s="18">
        <v>655.97</v>
      </c>
    </row>
    <row r="82" spans="1:14" ht="15" customHeight="1" x14ac:dyDescent="0.25">
      <c r="A82" s="2" t="s">
        <v>250</v>
      </c>
      <c r="B82" s="17">
        <v>45799</v>
      </c>
      <c r="C82" s="2" t="s">
        <v>18</v>
      </c>
      <c r="D82" s="2" t="s">
        <v>27</v>
      </c>
      <c r="E82" s="2" t="s">
        <v>155</v>
      </c>
      <c r="F82" s="2" t="s">
        <v>161</v>
      </c>
      <c r="G82" s="2" t="s">
        <v>251</v>
      </c>
      <c r="H82" s="2" t="s">
        <v>152</v>
      </c>
      <c r="I82" s="2" t="s">
        <v>163</v>
      </c>
      <c r="J82" s="17"/>
      <c r="K82" s="17"/>
      <c r="L82" s="17"/>
      <c r="M82" s="17">
        <v>45810</v>
      </c>
      <c r="N82" s="18">
        <v>2172.06</v>
      </c>
    </row>
    <row r="83" spans="1:14" ht="15" customHeight="1" x14ac:dyDescent="0.25">
      <c r="A83" s="2" t="s">
        <v>252</v>
      </c>
      <c r="B83" s="17">
        <v>45977</v>
      </c>
      <c r="C83" s="2" t="s">
        <v>19</v>
      </c>
      <c r="D83" s="2" t="s">
        <v>24</v>
      </c>
      <c r="E83" s="2" t="s">
        <v>160</v>
      </c>
      <c r="F83" s="2" t="s">
        <v>156</v>
      </c>
      <c r="G83" s="2" t="s">
        <v>179</v>
      </c>
      <c r="H83" s="2" t="s">
        <v>152</v>
      </c>
      <c r="I83" s="2" t="s">
        <v>163</v>
      </c>
      <c r="J83" s="17"/>
      <c r="K83" s="17"/>
      <c r="L83" s="17"/>
      <c r="M83" s="17">
        <v>45992</v>
      </c>
      <c r="N83" s="18">
        <v>836.33</v>
      </c>
    </row>
    <row r="84" spans="1:14" ht="15" customHeight="1" x14ac:dyDescent="0.25">
      <c r="A84" s="2" t="s">
        <v>253</v>
      </c>
      <c r="B84" s="17">
        <v>45836</v>
      </c>
      <c r="C84" s="2" t="s">
        <v>21</v>
      </c>
      <c r="D84" s="2" t="s">
        <v>26</v>
      </c>
      <c r="E84" s="2" t="s">
        <v>186</v>
      </c>
      <c r="F84" s="2" t="s">
        <v>161</v>
      </c>
      <c r="G84" s="2" t="s">
        <v>176</v>
      </c>
      <c r="H84" s="2" t="s">
        <v>2</v>
      </c>
      <c r="I84" s="2" t="s">
        <v>153</v>
      </c>
      <c r="J84" s="17">
        <v>45843</v>
      </c>
      <c r="K84" s="17">
        <v>45855</v>
      </c>
      <c r="L84" s="17">
        <v>45879</v>
      </c>
      <c r="M84" s="17"/>
      <c r="N84" s="18">
        <v>2363.89</v>
      </c>
    </row>
    <row r="85" spans="1:14" ht="15" customHeight="1" x14ac:dyDescent="0.25">
      <c r="A85" s="2" t="s">
        <v>254</v>
      </c>
      <c r="B85" s="17">
        <v>45929</v>
      </c>
      <c r="C85" s="2" t="s">
        <v>19</v>
      </c>
      <c r="D85" s="2" t="s">
        <v>25</v>
      </c>
      <c r="E85" s="2" t="s">
        <v>149</v>
      </c>
      <c r="F85" s="2" t="s">
        <v>156</v>
      </c>
      <c r="G85" s="2" t="s">
        <v>179</v>
      </c>
      <c r="H85" s="2" t="s">
        <v>2</v>
      </c>
      <c r="I85" s="2" t="s">
        <v>153</v>
      </c>
      <c r="J85" s="17">
        <v>45930</v>
      </c>
      <c r="K85" s="17">
        <v>45940</v>
      </c>
      <c r="L85" s="17">
        <v>45963</v>
      </c>
      <c r="M85" s="17"/>
      <c r="N85" s="18">
        <v>1129.44</v>
      </c>
    </row>
    <row r="86" spans="1:14" ht="15" customHeight="1" x14ac:dyDescent="0.25">
      <c r="A86" s="2" t="s">
        <v>255</v>
      </c>
      <c r="B86" s="17">
        <v>45970</v>
      </c>
      <c r="C86" s="2" t="s">
        <v>20</v>
      </c>
      <c r="D86" s="2" t="s">
        <v>24</v>
      </c>
      <c r="E86" s="2" t="s">
        <v>149</v>
      </c>
      <c r="F86" s="2" t="s">
        <v>161</v>
      </c>
      <c r="G86" s="2" t="s">
        <v>192</v>
      </c>
      <c r="H86" s="2" t="s">
        <v>152</v>
      </c>
      <c r="I86" s="2" t="s">
        <v>163</v>
      </c>
      <c r="J86" s="17"/>
      <c r="K86" s="17"/>
      <c r="L86" s="17"/>
      <c r="M86" s="17">
        <v>45974</v>
      </c>
      <c r="N86" s="18">
        <v>2138.4</v>
      </c>
    </row>
    <row r="87" spans="1:14" ht="15" customHeight="1" x14ac:dyDescent="0.25">
      <c r="A87" s="2" t="s">
        <v>256</v>
      </c>
      <c r="B87" s="17">
        <v>45910</v>
      </c>
      <c r="C87" s="2" t="s">
        <v>20</v>
      </c>
      <c r="D87" s="2" t="s">
        <v>24</v>
      </c>
      <c r="E87" s="2" t="s">
        <v>160</v>
      </c>
      <c r="F87" s="2" t="s">
        <v>161</v>
      </c>
      <c r="G87" s="2" t="s">
        <v>167</v>
      </c>
      <c r="H87" s="2" t="s">
        <v>152</v>
      </c>
      <c r="I87" s="2" t="s">
        <v>153</v>
      </c>
      <c r="J87" s="17">
        <v>45918</v>
      </c>
      <c r="K87" s="17">
        <v>45922</v>
      </c>
      <c r="L87" s="17"/>
      <c r="M87" s="17">
        <v>45938</v>
      </c>
      <c r="N87" s="18">
        <v>2170.7600000000002</v>
      </c>
    </row>
    <row r="88" spans="1:14" ht="15" customHeight="1" x14ac:dyDescent="0.25">
      <c r="A88" s="2" t="s">
        <v>257</v>
      </c>
      <c r="B88" s="17">
        <v>45884</v>
      </c>
      <c r="C88" s="2" t="s">
        <v>22</v>
      </c>
      <c r="D88" s="2" t="s">
        <v>24</v>
      </c>
      <c r="E88" s="2" t="s">
        <v>155</v>
      </c>
      <c r="F88" s="2" t="s">
        <v>161</v>
      </c>
      <c r="G88" s="2" t="s">
        <v>170</v>
      </c>
      <c r="H88" s="2" t="s">
        <v>152</v>
      </c>
      <c r="I88" s="2" t="s">
        <v>163</v>
      </c>
      <c r="J88" s="17"/>
      <c r="K88" s="17"/>
      <c r="L88" s="17"/>
      <c r="M88" s="17">
        <v>45895</v>
      </c>
      <c r="N88" s="18">
        <v>1183.56</v>
      </c>
    </row>
    <row r="89" spans="1:14" ht="15" customHeight="1" x14ac:dyDescent="0.25">
      <c r="A89" s="2" t="s">
        <v>258</v>
      </c>
      <c r="B89" s="17">
        <v>45705</v>
      </c>
      <c r="C89" s="2" t="s">
        <v>20</v>
      </c>
      <c r="D89" s="2" t="s">
        <v>26</v>
      </c>
      <c r="E89" s="2" t="s">
        <v>149</v>
      </c>
      <c r="F89" s="2" t="s">
        <v>150</v>
      </c>
      <c r="G89" s="2" t="s">
        <v>192</v>
      </c>
      <c r="H89" s="2" t="s">
        <v>2</v>
      </c>
      <c r="I89" s="2" t="s">
        <v>153</v>
      </c>
      <c r="J89" s="17">
        <v>45709</v>
      </c>
      <c r="K89" s="17">
        <v>45720</v>
      </c>
      <c r="L89" s="17">
        <v>45746</v>
      </c>
      <c r="M89" s="17"/>
      <c r="N89" s="18">
        <v>6878.5</v>
      </c>
    </row>
    <row r="90" spans="1:14" ht="15" customHeight="1" x14ac:dyDescent="0.25">
      <c r="A90" s="2" t="s">
        <v>259</v>
      </c>
      <c r="B90" s="17">
        <v>45685</v>
      </c>
      <c r="C90" s="2" t="s">
        <v>21</v>
      </c>
      <c r="D90" s="2" t="s">
        <v>24</v>
      </c>
      <c r="E90" s="2" t="s">
        <v>160</v>
      </c>
      <c r="F90" s="2" t="s">
        <v>156</v>
      </c>
      <c r="G90" s="2" t="s">
        <v>162</v>
      </c>
      <c r="H90" s="2" t="s">
        <v>152</v>
      </c>
      <c r="I90" s="2" t="s">
        <v>163</v>
      </c>
      <c r="J90" s="17"/>
      <c r="K90" s="17"/>
      <c r="L90" s="17"/>
      <c r="M90" s="17">
        <v>45705</v>
      </c>
      <c r="N90" s="18">
        <v>719.91</v>
      </c>
    </row>
    <row r="91" spans="1:14" ht="15" customHeight="1" x14ac:dyDescent="0.25">
      <c r="A91" s="2" t="s">
        <v>260</v>
      </c>
      <c r="B91" s="17">
        <v>45719</v>
      </c>
      <c r="C91" s="2" t="s">
        <v>20</v>
      </c>
      <c r="D91" s="2" t="s">
        <v>26</v>
      </c>
      <c r="E91" s="2" t="s">
        <v>149</v>
      </c>
      <c r="F91" s="2" t="s">
        <v>161</v>
      </c>
      <c r="G91" s="2" t="s">
        <v>192</v>
      </c>
      <c r="H91" s="2" t="s">
        <v>2</v>
      </c>
      <c r="I91" s="2" t="s">
        <v>153</v>
      </c>
      <c r="J91" s="17">
        <v>45727</v>
      </c>
      <c r="K91" s="17">
        <v>45731</v>
      </c>
      <c r="L91" s="17">
        <v>45740</v>
      </c>
      <c r="M91" s="17"/>
      <c r="N91" s="18">
        <v>2560.4699999999998</v>
      </c>
    </row>
    <row r="92" spans="1:14" ht="15" customHeight="1" x14ac:dyDescent="0.25">
      <c r="A92" s="2" t="s">
        <v>261</v>
      </c>
      <c r="B92" s="17">
        <v>45785</v>
      </c>
      <c r="C92" s="2" t="s">
        <v>21</v>
      </c>
      <c r="D92" s="2" t="s">
        <v>26</v>
      </c>
      <c r="E92" s="2" t="s">
        <v>149</v>
      </c>
      <c r="F92" s="2" t="s">
        <v>150</v>
      </c>
      <c r="G92" s="2" t="s">
        <v>162</v>
      </c>
      <c r="H92" s="2" t="s">
        <v>2</v>
      </c>
      <c r="I92" s="2" t="s">
        <v>153</v>
      </c>
      <c r="J92" s="17">
        <v>45791</v>
      </c>
      <c r="K92" s="17">
        <v>45795</v>
      </c>
      <c r="L92" s="17">
        <v>45821</v>
      </c>
      <c r="M92" s="17"/>
      <c r="N92" s="18">
        <v>8785.69</v>
      </c>
    </row>
    <row r="93" spans="1:14" ht="15" customHeight="1" x14ac:dyDescent="0.25">
      <c r="A93" s="2" t="s">
        <v>262</v>
      </c>
      <c r="B93" s="17">
        <v>45969</v>
      </c>
      <c r="C93" s="2" t="s">
        <v>19</v>
      </c>
      <c r="D93" s="2" t="s">
        <v>25</v>
      </c>
      <c r="E93" s="2" t="s">
        <v>149</v>
      </c>
      <c r="F93" s="2" t="s">
        <v>161</v>
      </c>
      <c r="G93" s="2" t="s">
        <v>207</v>
      </c>
      <c r="H93" s="2" t="s">
        <v>2</v>
      </c>
      <c r="I93" s="2" t="s">
        <v>153</v>
      </c>
      <c r="J93" s="17">
        <v>45971</v>
      </c>
      <c r="K93" s="17">
        <v>45981</v>
      </c>
      <c r="L93" s="17">
        <v>46000</v>
      </c>
      <c r="M93" s="17"/>
      <c r="N93" s="18">
        <v>2533.19</v>
      </c>
    </row>
    <row r="94" spans="1:14" ht="15" customHeight="1" x14ac:dyDescent="0.25">
      <c r="A94" s="2" t="s">
        <v>263</v>
      </c>
      <c r="B94" s="17">
        <v>45774</v>
      </c>
      <c r="C94" s="2" t="s">
        <v>22</v>
      </c>
      <c r="D94" s="2" t="s">
        <v>25</v>
      </c>
      <c r="E94" s="2" t="s">
        <v>155</v>
      </c>
      <c r="F94" s="2" t="s">
        <v>161</v>
      </c>
      <c r="G94" s="2" t="s">
        <v>165</v>
      </c>
      <c r="H94" s="2" t="s">
        <v>152</v>
      </c>
      <c r="I94" s="2" t="s">
        <v>153</v>
      </c>
      <c r="J94" s="17">
        <v>45776</v>
      </c>
      <c r="K94" s="17">
        <v>45782</v>
      </c>
      <c r="L94" s="17"/>
      <c r="M94" s="17">
        <v>45811</v>
      </c>
      <c r="N94" s="18">
        <v>1526.09</v>
      </c>
    </row>
    <row r="95" spans="1:14" ht="15" customHeight="1" x14ac:dyDescent="0.25">
      <c r="A95" s="2" t="s">
        <v>264</v>
      </c>
      <c r="B95" s="17">
        <v>45709</v>
      </c>
      <c r="C95" s="2" t="s">
        <v>21</v>
      </c>
      <c r="D95" s="2" t="s">
        <v>25</v>
      </c>
      <c r="E95" s="2" t="s">
        <v>160</v>
      </c>
      <c r="F95" s="2" t="s">
        <v>156</v>
      </c>
      <c r="G95" s="2" t="s">
        <v>162</v>
      </c>
      <c r="H95" s="2" t="s">
        <v>2</v>
      </c>
      <c r="I95" s="2" t="s">
        <v>153</v>
      </c>
      <c r="J95" s="17">
        <v>45716</v>
      </c>
      <c r="K95" s="17">
        <v>45720</v>
      </c>
      <c r="L95" s="17">
        <v>45750</v>
      </c>
      <c r="M95" s="17"/>
      <c r="N95" s="18">
        <v>585.85</v>
      </c>
    </row>
    <row r="96" spans="1:14" ht="15" customHeight="1" x14ac:dyDescent="0.25">
      <c r="A96" s="2" t="s">
        <v>62</v>
      </c>
      <c r="B96" s="17">
        <v>45840</v>
      </c>
      <c r="C96" s="2" t="s">
        <v>19</v>
      </c>
      <c r="D96" s="2" t="s">
        <v>28</v>
      </c>
      <c r="E96" s="2" t="s">
        <v>186</v>
      </c>
      <c r="F96" s="2" t="s">
        <v>156</v>
      </c>
      <c r="G96" s="2" t="s">
        <v>265</v>
      </c>
      <c r="H96" s="2" t="s">
        <v>152</v>
      </c>
      <c r="I96" s="2" t="s">
        <v>153</v>
      </c>
      <c r="J96" s="17">
        <v>45843</v>
      </c>
      <c r="K96" s="17">
        <v>45844</v>
      </c>
      <c r="L96" s="17"/>
      <c r="M96" s="17">
        <v>45875</v>
      </c>
      <c r="N96" s="18">
        <v>758.49</v>
      </c>
    </row>
    <row r="97" spans="1:14" ht="15" customHeight="1" x14ac:dyDescent="0.25">
      <c r="A97" s="2" t="s">
        <v>266</v>
      </c>
      <c r="B97" s="17">
        <v>45708</v>
      </c>
      <c r="C97" s="2" t="s">
        <v>20</v>
      </c>
      <c r="D97" s="2" t="s">
        <v>28</v>
      </c>
      <c r="E97" s="2" t="s">
        <v>155</v>
      </c>
      <c r="F97" s="2" t="s">
        <v>161</v>
      </c>
      <c r="G97" s="2" t="s">
        <v>167</v>
      </c>
      <c r="H97" s="2" t="s">
        <v>152</v>
      </c>
      <c r="I97" s="2" t="s">
        <v>163</v>
      </c>
      <c r="J97" s="17"/>
      <c r="K97" s="17"/>
      <c r="L97" s="17"/>
      <c r="M97" s="17">
        <v>45724</v>
      </c>
      <c r="N97" s="18">
        <v>2180.35</v>
      </c>
    </row>
    <row r="98" spans="1:14" ht="15" customHeight="1" x14ac:dyDescent="0.25">
      <c r="A98" s="2" t="s">
        <v>267</v>
      </c>
      <c r="B98" s="17">
        <v>45929</v>
      </c>
      <c r="C98" s="2" t="s">
        <v>22</v>
      </c>
      <c r="D98" s="2" t="s">
        <v>27</v>
      </c>
      <c r="E98" s="2" t="s">
        <v>149</v>
      </c>
      <c r="F98" s="2" t="s">
        <v>150</v>
      </c>
      <c r="G98" s="2" t="s">
        <v>151</v>
      </c>
      <c r="H98" s="2" t="s">
        <v>152</v>
      </c>
      <c r="I98" s="2" t="s">
        <v>153</v>
      </c>
      <c r="J98" s="17">
        <v>45930</v>
      </c>
      <c r="K98" s="17">
        <v>45936</v>
      </c>
      <c r="L98" s="17"/>
      <c r="M98" s="17">
        <v>45958</v>
      </c>
      <c r="N98" s="18">
        <v>10544.29</v>
      </c>
    </row>
    <row r="99" spans="1:14" ht="15" customHeight="1" x14ac:dyDescent="0.25">
      <c r="A99" s="2" t="s">
        <v>268</v>
      </c>
      <c r="B99" s="17">
        <v>45922</v>
      </c>
      <c r="C99" s="2" t="s">
        <v>19</v>
      </c>
      <c r="D99" s="2" t="s">
        <v>26</v>
      </c>
      <c r="E99" s="2" t="s">
        <v>160</v>
      </c>
      <c r="F99" s="2" t="s">
        <v>161</v>
      </c>
      <c r="G99" s="2" t="s">
        <v>207</v>
      </c>
      <c r="H99" s="2" t="s">
        <v>152</v>
      </c>
      <c r="I99" s="2" t="s">
        <v>153</v>
      </c>
      <c r="J99" s="17">
        <v>45924</v>
      </c>
      <c r="K99" s="17">
        <v>45928</v>
      </c>
      <c r="L99" s="17"/>
      <c r="M99" s="17">
        <v>45947</v>
      </c>
      <c r="N99" s="18">
        <v>2747.99</v>
      </c>
    </row>
    <row r="100" spans="1:14" ht="15" customHeight="1" x14ac:dyDescent="0.25">
      <c r="A100" s="2" t="s">
        <v>269</v>
      </c>
      <c r="B100" s="17">
        <v>45724</v>
      </c>
      <c r="C100" s="2" t="s">
        <v>19</v>
      </c>
      <c r="D100" s="2" t="s">
        <v>26</v>
      </c>
      <c r="E100" s="2" t="s">
        <v>149</v>
      </c>
      <c r="F100" s="2" t="s">
        <v>161</v>
      </c>
      <c r="G100" s="2" t="s">
        <v>179</v>
      </c>
      <c r="H100" s="2" t="s">
        <v>152</v>
      </c>
      <c r="I100" s="2" t="s">
        <v>163</v>
      </c>
      <c r="J100" s="17"/>
      <c r="K100" s="17"/>
      <c r="L100" s="17"/>
      <c r="M100" s="17">
        <v>45741</v>
      </c>
      <c r="N100" s="18">
        <v>3072.84</v>
      </c>
    </row>
    <row r="101" spans="1:14" ht="15" customHeight="1" x14ac:dyDescent="0.25">
      <c r="A101" s="2" t="s">
        <v>270</v>
      </c>
      <c r="B101" s="17">
        <v>45755</v>
      </c>
      <c r="C101" s="2" t="s">
        <v>20</v>
      </c>
      <c r="D101" s="2" t="s">
        <v>26</v>
      </c>
      <c r="E101" s="2" t="s">
        <v>155</v>
      </c>
      <c r="F101" s="2" t="s">
        <v>150</v>
      </c>
      <c r="G101" s="2" t="s">
        <v>192</v>
      </c>
      <c r="H101" s="2" t="s">
        <v>152</v>
      </c>
      <c r="I101" s="2" t="s">
        <v>163</v>
      </c>
      <c r="J101" s="17"/>
      <c r="K101" s="17"/>
      <c r="L101" s="17"/>
      <c r="M101" s="17">
        <v>45759</v>
      </c>
      <c r="N101" s="18">
        <v>6251.43</v>
      </c>
    </row>
    <row r="102" spans="1:14" ht="15" customHeight="1" x14ac:dyDescent="0.25">
      <c r="A102" s="2" t="s">
        <v>271</v>
      </c>
      <c r="B102" s="17">
        <v>45823</v>
      </c>
      <c r="C102" s="2" t="s">
        <v>19</v>
      </c>
      <c r="D102" s="2" t="s">
        <v>24</v>
      </c>
      <c r="E102" s="2" t="s">
        <v>160</v>
      </c>
      <c r="F102" s="2" t="s">
        <v>161</v>
      </c>
      <c r="G102" s="2" t="s">
        <v>207</v>
      </c>
      <c r="H102" s="2" t="s">
        <v>152</v>
      </c>
      <c r="I102" s="2" t="s">
        <v>163</v>
      </c>
      <c r="J102" s="17"/>
      <c r="K102" s="17"/>
      <c r="L102" s="17"/>
      <c r="M102" s="17">
        <v>45830</v>
      </c>
      <c r="N102" s="18">
        <v>2390.8000000000002</v>
      </c>
    </row>
    <row r="103" spans="1:14" ht="15" customHeight="1" x14ac:dyDescent="0.25">
      <c r="A103" s="2" t="s">
        <v>272</v>
      </c>
      <c r="B103" s="17">
        <v>45983</v>
      </c>
      <c r="C103" s="2" t="s">
        <v>18</v>
      </c>
      <c r="D103" s="2" t="s">
        <v>26</v>
      </c>
      <c r="E103" s="2" t="s">
        <v>160</v>
      </c>
      <c r="F103" s="2" t="s">
        <v>150</v>
      </c>
      <c r="G103" s="2" t="s">
        <v>201</v>
      </c>
      <c r="H103" s="2" t="s">
        <v>152</v>
      </c>
      <c r="I103" s="2" t="s">
        <v>163</v>
      </c>
      <c r="J103" s="17"/>
      <c r="K103" s="17"/>
      <c r="L103" s="17"/>
      <c r="M103" s="17">
        <v>45999</v>
      </c>
      <c r="N103" s="18">
        <v>7292.17</v>
      </c>
    </row>
    <row r="104" spans="1:14" ht="15" customHeight="1" x14ac:dyDescent="0.25">
      <c r="A104" s="2" t="s">
        <v>273</v>
      </c>
      <c r="B104" s="17">
        <v>45689</v>
      </c>
      <c r="C104" s="2" t="s">
        <v>22</v>
      </c>
      <c r="D104" s="2" t="s">
        <v>26</v>
      </c>
      <c r="E104" s="2" t="s">
        <v>160</v>
      </c>
      <c r="F104" s="2" t="s">
        <v>156</v>
      </c>
      <c r="G104" s="2" t="s">
        <v>170</v>
      </c>
      <c r="H104" s="2" t="s">
        <v>152</v>
      </c>
      <c r="I104" s="2" t="s">
        <v>153</v>
      </c>
      <c r="J104" s="17">
        <v>45699</v>
      </c>
      <c r="K104" s="17">
        <v>45709</v>
      </c>
      <c r="L104" s="17"/>
      <c r="M104" s="17">
        <v>45716</v>
      </c>
      <c r="N104" s="18">
        <v>955.52</v>
      </c>
    </row>
    <row r="105" spans="1:14" ht="15" customHeight="1" x14ac:dyDescent="0.25">
      <c r="A105" s="2" t="s">
        <v>274</v>
      </c>
      <c r="B105" s="17">
        <v>45717</v>
      </c>
      <c r="C105" s="2" t="s">
        <v>20</v>
      </c>
      <c r="D105" s="2" t="s">
        <v>24</v>
      </c>
      <c r="E105" s="2" t="s">
        <v>160</v>
      </c>
      <c r="F105" s="2" t="s">
        <v>161</v>
      </c>
      <c r="G105" s="2" t="s">
        <v>167</v>
      </c>
      <c r="H105" s="2" t="s">
        <v>152</v>
      </c>
      <c r="I105" s="2" t="s">
        <v>153</v>
      </c>
      <c r="J105" s="17">
        <v>45720</v>
      </c>
      <c r="K105" s="17">
        <v>45727</v>
      </c>
      <c r="L105" s="17"/>
      <c r="M105" s="17">
        <v>45762</v>
      </c>
      <c r="N105" s="18">
        <v>2156.96</v>
      </c>
    </row>
    <row r="106" spans="1:14" ht="15" customHeight="1" x14ac:dyDescent="0.25">
      <c r="A106" s="2" t="s">
        <v>275</v>
      </c>
      <c r="B106" s="17">
        <v>45991</v>
      </c>
      <c r="C106" s="2" t="s">
        <v>21</v>
      </c>
      <c r="D106" s="2" t="s">
        <v>26</v>
      </c>
      <c r="E106" s="2" t="s">
        <v>155</v>
      </c>
      <c r="F106" s="2" t="s">
        <v>150</v>
      </c>
      <c r="G106" s="2" t="s">
        <v>176</v>
      </c>
      <c r="H106" s="2" t="s">
        <v>152</v>
      </c>
      <c r="I106" s="2" t="s">
        <v>163</v>
      </c>
      <c r="J106" s="17"/>
      <c r="K106" s="17"/>
      <c r="L106" s="17"/>
      <c r="M106" s="17">
        <v>45993</v>
      </c>
      <c r="N106" s="18">
        <v>7041.44</v>
      </c>
    </row>
    <row r="107" spans="1:14" ht="15" customHeight="1" x14ac:dyDescent="0.25">
      <c r="A107" s="2" t="s">
        <v>276</v>
      </c>
      <c r="B107" s="17">
        <v>45720</v>
      </c>
      <c r="C107" s="2" t="s">
        <v>19</v>
      </c>
      <c r="D107" s="2" t="s">
        <v>26</v>
      </c>
      <c r="E107" s="2" t="s">
        <v>155</v>
      </c>
      <c r="F107" s="2" t="s">
        <v>161</v>
      </c>
      <c r="G107" s="2" t="s">
        <v>179</v>
      </c>
      <c r="H107" s="2" t="s">
        <v>2</v>
      </c>
      <c r="I107" s="2" t="s">
        <v>153</v>
      </c>
      <c r="J107" s="17">
        <v>45723</v>
      </c>
      <c r="K107" s="17">
        <v>45736</v>
      </c>
      <c r="L107" s="17">
        <v>45761</v>
      </c>
      <c r="M107" s="17"/>
      <c r="N107" s="18">
        <v>2145.83</v>
      </c>
    </row>
    <row r="108" spans="1:14" ht="15" customHeight="1" x14ac:dyDescent="0.25">
      <c r="A108" s="2" t="s">
        <v>277</v>
      </c>
      <c r="B108" s="17">
        <v>45879</v>
      </c>
      <c r="C108" s="2" t="s">
        <v>21</v>
      </c>
      <c r="D108" s="2" t="s">
        <v>25</v>
      </c>
      <c r="E108" s="2" t="s">
        <v>186</v>
      </c>
      <c r="F108" s="2" t="s">
        <v>150</v>
      </c>
      <c r="G108" s="2" t="s">
        <v>183</v>
      </c>
      <c r="H108" s="2" t="s">
        <v>152</v>
      </c>
      <c r="I108" s="2" t="s">
        <v>153</v>
      </c>
      <c r="J108" s="17">
        <v>45885</v>
      </c>
      <c r="K108" s="17">
        <v>45891</v>
      </c>
      <c r="L108" s="17"/>
      <c r="M108" s="17">
        <v>45922</v>
      </c>
      <c r="N108" s="18">
        <v>7671.04</v>
      </c>
    </row>
    <row r="109" spans="1:14" ht="15" customHeight="1" x14ac:dyDescent="0.25">
      <c r="A109" s="2" t="s">
        <v>278</v>
      </c>
      <c r="B109" s="17">
        <v>45834</v>
      </c>
      <c r="C109" s="2" t="s">
        <v>21</v>
      </c>
      <c r="D109" s="2" t="s">
        <v>26</v>
      </c>
      <c r="E109" s="2" t="s">
        <v>160</v>
      </c>
      <c r="F109" s="2" t="s">
        <v>156</v>
      </c>
      <c r="G109" s="2" t="s">
        <v>162</v>
      </c>
      <c r="H109" s="2" t="s">
        <v>2</v>
      </c>
      <c r="I109" s="2" t="s">
        <v>153</v>
      </c>
      <c r="J109" s="17">
        <v>45838</v>
      </c>
      <c r="K109" s="17">
        <v>45840</v>
      </c>
      <c r="L109" s="17">
        <v>45869</v>
      </c>
      <c r="M109" s="17"/>
      <c r="N109" s="18">
        <v>921.4</v>
      </c>
    </row>
    <row r="110" spans="1:14" ht="15" customHeight="1" x14ac:dyDescent="0.25">
      <c r="A110" s="2" t="s">
        <v>279</v>
      </c>
      <c r="B110" s="17">
        <v>45823</v>
      </c>
      <c r="C110" s="2" t="s">
        <v>19</v>
      </c>
      <c r="D110" s="2" t="s">
        <v>27</v>
      </c>
      <c r="E110" s="2" t="s">
        <v>186</v>
      </c>
      <c r="F110" s="2" t="s">
        <v>161</v>
      </c>
      <c r="G110" s="2" t="s">
        <v>207</v>
      </c>
      <c r="H110" s="2" t="s">
        <v>152</v>
      </c>
      <c r="I110" s="2" t="s">
        <v>153</v>
      </c>
      <c r="J110" s="17">
        <v>45824</v>
      </c>
      <c r="K110" s="17">
        <v>45831</v>
      </c>
      <c r="L110" s="17"/>
      <c r="M110" s="17">
        <v>45845</v>
      </c>
      <c r="N110" s="18">
        <v>1843.1</v>
      </c>
    </row>
    <row r="111" spans="1:14" ht="15" customHeight="1" x14ac:dyDescent="0.25">
      <c r="A111" s="2" t="s">
        <v>280</v>
      </c>
      <c r="B111" s="17">
        <v>45957</v>
      </c>
      <c r="C111" s="2" t="s">
        <v>18</v>
      </c>
      <c r="D111" s="2" t="s">
        <v>25</v>
      </c>
      <c r="E111" s="2" t="s">
        <v>160</v>
      </c>
      <c r="F111" s="2" t="s">
        <v>161</v>
      </c>
      <c r="G111" s="2" t="s">
        <v>157</v>
      </c>
      <c r="H111" s="2" t="s">
        <v>2</v>
      </c>
      <c r="I111" s="2" t="s">
        <v>153</v>
      </c>
      <c r="J111" s="17">
        <v>45964</v>
      </c>
      <c r="K111" s="17">
        <v>45979</v>
      </c>
      <c r="L111" s="17">
        <v>45985</v>
      </c>
      <c r="M111" s="17"/>
      <c r="N111" s="18">
        <v>2768.87</v>
      </c>
    </row>
    <row r="112" spans="1:14" ht="15" customHeight="1" x14ac:dyDescent="0.25">
      <c r="A112" s="2" t="s">
        <v>281</v>
      </c>
      <c r="B112" s="17">
        <v>45808</v>
      </c>
      <c r="C112" s="2" t="s">
        <v>18</v>
      </c>
      <c r="D112" s="2" t="s">
        <v>28</v>
      </c>
      <c r="E112" s="2" t="s">
        <v>149</v>
      </c>
      <c r="F112" s="2" t="s">
        <v>156</v>
      </c>
      <c r="G112" s="2" t="s">
        <v>201</v>
      </c>
      <c r="H112" s="2" t="s">
        <v>152</v>
      </c>
      <c r="I112" s="2" t="s">
        <v>153</v>
      </c>
      <c r="J112" s="17">
        <v>45814</v>
      </c>
      <c r="K112" s="17">
        <v>45821</v>
      </c>
      <c r="L112" s="17"/>
      <c r="M112" s="17">
        <v>45829</v>
      </c>
      <c r="N112" s="18">
        <v>760.15</v>
      </c>
    </row>
    <row r="113" spans="1:14" ht="15" customHeight="1" x14ac:dyDescent="0.25">
      <c r="A113" s="2" t="s">
        <v>282</v>
      </c>
      <c r="B113" s="17">
        <v>45764</v>
      </c>
      <c r="C113" s="2" t="s">
        <v>20</v>
      </c>
      <c r="D113" s="2" t="s">
        <v>27</v>
      </c>
      <c r="E113" s="2" t="s">
        <v>160</v>
      </c>
      <c r="F113" s="2" t="s">
        <v>150</v>
      </c>
      <c r="G113" s="2" t="s">
        <v>167</v>
      </c>
      <c r="H113" s="2" t="s">
        <v>152</v>
      </c>
      <c r="I113" s="2" t="s">
        <v>163</v>
      </c>
      <c r="J113" s="17"/>
      <c r="K113" s="17"/>
      <c r="L113" s="17"/>
      <c r="M113" s="17">
        <v>45775</v>
      </c>
      <c r="N113" s="18">
        <v>6400.35</v>
      </c>
    </row>
    <row r="114" spans="1:14" ht="15" customHeight="1" x14ac:dyDescent="0.25">
      <c r="A114" s="2" t="s">
        <v>283</v>
      </c>
      <c r="B114" s="17">
        <v>45857</v>
      </c>
      <c r="C114" s="2" t="s">
        <v>19</v>
      </c>
      <c r="D114" s="2" t="s">
        <v>25</v>
      </c>
      <c r="E114" s="2" t="s">
        <v>149</v>
      </c>
      <c r="F114" s="2" t="s">
        <v>161</v>
      </c>
      <c r="G114" s="2" t="s">
        <v>179</v>
      </c>
      <c r="H114" s="2" t="s">
        <v>2</v>
      </c>
      <c r="I114" s="2" t="s">
        <v>153</v>
      </c>
      <c r="J114" s="17">
        <v>45861</v>
      </c>
      <c r="K114" s="17">
        <v>45869</v>
      </c>
      <c r="L114" s="17">
        <v>45891</v>
      </c>
      <c r="M114" s="17"/>
      <c r="N114" s="18">
        <v>2084.0500000000002</v>
      </c>
    </row>
    <row r="115" spans="1:14" ht="15" customHeight="1" x14ac:dyDescent="0.25">
      <c r="A115" s="2" t="s">
        <v>284</v>
      </c>
      <c r="B115" s="17">
        <v>45848</v>
      </c>
      <c r="C115" s="2" t="s">
        <v>19</v>
      </c>
      <c r="D115" s="2" t="s">
        <v>25</v>
      </c>
      <c r="E115" s="2" t="s">
        <v>149</v>
      </c>
      <c r="F115" s="2" t="s">
        <v>161</v>
      </c>
      <c r="G115" s="2" t="s">
        <v>179</v>
      </c>
      <c r="H115" s="2" t="s">
        <v>2</v>
      </c>
      <c r="I115" s="2" t="s">
        <v>153</v>
      </c>
      <c r="J115" s="17">
        <v>45857</v>
      </c>
      <c r="K115" s="17">
        <v>45860</v>
      </c>
      <c r="L115" s="17">
        <v>45879</v>
      </c>
      <c r="M115" s="17"/>
      <c r="N115" s="18">
        <v>2684.85</v>
      </c>
    </row>
    <row r="116" spans="1:14" ht="15" customHeight="1" x14ac:dyDescent="0.25">
      <c r="A116" s="2" t="s">
        <v>285</v>
      </c>
      <c r="B116" s="17">
        <v>45783</v>
      </c>
      <c r="C116" s="2" t="s">
        <v>21</v>
      </c>
      <c r="D116" s="2" t="s">
        <v>27</v>
      </c>
      <c r="E116" s="2" t="s">
        <v>149</v>
      </c>
      <c r="F116" s="2" t="s">
        <v>150</v>
      </c>
      <c r="G116" s="2" t="s">
        <v>162</v>
      </c>
      <c r="H116" s="2" t="s">
        <v>2</v>
      </c>
      <c r="I116" s="2" t="s">
        <v>153</v>
      </c>
      <c r="J116" s="17">
        <v>45793</v>
      </c>
      <c r="K116" s="17">
        <v>45794</v>
      </c>
      <c r="L116" s="17">
        <v>45801</v>
      </c>
      <c r="M116" s="17"/>
      <c r="N116" s="18">
        <v>10631.28</v>
      </c>
    </row>
    <row r="117" spans="1:14" ht="15" customHeight="1" x14ac:dyDescent="0.25">
      <c r="A117" s="2" t="s">
        <v>286</v>
      </c>
      <c r="B117" s="17">
        <v>45738</v>
      </c>
      <c r="C117" s="2" t="s">
        <v>20</v>
      </c>
      <c r="D117" s="2" t="s">
        <v>25</v>
      </c>
      <c r="E117" s="2" t="s">
        <v>186</v>
      </c>
      <c r="F117" s="2" t="s">
        <v>150</v>
      </c>
      <c r="G117" s="2" t="s">
        <v>189</v>
      </c>
      <c r="H117" s="2" t="s">
        <v>152</v>
      </c>
      <c r="I117" s="2" t="s">
        <v>163</v>
      </c>
      <c r="J117" s="17"/>
      <c r="K117" s="17"/>
      <c r="L117" s="17"/>
      <c r="M117" s="17">
        <v>45752</v>
      </c>
      <c r="N117" s="18">
        <v>5921.54</v>
      </c>
    </row>
    <row r="118" spans="1:14" ht="15" customHeight="1" x14ac:dyDescent="0.25">
      <c r="A118" s="2" t="s">
        <v>287</v>
      </c>
      <c r="B118" s="17">
        <v>45891</v>
      </c>
      <c r="C118" s="2" t="s">
        <v>22</v>
      </c>
      <c r="D118" s="2" t="s">
        <v>27</v>
      </c>
      <c r="E118" s="2" t="s">
        <v>186</v>
      </c>
      <c r="F118" s="2" t="s">
        <v>156</v>
      </c>
      <c r="G118" s="2" t="s">
        <v>151</v>
      </c>
      <c r="H118" s="2" t="s">
        <v>2</v>
      </c>
      <c r="I118" s="2" t="s">
        <v>153</v>
      </c>
      <c r="J118" s="17">
        <v>45898</v>
      </c>
      <c r="K118" s="17">
        <v>45908</v>
      </c>
      <c r="L118" s="17">
        <v>45936</v>
      </c>
      <c r="M118" s="17"/>
      <c r="N118" s="18">
        <v>843.9</v>
      </c>
    </row>
    <row r="119" spans="1:14" ht="15" customHeight="1" x14ac:dyDescent="0.25">
      <c r="A119" s="2" t="s">
        <v>288</v>
      </c>
      <c r="B119" s="17">
        <v>45809</v>
      </c>
      <c r="C119" s="2" t="s">
        <v>20</v>
      </c>
      <c r="D119" s="2" t="s">
        <v>27</v>
      </c>
      <c r="E119" s="2" t="s">
        <v>149</v>
      </c>
      <c r="F119" s="2" t="s">
        <v>156</v>
      </c>
      <c r="G119" s="2" t="s">
        <v>192</v>
      </c>
      <c r="H119" s="2" t="s">
        <v>152</v>
      </c>
      <c r="I119" s="2" t="s">
        <v>153</v>
      </c>
      <c r="J119" s="17">
        <v>45814</v>
      </c>
      <c r="K119" s="17"/>
      <c r="L119" s="17"/>
      <c r="M119" s="17">
        <v>45825</v>
      </c>
      <c r="N119" s="18">
        <v>608.58000000000004</v>
      </c>
    </row>
    <row r="120" spans="1:14" ht="15" customHeight="1" x14ac:dyDescent="0.25">
      <c r="A120" s="2" t="s">
        <v>289</v>
      </c>
      <c r="B120" s="17">
        <v>45792</v>
      </c>
      <c r="C120" s="2" t="s">
        <v>22</v>
      </c>
      <c r="D120" s="2" t="s">
        <v>28</v>
      </c>
      <c r="E120" s="2" t="s">
        <v>186</v>
      </c>
      <c r="F120" s="2" t="s">
        <v>161</v>
      </c>
      <c r="G120" s="2" t="s">
        <v>170</v>
      </c>
      <c r="H120" s="2" t="s">
        <v>152</v>
      </c>
      <c r="I120" s="2" t="s">
        <v>153</v>
      </c>
      <c r="J120" s="17">
        <v>45799</v>
      </c>
      <c r="K120" s="17"/>
      <c r="L120" s="17"/>
      <c r="M120" s="17">
        <v>45810</v>
      </c>
      <c r="N120" s="18">
        <v>2219.6799999999998</v>
      </c>
    </row>
    <row r="121" spans="1:14" ht="15" customHeight="1" x14ac:dyDescent="0.25">
      <c r="A121" s="2" t="s">
        <v>290</v>
      </c>
      <c r="B121" s="17">
        <v>45916</v>
      </c>
      <c r="C121" s="2" t="s">
        <v>19</v>
      </c>
      <c r="D121" s="2" t="s">
        <v>24</v>
      </c>
      <c r="E121" s="2" t="s">
        <v>155</v>
      </c>
      <c r="F121" s="2" t="s">
        <v>156</v>
      </c>
      <c r="G121" s="2" t="s">
        <v>210</v>
      </c>
      <c r="H121" s="2" t="s">
        <v>152</v>
      </c>
      <c r="I121" s="2" t="s">
        <v>163</v>
      </c>
      <c r="J121" s="17"/>
      <c r="K121" s="17"/>
      <c r="L121" s="17"/>
      <c r="M121" s="17">
        <v>45936</v>
      </c>
      <c r="N121" s="18">
        <v>556.91999999999996</v>
      </c>
    </row>
    <row r="122" spans="1:14" ht="15" customHeight="1" x14ac:dyDescent="0.25">
      <c r="A122" s="2" t="s">
        <v>291</v>
      </c>
      <c r="B122" s="17">
        <v>45882</v>
      </c>
      <c r="C122" s="2" t="s">
        <v>19</v>
      </c>
      <c r="D122" s="2" t="s">
        <v>24</v>
      </c>
      <c r="E122" s="2" t="s">
        <v>149</v>
      </c>
      <c r="F122" s="2" t="s">
        <v>156</v>
      </c>
      <c r="G122" s="2" t="s">
        <v>210</v>
      </c>
      <c r="H122" s="2" t="s">
        <v>152</v>
      </c>
      <c r="I122" s="2" t="s">
        <v>163</v>
      </c>
      <c r="J122" s="17"/>
      <c r="K122" s="17"/>
      <c r="L122" s="17"/>
      <c r="M122" s="17">
        <v>45898</v>
      </c>
      <c r="N122" s="18">
        <v>1037.78</v>
      </c>
    </row>
    <row r="123" spans="1:14" ht="15" customHeight="1" x14ac:dyDescent="0.25">
      <c r="A123" s="2" t="s">
        <v>292</v>
      </c>
      <c r="B123" s="17">
        <v>45957</v>
      </c>
      <c r="C123" s="2" t="s">
        <v>22</v>
      </c>
      <c r="D123" s="2" t="s">
        <v>24</v>
      </c>
      <c r="E123" s="2" t="s">
        <v>155</v>
      </c>
      <c r="F123" s="2" t="s">
        <v>161</v>
      </c>
      <c r="G123" s="2" t="s">
        <v>170</v>
      </c>
      <c r="H123" s="2" t="s">
        <v>152</v>
      </c>
      <c r="I123" s="2" t="s">
        <v>163</v>
      </c>
      <c r="J123" s="17"/>
      <c r="K123" s="17"/>
      <c r="L123" s="17"/>
      <c r="M123" s="17">
        <v>45959</v>
      </c>
      <c r="N123" s="18">
        <v>2142.3200000000002</v>
      </c>
    </row>
    <row r="124" spans="1:14" ht="15" customHeight="1" x14ac:dyDescent="0.25">
      <c r="A124" s="2" t="s">
        <v>293</v>
      </c>
      <c r="B124" s="17">
        <v>45876</v>
      </c>
      <c r="C124" s="2" t="s">
        <v>21</v>
      </c>
      <c r="D124" s="2" t="s">
        <v>28</v>
      </c>
      <c r="E124" s="2" t="s">
        <v>149</v>
      </c>
      <c r="F124" s="2" t="s">
        <v>156</v>
      </c>
      <c r="G124" s="2" t="s">
        <v>176</v>
      </c>
      <c r="H124" s="2" t="s">
        <v>152</v>
      </c>
      <c r="I124" s="2" t="s">
        <v>163</v>
      </c>
      <c r="J124" s="17"/>
      <c r="K124" s="17"/>
      <c r="L124" s="17"/>
      <c r="M124" s="17">
        <v>45882</v>
      </c>
      <c r="N124" s="18">
        <v>1044.74</v>
      </c>
    </row>
    <row r="125" spans="1:14" ht="15" customHeight="1" x14ac:dyDescent="0.25">
      <c r="A125" s="2" t="s">
        <v>294</v>
      </c>
      <c r="B125" s="17">
        <v>45739</v>
      </c>
      <c r="C125" s="2" t="s">
        <v>19</v>
      </c>
      <c r="D125" s="2" t="s">
        <v>28</v>
      </c>
      <c r="E125" s="2" t="s">
        <v>149</v>
      </c>
      <c r="F125" s="2" t="s">
        <v>156</v>
      </c>
      <c r="G125" s="2" t="s">
        <v>179</v>
      </c>
      <c r="H125" s="2" t="s">
        <v>152</v>
      </c>
      <c r="I125" s="2" t="s">
        <v>163</v>
      </c>
      <c r="J125" s="17"/>
      <c r="K125" s="17"/>
      <c r="L125" s="17"/>
      <c r="M125" s="17">
        <v>45758</v>
      </c>
      <c r="N125" s="18">
        <v>811.05</v>
      </c>
    </row>
    <row r="126" spans="1:14" ht="15" customHeight="1" x14ac:dyDescent="0.25">
      <c r="A126" s="2" t="s">
        <v>295</v>
      </c>
      <c r="B126" s="17">
        <v>45919</v>
      </c>
      <c r="C126" s="2" t="s">
        <v>18</v>
      </c>
      <c r="D126" s="2" t="s">
        <v>26</v>
      </c>
      <c r="E126" s="2" t="s">
        <v>149</v>
      </c>
      <c r="F126" s="2" t="s">
        <v>150</v>
      </c>
      <c r="G126" s="2" t="s">
        <v>157</v>
      </c>
      <c r="H126" s="2" t="s">
        <v>152</v>
      </c>
      <c r="I126" s="2" t="s">
        <v>153</v>
      </c>
      <c r="J126" s="17">
        <v>45926</v>
      </c>
      <c r="K126" s="17">
        <v>45939</v>
      </c>
      <c r="L126" s="17"/>
      <c r="M126" s="17">
        <v>45948</v>
      </c>
      <c r="N126" s="18">
        <v>10026.540000000001</v>
      </c>
    </row>
    <row r="127" spans="1:14" ht="15" customHeight="1" x14ac:dyDescent="0.25">
      <c r="A127" s="2" t="s">
        <v>296</v>
      </c>
      <c r="B127" s="17">
        <v>45776</v>
      </c>
      <c r="C127" s="2" t="s">
        <v>21</v>
      </c>
      <c r="D127" s="2" t="s">
        <v>26</v>
      </c>
      <c r="E127" s="2" t="s">
        <v>155</v>
      </c>
      <c r="F127" s="2" t="s">
        <v>156</v>
      </c>
      <c r="G127" s="2" t="s">
        <v>162</v>
      </c>
      <c r="H127" s="2" t="s">
        <v>152</v>
      </c>
      <c r="I127" s="2" t="s">
        <v>163</v>
      </c>
      <c r="J127" s="17"/>
      <c r="K127" s="17"/>
      <c r="L127" s="17"/>
      <c r="M127" s="17">
        <v>45793</v>
      </c>
      <c r="N127" s="18">
        <v>416.26</v>
      </c>
    </row>
    <row r="128" spans="1:14" ht="15" customHeight="1" x14ac:dyDescent="0.25">
      <c r="A128" s="2" t="s">
        <v>297</v>
      </c>
      <c r="B128" s="17">
        <v>45727</v>
      </c>
      <c r="C128" s="2" t="s">
        <v>20</v>
      </c>
      <c r="D128" s="2" t="s">
        <v>28</v>
      </c>
      <c r="E128" s="2" t="s">
        <v>149</v>
      </c>
      <c r="F128" s="2" t="s">
        <v>156</v>
      </c>
      <c r="G128" s="2" t="s">
        <v>167</v>
      </c>
      <c r="H128" s="2" t="s">
        <v>2</v>
      </c>
      <c r="I128" s="2" t="s">
        <v>153</v>
      </c>
      <c r="J128" s="17">
        <v>45728</v>
      </c>
      <c r="K128" s="17">
        <v>45736</v>
      </c>
      <c r="L128" s="17">
        <v>45763</v>
      </c>
      <c r="M128" s="17"/>
      <c r="N128" s="18">
        <v>1012.09</v>
      </c>
    </row>
    <row r="129" spans="1:14" ht="15" customHeight="1" x14ac:dyDescent="0.25">
      <c r="A129" s="2" t="s">
        <v>298</v>
      </c>
      <c r="B129" s="17">
        <v>45920</v>
      </c>
      <c r="C129" s="2" t="s">
        <v>20</v>
      </c>
      <c r="D129" s="2" t="s">
        <v>26</v>
      </c>
      <c r="E129" s="2" t="s">
        <v>149</v>
      </c>
      <c r="F129" s="2" t="s">
        <v>150</v>
      </c>
      <c r="G129" s="2" t="s">
        <v>192</v>
      </c>
      <c r="H129" s="2" t="s">
        <v>2</v>
      </c>
      <c r="I129" s="2" t="s">
        <v>153</v>
      </c>
      <c r="J129" s="17">
        <v>45925</v>
      </c>
      <c r="K129" s="17">
        <v>45932</v>
      </c>
      <c r="L129" s="17">
        <v>45941</v>
      </c>
      <c r="M129" s="17"/>
      <c r="N129" s="18">
        <v>10550.44</v>
      </c>
    </row>
    <row r="130" spans="1:14" ht="15" customHeight="1" x14ac:dyDescent="0.25">
      <c r="A130" s="2" t="s">
        <v>299</v>
      </c>
      <c r="B130" s="17">
        <v>45861</v>
      </c>
      <c r="C130" s="2" t="s">
        <v>19</v>
      </c>
      <c r="D130" s="2" t="s">
        <v>27</v>
      </c>
      <c r="E130" s="2" t="s">
        <v>160</v>
      </c>
      <c r="F130" s="2" t="s">
        <v>161</v>
      </c>
      <c r="G130" s="2" t="s">
        <v>210</v>
      </c>
      <c r="H130" s="2" t="s">
        <v>152</v>
      </c>
      <c r="I130" s="2" t="s">
        <v>163</v>
      </c>
      <c r="J130" s="17"/>
      <c r="K130" s="17"/>
      <c r="L130" s="17"/>
      <c r="M130" s="17">
        <v>45866</v>
      </c>
      <c r="N130" s="18">
        <v>2609.96</v>
      </c>
    </row>
    <row r="131" spans="1:14" ht="15" customHeight="1" x14ac:dyDescent="0.25">
      <c r="A131" s="2" t="s">
        <v>300</v>
      </c>
      <c r="B131" s="17">
        <v>45948</v>
      </c>
      <c r="C131" s="2" t="s">
        <v>19</v>
      </c>
      <c r="D131" s="2" t="s">
        <v>28</v>
      </c>
      <c r="E131" s="2" t="s">
        <v>149</v>
      </c>
      <c r="F131" s="2" t="s">
        <v>156</v>
      </c>
      <c r="G131" s="2" t="s">
        <v>179</v>
      </c>
      <c r="H131" s="2" t="s">
        <v>152</v>
      </c>
      <c r="I131" s="2" t="s">
        <v>163</v>
      </c>
      <c r="J131" s="17"/>
      <c r="K131" s="17"/>
      <c r="L131" s="17"/>
      <c r="M131" s="17">
        <v>45950</v>
      </c>
      <c r="N131" s="18">
        <v>1101.23</v>
      </c>
    </row>
    <row r="132" spans="1:14" ht="15" customHeight="1" x14ac:dyDescent="0.25">
      <c r="A132" s="2" t="s">
        <v>68</v>
      </c>
      <c r="B132" s="17">
        <v>45883</v>
      </c>
      <c r="C132" s="2" t="s">
        <v>18</v>
      </c>
      <c r="D132" s="2" t="s">
        <v>25</v>
      </c>
      <c r="E132" s="2" t="s">
        <v>149</v>
      </c>
      <c r="F132" s="2" t="s">
        <v>156</v>
      </c>
      <c r="G132" s="2" t="s">
        <v>251</v>
      </c>
      <c r="H132" s="2" t="s">
        <v>2</v>
      </c>
      <c r="I132" s="2" t="s">
        <v>153</v>
      </c>
      <c r="J132" s="17">
        <v>45890</v>
      </c>
      <c r="K132" s="17">
        <v>45901</v>
      </c>
      <c r="L132" s="17">
        <v>45878</v>
      </c>
      <c r="M132" s="17"/>
      <c r="N132" s="18">
        <v>994.66</v>
      </c>
    </row>
    <row r="133" spans="1:14" ht="15" customHeight="1" x14ac:dyDescent="0.25">
      <c r="A133" s="2" t="s">
        <v>301</v>
      </c>
      <c r="B133" s="17">
        <v>45995</v>
      </c>
      <c r="C133" s="2" t="s">
        <v>22</v>
      </c>
      <c r="D133" s="2" t="s">
        <v>27</v>
      </c>
      <c r="E133" s="2" t="s">
        <v>149</v>
      </c>
      <c r="F133" s="2" t="s">
        <v>156</v>
      </c>
      <c r="G133" s="2" t="s">
        <v>170</v>
      </c>
      <c r="H133" s="2" t="s">
        <v>152</v>
      </c>
      <c r="I133" s="2" t="s">
        <v>163</v>
      </c>
      <c r="J133" s="17"/>
      <c r="K133" s="17"/>
      <c r="L133" s="17"/>
      <c r="M133" s="17">
        <v>46011</v>
      </c>
      <c r="N133" s="18">
        <v>737.06</v>
      </c>
    </row>
    <row r="134" spans="1:14" ht="15" customHeight="1" x14ac:dyDescent="0.25">
      <c r="A134" s="2" t="s">
        <v>302</v>
      </c>
      <c r="B134" s="17">
        <v>45972</v>
      </c>
      <c r="C134" s="2" t="s">
        <v>21</v>
      </c>
      <c r="D134" s="2" t="s">
        <v>28</v>
      </c>
      <c r="E134" s="2" t="s">
        <v>149</v>
      </c>
      <c r="F134" s="2" t="s">
        <v>156</v>
      </c>
      <c r="G134" s="2" t="s">
        <v>162</v>
      </c>
      <c r="H134" s="2" t="s">
        <v>152</v>
      </c>
      <c r="I134" s="2" t="s">
        <v>163</v>
      </c>
      <c r="J134" s="17"/>
      <c r="K134" s="17"/>
      <c r="L134" s="17"/>
      <c r="M134" s="17">
        <v>45992</v>
      </c>
      <c r="N134" s="18">
        <v>802.07</v>
      </c>
    </row>
    <row r="135" spans="1:14" ht="15" customHeight="1" x14ac:dyDescent="0.25">
      <c r="A135" s="2" t="s">
        <v>303</v>
      </c>
      <c r="B135" s="17">
        <v>45709</v>
      </c>
      <c r="C135" s="2" t="s">
        <v>19</v>
      </c>
      <c r="D135" s="2" t="s">
        <v>25</v>
      </c>
      <c r="E135" s="2" t="s">
        <v>155</v>
      </c>
      <c r="F135" s="2" t="s">
        <v>161</v>
      </c>
      <c r="G135" s="2" t="s">
        <v>210</v>
      </c>
      <c r="H135" s="2" t="s">
        <v>2</v>
      </c>
      <c r="I135" s="2" t="s">
        <v>153</v>
      </c>
      <c r="J135" s="17">
        <v>45711</v>
      </c>
      <c r="K135" s="17">
        <v>45716</v>
      </c>
      <c r="L135" s="17">
        <v>45741</v>
      </c>
      <c r="M135" s="17"/>
      <c r="N135" s="18">
        <v>1434.56</v>
      </c>
    </row>
    <row r="136" spans="1:14" ht="15" customHeight="1" x14ac:dyDescent="0.25">
      <c r="A136" s="2" t="s">
        <v>304</v>
      </c>
      <c r="B136" s="17">
        <v>45807</v>
      </c>
      <c r="C136" s="2" t="s">
        <v>20</v>
      </c>
      <c r="D136" s="2" t="s">
        <v>25</v>
      </c>
      <c r="E136" s="2" t="s">
        <v>160</v>
      </c>
      <c r="F136" s="2" t="s">
        <v>150</v>
      </c>
      <c r="G136" s="2" t="s">
        <v>192</v>
      </c>
      <c r="H136" s="2" t="s">
        <v>152</v>
      </c>
      <c r="I136" s="2" t="s">
        <v>153</v>
      </c>
      <c r="J136" s="17">
        <v>45809</v>
      </c>
      <c r="K136" s="17"/>
      <c r="L136" s="17"/>
      <c r="M136" s="17">
        <v>45819</v>
      </c>
      <c r="N136" s="18">
        <v>9290.86</v>
      </c>
    </row>
    <row r="137" spans="1:14" ht="15" customHeight="1" x14ac:dyDescent="0.25">
      <c r="A137" s="2" t="s">
        <v>305</v>
      </c>
      <c r="B137" s="17">
        <v>45893</v>
      </c>
      <c r="C137" s="2" t="s">
        <v>19</v>
      </c>
      <c r="D137" s="2" t="s">
        <v>25</v>
      </c>
      <c r="E137" s="2" t="s">
        <v>149</v>
      </c>
      <c r="F137" s="2" t="s">
        <v>156</v>
      </c>
      <c r="G137" s="2" t="s">
        <v>207</v>
      </c>
      <c r="H137" s="2" t="s">
        <v>152</v>
      </c>
      <c r="I137" s="2" t="s">
        <v>153</v>
      </c>
      <c r="J137" s="17">
        <v>45895</v>
      </c>
      <c r="K137" s="17"/>
      <c r="L137" s="17"/>
      <c r="M137" s="17">
        <v>45911</v>
      </c>
      <c r="N137" s="18">
        <v>935.22</v>
      </c>
    </row>
    <row r="138" spans="1:14" ht="15" customHeight="1" x14ac:dyDescent="0.25">
      <c r="A138" s="2" t="s">
        <v>306</v>
      </c>
      <c r="B138" s="17">
        <v>45746</v>
      </c>
      <c r="C138" s="2" t="s">
        <v>18</v>
      </c>
      <c r="D138" s="2" t="s">
        <v>27</v>
      </c>
      <c r="E138" s="2" t="s">
        <v>149</v>
      </c>
      <c r="F138" s="2" t="s">
        <v>150</v>
      </c>
      <c r="G138" s="2" t="s">
        <v>201</v>
      </c>
      <c r="H138" s="2" t="s">
        <v>2</v>
      </c>
      <c r="I138" s="2" t="s">
        <v>153</v>
      </c>
      <c r="J138" s="17">
        <v>45754</v>
      </c>
      <c r="K138" s="17">
        <v>45765</v>
      </c>
      <c r="L138" s="17">
        <v>45777</v>
      </c>
      <c r="M138" s="17"/>
      <c r="N138" s="18">
        <v>6669.82</v>
      </c>
    </row>
    <row r="139" spans="1:14" ht="15" customHeight="1" x14ac:dyDescent="0.25">
      <c r="A139" s="2" t="s">
        <v>307</v>
      </c>
      <c r="B139" s="17">
        <v>45954</v>
      </c>
      <c r="C139" s="2" t="s">
        <v>19</v>
      </c>
      <c r="D139" s="2" t="s">
        <v>25</v>
      </c>
      <c r="E139" s="2" t="s">
        <v>149</v>
      </c>
      <c r="F139" s="2" t="s">
        <v>161</v>
      </c>
      <c r="G139" s="2" t="s">
        <v>210</v>
      </c>
      <c r="H139" s="2" t="s">
        <v>2</v>
      </c>
      <c r="I139" s="2" t="s">
        <v>153</v>
      </c>
      <c r="J139" s="17">
        <v>45962</v>
      </c>
      <c r="K139" s="17">
        <v>45971</v>
      </c>
      <c r="L139" s="17">
        <v>45977</v>
      </c>
      <c r="M139" s="17"/>
      <c r="N139" s="18">
        <v>3313.31</v>
      </c>
    </row>
    <row r="140" spans="1:14" ht="15" customHeight="1" x14ac:dyDescent="0.25">
      <c r="A140" s="2" t="s">
        <v>308</v>
      </c>
      <c r="B140" s="17">
        <v>45907</v>
      </c>
      <c r="C140" s="2" t="s">
        <v>19</v>
      </c>
      <c r="D140" s="2" t="s">
        <v>26</v>
      </c>
      <c r="E140" s="2" t="s">
        <v>149</v>
      </c>
      <c r="F140" s="2" t="s">
        <v>156</v>
      </c>
      <c r="G140" s="2" t="s">
        <v>210</v>
      </c>
      <c r="H140" s="2" t="s">
        <v>152</v>
      </c>
      <c r="I140" s="2" t="s">
        <v>153</v>
      </c>
      <c r="J140" s="17">
        <v>45917</v>
      </c>
      <c r="K140" s="17">
        <v>45921</v>
      </c>
      <c r="L140" s="17"/>
      <c r="M140" s="17">
        <v>45947</v>
      </c>
      <c r="N140" s="18">
        <v>943.67</v>
      </c>
    </row>
    <row r="141" spans="1:14" ht="15" customHeight="1" x14ac:dyDescent="0.25">
      <c r="A141" s="2" t="s">
        <v>309</v>
      </c>
      <c r="B141" s="17">
        <v>46018</v>
      </c>
      <c r="C141" s="2" t="s">
        <v>18</v>
      </c>
      <c r="D141" s="2" t="s">
        <v>27</v>
      </c>
      <c r="E141" s="2" t="s">
        <v>149</v>
      </c>
      <c r="F141" s="2" t="s">
        <v>161</v>
      </c>
      <c r="G141" s="2" t="s">
        <v>201</v>
      </c>
      <c r="H141" s="2" t="s">
        <v>158</v>
      </c>
      <c r="I141" s="2" t="s">
        <v>153</v>
      </c>
      <c r="J141" s="17">
        <v>46021</v>
      </c>
      <c r="K141" s="17">
        <v>46025</v>
      </c>
      <c r="L141" s="17"/>
      <c r="M141" s="17"/>
      <c r="N141" s="18">
        <v>3095.56</v>
      </c>
    </row>
    <row r="142" spans="1:14" ht="15" customHeight="1" x14ac:dyDescent="0.25">
      <c r="A142" s="2" t="s">
        <v>310</v>
      </c>
      <c r="B142" s="17">
        <v>45943</v>
      </c>
      <c r="C142" s="2" t="s">
        <v>22</v>
      </c>
      <c r="D142" s="2" t="s">
        <v>27</v>
      </c>
      <c r="E142" s="2" t="s">
        <v>186</v>
      </c>
      <c r="F142" s="2" t="s">
        <v>156</v>
      </c>
      <c r="G142" s="2" t="s">
        <v>170</v>
      </c>
      <c r="H142" s="2" t="s">
        <v>152</v>
      </c>
      <c r="I142" s="2" t="s">
        <v>153</v>
      </c>
      <c r="J142" s="17">
        <v>45950</v>
      </c>
      <c r="K142" s="17"/>
      <c r="L142" s="17"/>
      <c r="M142" s="17">
        <v>45960</v>
      </c>
      <c r="N142" s="18">
        <v>832.58</v>
      </c>
    </row>
    <row r="143" spans="1:14" ht="15" customHeight="1" x14ac:dyDescent="0.25">
      <c r="A143" s="2" t="s">
        <v>311</v>
      </c>
      <c r="B143" s="17">
        <v>45868</v>
      </c>
      <c r="C143" s="2" t="s">
        <v>19</v>
      </c>
      <c r="D143" s="2" t="s">
        <v>26</v>
      </c>
      <c r="E143" s="2" t="s">
        <v>186</v>
      </c>
      <c r="F143" s="2" t="s">
        <v>156</v>
      </c>
      <c r="G143" s="2" t="s">
        <v>207</v>
      </c>
      <c r="H143" s="2" t="s">
        <v>152</v>
      </c>
      <c r="I143" s="2" t="s">
        <v>163</v>
      </c>
      <c r="J143" s="17"/>
      <c r="K143" s="17"/>
      <c r="L143" s="17"/>
      <c r="M143" s="17">
        <v>45877</v>
      </c>
      <c r="N143" s="18">
        <v>695.5</v>
      </c>
    </row>
    <row r="144" spans="1:14" ht="15" customHeight="1" x14ac:dyDescent="0.25">
      <c r="A144" s="2" t="s">
        <v>312</v>
      </c>
      <c r="B144" s="17">
        <v>45804</v>
      </c>
      <c r="C144" s="2" t="s">
        <v>22</v>
      </c>
      <c r="D144" s="2" t="s">
        <v>25</v>
      </c>
      <c r="E144" s="2" t="s">
        <v>186</v>
      </c>
      <c r="F144" s="2" t="s">
        <v>156</v>
      </c>
      <c r="G144" s="2" t="s">
        <v>165</v>
      </c>
      <c r="H144" s="2" t="s">
        <v>2</v>
      </c>
      <c r="I144" s="2" t="s">
        <v>153</v>
      </c>
      <c r="J144" s="17">
        <v>45808</v>
      </c>
      <c r="K144" s="17">
        <v>45822</v>
      </c>
      <c r="L144" s="17">
        <v>45828</v>
      </c>
      <c r="M144" s="17"/>
      <c r="N144" s="18">
        <v>879.21</v>
      </c>
    </row>
    <row r="145" spans="1:14" ht="15" customHeight="1" x14ac:dyDescent="0.25">
      <c r="A145" s="2" t="s">
        <v>313</v>
      </c>
      <c r="B145" s="17">
        <v>45737</v>
      </c>
      <c r="C145" s="2" t="s">
        <v>21</v>
      </c>
      <c r="D145" s="2" t="s">
        <v>25</v>
      </c>
      <c r="E145" s="2" t="s">
        <v>149</v>
      </c>
      <c r="F145" s="2" t="s">
        <v>156</v>
      </c>
      <c r="G145" s="2" t="s">
        <v>183</v>
      </c>
      <c r="H145" s="2" t="s">
        <v>2</v>
      </c>
      <c r="I145" s="2" t="s">
        <v>153</v>
      </c>
      <c r="J145" s="17">
        <v>45745</v>
      </c>
      <c r="K145" s="17">
        <v>45746</v>
      </c>
      <c r="L145" s="17">
        <v>45751</v>
      </c>
      <c r="M145" s="17"/>
      <c r="N145" s="18">
        <v>1001.56</v>
      </c>
    </row>
    <row r="146" spans="1:14" ht="15" customHeight="1" x14ac:dyDescent="0.25">
      <c r="A146" s="2" t="s">
        <v>314</v>
      </c>
      <c r="B146" s="17">
        <v>45694</v>
      </c>
      <c r="C146" s="2" t="s">
        <v>21</v>
      </c>
      <c r="D146" s="2" t="s">
        <v>24</v>
      </c>
      <c r="E146" s="2" t="s">
        <v>149</v>
      </c>
      <c r="F146" s="2" t="s">
        <v>150</v>
      </c>
      <c r="G146" s="2" t="s">
        <v>162</v>
      </c>
      <c r="H146" s="2" t="s">
        <v>152</v>
      </c>
      <c r="I146" s="2" t="s">
        <v>153</v>
      </c>
      <c r="J146" s="17">
        <v>45700</v>
      </c>
      <c r="K146" s="17"/>
      <c r="L146" s="17"/>
      <c r="M146" s="17">
        <v>45711</v>
      </c>
      <c r="N146" s="18">
        <v>9193.5300000000007</v>
      </c>
    </row>
    <row r="147" spans="1:14" ht="15" customHeight="1" x14ac:dyDescent="0.25">
      <c r="A147" s="2" t="s">
        <v>315</v>
      </c>
      <c r="B147" s="17">
        <v>45772</v>
      </c>
      <c r="C147" s="2" t="s">
        <v>22</v>
      </c>
      <c r="D147" s="2" t="s">
        <v>26</v>
      </c>
      <c r="E147" s="2" t="s">
        <v>149</v>
      </c>
      <c r="F147" s="2" t="s">
        <v>161</v>
      </c>
      <c r="G147" s="2" t="s">
        <v>170</v>
      </c>
      <c r="H147" s="2" t="s">
        <v>152</v>
      </c>
      <c r="I147" s="2" t="s">
        <v>163</v>
      </c>
      <c r="J147" s="17"/>
      <c r="K147" s="17"/>
      <c r="L147" s="17"/>
      <c r="M147" s="17">
        <v>45781</v>
      </c>
      <c r="N147" s="18">
        <v>1865.11</v>
      </c>
    </row>
    <row r="148" spans="1:14" ht="15" customHeight="1" x14ac:dyDescent="0.25">
      <c r="A148" s="2" t="s">
        <v>316</v>
      </c>
      <c r="B148" s="17">
        <v>45853</v>
      </c>
      <c r="C148" s="2" t="s">
        <v>18</v>
      </c>
      <c r="D148" s="2" t="s">
        <v>28</v>
      </c>
      <c r="E148" s="2" t="s">
        <v>149</v>
      </c>
      <c r="F148" s="2" t="s">
        <v>156</v>
      </c>
      <c r="G148" s="2" t="s">
        <v>157</v>
      </c>
      <c r="H148" s="2" t="s">
        <v>152</v>
      </c>
      <c r="I148" s="2" t="s">
        <v>153</v>
      </c>
      <c r="J148" s="17">
        <v>45861</v>
      </c>
      <c r="K148" s="17">
        <v>45865</v>
      </c>
      <c r="L148" s="17"/>
      <c r="M148" s="17">
        <v>45899</v>
      </c>
      <c r="N148" s="18">
        <v>772.67</v>
      </c>
    </row>
    <row r="149" spans="1:14" ht="15" customHeight="1" x14ac:dyDescent="0.25">
      <c r="A149" s="2" t="s">
        <v>317</v>
      </c>
      <c r="B149" s="17">
        <v>45843</v>
      </c>
      <c r="C149" s="2" t="s">
        <v>22</v>
      </c>
      <c r="D149" s="2" t="s">
        <v>27</v>
      </c>
      <c r="E149" s="2" t="s">
        <v>149</v>
      </c>
      <c r="F149" s="2" t="s">
        <v>156</v>
      </c>
      <c r="G149" s="2" t="s">
        <v>151</v>
      </c>
      <c r="H149" s="2" t="s">
        <v>152</v>
      </c>
      <c r="I149" s="2" t="s">
        <v>153</v>
      </c>
      <c r="J149" s="17">
        <v>45852</v>
      </c>
      <c r="K149" s="17"/>
      <c r="L149" s="17"/>
      <c r="M149" s="17">
        <v>45876</v>
      </c>
      <c r="N149" s="18">
        <v>963.76</v>
      </c>
    </row>
    <row r="150" spans="1:14" ht="15" customHeight="1" x14ac:dyDescent="0.25">
      <c r="A150" s="2" t="s">
        <v>318</v>
      </c>
      <c r="B150" s="17">
        <v>45803</v>
      </c>
      <c r="C150" s="2" t="s">
        <v>20</v>
      </c>
      <c r="D150" s="2" t="s">
        <v>24</v>
      </c>
      <c r="E150" s="2" t="s">
        <v>155</v>
      </c>
      <c r="F150" s="2" t="s">
        <v>156</v>
      </c>
      <c r="G150" s="2" t="s">
        <v>189</v>
      </c>
      <c r="H150" s="2" t="s">
        <v>2</v>
      </c>
      <c r="I150" s="2" t="s">
        <v>153</v>
      </c>
      <c r="J150" s="17">
        <v>45811</v>
      </c>
      <c r="K150" s="17">
        <v>45821</v>
      </c>
      <c r="L150" s="17">
        <v>45847</v>
      </c>
      <c r="M150" s="17"/>
      <c r="N150" s="18">
        <v>435.5</v>
      </c>
    </row>
    <row r="151" spans="1:14" ht="15" customHeight="1" x14ac:dyDescent="0.25">
      <c r="A151" s="2" t="s">
        <v>319</v>
      </c>
      <c r="B151" s="17">
        <v>45679</v>
      </c>
      <c r="C151" s="2" t="s">
        <v>22</v>
      </c>
      <c r="D151" s="2" t="s">
        <v>26</v>
      </c>
      <c r="E151" s="2" t="s">
        <v>149</v>
      </c>
      <c r="F151" s="2" t="s">
        <v>161</v>
      </c>
      <c r="G151" s="2" t="s">
        <v>170</v>
      </c>
      <c r="H151" s="2" t="s">
        <v>2</v>
      </c>
      <c r="I151" s="2" t="s">
        <v>153</v>
      </c>
      <c r="J151" s="17">
        <v>45685</v>
      </c>
      <c r="K151" s="17">
        <v>45694</v>
      </c>
      <c r="L151" s="17">
        <v>45702</v>
      </c>
      <c r="M151" s="17"/>
      <c r="N151" s="18">
        <v>2195.9899999999998</v>
      </c>
    </row>
    <row r="152" spans="1:14" ht="15" customHeight="1" x14ac:dyDescent="0.25">
      <c r="A152" s="2" t="s">
        <v>320</v>
      </c>
      <c r="B152" s="17">
        <v>45977</v>
      </c>
      <c r="C152" s="2" t="s">
        <v>18</v>
      </c>
      <c r="D152" s="2" t="s">
        <v>24</v>
      </c>
      <c r="E152" s="2" t="s">
        <v>155</v>
      </c>
      <c r="F152" s="2" t="s">
        <v>161</v>
      </c>
      <c r="G152" s="2" t="s">
        <v>201</v>
      </c>
      <c r="H152" s="2" t="s">
        <v>152</v>
      </c>
      <c r="I152" s="2" t="s">
        <v>153</v>
      </c>
      <c r="J152" s="17">
        <v>45984</v>
      </c>
      <c r="K152" s="17">
        <v>45989</v>
      </c>
      <c r="L152" s="17"/>
      <c r="M152" s="17">
        <v>46003</v>
      </c>
      <c r="N152" s="18">
        <v>1822.51</v>
      </c>
    </row>
    <row r="153" spans="1:14" ht="15" customHeight="1" x14ac:dyDescent="0.25">
      <c r="A153" s="2" t="s">
        <v>321</v>
      </c>
      <c r="B153" s="17">
        <v>45838</v>
      </c>
      <c r="C153" s="2" t="s">
        <v>20</v>
      </c>
      <c r="D153" s="2" t="s">
        <v>24</v>
      </c>
      <c r="E153" s="2" t="s">
        <v>149</v>
      </c>
      <c r="F153" s="2" t="s">
        <v>161</v>
      </c>
      <c r="G153" s="2" t="s">
        <v>189</v>
      </c>
      <c r="H153" s="2" t="s">
        <v>152</v>
      </c>
      <c r="I153" s="2" t="s">
        <v>153</v>
      </c>
      <c r="J153" s="17">
        <v>45842</v>
      </c>
      <c r="K153" s="17"/>
      <c r="L153" s="17"/>
      <c r="M153" s="17">
        <v>45850</v>
      </c>
      <c r="N153" s="18">
        <v>2912.38</v>
      </c>
    </row>
    <row r="154" spans="1:14" ht="15" customHeight="1" x14ac:dyDescent="0.25">
      <c r="A154" s="2" t="s">
        <v>322</v>
      </c>
      <c r="B154" s="17">
        <v>45695</v>
      </c>
      <c r="C154" s="2" t="s">
        <v>19</v>
      </c>
      <c r="D154" s="2" t="s">
        <v>28</v>
      </c>
      <c r="E154" s="2" t="s">
        <v>155</v>
      </c>
      <c r="F154" s="2" t="s">
        <v>161</v>
      </c>
      <c r="G154" s="2" t="s">
        <v>210</v>
      </c>
      <c r="H154" s="2" t="s">
        <v>152</v>
      </c>
      <c r="I154" s="2" t="s">
        <v>163</v>
      </c>
      <c r="J154" s="17"/>
      <c r="K154" s="17"/>
      <c r="L154" s="17"/>
      <c r="M154" s="17">
        <v>45713</v>
      </c>
      <c r="N154" s="18">
        <v>1516.18</v>
      </c>
    </row>
    <row r="155" spans="1:14" ht="15" customHeight="1" x14ac:dyDescent="0.25">
      <c r="A155" s="2" t="s">
        <v>323</v>
      </c>
      <c r="B155" s="17">
        <v>45861</v>
      </c>
      <c r="C155" s="2" t="s">
        <v>20</v>
      </c>
      <c r="D155" s="2" t="s">
        <v>25</v>
      </c>
      <c r="E155" s="2" t="s">
        <v>160</v>
      </c>
      <c r="F155" s="2" t="s">
        <v>161</v>
      </c>
      <c r="G155" s="2" t="s">
        <v>192</v>
      </c>
      <c r="H155" s="2" t="s">
        <v>2</v>
      </c>
      <c r="I155" s="2" t="s">
        <v>153</v>
      </c>
      <c r="J155" s="17">
        <v>45867</v>
      </c>
      <c r="K155" s="17">
        <v>45870</v>
      </c>
      <c r="L155" s="17">
        <v>45898</v>
      </c>
      <c r="M155" s="17"/>
      <c r="N155" s="18">
        <v>1822.37</v>
      </c>
    </row>
    <row r="156" spans="1:14" ht="15" customHeight="1" x14ac:dyDescent="0.25">
      <c r="A156" s="2" t="s">
        <v>324</v>
      </c>
      <c r="B156" s="17">
        <v>46010</v>
      </c>
      <c r="C156" s="2" t="s">
        <v>20</v>
      </c>
      <c r="D156" s="2" t="s">
        <v>24</v>
      </c>
      <c r="E156" s="2" t="s">
        <v>155</v>
      </c>
      <c r="F156" s="2" t="s">
        <v>156</v>
      </c>
      <c r="G156" s="2" t="s">
        <v>192</v>
      </c>
      <c r="H156" s="2" t="s">
        <v>190</v>
      </c>
      <c r="I156" s="2" t="s">
        <v>163</v>
      </c>
      <c r="J156" s="17"/>
      <c r="K156" s="17"/>
      <c r="L156" s="17"/>
      <c r="M156" s="17"/>
      <c r="N156" s="18">
        <v>381.48</v>
      </c>
    </row>
    <row r="157" spans="1:14" ht="15" customHeight="1" x14ac:dyDescent="0.25">
      <c r="A157" s="2" t="s">
        <v>325</v>
      </c>
      <c r="B157" s="17">
        <v>45729</v>
      </c>
      <c r="C157" s="2" t="s">
        <v>21</v>
      </c>
      <c r="D157" s="2" t="s">
        <v>24</v>
      </c>
      <c r="E157" s="2" t="s">
        <v>149</v>
      </c>
      <c r="F157" s="2" t="s">
        <v>150</v>
      </c>
      <c r="G157" s="2" t="s">
        <v>176</v>
      </c>
      <c r="H157" s="2" t="s">
        <v>152</v>
      </c>
      <c r="I157" s="2" t="s">
        <v>163</v>
      </c>
      <c r="J157" s="17"/>
      <c r="K157" s="17"/>
      <c r="L157" s="17"/>
      <c r="M157" s="17">
        <v>45747</v>
      </c>
      <c r="N157" s="18">
        <v>7289.11</v>
      </c>
    </row>
    <row r="158" spans="1:14" ht="15" customHeight="1" x14ac:dyDescent="0.25">
      <c r="A158" s="2" t="s">
        <v>326</v>
      </c>
      <c r="B158" s="17">
        <v>45942</v>
      </c>
      <c r="C158" s="2" t="s">
        <v>22</v>
      </c>
      <c r="D158" s="2" t="s">
        <v>27</v>
      </c>
      <c r="E158" s="2" t="s">
        <v>149</v>
      </c>
      <c r="F158" s="2" t="s">
        <v>161</v>
      </c>
      <c r="G158" s="2" t="s">
        <v>151</v>
      </c>
      <c r="H158" s="2" t="s">
        <v>152</v>
      </c>
      <c r="I158" s="2" t="s">
        <v>153</v>
      </c>
      <c r="J158" s="17">
        <v>45948</v>
      </c>
      <c r="K158" s="17">
        <v>45953</v>
      </c>
      <c r="L158" s="17"/>
      <c r="M158" s="17">
        <v>45988</v>
      </c>
      <c r="N158" s="18">
        <v>2836.49</v>
      </c>
    </row>
    <row r="159" spans="1:14" ht="15" customHeight="1" x14ac:dyDescent="0.25">
      <c r="A159" s="2" t="s">
        <v>327</v>
      </c>
      <c r="B159" s="17">
        <v>45789</v>
      </c>
      <c r="C159" s="2" t="s">
        <v>21</v>
      </c>
      <c r="D159" s="2" t="s">
        <v>27</v>
      </c>
      <c r="E159" s="2" t="s">
        <v>155</v>
      </c>
      <c r="F159" s="2" t="s">
        <v>161</v>
      </c>
      <c r="G159" s="2" t="s">
        <v>162</v>
      </c>
      <c r="H159" s="2" t="s">
        <v>2</v>
      </c>
      <c r="I159" s="2" t="s">
        <v>153</v>
      </c>
      <c r="J159" s="17">
        <v>45792</v>
      </c>
      <c r="K159" s="17">
        <v>45801</v>
      </c>
      <c r="L159" s="17">
        <v>45807</v>
      </c>
      <c r="M159" s="17"/>
      <c r="N159" s="18">
        <v>1392.53</v>
      </c>
    </row>
    <row r="160" spans="1:14" ht="15" customHeight="1" x14ac:dyDescent="0.25">
      <c r="A160" s="2" t="s">
        <v>328</v>
      </c>
      <c r="B160" s="17">
        <v>45786</v>
      </c>
      <c r="C160" s="2" t="s">
        <v>21</v>
      </c>
      <c r="D160" s="2" t="s">
        <v>27</v>
      </c>
      <c r="E160" s="2" t="s">
        <v>149</v>
      </c>
      <c r="F160" s="2" t="s">
        <v>156</v>
      </c>
      <c r="G160" s="2" t="s">
        <v>183</v>
      </c>
      <c r="H160" s="2" t="s">
        <v>152</v>
      </c>
      <c r="I160" s="2" t="s">
        <v>153</v>
      </c>
      <c r="J160" s="17">
        <v>45794</v>
      </c>
      <c r="K160" s="17"/>
      <c r="L160" s="17"/>
      <c r="M160" s="17">
        <v>45803</v>
      </c>
      <c r="N160" s="18">
        <v>1085.17</v>
      </c>
    </row>
    <row r="161" spans="1:14" ht="15" customHeight="1" x14ac:dyDescent="0.25">
      <c r="A161" s="2" t="s">
        <v>329</v>
      </c>
      <c r="B161" s="17">
        <v>45902</v>
      </c>
      <c r="C161" s="2" t="s">
        <v>22</v>
      </c>
      <c r="D161" s="2" t="s">
        <v>25</v>
      </c>
      <c r="E161" s="2" t="s">
        <v>149</v>
      </c>
      <c r="F161" s="2" t="s">
        <v>156</v>
      </c>
      <c r="G161" s="2" t="s">
        <v>165</v>
      </c>
      <c r="H161" s="2" t="s">
        <v>152</v>
      </c>
      <c r="I161" s="2" t="s">
        <v>153</v>
      </c>
      <c r="J161" s="17">
        <v>45911</v>
      </c>
      <c r="K161" s="17"/>
      <c r="L161" s="17"/>
      <c r="M161" s="17">
        <v>45935</v>
      </c>
      <c r="N161" s="18">
        <v>690.07</v>
      </c>
    </row>
    <row r="162" spans="1:14" ht="15" customHeight="1" x14ac:dyDescent="0.25">
      <c r="A162" s="2" t="s">
        <v>330</v>
      </c>
      <c r="B162" s="17">
        <v>45759</v>
      </c>
      <c r="C162" s="2" t="s">
        <v>19</v>
      </c>
      <c r="D162" s="2" t="s">
        <v>24</v>
      </c>
      <c r="E162" s="2" t="s">
        <v>149</v>
      </c>
      <c r="F162" s="2" t="s">
        <v>156</v>
      </c>
      <c r="G162" s="2" t="s">
        <v>210</v>
      </c>
      <c r="H162" s="2" t="s">
        <v>152</v>
      </c>
      <c r="I162" s="2" t="s">
        <v>153</v>
      </c>
      <c r="J162" s="17">
        <v>45769</v>
      </c>
      <c r="K162" s="17">
        <v>45776</v>
      </c>
      <c r="L162" s="17"/>
      <c r="M162" s="17">
        <v>45784</v>
      </c>
      <c r="N162" s="18">
        <v>885.5</v>
      </c>
    </row>
    <row r="163" spans="1:14" ht="15" customHeight="1" x14ac:dyDescent="0.25">
      <c r="A163" s="2" t="s">
        <v>331</v>
      </c>
      <c r="B163" s="17">
        <v>46021</v>
      </c>
      <c r="C163" s="2" t="s">
        <v>21</v>
      </c>
      <c r="D163" s="2" t="s">
        <v>27</v>
      </c>
      <c r="E163" s="2" t="s">
        <v>155</v>
      </c>
      <c r="F163" s="2" t="s">
        <v>150</v>
      </c>
      <c r="G163" s="2" t="s">
        <v>183</v>
      </c>
      <c r="H163" s="2" t="s">
        <v>190</v>
      </c>
      <c r="I163" s="2" t="s">
        <v>163</v>
      </c>
      <c r="J163" s="17"/>
      <c r="K163" s="17"/>
      <c r="L163" s="17"/>
      <c r="M163" s="17"/>
      <c r="N163" s="18">
        <v>5277.24</v>
      </c>
    </row>
    <row r="164" spans="1:14" ht="15" customHeight="1" x14ac:dyDescent="0.25">
      <c r="A164" s="2" t="s">
        <v>332</v>
      </c>
      <c r="B164" s="17">
        <v>45853</v>
      </c>
      <c r="C164" s="2" t="s">
        <v>22</v>
      </c>
      <c r="D164" s="2" t="s">
        <v>25</v>
      </c>
      <c r="E164" s="2" t="s">
        <v>149</v>
      </c>
      <c r="F164" s="2" t="s">
        <v>161</v>
      </c>
      <c r="G164" s="2" t="s">
        <v>170</v>
      </c>
      <c r="H164" s="2" t="s">
        <v>152</v>
      </c>
      <c r="I164" s="2" t="s">
        <v>153</v>
      </c>
      <c r="J164" s="17">
        <v>45863</v>
      </c>
      <c r="K164" s="17"/>
      <c r="L164" s="17"/>
      <c r="M164" s="17">
        <v>45881</v>
      </c>
      <c r="N164" s="18">
        <v>3071.77</v>
      </c>
    </row>
    <row r="165" spans="1:14" ht="15" customHeight="1" x14ac:dyDescent="0.25">
      <c r="A165" s="2" t="s">
        <v>333</v>
      </c>
      <c r="B165" s="17">
        <v>45864</v>
      </c>
      <c r="C165" s="2" t="s">
        <v>20</v>
      </c>
      <c r="D165" s="2" t="s">
        <v>25</v>
      </c>
      <c r="E165" s="2" t="s">
        <v>155</v>
      </c>
      <c r="F165" s="2" t="s">
        <v>161</v>
      </c>
      <c r="G165" s="2" t="s">
        <v>189</v>
      </c>
      <c r="H165" s="2" t="s">
        <v>2</v>
      </c>
      <c r="I165" s="2" t="s">
        <v>153</v>
      </c>
      <c r="J165" s="17">
        <v>45869</v>
      </c>
      <c r="K165" s="17">
        <v>45873</v>
      </c>
      <c r="L165" s="17">
        <v>45896</v>
      </c>
      <c r="M165" s="17"/>
      <c r="N165" s="18">
        <v>2050.27</v>
      </c>
    </row>
    <row r="166" spans="1:14" ht="15" customHeight="1" x14ac:dyDescent="0.25">
      <c r="A166" s="2" t="s">
        <v>334</v>
      </c>
      <c r="B166" s="17">
        <v>45916</v>
      </c>
      <c r="C166" s="2" t="s">
        <v>22</v>
      </c>
      <c r="D166" s="2" t="s">
        <v>26</v>
      </c>
      <c r="E166" s="2" t="s">
        <v>160</v>
      </c>
      <c r="F166" s="2" t="s">
        <v>156</v>
      </c>
      <c r="G166" s="2" t="s">
        <v>170</v>
      </c>
      <c r="H166" s="2" t="s">
        <v>152</v>
      </c>
      <c r="I166" s="2" t="s">
        <v>153</v>
      </c>
      <c r="J166" s="17">
        <v>45923</v>
      </c>
      <c r="K166" s="17"/>
      <c r="L166" s="17"/>
      <c r="M166" s="17">
        <v>45946</v>
      </c>
      <c r="N166" s="18">
        <v>543.88</v>
      </c>
    </row>
    <row r="167" spans="1:14" ht="15" customHeight="1" x14ac:dyDescent="0.25">
      <c r="A167" s="2" t="s">
        <v>335</v>
      </c>
      <c r="B167" s="17">
        <v>45751</v>
      </c>
      <c r="C167" s="2" t="s">
        <v>22</v>
      </c>
      <c r="D167" s="2" t="s">
        <v>26</v>
      </c>
      <c r="E167" s="2" t="s">
        <v>149</v>
      </c>
      <c r="F167" s="2" t="s">
        <v>156</v>
      </c>
      <c r="G167" s="2" t="s">
        <v>165</v>
      </c>
      <c r="H167" s="2" t="s">
        <v>152</v>
      </c>
      <c r="I167" s="2" t="s">
        <v>163</v>
      </c>
      <c r="J167" s="17"/>
      <c r="K167" s="17"/>
      <c r="L167" s="17"/>
      <c r="M167" s="17">
        <v>45766</v>
      </c>
      <c r="N167" s="18">
        <v>655.73</v>
      </c>
    </row>
    <row r="168" spans="1:14" ht="15" customHeight="1" x14ac:dyDescent="0.25">
      <c r="A168" s="2" t="s">
        <v>336</v>
      </c>
      <c r="B168" s="17">
        <v>45840</v>
      </c>
      <c r="C168" s="2" t="s">
        <v>20</v>
      </c>
      <c r="D168" s="2" t="s">
        <v>26</v>
      </c>
      <c r="E168" s="2" t="s">
        <v>160</v>
      </c>
      <c r="F168" s="2" t="s">
        <v>161</v>
      </c>
      <c r="G168" s="2" t="s">
        <v>189</v>
      </c>
      <c r="H168" s="2" t="s">
        <v>2</v>
      </c>
      <c r="I168" s="2" t="s">
        <v>153</v>
      </c>
      <c r="J168" s="17">
        <v>45850</v>
      </c>
      <c r="K168" s="17">
        <v>45856</v>
      </c>
      <c r="L168" s="17">
        <v>45881</v>
      </c>
      <c r="M168" s="17"/>
      <c r="N168" s="18">
        <v>1977.9</v>
      </c>
    </row>
    <row r="169" spans="1:14" ht="15" customHeight="1" x14ac:dyDescent="0.25">
      <c r="A169" s="2" t="s">
        <v>337</v>
      </c>
      <c r="B169" s="17">
        <v>45758</v>
      </c>
      <c r="C169" s="2" t="s">
        <v>20</v>
      </c>
      <c r="D169" s="2" t="s">
        <v>24</v>
      </c>
      <c r="E169" s="2" t="s">
        <v>149</v>
      </c>
      <c r="F169" s="2" t="s">
        <v>156</v>
      </c>
      <c r="G169" s="2" t="s">
        <v>192</v>
      </c>
      <c r="H169" s="2" t="s">
        <v>2</v>
      </c>
      <c r="I169" s="2" t="s">
        <v>153</v>
      </c>
      <c r="J169" s="17">
        <v>45764</v>
      </c>
      <c r="K169" s="17">
        <v>45768</v>
      </c>
      <c r="L169" s="17">
        <v>45784</v>
      </c>
      <c r="M169" s="17"/>
      <c r="N169" s="18">
        <v>1018.13</v>
      </c>
    </row>
    <row r="170" spans="1:14" ht="15" customHeight="1" x14ac:dyDescent="0.25">
      <c r="A170" s="2" t="s">
        <v>338</v>
      </c>
      <c r="B170" s="17">
        <v>45976</v>
      </c>
      <c r="C170" s="2" t="s">
        <v>19</v>
      </c>
      <c r="D170" s="2" t="s">
        <v>24</v>
      </c>
      <c r="E170" s="2" t="s">
        <v>149</v>
      </c>
      <c r="F170" s="2" t="s">
        <v>156</v>
      </c>
      <c r="G170" s="2" t="s">
        <v>207</v>
      </c>
      <c r="H170" s="2" t="s">
        <v>152</v>
      </c>
      <c r="I170" s="2" t="s">
        <v>153</v>
      </c>
      <c r="J170" s="17">
        <v>45983</v>
      </c>
      <c r="K170" s="17"/>
      <c r="L170" s="17"/>
      <c r="M170" s="17">
        <v>45998</v>
      </c>
      <c r="N170" s="18">
        <v>1086.83</v>
      </c>
    </row>
    <row r="171" spans="1:14" ht="15" customHeight="1" x14ac:dyDescent="0.25">
      <c r="A171" s="2" t="s">
        <v>339</v>
      </c>
      <c r="B171" s="17">
        <v>45953</v>
      </c>
      <c r="C171" s="2" t="s">
        <v>22</v>
      </c>
      <c r="D171" s="2" t="s">
        <v>26</v>
      </c>
      <c r="E171" s="2" t="s">
        <v>160</v>
      </c>
      <c r="F171" s="2" t="s">
        <v>161</v>
      </c>
      <c r="G171" s="2" t="s">
        <v>170</v>
      </c>
      <c r="H171" s="2" t="s">
        <v>152</v>
      </c>
      <c r="I171" s="2" t="s">
        <v>153</v>
      </c>
      <c r="J171" s="17">
        <v>45954</v>
      </c>
      <c r="K171" s="17">
        <v>45959</v>
      </c>
      <c r="L171" s="17"/>
      <c r="M171" s="17">
        <v>45972</v>
      </c>
      <c r="N171" s="18">
        <v>2854.5</v>
      </c>
    </row>
    <row r="172" spans="1:14" ht="15" customHeight="1" x14ac:dyDescent="0.25">
      <c r="A172" s="2" t="s">
        <v>340</v>
      </c>
      <c r="B172" s="17">
        <v>45864</v>
      </c>
      <c r="C172" s="2" t="s">
        <v>22</v>
      </c>
      <c r="D172" s="2" t="s">
        <v>28</v>
      </c>
      <c r="E172" s="2" t="s">
        <v>160</v>
      </c>
      <c r="F172" s="2" t="s">
        <v>156</v>
      </c>
      <c r="G172" s="2" t="s">
        <v>165</v>
      </c>
      <c r="H172" s="2" t="s">
        <v>152</v>
      </c>
      <c r="I172" s="2" t="s">
        <v>163</v>
      </c>
      <c r="J172" s="17"/>
      <c r="K172" s="17"/>
      <c r="L172" s="17"/>
      <c r="M172" s="17">
        <v>45874</v>
      </c>
      <c r="N172" s="18">
        <v>868.16</v>
      </c>
    </row>
    <row r="173" spans="1:14" ht="15" customHeight="1" x14ac:dyDescent="0.25">
      <c r="A173" s="2" t="s">
        <v>341</v>
      </c>
      <c r="B173" s="17">
        <v>45945</v>
      </c>
      <c r="C173" s="2" t="s">
        <v>18</v>
      </c>
      <c r="D173" s="2" t="s">
        <v>25</v>
      </c>
      <c r="E173" s="2" t="s">
        <v>186</v>
      </c>
      <c r="F173" s="2" t="s">
        <v>156</v>
      </c>
      <c r="G173" s="2" t="s">
        <v>201</v>
      </c>
      <c r="H173" s="2" t="s">
        <v>152</v>
      </c>
      <c r="I173" s="2" t="s">
        <v>153</v>
      </c>
      <c r="J173" s="17">
        <v>45946</v>
      </c>
      <c r="K173" s="17"/>
      <c r="L173" s="17"/>
      <c r="M173" s="17">
        <v>45971</v>
      </c>
      <c r="N173" s="18">
        <v>752.1</v>
      </c>
    </row>
    <row r="174" spans="1:14" ht="15" customHeight="1" x14ac:dyDescent="0.25">
      <c r="A174" s="2" t="s">
        <v>342</v>
      </c>
      <c r="B174" s="17">
        <v>45682</v>
      </c>
      <c r="C174" s="2" t="s">
        <v>22</v>
      </c>
      <c r="D174" s="2" t="s">
        <v>24</v>
      </c>
      <c r="E174" s="2" t="s">
        <v>160</v>
      </c>
      <c r="F174" s="2" t="s">
        <v>161</v>
      </c>
      <c r="G174" s="2" t="s">
        <v>170</v>
      </c>
      <c r="H174" s="2" t="s">
        <v>152</v>
      </c>
      <c r="I174" s="2" t="s">
        <v>153</v>
      </c>
      <c r="J174" s="17">
        <v>45685</v>
      </c>
      <c r="K174" s="17">
        <v>45697</v>
      </c>
      <c r="L174" s="17"/>
      <c r="M174" s="17">
        <v>45703</v>
      </c>
      <c r="N174" s="18">
        <v>2629.65</v>
      </c>
    </row>
    <row r="175" spans="1:14" ht="15" customHeight="1" x14ac:dyDescent="0.25">
      <c r="A175" s="2" t="s">
        <v>343</v>
      </c>
      <c r="B175" s="17">
        <v>45835</v>
      </c>
      <c r="C175" s="2" t="s">
        <v>19</v>
      </c>
      <c r="D175" s="2" t="s">
        <v>25</v>
      </c>
      <c r="E175" s="2" t="s">
        <v>149</v>
      </c>
      <c r="F175" s="2" t="s">
        <v>156</v>
      </c>
      <c r="G175" s="2" t="s">
        <v>210</v>
      </c>
      <c r="H175" s="2" t="s">
        <v>152</v>
      </c>
      <c r="I175" s="2" t="s">
        <v>153</v>
      </c>
      <c r="J175" s="17">
        <v>45845</v>
      </c>
      <c r="K175" s="17"/>
      <c r="L175" s="17"/>
      <c r="M175" s="17">
        <v>45851</v>
      </c>
      <c r="N175" s="18">
        <v>1003.3</v>
      </c>
    </row>
    <row r="176" spans="1:14" ht="15" customHeight="1" x14ac:dyDescent="0.25">
      <c r="A176" s="2" t="s">
        <v>344</v>
      </c>
      <c r="B176" s="17">
        <v>45800</v>
      </c>
      <c r="C176" s="2" t="s">
        <v>22</v>
      </c>
      <c r="D176" s="2" t="s">
        <v>25</v>
      </c>
      <c r="E176" s="2" t="s">
        <v>160</v>
      </c>
      <c r="F176" s="2" t="s">
        <v>156</v>
      </c>
      <c r="G176" s="2" t="s">
        <v>151</v>
      </c>
      <c r="H176" s="2" t="s">
        <v>152</v>
      </c>
      <c r="I176" s="2" t="s">
        <v>153</v>
      </c>
      <c r="J176" s="17">
        <v>45810</v>
      </c>
      <c r="K176" s="17"/>
      <c r="L176" s="17"/>
      <c r="M176" s="17">
        <v>45826</v>
      </c>
      <c r="N176" s="18">
        <v>802.33</v>
      </c>
    </row>
    <row r="177" spans="1:14" ht="15" customHeight="1" x14ac:dyDescent="0.25">
      <c r="A177" s="2" t="s">
        <v>345</v>
      </c>
      <c r="B177" s="17">
        <v>45871</v>
      </c>
      <c r="C177" s="2" t="s">
        <v>18</v>
      </c>
      <c r="D177" s="2" t="s">
        <v>26</v>
      </c>
      <c r="E177" s="2" t="s">
        <v>155</v>
      </c>
      <c r="F177" s="2" t="s">
        <v>156</v>
      </c>
      <c r="G177" s="2" t="s">
        <v>251</v>
      </c>
      <c r="H177" s="2" t="s">
        <v>152</v>
      </c>
      <c r="I177" s="2" t="s">
        <v>163</v>
      </c>
      <c r="J177" s="17"/>
      <c r="K177" s="17"/>
      <c r="L177" s="17"/>
      <c r="M177" s="17">
        <v>45890</v>
      </c>
      <c r="N177" s="18">
        <v>611.01</v>
      </c>
    </row>
    <row r="178" spans="1:14" ht="15" customHeight="1" x14ac:dyDescent="0.25">
      <c r="A178" s="2" t="s">
        <v>346</v>
      </c>
      <c r="B178" s="17">
        <v>45825</v>
      </c>
      <c r="C178" s="2" t="s">
        <v>21</v>
      </c>
      <c r="D178" s="2" t="s">
        <v>24</v>
      </c>
      <c r="E178" s="2" t="s">
        <v>160</v>
      </c>
      <c r="F178" s="2" t="s">
        <v>150</v>
      </c>
      <c r="G178" s="2" t="s">
        <v>176</v>
      </c>
      <c r="H178" s="2" t="s">
        <v>152</v>
      </c>
      <c r="I178" s="2" t="s">
        <v>153</v>
      </c>
      <c r="J178" s="17">
        <v>45827</v>
      </c>
      <c r="K178" s="17">
        <v>45832</v>
      </c>
      <c r="L178" s="17"/>
      <c r="M178" s="17">
        <v>45842</v>
      </c>
      <c r="N178" s="18">
        <v>7890.12</v>
      </c>
    </row>
    <row r="179" spans="1:14" ht="15" customHeight="1" x14ac:dyDescent="0.25">
      <c r="A179" s="2" t="s">
        <v>347</v>
      </c>
      <c r="B179" s="17">
        <v>45992</v>
      </c>
      <c r="C179" s="2" t="s">
        <v>20</v>
      </c>
      <c r="D179" s="2" t="s">
        <v>24</v>
      </c>
      <c r="E179" s="2" t="s">
        <v>155</v>
      </c>
      <c r="F179" s="2" t="s">
        <v>156</v>
      </c>
      <c r="G179" s="2" t="s">
        <v>192</v>
      </c>
      <c r="H179" s="2" t="s">
        <v>152</v>
      </c>
      <c r="I179" s="2" t="s">
        <v>163</v>
      </c>
      <c r="J179" s="17"/>
      <c r="K179" s="17"/>
      <c r="L179" s="17"/>
      <c r="M179" s="17">
        <v>45997</v>
      </c>
      <c r="N179" s="18">
        <v>400.15</v>
      </c>
    </row>
    <row r="180" spans="1:14" ht="15" customHeight="1" x14ac:dyDescent="0.25">
      <c r="A180" s="2" t="s">
        <v>348</v>
      </c>
      <c r="B180" s="17">
        <v>45922</v>
      </c>
      <c r="C180" s="2" t="s">
        <v>18</v>
      </c>
      <c r="D180" s="2" t="s">
        <v>26</v>
      </c>
      <c r="E180" s="2" t="s">
        <v>149</v>
      </c>
      <c r="F180" s="2" t="s">
        <v>161</v>
      </c>
      <c r="G180" s="2" t="s">
        <v>201</v>
      </c>
      <c r="H180" s="2" t="s">
        <v>152</v>
      </c>
      <c r="I180" s="2" t="s">
        <v>163</v>
      </c>
      <c r="J180" s="17"/>
      <c r="K180" s="17"/>
      <c r="L180" s="17"/>
      <c r="M180" s="17">
        <v>45927</v>
      </c>
      <c r="N180" s="18">
        <v>2287.29</v>
      </c>
    </row>
    <row r="181" spans="1:14" ht="15" customHeight="1" x14ac:dyDescent="0.25">
      <c r="A181" s="2" t="s">
        <v>349</v>
      </c>
      <c r="B181" s="17">
        <v>45735</v>
      </c>
      <c r="C181" s="2" t="s">
        <v>19</v>
      </c>
      <c r="D181" s="2" t="s">
        <v>25</v>
      </c>
      <c r="E181" s="2" t="s">
        <v>149</v>
      </c>
      <c r="F181" s="2" t="s">
        <v>156</v>
      </c>
      <c r="G181" s="2" t="s">
        <v>179</v>
      </c>
      <c r="H181" s="2" t="s">
        <v>152</v>
      </c>
      <c r="I181" s="2" t="s">
        <v>153</v>
      </c>
      <c r="J181" s="17">
        <v>45743</v>
      </c>
      <c r="K181" s="17">
        <v>45752</v>
      </c>
      <c r="L181" s="17"/>
      <c r="M181" s="17">
        <v>45774</v>
      </c>
      <c r="N181" s="18">
        <v>1017</v>
      </c>
    </row>
    <row r="182" spans="1:14" ht="15" customHeight="1" x14ac:dyDescent="0.25">
      <c r="A182" s="2" t="s">
        <v>350</v>
      </c>
      <c r="B182" s="17">
        <v>45960</v>
      </c>
      <c r="C182" s="2" t="s">
        <v>20</v>
      </c>
      <c r="D182" s="2" t="s">
        <v>26</v>
      </c>
      <c r="E182" s="2" t="s">
        <v>160</v>
      </c>
      <c r="F182" s="2" t="s">
        <v>161</v>
      </c>
      <c r="G182" s="2" t="s">
        <v>167</v>
      </c>
      <c r="H182" s="2" t="s">
        <v>152</v>
      </c>
      <c r="I182" s="2" t="s">
        <v>163</v>
      </c>
      <c r="J182" s="17"/>
      <c r="K182" s="17"/>
      <c r="L182" s="17"/>
      <c r="M182" s="17">
        <v>45968</v>
      </c>
      <c r="N182" s="18">
        <v>2439.12</v>
      </c>
    </row>
    <row r="183" spans="1:14" ht="15" customHeight="1" x14ac:dyDescent="0.25">
      <c r="A183" s="2" t="s">
        <v>351</v>
      </c>
      <c r="B183" s="17">
        <v>45782</v>
      </c>
      <c r="C183" s="2" t="s">
        <v>22</v>
      </c>
      <c r="D183" s="2" t="s">
        <v>28</v>
      </c>
      <c r="E183" s="2" t="s">
        <v>160</v>
      </c>
      <c r="F183" s="2" t="s">
        <v>161</v>
      </c>
      <c r="G183" s="2" t="s">
        <v>151</v>
      </c>
      <c r="H183" s="2" t="s">
        <v>152</v>
      </c>
      <c r="I183" s="2" t="s">
        <v>163</v>
      </c>
      <c r="J183" s="17"/>
      <c r="K183" s="17"/>
      <c r="L183" s="17"/>
      <c r="M183" s="17">
        <v>45795</v>
      </c>
      <c r="N183" s="18">
        <v>2494.48</v>
      </c>
    </row>
    <row r="184" spans="1:14" ht="15" customHeight="1" x14ac:dyDescent="0.25">
      <c r="A184" s="2" t="s">
        <v>352</v>
      </c>
      <c r="B184" s="17">
        <v>45987</v>
      </c>
      <c r="C184" s="2" t="s">
        <v>20</v>
      </c>
      <c r="D184" s="2" t="s">
        <v>27</v>
      </c>
      <c r="E184" s="2" t="s">
        <v>160</v>
      </c>
      <c r="F184" s="2" t="s">
        <v>161</v>
      </c>
      <c r="G184" s="2" t="s">
        <v>192</v>
      </c>
      <c r="H184" s="2" t="s">
        <v>2</v>
      </c>
      <c r="I184" s="2" t="s">
        <v>153</v>
      </c>
      <c r="J184" s="17">
        <v>45995</v>
      </c>
      <c r="K184" s="17">
        <v>46007</v>
      </c>
      <c r="L184" s="17">
        <v>46023</v>
      </c>
      <c r="M184" s="17"/>
      <c r="N184" s="18">
        <v>3214.92</v>
      </c>
    </row>
    <row r="185" spans="1:14" ht="15" customHeight="1" x14ac:dyDescent="0.25">
      <c r="A185" s="2" t="s">
        <v>353</v>
      </c>
      <c r="B185" s="17">
        <v>45820</v>
      </c>
      <c r="C185" s="2" t="s">
        <v>22</v>
      </c>
      <c r="D185" s="2" t="s">
        <v>25</v>
      </c>
      <c r="E185" s="2" t="s">
        <v>149</v>
      </c>
      <c r="F185" s="2" t="s">
        <v>156</v>
      </c>
      <c r="G185" s="2" t="s">
        <v>170</v>
      </c>
      <c r="H185" s="2" t="s">
        <v>152</v>
      </c>
      <c r="I185" s="2" t="s">
        <v>153</v>
      </c>
      <c r="J185" s="17">
        <v>45830</v>
      </c>
      <c r="K185" s="17"/>
      <c r="L185" s="17"/>
      <c r="M185" s="17">
        <v>45847</v>
      </c>
      <c r="N185" s="18">
        <v>900.82</v>
      </c>
    </row>
    <row r="186" spans="1:14" ht="15" customHeight="1" x14ac:dyDescent="0.25">
      <c r="A186" s="2" t="s">
        <v>354</v>
      </c>
      <c r="B186" s="17">
        <v>45887</v>
      </c>
      <c r="C186" s="2" t="s">
        <v>19</v>
      </c>
      <c r="D186" s="2" t="s">
        <v>28</v>
      </c>
      <c r="E186" s="2" t="s">
        <v>149</v>
      </c>
      <c r="F186" s="2" t="s">
        <v>156</v>
      </c>
      <c r="G186" s="2" t="s">
        <v>210</v>
      </c>
      <c r="H186" s="2" t="s">
        <v>152</v>
      </c>
      <c r="I186" s="2" t="s">
        <v>153</v>
      </c>
      <c r="J186" s="17">
        <v>45894</v>
      </c>
      <c r="K186" s="17">
        <v>45902</v>
      </c>
      <c r="L186" s="17"/>
      <c r="M186" s="17">
        <v>45922</v>
      </c>
      <c r="N186" s="18">
        <v>1074.49</v>
      </c>
    </row>
    <row r="187" spans="1:14" ht="15" customHeight="1" x14ac:dyDescent="0.25">
      <c r="A187" s="2" t="s">
        <v>355</v>
      </c>
      <c r="B187" s="17">
        <v>45848</v>
      </c>
      <c r="C187" s="2" t="s">
        <v>22</v>
      </c>
      <c r="D187" s="2" t="s">
        <v>28</v>
      </c>
      <c r="E187" s="2" t="s">
        <v>155</v>
      </c>
      <c r="F187" s="2" t="s">
        <v>156</v>
      </c>
      <c r="G187" s="2" t="s">
        <v>165</v>
      </c>
      <c r="H187" s="2" t="s">
        <v>152</v>
      </c>
      <c r="I187" s="2" t="s">
        <v>153</v>
      </c>
      <c r="J187" s="17">
        <v>45855</v>
      </c>
      <c r="K187" s="17">
        <v>45867</v>
      </c>
      <c r="L187" s="17"/>
      <c r="M187" s="17">
        <v>45881</v>
      </c>
      <c r="N187" s="18">
        <v>509.46</v>
      </c>
    </row>
    <row r="188" spans="1:14" ht="15" customHeight="1" x14ac:dyDescent="0.25">
      <c r="A188" s="2" t="s">
        <v>356</v>
      </c>
      <c r="B188" s="17">
        <v>45679</v>
      </c>
      <c r="C188" s="2" t="s">
        <v>21</v>
      </c>
      <c r="D188" s="2" t="s">
        <v>25</v>
      </c>
      <c r="E188" s="2" t="s">
        <v>149</v>
      </c>
      <c r="F188" s="2" t="s">
        <v>156</v>
      </c>
      <c r="G188" s="2" t="s">
        <v>176</v>
      </c>
      <c r="H188" s="2" t="s">
        <v>152</v>
      </c>
      <c r="I188" s="2" t="s">
        <v>153</v>
      </c>
      <c r="J188" s="17">
        <v>45684</v>
      </c>
      <c r="K188" s="17"/>
      <c r="L188" s="17"/>
      <c r="M188" s="17">
        <v>45709</v>
      </c>
      <c r="N188" s="18">
        <v>864.32</v>
      </c>
    </row>
    <row r="189" spans="1:14" ht="15" customHeight="1" x14ac:dyDescent="0.25">
      <c r="A189" s="2" t="s">
        <v>357</v>
      </c>
      <c r="B189" s="17">
        <v>45966</v>
      </c>
      <c r="C189" s="2" t="s">
        <v>21</v>
      </c>
      <c r="D189" s="2" t="s">
        <v>25</v>
      </c>
      <c r="E189" s="2" t="s">
        <v>160</v>
      </c>
      <c r="F189" s="2" t="s">
        <v>161</v>
      </c>
      <c r="G189" s="2" t="s">
        <v>176</v>
      </c>
      <c r="H189" s="2" t="s">
        <v>2</v>
      </c>
      <c r="I189" s="2" t="s">
        <v>153</v>
      </c>
      <c r="J189" s="17">
        <v>45970</v>
      </c>
      <c r="K189" s="17">
        <v>45972</v>
      </c>
      <c r="L189" s="17">
        <v>45987</v>
      </c>
      <c r="M189" s="17"/>
      <c r="N189" s="18">
        <v>2603.91</v>
      </c>
    </row>
    <row r="190" spans="1:14" ht="15" customHeight="1" x14ac:dyDescent="0.25">
      <c r="A190" s="2" t="s">
        <v>358</v>
      </c>
      <c r="B190" s="17">
        <v>45989</v>
      </c>
      <c r="C190" s="2" t="s">
        <v>18</v>
      </c>
      <c r="D190" s="2" t="s">
        <v>26</v>
      </c>
      <c r="E190" s="2" t="s">
        <v>160</v>
      </c>
      <c r="F190" s="2" t="s">
        <v>156</v>
      </c>
      <c r="G190" s="2" t="s">
        <v>201</v>
      </c>
      <c r="H190" s="2" t="s">
        <v>152</v>
      </c>
      <c r="I190" s="2" t="s">
        <v>153</v>
      </c>
      <c r="J190" s="17">
        <v>45999</v>
      </c>
      <c r="K190" s="17">
        <v>46010</v>
      </c>
      <c r="L190" s="17"/>
      <c r="M190" s="17">
        <v>46044</v>
      </c>
      <c r="N190" s="18">
        <v>786.61</v>
      </c>
    </row>
    <row r="191" spans="1:14" ht="15" customHeight="1" x14ac:dyDescent="0.25">
      <c r="A191" s="2" t="s">
        <v>359</v>
      </c>
      <c r="B191" s="17">
        <v>45720</v>
      </c>
      <c r="C191" s="2" t="s">
        <v>22</v>
      </c>
      <c r="D191" s="2" t="s">
        <v>28</v>
      </c>
      <c r="E191" s="2" t="s">
        <v>160</v>
      </c>
      <c r="F191" s="2" t="s">
        <v>156</v>
      </c>
      <c r="G191" s="2" t="s">
        <v>151</v>
      </c>
      <c r="H191" s="2" t="s">
        <v>152</v>
      </c>
      <c r="I191" s="2" t="s">
        <v>163</v>
      </c>
      <c r="J191" s="17"/>
      <c r="K191" s="17"/>
      <c r="L191" s="17"/>
      <c r="M191" s="17">
        <v>45723</v>
      </c>
      <c r="N191" s="18">
        <v>581.13</v>
      </c>
    </row>
    <row r="192" spans="1:14" ht="15" customHeight="1" x14ac:dyDescent="0.25">
      <c r="A192" s="2" t="s">
        <v>360</v>
      </c>
      <c r="B192" s="17">
        <v>45879</v>
      </c>
      <c r="C192" s="2" t="s">
        <v>19</v>
      </c>
      <c r="D192" s="2" t="s">
        <v>25</v>
      </c>
      <c r="E192" s="2" t="s">
        <v>149</v>
      </c>
      <c r="F192" s="2" t="s">
        <v>156</v>
      </c>
      <c r="G192" s="2" t="s">
        <v>179</v>
      </c>
      <c r="H192" s="2" t="s">
        <v>2</v>
      </c>
      <c r="I192" s="2" t="s">
        <v>153</v>
      </c>
      <c r="J192" s="17">
        <v>45885</v>
      </c>
      <c r="K192" s="17">
        <v>45887</v>
      </c>
      <c r="L192" s="17">
        <v>45899</v>
      </c>
      <c r="M192" s="17"/>
      <c r="N192" s="18">
        <v>616.57000000000005</v>
      </c>
    </row>
    <row r="193" spans="1:14" ht="15" customHeight="1" x14ac:dyDescent="0.25">
      <c r="A193" s="2" t="s">
        <v>361</v>
      </c>
      <c r="B193" s="17">
        <v>45838</v>
      </c>
      <c r="C193" s="2" t="s">
        <v>2962</v>
      </c>
      <c r="D193" s="2" t="s">
        <v>28</v>
      </c>
      <c r="E193" s="2" t="s">
        <v>186</v>
      </c>
      <c r="F193" s="2" t="s">
        <v>156</v>
      </c>
      <c r="G193" s="2" t="s">
        <v>151</v>
      </c>
      <c r="H193" s="2" t="s">
        <v>152</v>
      </c>
      <c r="I193" s="2" t="s">
        <v>163</v>
      </c>
      <c r="J193" s="17"/>
      <c r="K193" s="17"/>
      <c r="L193" s="17"/>
      <c r="M193" s="17">
        <v>45856</v>
      </c>
      <c r="N193" s="18">
        <v>581.99</v>
      </c>
    </row>
    <row r="194" spans="1:14" ht="15" customHeight="1" x14ac:dyDescent="0.25">
      <c r="A194" s="2" t="s">
        <v>44</v>
      </c>
      <c r="B194" s="17">
        <v>45918</v>
      </c>
      <c r="C194" s="2" t="s">
        <v>20</v>
      </c>
      <c r="D194" s="2" t="s">
        <v>28</v>
      </c>
      <c r="E194" s="2" t="s">
        <v>155</v>
      </c>
      <c r="F194" s="2" t="s">
        <v>161</v>
      </c>
      <c r="G194" s="2" t="s">
        <v>167</v>
      </c>
      <c r="H194" s="2" t="s">
        <v>152</v>
      </c>
      <c r="I194" s="2" t="s">
        <v>153</v>
      </c>
      <c r="J194" s="17">
        <v>45928</v>
      </c>
      <c r="K194" s="17">
        <v>45936</v>
      </c>
      <c r="L194" s="17"/>
      <c r="M194" s="17">
        <v>45971</v>
      </c>
      <c r="N194" s="18">
        <v>1375.65</v>
      </c>
    </row>
    <row r="195" spans="1:14" ht="15" customHeight="1" x14ac:dyDescent="0.25">
      <c r="A195" s="2" t="s">
        <v>362</v>
      </c>
      <c r="B195" s="17">
        <v>45804</v>
      </c>
      <c r="C195" s="2" t="s">
        <v>20</v>
      </c>
      <c r="D195" s="2" t="s">
        <v>26</v>
      </c>
      <c r="E195" s="2" t="s">
        <v>186</v>
      </c>
      <c r="F195" s="2" t="s">
        <v>156</v>
      </c>
      <c r="G195" s="2" t="s">
        <v>192</v>
      </c>
      <c r="H195" s="2" t="s">
        <v>152</v>
      </c>
      <c r="I195" s="2" t="s">
        <v>153</v>
      </c>
      <c r="J195" s="17">
        <v>45813</v>
      </c>
      <c r="K195" s="17">
        <v>45824</v>
      </c>
      <c r="L195" s="17"/>
      <c r="M195" s="17">
        <v>45856</v>
      </c>
      <c r="N195" s="18">
        <v>482.58</v>
      </c>
    </row>
    <row r="196" spans="1:14" ht="15" customHeight="1" x14ac:dyDescent="0.25">
      <c r="A196" s="2" t="s">
        <v>363</v>
      </c>
      <c r="B196" s="17">
        <v>45922</v>
      </c>
      <c r="C196" s="2" t="s">
        <v>22</v>
      </c>
      <c r="D196" s="2" t="s">
        <v>24</v>
      </c>
      <c r="E196" s="2" t="s">
        <v>155</v>
      </c>
      <c r="F196" s="2" t="s">
        <v>161</v>
      </c>
      <c r="G196" s="2" t="s">
        <v>165</v>
      </c>
      <c r="H196" s="2" t="s">
        <v>2</v>
      </c>
      <c r="I196" s="2" t="s">
        <v>153</v>
      </c>
      <c r="J196" s="17">
        <v>45923</v>
      </c>
      <c r="K196" s="17">
        <v>45927</v>
      </c>
      <c r="L196" s="17">
        <v>45939</v>
      </c>
      <c r="M196" s="17"/>
      <c r="N196" s="18">
        <v>1203.6400000000001</v>
      </c>
    </row>
    <row r="197" spans="1:14" ht="15" customHeight="1" x14ac:dyDescent="0.25">
      <c r="A197" s="2" t="s">
        <v>364</v>
      </c>
      <c r="B197" s="17">
        <v>45768</v>
      </c>
      <c r="C197" s="2" t="s">
        <v>22</v>
      </c>
      <c r="D197" s="2" t="s">
        <v>25</v>
      </c>
      <c r="E197" s="2" t="s">
        <v>149</v>
      </c>
      <c r="F197" s="2" t="s">
        <v>156</v>
      </c>
      <c r="G197" s="2" t="s">
        <v>165</v>
      </c>
      <c r="H197" s="2" t="s">
        <v>152</v>
      </c>
      <c r="I197" s="2" t="s">
        <v>163</v>
      </c>
      <c r="J197" s="17"/>
      <c r="K197" s="17"/>
      <c r="L197" s="17"/>
      <c r="M197" s="17">
        <v>45774</v>
      </c>
      <c r="N197" s="18">
        <v>650.04</v>
      </c>
    </row>
    <row r="198" spans="1:14" ht="15" customHeight="1" x14ac:dyDescent="0.25">
      <c r="A198" s="2" t="s">
        <v>365</v>
      </c>
      <c r="B198" s="17">
        <v>45789</v>
      </c>
      <c r="C198" s="2" t="s">
        <v>21</v>
      </c>
      <c r="D198" s="2" t="s">
        <v>28</v>
      </c>
      <c r="E198" s="2" t="s">
        <v>149</v>
      </c>
      <c r="F198" s="2" t="s">
        <v>156</v>
      </c>
      <c r="G198" s="2" t="s">
        <v>162</v>
      </c>
      <c r="H198" s="2" t="s">
        <v>152</v>
      </c>
      <c r="I198" s="2" t="s">
        <v>153</v>
      </c>
      <c r="J198" s="17">
        <v>45799</v>
      </c>
      <c r="K198" s="17">
        <v>45805</v>
      </c>
      <c r="L198" s="17"/>
      <c r="M198" s="17">
        <v>45828</v>
      </c>
      <c r="N198" s="18">
        <v>598.97</v>
      </c>
    </row>
    <row r="199" spans="1:14" ht="15" customHeight="1" x14ac:dyDescent="0.25">
      <c r="A199" s="2" t="s">
        <v>366</v>
      </c>
      <c r="B199" s="17">
        <v>45873</v>
      </c>
      <c r="C199" s="2" t="s">
        <v>19</v>
      </c>
      <c r="D199" s="2" t="s">
        <v>24</v>
      </c>
      <c r="E199" s="2" t="s">
        <v>149</v>
      </c>
      <c r="F199" s="2" t="s">
        <v>156</v>
      </c>
      <c r="G199" s="2" t="s">
        <v>207</v>
      </c>
      <c r="H199" s="2" t="s">
        <v>152</v>
      </c>
      <c r="I199" s="2" t="s">
        <v>163</v>
      </c>
      <c r="J199" s="17"/>
      <c r="K199" s="17"/>
      <c r="L199" s="17"/>
      <c r="M199" s="17">
        <v>45880</v>
      </c>
      <c r="N199" s="18">
        <v>866</v>
      </c>
    </row>
    <row r="200" spans="1:14" ht="15" customHeight="1" x14ac:dyDescent="0.25">
      <c r="A200" s="2" t="s">
        <v>367</v>
      </c>
      <c r="B200" s="17">
        <v>45808</v>
      </c>
      <c r="C200" s="2" t="s">
        <v>19</v>
      </c>
      <c r="D200" s="2" t="s">
        <v>27</v>
      </c>
      <c r="E200" s="2" t="s">
        <v>186</v>
      </c>
      <c r="F200" s="2" t="s">
        <v>156</v>
      </c>
      <c r="G200" s="2" t="s">
        <v>179</v>
      </c>
      <c r="H200" s="2" t="s">
        <v>152</v>
      </c>
      <c r="I200" s="2" t="s">
        <v>153</v>
      </c>
      <c r="J200" s="17">
        <v>45814</v>
      </c>
      <c r="K200" s="17">
        <v>45829</v>
      </c>
      <c r="L200" s="17"/>
      <c r="M200" s="17">
        <v>45841</v>
      </c>
      <c r="N200" s="18">
        <v>560.97</v>
      </c>
    </row>
    <row r="201" spans="1:14" ht="15" customHeight="1" x14ac:dyDescent="0.25">
      <c r="A201" s="2" t="s">
        <v>368</v>
      </c>
      <c r="B201" s="17">
        <v>45809</v>
      </c>
      <c r="C201" s="2" t="s">
        <v>22</v>
      </c>
      <c r="D201" s="2" t="s">
        <v>26</v>
      </c>
      <c r="E201" s="2" t="s">
        <v>186</v>
      </c>
      <c r="F201" s="2" t="s">
        <v>156</v>
      </c>
      <c r="G201" s="2" t="s">
        <v>165</v>
      </c>
      <c r="H201" s="2" t="s">
        <v>2</v>
      </c>
      <c r="I201" s="2" t="s">
        <v>153</v>
      </c>
      <c r="J201" s="17">
        <v>45817</v>
      </c>
      <c r="K201" s="17">
        <v>45824</v>
      </c>
      <c r="L201" s="17">
        <v>45836</v>
      </c>
      <c r="M201" s="17"/>
      <c r="N201" s="18">
        <v>711.74</v>
      </c>
    </row>
    <row r="202" spans="1:14" ht="15" customHeight="1" x14ac:dyDescent="0.25">
      <c r="A202" s="2" t="s">
        <v>369</v>
      </c>
      <c r="B202" s="17">
        <v>45816</v>
      </c>
      <c r="C202" s="2" t="s">
        <v>22</v>
      </c>
      <c r="D202" s="2" t="s">
        <v>26</v>
      </c>
      <c r="E202" s="2" t="s">
        <v>149</v>
      </c>
      <c r="F202" s="2" t="s">
        <v>156</v>
      </c>
      <c r="G202" s="2" t="s">
        <v>170</v>
      </c>
      <c r="H202" s="2" t="s">
        <v>2</v>
      </c>
      <c r="I202" s="2" t="s">
        <v>153</v>
      </c>
      <c r="J202" s="17">
        <v>45826</v>
      </c>
      <c r="K202" s="17">
        <v>45832</v>
      </c>
      <c r="L202" s="17">
        <v>45841</v>
      </c>
      <c r="M202" s="17"/>
      <c r="N202" s="18">
        <v>1083.67</v>
      </c>
    </row>
    <row r="203" spans="1:14" ht="15" customHeight="1" x14ac:dyDescent="0.25">
      <c r="A203" s="2" t="s">
        <v>370</v>
      </c>
      <c r="B203" s="17">
        <v>45999</v>
      </c>
      <c r="C203" s="2" t="s">
        <v>18</v>
      </c>
      <c r="D203" s="2" t="s">
        <v>24</v>
      </c>
      <c r="E203" s="2" t="s">
        <v>155</v>
      </c>
      <c r="F203" s="2" t="s">
        <v>156</v>
      </c>
      <c r="G203" s="2" t="s">
        <v>157</v>
      </c>
      <c r="H203" s="2" t="s">
        <v>190</v>
      </c>
      <c r="I203" s="2" t="s">
        <v>163</v>
      </c>
      <c r="J203" s="17"/>
      <c r="K203" s="17"/>
      <c r="L203" s="17"/>
      <c r="M203" s="17"/>
      <c r="N203" s="18">
        <v>424.82</v>
      </c>
    </row>
    <row r="204" spans="1:14" ht="15" customHeight="1" x14ac:dyDescent="0.25">
      <c r="A204" s="2" t="s">
        <v>371</v>
      </c>
      <c r="B204" s="17">
        <v>45707</v>
      </c>
      <c r="C204" s="2" t="s">
        <v>22</v>
      </c>
      <c r="D204" s="2" t="s">
        <v>28</v>
      </c>
      <c r="E204" s="2" t="s">
        <v>149</v>
      </c>
      <c r="F204" s="2" t="s">
        <v>150</v>
      </c>
      <c r="G204" s="2" t="s">
        <v>170</v>
      </c>
      <c r="H204" s="2" t="s">
        <v>152</v>
      </c>
      <c r="I204" s="2" t="s">
        <v>163</v>
      </c>
      <c r="J204" s="17"/>
      <c r="K204" s="17"/>
      <c r="L204" s="17"/>
      <c r="M204" s="17">
        <v>45727</v>
      </c>
      <c r="N204" s="18">
        <v>6242.92</v>
      </c>
    </row>
    <row r="205" spans="1:14" ht="15" customHeight="1" x14ac:dyDescent="0.25">
      <c r="A205" s="2" t="s">
        <v>372</v>
      </c>
      <c r="B205" s="17">
        <v>45993</v>
      </c>
      <c r="C205" s="2" t="s">
        <v>22</v>
      </c>
      <c r="D205" s="2" t="s">
        <v>26</v>
      </c>
      <c r="E205" s="2" t="s">
        <v>149</v>
      </c>
      <c r="F205" s="2" t="s">
        <v>156</v>
      </c>
      <c r="G205" s="2" t="s">
        <v>151</v>
      </c>
      <c r="H205" s="2" t="s">
        <v>2</v>
      </c>
      <c r="I205" s="2" t="s">
        <v>153</v>
      </c>
      <c r="J205" s="17">
        <v>46000</v>
      </c>
      <c r="K205" s="17">
        <v>46015</v>
      </c>
      <c r="L205" s="17">
        <v>46037</v>
      </c>
      <c r="M205" s="17"/>
      <c r="N205" s="18">
        <v>848.18</v>
      </c>
    </row>
    <row r="206" spans="1:14" ht="15" customHeight="1" x14ac:dyDescent="0.25">
      <c r="A206" s="2" t="s">
        <v>373</v>
      </c>
      <c r="B206" s="17">
        <v>45912</v>
      </c>
      <c r="C206" s="2" t="s">
        <v>19</v>
      </c>
      <c r="D206" s="2" t="s">
        <v>28</v>
      </c>
      <c r="E206" s="2" t="s">
        <v>149</v>
      </c>
      <c r="F206" s="2" t="s">
        <v>161</v>
      </c>
      <c r="G206" s="2" t="s">
        <v>179</v>
      </c>
      <c r="H206" s="2" t="s">
        <v>152</v>
      </c>
      <c r="I206" s="2" t="s">
        <v>153</v>
      </c>
      <c r="J206" s="17">
        <v>45913</v>
      </c>
      <c r="K206" s="17">
        <v>45925</v>
      </c>
      <c r="L206" s="17"/>
      <c r="M206" s="17">
        <v>45953</v>
      </c>
      <c r="N206" s="18">
        <v>2316.3200000000002</v>
      </c>
    </row>
    <row r="207" spans="1:14" ht="15" customHeight="1" x14ac:dyDescent="0.25">
      <c r="A207" s="2" t="s">
        <v>374</v>
      </c>
      <c r="B207" s="17">
        <v>45846</v>
      </c>
      <c r="C207" s="2" t="s">
        <v>22</v>
      </c>
      <c r="D207" s="2" t="s">
        <v>26</v>
      </c>
      <c r="E207" s="2" t="s">
        <v>149</v>
      </c>
      <c r="F207" s="2" t="s">
        <v>156</v>
      </c>
      <c r="G207" s="2" t="s">
        <v>165</v>
      </c>
      <c r="H207" s="2" t="s">
        <v>152</v>
      </c>
      <c r="I207" s="2" t="s">
        <v>153</v>
      </c>
      <c r="J207" s="17">
        <v>45849</v>
      </c>
      <c r="K207" s="17">
        <v>45858</v>
      </c>
      <c r="L207" s="17"/>
      <c r="M207" s="17">
        <v>45882</v>
      </c>
      <c r="N207" s="18">
        <v>1026.05</v>
      </c>
    </row>
    <row r="208" spans="1:14" ht="15" customHeight="1" x14ac:dyDescent="0.25">
      <c r="A208" s="2" t="s">
        <v>52</v>
      </c>
      <c r="B208" s="17">
        <v>45879</v>
      </c>
      <c r="C208" s="2" t="s">
        <v>21</v>
      </c>
      <c r="E208" s="2" t="s">
        <v>149</v>
      </c>
      <c r="F208" s="2" t="s">
        <v>156</v>
      </c>
      <c r="G208" s="2" t="s">
        <v>176</v>
      </c>
      <c r="H208" s="2" t="s">
        <v>152</v>
      </c>
      <c r="I208" s="2" t="s">
        <v>153</v>
      </c>
      <c r="J208" s="17">
        <v>45884</v>
      </c>
      <c r="K208" s="17"/>
      <c r="L208" s="17"/>
      <c r="M208" s="17">
        <v>45895</v>
      </c>
      <c r="N208" s="18">
        <v>845.53</v>
      </c>
    </row>
    <row r="209" spans="1:14" ht="15" customHeight="1" x14ac:dyDescent="0.25">
      <c r="A209" s="2" t="s">
        <v>376</v>
      </c>
      <c r="B209" s="17">
        <v>45747</v>
      </c>
      <c r="C209" s="2" t="s">
        <v>21</v>
      </c>
      <c r="D209" s="2" t="s">
        <v>28</v>
      </c>
      <c r="E209" s="2" t="s">
        <v>160</v>
      </c>
      <c r="F209" s="2" t="s">
        <v>161</v>
      </c>
      <c r="G209" s="2" t="s">
        <v>176</v>
      </c>
      <c r="H209" s="2" t="s">
        <v>152</v>
      </c>
      <c r="I209" s="2" t="s">
        <v>153</v>
      </c>
      <c r="J209" s="17">
        <v>45750</v>
      </c>
      <c r="K209" s="17">
        <v>45755</v>
      </c>
      <c r="L209" s="17"/>
      <c r="M209" s="17">
        <v>45775</v>
      </c>
      <c r="N209" s="18">
        <v>2327.85</v>
      </c>
    </row>
    <row r="210" spans="1:14" ht="15" customHeight="1" x14ac:dyDescent="0.25">
      <c r="A210" s="2" t="s">
        <v>377</v>
      </c>
      <c r="B210" s="17">
        <v>45715</v>
      </c>
      <c r="C210" s="2" t="s">
        <v>22</v>
      </c>
      <c r="D210" s="2" t="s">
        <v>26</v>
      </c>
      <c r="E210" s="2" t="s">
        <v>149</v>
      </c>
      <c r="F210" s="2" t="s">
        <v>156</v>
      </c>
      <c r="G210" s="2" t="s">
        <v>151</v>
      </c>
      <c r="H210" s="2" t="s">
        <v>152</v>
      </c>
      <c r="I210" s="2" t="s">
        <v>153</v>
      </c>
      <c r="J210" s="17">
        <v>45720</v>
      </c>
      <c r="K210" s="17"/>
      <c r="L210" s="17"/>
      <c r="M210" s="17">
        <v>45727</v>
      </c>
      <c r="N210" s="18">
        <v>1085.96</v>
      </c>
    </row>
    <row r="211" spans="1:14" ht="15" customHeight="1" x14ac:dyDescent="0.25">
      <c r="A211" s="2" t="s">
        <v>378</v>
      </c>
      <c r="B211" s="17">
        <v>45863</v>
      </c>
      <c r="C211" s="2" t="s">
        <v>22</v>
      </c>
      <c r="D211" s="2" t="s">
        <v>25</v>
      </c>
      <c r="E211" s="2" t="s">
        <v>149</v>
      </c>
      <c r="F211" s="2" t="s">
        <v>156</v>
      </c>
      <c r="G211" s="2" t="s">
        <v>151</v>
      </c>
      <c r="H211" s="2" t="s">
        <v>2</v>
      </c>
      <c r="I211" s="2" t="s">
        <v>153</v>
      </c>
      <c r="J211" s="17">
        <v>45870</v>
      </c>
      <c r="K211" s="17">
        <v>45884</v>
      </c>
      <c r="L211" s="17">
        <v>45887</v>
      </c>
      <c r="M211" s="17"/>
      <c r="N211" s="18">
        <v>732.17</v>
      </c>
    </row>
    <row r="212" spans="1:14" ht="15" customHeight="1" x14ac:dyDescent="0.25">
      <c r="A212" s="2" t="s">
        <v>379</v>
      </c>
      <c r="B212" s="17">
        <v>45710</v>
      </c>
      <c r="C212" s="2" t="s">
        <v>19</v>
      </c>
      <c r="D212" s="2" t="s">
        <v>25</v>
      </c>
      <c r="E212" s="2" t="s">
        <v>149</v>
      </c>
      <c r="F212" s="2" t="s">
        <v>161</v>
      </c>
      <c r="G212" s="2" t="s">
        <v>210</v>
      </c>
      <c r="H212" s="2" t="s">
        <v>152</v>
      </c>
      <c r="I212" s="2" t="s">
        <v>153</v>
      </c>
      <c r="J212" s="17">
        <v>45716</v>
      </c>
      <c r="K212" s="17">
        <v>45721</v>
      </c>
      <c r="L212" s="17"/>
      <c r="M212" s="17">
        <v>45755</v>
      </c>
      <c r="N212" s="18">
        <v>2894.11</v>
      </c>
    </row>
    <row r="213" spans="1:14" ht="15" customHeight="1" x14ac:dyDescent="0.25">
      <c r="A213" s="2" t="s">
        <v>380</v>
      </c>
      <c r="B213" s="17">
        <v>45820</v>
      </c>
      <c r="C213" s="2" t="s">
        <v>19</v>
      </c>
      <c r="D213" s="2" t="s">
        <v>25</v>
      </c>
      <c r="E213" s="2" t="s">
        <v>155</v>
      </c>
      <c r="F213" s="2" t="s">
        <v>156</v>
      </c>
      <c r="G213" s="2" t="s">
        <v>207</v>
      </c>
      <c r="H213" s="2" t="s">
        <v>152</v>
      </c>
      <c r="I213" s="2" t="s">
        <v>163</v>
      </c>
      <c r="J213" s="17"/>
      <c r="K213" s="17"/>
      <c r="L213" s="17"/>
      <c r="M213" s="17">
        <v>45829</v>
      </c>
      <c r="N213" s="18">
        <v>591.82000000000005</v>
      </c>
    </row>
    <row r="214" spans="1:14" ht="15" customHeight="1" x14ac:dyDescent="0.25">
      <c r="A214" s="2" t="s">
        <v>381</v>
      </c>
      <c r="B214" s="17">
        <v>45883</v>
      </c>
      <c r="C214" s="2" t="s">
        <v>19</v>
      </c>
      <c r="D214" s="2" t="s">
        <v>26</v>
      </c>
      <c r="E214" s="2" t="s">
        <v>160</v>
      </c>
      <c r="F214" s="2" t="s">
        <v>161</v>
      </c>
      <c r="G214" s="2" t="s">
        <v>179</v>
      </c>
      <c r="H214" s="2" t="s">
        <v>152</v>
      </c>
      <c r="I214" s="2" t="s">
        <v>163</v>
      </c>
      <c r="J214" s="17"/>
      <c r="K214" s="17"/>
      <c r="L214" s="17"/>
      <c r="M214" s="17">
        <v>45900</v>
      </c>
      <c r="N214" s="18">
        <v>1964.63</v>
      </c>
    </row>
    <row r="215" spans="1:14" ht="15" customHeight="1" x14ac:dyDescent="0.25">
      <c r="A215" s="2" t="s">
        <v>382</v>
      </c>
      <c r="B215" s="17">
        <v>46007</v>
      </c>
      <c r="C215" s="2" t="s">
        <v>20</v>
      </c>
      <c r="D215" s="2" t="s">
        <v>27</v>
      </c>
      <c r="E215" s="2" t="s">
        <v>149</v>
      </c>
      <c r="F215" s="2" t="s">
        <v>156</v>
      </c>
      <c r="G215" s="2" t="s">
        <v>167</v>
      </c>
      <c r="H215" s="2" t="s">
        <v>158</v>
      </c>
      <c r="I215" s="2" t="s">
        <v>153</v>
      </c>
      <c r="J215" s="17">
        <v>46010</v>
      </c>
      <c r="K215" s="17">
        <v>46011</v>
      </c>
      <c r="L215" s="17"/>
      <c r="M215" s="17"/>
      <c r="N215" s="18">
        <v>925.71</v>
      </c>
    </row>
    <row r="216" spans="1:14" ht="15" customHeight="1" x14ac:dyDescent="0.25">
      <c r="A216" s="2" t="s">
        <v>383</v>
      </c>
      <c r="B216" s="17">
        <v>45698</v>
      </c>
      <c r="C216" s="2" t="s">
        <v>21</v>
      </c>
      <c r="D216" s="2" t="s">
        <v>24</v>
      </c>
      <c r="E216" s="2" t="s">
        <v>155</v>
      </c>
      <c r="F216" s="2" t="s">
        <v>156</v>
      </c>
      <c r="G216" s="2" t="s">
        <v>183</v>
      </c>
      <c r="H216" s="2" t="s">
        <v>152</v>
      </c>
      <c r="I216" s="2" t="s">
        <v>153</v>
      </c>
      <c r="J216" s="17">
        <v>45707</v>
      </c>
      <c r="K216" s="17"/>
      <c r="L216" s="17"/>
      <c r="M216" s="17">
        <v>45725</v>
      </c>
      <c r="N216" s="18">
        <v>443.73</v>
      </c>
    </row>
    <row r="217" spans="1:14" ht="15" customHeight="1" x14ac:dyDescent="0.25">
      <c r="A217" s="2" t="s">
        <v>384</v>
      </c>
      <c r="B217" s="17">
        <v>45874</v>
      </c>
      <c r="C217" s="2" t="s">
        <v>19</v>
      </c>
      <c r="D217" s="2" t="s">
        <v>25</v>
      </c>
      <c r="E217" s="2" t="s">
        <v>160</v>
      </c>
      <c r="F217" s="2" t="s">
        <v>150</v>
      </c>
      <c r="G217" s="2" t="s">
        <v>179</v>
      </c>
      <c r="H217" s="2" t="s">
        <v>2</v>
      </c>
      <c r="I217" s="2" t="s">
        <v>153</v>
      </c>
      <c r="J217" s="17">
        <v>45880</v>
      </c>
      <c r="K217" s="17">
        <v>45894</v>
      </c>
      <c r="L217" s="17">
        <v>45903</v>
      </c>
      <c r="M217" s="17"/>
      <c r="N217" s="18">
        <v>5993.39</v>
      </c>
    </row>
    <row r="218" spans="1:14" ht="15" customHeight="1" x14ac:dyDescent="0.25">
      <c r="A218" s="2" t="s">
        <v>385</v>
      </c>
      <c r="B218" s="17">
        <v>46004</v>
      </c>
      <c r="C218" s="2" t="s">
        <v>18</v>
      </c>
      <c r="D218" s="2" t="s">
        <v>24</v>
      </c>
      <c r="E218" s="2" t="s">
        <v>186</v>
      </c>
      <c r="F218" s="2" t="s">
        <v>161</v>
      </c>
      <c r="G218" s="2" t="s">
        <v>251</v>
      </c>
      <c r="H218" s="2" t="s">
        <v>2</v>
      </c>
      <c r="I218" s="2" t="s">
        <v>153</v>
      </c>
      <c r="J218" s="17">
        <v>46014</v>
      </c>
      <c r="K218" s="17">
        <v>46029</v>
      </c>
      <c r="L218" s="17">
        <v>46049</v>
      </c>
      <c r="M218" s="17"/>
      <c r="N218" s="18">
        <v>2794.31</v>
      </c>
    </row>
    <row r="219" spans="1:14" ht="15" customHeight="1" x14ac:dyDescent="0.25">
      <c r="A219" s="2" t="s">
        <v>386</v>
      </c>
      <c r="B219" s="17">
        <v>45963</v>
      </c>
      <c r="C219" s="2" t="s">
        <v>18</v>
      </c>
      <c r="D219" s="2" t="s">
        <v>26</v>
      </c>
      <c r="E219" s="2" t="s">
        <v>186</v>
      </c>
      <c r="F219" s="2" t="s">
        <v>156</v>
      </c>
      <c r="G219" s="2" t="s">
        <v>201</v>
      </c>
      <c r="H219" s="2" t="s">
        <v>152</v>
      </c>
      <c r="I219" s="2" t="s">
        <v>153</v>
      </c>
      <c r="J219" s="17">
        <v>45972</v>
      </c>
      <c r="K219" s="17"/>
      <c r="L219" s="17"/>
      <c r="M219" s="17">
        <v>45992</v>
      </c>
      <c r="N219" s="18">
        <v>485.17</v>
      </c>
    </row>
    <row r="220" spans="1:14" ht="15" customHeight="1" x14ac:dyDescent="0.25">
      <c r="A220" s="2" t="s">
        <v>387</v>
      </c>
      <c r="B220" s="17">
        <v>45948</v>
      </c>
      <c r="C220" s="2" t="s">
        <v>22</v>
      </c>
      <c r="D220" s="2" t="s">
        <v>24</v>
      </c>
      <c r="E220" s="2" t="s">
        <v>149</v>
      </c>
      <c r="F220" s="2" t="s">
        <v>150</v>
      </c>
      <c r="G220" s="2" t="s">
        <v>151</v>
      </c>
      <c r="H220" s="2" t="s">
        <v>152</v>
      </c>
      <c r="I220" s="2" t="s">
        <v>163</v>
      </c>
      <c r="J220" s="17"/>
      <c r="K220" s="17"/>
      <c r="L220" s="17"/>
      <c r="M220" s="17">
        <v>45959</v>
      </c>
      <c r="N220" s="18">
        <v>6692.85</v>
      </c>
    </row>
    <row r="221" spans="1:14" ht="15" customHeight="1" x14ac:dyDescent="0.25">
      <c r="A221" s="2" t="s">
        <v>388</v>
      </c>
      <c r="B221" s="17">
        <v>45764</v>
      </c>
      <c r="C221" s="2" t="s">
        <v>20</v>
      </c>
      <c r="D221" s="2" t="s">
        <v>25</v>
      </c>
      <c r="E221" s="2" t="s">
        <v>186</v>
      </c>
      <c r="F221" s="2" t="s">
        <v>150</v>
      </c>
      <c r="G221" s="2" t="s">
        <v>192</v>
      </c>
      <c r="H221" s="2" t="s">
        <v>152</v>
      </c>
      <c r="I221" s="2" t="s">
        <v>153</v>
      </c>
      <c r="J221" s="17">
        <v>45772</v>
      </c>
      <c r="K221" s="17">
        <v>45787</v>
      </c>
      <c r="L221" s="17"/>
      <c r="M221" s="17">
        <v>45821</v>
      </c>
      <c r="N221" s="18">
        <v>8806.5400000000009</v>
      </c>
    </row>
    <row r="222" spans="1:14" ht="15" customHeight="1" x14ac:dyDescent="0.25">
      <c r="A222" s="2" t="s">
        <v>389</v>
      </c>
      <c r="B222" s="17">
        <v>45799</v>
      </c>
      <c r="C222" s="2" t="s">
        <v>22</v>
      </c>
      <c r="D222" s="2" t="s">
        <v>26</v>
      </c>
      <c r="E222" s="2" t="s">
        <v>149</v>
      </c>
      <c r="F222" s="2" t="s">
        <v>150</v>
      </c>
      <c r="G222" s="2" t="s">
        <v>170</v>
      </c>
      <c r="H222" s="2" t="s">
        <v>152</v>
      </c>
      <c r="I222" s="2" t="s">
        <v>163</v>
      </c>
      <c r="J222" s="17"/>
      <c r="K222" s="17"/>
      <c r="L222" s="17"/>
      <c r="M222" s="17">
        <v>45801</v>
      </c>
      <c r="N222" s="18">
        <v>5954.11</v>
      </c>
    </row>
    <row r="223" spans="1:14" ht="15" customHeight="1" x14ac:dyDescent="0.25">
      <c r="A223" s="2" t="s">
        <v>390</v>
      </c>
      <c r="B223" s="17">
        <v>45751</v>
      </c>
      <c r="C223" s="2" t="s">
        <v>20</v>
      </c>
      <c r="D223" s="2" t="s">
        <v>25</v>
      </c>
      <c r="E223" s="2" t="s">
        <v>186</v>
      </c>
      <c r="F223" s="2" t="s">
        <v>161</v>
      </c>
      <c r="G223" s="2" t="s">
        <v>189</v>
      </c>
      <c r="H223" s="2" t="s">
        <v>2</v>
      </c>
      <c r="I223" s="2" t="s">
        <v>153</v>
      </c>
      <c r="J223" s="17">
        <v>45761</v>
      </c>
      <c r="K223" s="17">
        <v>45768</v>
      </c>
      <c r="L223" s="17">
        <v>45772</v>
      </c>
      <c r="M223" s="17"/>
      <c r="N223" s="18">
        <v>2371.38</v>
      </c>
    </row>
    <row r="224" spans="1:14" ht="15" customHeight="1" x14ac:dyDescent="0.25">
      <c r="A224" s="2" t="s">
        <v>391</v>
      </c>
      <c r="B224" s="17">
        <v>45745</v>
      </c>
      <c r="C224" s="2" t="s">
        <v>21</v>
      </c>
      <c r="D224" s="2" t="s">
        <v>25</v>
      </c>
      <c r="E224" s="2" t="s">
        <v>149</v>
      </c>
      <c r="F224" s="2" t="s">
        <v>156</v>
      </c>
      <c r="G224" s="2" t="s">
        <v>176</v>
      </c>
      <c r="H224" s="2" t="s">
        <v>152</v>
      </c>
      <c r="I224" s="2" t="s">
        <v>163</v>
      </c>
      <c r="J224" s="17"/>
      <c r="K224" s="17"/>
      <c r="L224" s="17"/>
      <c r="M224" s="17">
        <v>45751</v>
      </c>
      <c r="N224" s="18">
        <v>793.87</v>
      </c>
    </row>
    <row r="225" spans="1:14" ht="15" customHeight="1" x14ac:dyDescent="0.25">
      <c r="A225" s="2" t="s">
        <v>392</v>
      </c>
      <c r="B225" s="17">
        <v>45868</v>
      </c>
      <c r="C225" s="2" t="s">
        <v>19</v>
      </c>
      <c r="D225" s="2" t="s">
        <v>24</v>
      </c>
      <c r="E225" s="2" t="s">
        <v>149</v>
      </c>
      <c r="F225" s="2" t="s">
        <v>150</v>
      </c>
      <c r="G225" s="2" t="s">
        <v>210</v>
      </c>
      <c r="H225" s="2" t="s">
        <v>152</v>
      </c>
      <c r="I225" s="2" t="s">
        <v>163</v>
      </c>
      <c r="J225" s="17"/>
      <c r="K225" s="17"/>
      <c r="L225" s="17"/>
      <c r="M225" s="17">
        <v>45870</v>
      </c>
      <c r="N225" s="18">
        <v>11162.71</v>
      </c>
    </row>
    <row r="226" spans="1:14" ht="15" customHeight="1" x14ac:dyDescent="0.25">
      <c r="A226" s="2" t="s">
        <v>393</v>
      </c>
      <c r="B226" s="17">
        <v>45961</v>
      </c>
      <c r="C226" s="2" t="s">
        <v>19</v>
      </c>
      <c r="D226" s="2" t="s">
        <v>25</v>
      </c>
      <c r="E226" s="2" t="s">
        <v>160</v>
      </c>
      <c r="F226" s="2" t="s">
        <v>161</v>
      </c>
      <c r="G226" s="2" t="s">
        <v>207</v>
      </c>
      <c r="H226" s="2" t="s">
        <v>152</v>
      </c>
      <c r="I226" s="2" t="s">
        <v>163</v>
      </c>
      <c r="J226" s="17"/>
      <c r="K226" s="17"/>
      <c r="L226" s="17"/>
      <c r="M226" s="17">
        <v>45966</v>
      </c>
      <c r="N226" s="18">
        <v>2915.21</v>
      </c>
    </row>
    <row r="227" spans="1:14" ht="15" customHeight="1" x14ac:dyDescent="0.25">
      <c r="A227" s="2" t="s">
        <v>394</v>
      </c>
      <c r="B227" s="17">
        <v>45753</v>
      </c>
      <c r="C227" s="2" t="s">
        <v>21</v>
      </c>
      <c r="D227" s="2" t="s">
        <v>26</v>
      </c>
      <c r="E227" s="2" t="s">
        <v>186</v>
      </c>
      <c r="F227" s="2" t="s">
        <v>161</v>
      </c>
      <c r="G227" s="2" t="s">
        <v>162</v>
      </c>
      <c r="H227" s="2" t="s">
        <v>152</v>
      </c>
      <c r="I227" s="2" t="s">
        <v>163</v>
      </c>
      <c r="J227" s="17"/>
      <c r="K227" s="17"/>
      <c r="L227" s="17"/>
      <c r="M227" s="17">
        <v>45757</v>
      </c>
      <c r="N227" s="18">
        <v>1801.97</v>
      </c>
    </row>
    <row r="228" spans="1:14" ht="15" customHeight="1" x14ac:dyDescent="0.25">
      <c r="A228" s="2" t="s">
        <v>395</v>
      </c>
      <c r="B228" s="17">
        <v>46022</v>
      </c>
      <c r="C228" s="2" t="s">
        <v>20</v>
      </c>
      <c r="D228" s="2" t="s">
        <v>26</v>
      </c>
      <c r="E228" s="2" t="s">
        <v>160</v>
      </c>
      <c r="F228" s="2" t="s">
        <v>156</v>
      </c>
      <c r="G228" s="2" t="s">
        <v>167</v>
      </c>
      <c r="H228" s="2" t="s">
        <v>15</v>
      </c>
      <c r="I228" s="2" t="s">
        <v>153</v>
      </c>
      <c r="J228" s="17">
        <v>46029</v>
      </c>
      <c r="K228" s="17"/>
      <c r="L228" s="17"/>
      <c r="M228" s="17"/>
      <c r="N228" s="18">
        <v>871.57</v>
      </c>
    </row>
    <row r="229" spans="1:14" ht="15" customHeight="1" x14ac:dyDescent="0.25">
      <c r="A229" s="2" t="s">
        <v>396</v>
      </c>
      <c r="B229" s="17">
        <v>45783</v>
      </c>
      <c r="C229" s="2" t="s">
        <v>21</v>
      </c>
      <c r="D229" s="2" t="s">
        <v>26</v>
      </c>
      <c r="E229" s="2" t="s">
        <v>186</v>
      </c>
      <c r="F229" s="2" t="s">
        <v>156</v>
      </c>
      <c r="G229" s="2" t="s">
        <v>162</v>
      </c>
      <c r="H229" s="2" t="s">
        <v>152</v>
      </c>
      <c r="I229" s="2" t="s">
        <v>153</v>
      </c>
      <c r="J229" s="17">
        <v>45786</v>
      </c>
      <c r="K229" s="17">
        <v>45791</v>
      </c>
      <c r="L229" s="17"/>
      <c r="M229" s="17">
        <v>45811</v>
      </c>
      <c r="N229" s="18">
        <v>842.06</v>
      </c>
    </row>
    <row r="230" spans="1:14" ht="15" customHeight="1" x14ac:dyDescent="0.25">
      <c r="A230" s="2" t="s">
        <v>397</v>
      </c>
      <c r="B230" s="17">
        <v>45971</v>
      </c>
      <c r="C230" s="2" t="s">
        <v>19</v>
      </c>
      <c r="D230" s="2" t="s">
        <v>25</v>
      </c>
      <c r="E230" s="2" t="s">
        <v>149</v>
      </c>
      <c r="F230" s="2" t="s">
        <v>156</v>
      </c>
      <c r="G230" s="2" t="s">
        <v>179</v>
      </c>
      <c r="H230" s="2" t="s">
        <v>2</v>
      </c>
      <c r="I230" s="2" t="s">
        <v>153</v>
      </c>
      <c r="J230" s="17">
        <v>45975</v>
      </c>
      <c r="K230" s="17">
        <v>45984</v>
      </c>
      <c r="L230" s="17">
        <v>46000</v>
      </c>
      <c r="M230" s="17"/>
      <c r="N230" s="18">
        <v>714.73</v>
      </c>
    </row>
    <row r="231" spans="1:14" ht="15" customHeight="1" x14ac:dyDescent="0.25">
      <c r="A231" s="2" t="s">
        <v>398</v>
      </c>
      <c r="B231" s="17">
        <v>45927</v>
      </c>
      <c r="C231" s="2" t="s">
        <v>19</v>
      </c>
      <c r="D231" s="2" t="s">
        <v>24</v>
      </c>
      <c r="E231" s="2" t="s">
        <v>160</v>
      </c>
      <c r="F231" s="2" t="s">
        <v>156</v>
      </c>
      <c r="G231" s="2" t="s">
        <v>207</v>
      </c>
      <c r="H231" s="2" t="s">
        <v>152</v>
      </c>
      <c r="I231" s="2" t="s">
        <v>153</v>
      </c>
      <c r="J231" s="17">
        <v>45933</v>
      </c>
      <c r="K231" s="17">
        <v>45939</v>
      </c>
      <c r="L231" s="17"/>
      <c r="M231" s="17">
        <v>45974</v>
      </c>
      <c r="N231" s="18">
        <v>922.69</v>
      </c>
    </row>
    <row r="232" spans="1:14" ht="15" customHeight="1" x14ac:dyDescent="0.25">
      <c r="A232" s="2" t="s">
        <v>399</v>
      </c>
      <c r="B232" s="17">
        <v>45876</v>
      </c>
      <c r="C232" s="2" t="s">
        <v>18</v>
      </c>
      <c r="D232" s="2" t="s">
        <v>27</v>
      </c>
      <c r="E232" s="2" t="s">
        <v>186</v>
      </c>
      <c r="F232" s="2" t="s">
        <v>150</v>
      </c>
      <c r="G232" s="2" t="s">
        <v>157</v>
      </c>
      <c r="H232" s="2" t="s">
        <v>2</v>
      </c>
      <c r="I232" s="2" t="s">
        <v>153</v>
      </c>
      <c r="J232" s="17">
        <v>45877</v>
      </c>
      <c r="K232" s="17">
        <v>45890</v>
      </c>
      <c r="L232" s="17">
        <v>45895</v>
      </c>
      <c r="M232" s="17"/>
      <c r="N232" s="18">
        <v>7135</v>
      </c>
    </row>
    <row r="233" spans="1:14" ht="15" customHeight="1" x14ac:dyDescent="0.25">
      <c r="A233" s="2" t="s">
        <v>400</v>
      </c>
      <c r="B233" s="17">
        <v>45775</v>
      </c>
      <c r="C233" s="2" t="s">
        <v>20</v>
      </c>
      <c r="D233" s="2" t="s">
        <v>26</v>
      </c>
      <c r="E233" s="2" t="s">
        <v>160</v>
      </c>
      <c r="F233" s="2" t="s">
        <v>161</v>
      </c>
      <c r="G233" s="2" t="s">
        <v>167</v>
      </c>
      <c r="H233" s="2" t="s">
        <v>152</v>
      </c>
      <c r="I233" s="2" t="s">
        <v>153</v>
      </c>
      <c r="J233" s="17">
        <v>45784</v>
      </c>
      <c r="K233" s="17">
        <v>45796</v>
      </c>
      <c r="L233" s="17"/>
      <c r="M233" s="17">
        <v>45803</v>
      </c>
      <c r="N233" s="18">
        <v>1747.77</v>
      </c>
    </row>
    <row r="234" spans="1:14" ht="15" customHeight="1" x14ac:dyDescent="0.25">
      <c r="A234" s="2" t="s">
        <v>401</v>
      </c>
      <c r="B234" s="17">
        <v>45722</v>
      </c>
      <c r="C234" s="2" t="s">
        <v>22</v>
      </c>
      <c r="D234" s="2" t="s">
        <v>24</v>
      </c>
      <c r="E234" s="2" t="s">
        <v>149</v>
      </c>
      <c r="F234" s="2" t="s">
        <v>156</v>
      </c>
      <c r="G234" s="2" t="s">
        <v>151</v>
      </c>
      <c r="H234" s="2" t="s">
        <v>152</v>
      </c>
      <c r="I234" s="2" t="s">
        <v>163</v>
      </c>
      <c r="J234" s="17"/>
      <c r="K234" s="17"/>
      <c r="L234" s="17"/>
      <c r="M234" s="17">
        <v>45728</v>
      </c>
      <c r="N234" s="18">
        <v>712.51</v>
      </c>
    </row>
    <row r="235" spans="1:14" ht="15" customHeight="1" x14ac:dyDescent="0.25">
      <c r="A235" s="2" t="s">
        <v>402</v>
      </c>
      <c r="B235" s="17">
        <v>45688</v>
      </c>
      <c r="C235" s="2" t="s">
        <v>20</v>
      </c>
      <c r="D235" s="2" t="s">
        <v>25</v>
      </c>
      <c r="E235" s="2" t="s">
        <v>186</v>
      </c>
      <c r="F235" s="2" t="s">
        <v>156</v>
      </c>
      <c r="G235" s="2" t="s">
        <v>192</v>
      </c>
      <c r="H235" s="2" t="s">
        <v>2</v>
      </c>
      <c r="I235" s="2" t="s">
        <v>153</v>
      </c>
      <c r="J235" s="17">
        <v>45693</v>
      </c>
      <c r="K235" s="17">
        <v>45708</v>
      </c>
      <c r="L235" s="17">
        <v>45718</v>
      </c>
      <c r="M235" s="17"/>
      <c r="N235" s="18">
        <v>703.07</v>
      </c>
    </row>
    <row r="236" spans="1:14" ht="15" customHeight="1" x14ac:dyDescent="0.25">
      <c r="A236" s="2" t="s">
        <v>403</v>
      </c>
      <c r="B236" s="17">
        <v>45808</v>
      </c>
      <c r="C236" s="2" t="s">
        <v>18</v>
      </c>
      <c r="D236" s="2" t="s">
        <v>26</v>
      </c>
      <c r="E236" s="2" t="s">
        <v>149</v>
      </c>
      <c r="F236" s="2" t="s">
        <v>150</v>
      </c>
      <c r="G236" s="2" t="s">
        <v>251</v>
      </c>
      <c r="H236" s="2" t="s">
        <v>152</v>
      </c>
      <c r="I236" s="2" t="s">
        <v>153</v>
      </c>
      <c r="J236" s="17">
        <v>45816</v>
      </c>
      <c r="K236" s="17"/>
      <c r="L236" s="17"/>
      <c r="M236" s="17">
        <v>45834</v>
      </c>
      <c r="N236" s="18">
        <v>8785.84</v>
      </c>
    </row>
    <row r="237" spans="1:14" ht="15" customHeight="1" x14ac:dyDescent="0.25">
      <c r="A237" s="2" t="s">
        <v>404</v>
      </c>
      <c r="B237" s="17">
        <v>45880</v>
      </c>
      <c r="C237" s="2" t="s">
        <v>20</v>
      </c>
      <c r="D237" s="2" t="s">
        <v>28</v>
      </c>
      <c r="E237" s="2" t="s">
        <v>186</v>
      </c>
      <c r="F237" s="2" t="s">
        <v>156</v>
      </c>
      <c r="G237" s="2" t="s">
        <v>167</v>
      </c>
      <c r="H237" s="2" t="s">
        <v>152</v>
      </c>
      <c r="I237" s="2" t="s">
        <v>153</v>
      </c>
      <c r="J237" s="17">
        <v>45886</v>
      </c>
      <c r="K237" s="17"/>
      <c r="L237" s="17"/>
      <c r="M237" s="17">
        <v>45891</v>
      </c>
      <c r="N237" s="18">
        <v>675.83</v>
      </c>
    </row>
    <row r="238" spans="1:14" ht="15" customHeight="1" x14ac:dyDescent="0.25">
      <c r="A238" s="2" t="s">
        <v>405</v>
      </c>
      <c r="B238" s="17">
        <v>45959</v>
      </c>
      <c r="C238" s="2" t="s">
        <v>21</v>
      </c>
      <c r="D238" s="2" t="s">
        <v>25</v>
      </c>
      <c r="E238" s="2" t="s">
        <v>186</v>
      </c>
      <c r="F238" s="2" t="s">
        <v>161</v>
      </c>
      <c r="G238" s="2" t="s">
        <v>183</v>
      </c>
      <c r="H238" s="2" t="s">
        <v>2</v>
      </c>
      <c r="I238" s="2" t="s">
        <v>153</v>
      </c>
      <c r="J238" s="17">
        <v>45965</v>
      </c>
      <c r="K238" s="17">
        <v>45972</v>
      </c>
      <c r="L238" s="17">
        <v>45988</v>
      </c>
      <c r="M238" s="17"/>
      <c r="N238" s="18">
        <v>2725.98</v>
      </c>
    </row>
    <row r="239" spans="1:14" ht="15" customHeight="1" x14ac:dyDescent="0.25">
      <c r="A239" s="2" t="s">
        <v>406</v>
      </c>
      <c r="B239" s="17">
        <v>45875</v>
      </c>
      <c r="C239" s="2" t="s">
        <v>20</v>
      </c>
      <c r="D239" s="2" t="s">
        <v>24</v>
      </c>
      <c r="E239" s="2" t="s">
        <v>155</v>
      </c>
      <c r="F239" s="2" t="s">
        <v>150</v>
      </c>
      <c r="G239" s="2" t="s">
        <v>167</v>
      </c>
      <c r="H239" s="2" t="s">
        <v>2</v>
      </c>
      <c r="I239" s="2" t="s">
        <v>153</v>
      </c>
      <c r="J239" s="17">
        <v>45883</v>
      </c>
      <c r="K239" s="17">
        <v>45890</v>
      </c>
      <c r="L239" s="17">
        <v>45917</v>
      </c>
      <c r="M239" s="17"/>
      <c r="N239" s="18">
        <v>6448.96</v>
      </c>
    </row>
    <row r="240" spans="1:14" ht="15" customHeight="1" x14ac:dyDescent="0.25">
      <c r="A240" s="2" t="s">
        <v>407</v>
      </c>
      <c r="B240" s="17">
        <v>45668</v>
      </c>
      <c r="C240" s="2" t="s">
        <v>19</v>
      </c>
      <c r="D240" s="2" t="s">
        <v>27</v>
      </c>
      <c r="E240" s="2" t="s">
        <v>149</v>
      </c>
      <c r="F240" s="2" t="s">
        <v>156</v>
      </c>
      <c r="G240" s="2" t="s">
        <v>207</v>
      </c>
      <c r="H240" s="2" t="s">
        <v>2</v>
      </c>
      <c r="I240" s="2" t="s">
        <v>153</v>
      </c>
      <c r="J240" s="17">
        <v>45677</v>
      </c>
      <c r="K240" s="17">
        <v>45681</v>
      </c>
      <c r="L240" s="17">
        <v>45697</v>
      </c>
      <c r="M240" s="17"/>
      <c r="N240" s="18">
        <v>765.02</v>
      </c>
    </row>
    <row r="241" spans="1:14" ht="15" customHeight="1" x14ac:dyDescent="0.25">
      <c r="A241" s="2" t="s">
        <v>408</v>
      </c>
      <c r="B241" s="17">
        <v>45767</v>
      </c>
      <c r="C241" s="2" t="s">
        <v>20</v>
      </c>
      <c r="D241" s="2" t="s">
        <v>26</v>
      </c>
      <c r="E241" s="2" t="s">
        <v>186</v>
      </c>
      <c r="F241" s="2" t="s">
        <v>156</v>
      </c>
      <c r="G241" s="2" t="s">
        <v>167</v>
      </c>
      <c r="H241" s="2" t="s">
        <v>2</v>
      </c>
      <c r="I241" s="2" t="s">
        <v>153</v>
      </c>
      <c r="J241" s="17">
        <v>45769</v>
      </c>
      <c r="K241" s="17">
        <v>45777</v>
      </c>
      <c r="L241" s="17">
        <v>45807</v>
      </c>
      <c r="M241" s="17"/>
      <c r="N241" s="18">
        <v>777.05</v>
      </c>
    </row>
    <row r="242" spans="1:14" ht="15" customHeight="1" x14ac:dyDescent="0.25">
      <c r="A242" s="2" t="s">
        <v>409</v>
      </c>
      <c r="B242" s="17">
        <v>45790</v>
      </c>
      <c r="C242" s="2" t="s">
        <v>20</v>
      </c>
      <c r="D242" s="2" t="s">
        <v>26</v>
      </c>
      <c r="E242" s="2" t="s">
        <v>155</v>
      </c>
      <c r="F242" s="2" t="s">
        <v>156</v>
      </c>
      <c r="G242" s="2" t="s">
        <v>192</v>
      </c>
      <c r="H242" s="2" t="s">
        <v>2</v>
      </c>
      <c r="I242" s="2" t="s">
        <v>153</v>
      </c>
      <c r="J242" s="17">
        <v>45791</v>
      </c>
      <c r="K242" s="17">
        <v>45797</v>
      </c>
      <c r="L242" s="17">
        <v>45804</v>
      </c>
      <c r="M242" s="17"/>
      <c r="N242" s="18">
        <v>540.37</v>
      </c>
    </row>
    <row r="243" spans="1:14" ht="15" customHeight="1" x14ac:dyDescent="0.25">
      <c r="A243" s="2" t="s">
        <v>410</v>
      </c>
      <c r="B243" s="17">
        <v>45830</v>
      </c>
      <c r="C243" s="2" t="s">
        <v>20</v>
      </c>
      <c r="D243" s="2" t="s">
        <v>26</v>
      </c>
      <c r="E243" s="2" t="s">
        <v>149</v>
      </c>
      <c r="F243" s="2" t="s">
        <v>161</v>
      </c>
      <c r="G243" s="2" t="s">
        <v>192</v>
      </c>
      <c r="H243" s="2" t="s">
        <v>152</v>
      </c>
      <c r="I243" s="2" t="s">
        <v>153</v>
      </c>
      <c r="J243" s="17">
        <v>45837</v>
      </c>
      <c r="K243" s="17">
        <v>45850</v>
      </c>
      <c r="L243" s="17"/>
      <c r="M243" s="17">
        <v>45868</v>
      </c>
      <c r="N243" s="18">
        <v>2931.18</v>
      </c>
    </row>
    <row r="244" spans="1:14" ht="15" customHeight="1" x14ac:dyDescent="0.25">
      <c r="A244" s="2" t="s">
        <v>411</v>
      </c>
      <c r="B244" s="17">
        <v>45840</v>
      </c>
      <c r="C244" s="2" t="s">
        <v>19</v>
      </c>
      <c r="D244" s="2" t="s">
        <v>25</v>
      </c>
      <c r="E244" s="2" t="s">
        <v>149</v>
      </c>
      <c r="F244" s="2" t="s">
        <v>156</v>
      </c>
      <c r="G244" s="2" t="s">
        <v>207</v>
      </c>
      <c r="H244" s="2" t="s">
        <v>2</v>
      </c>
      <c r="I244" s="2" t="s">
        <v>153</v>
      </c>
      <c r="J244" s="17">
        <v>45842</v>
      </c>
      <c r="K244" s="17">
        <v>45857</v>
      </c>
      <c r="L244" s="17">
        <v>45868</v>
      </c>
      <c r="M244" s="17"/>
      <c r="N244" s="18">
        <v>1005.07</v>
      </c>
    </row>
    <row r="245" spans="1:14" ht="15" customHeight="1" x14ac:dyDescent="0.25">
      <c r="A245" s="2" t="s">
        <v>412</v>
      </c>
      <c r="B245" s="17">
        <v>45823</v>
      </c>
      <c r="C245" s="2" t="s">
        <v>20</v>
      </c>
      <c r="D245" s="2" t="s">
        <v>24</v>
      </c>
      <c r="E245" s="2" t="s">
        <v>149</v>
      </c>
      <c r="F245" s="2" t="s">
        <v>161</v>
      </c>
      <c r="G245" s="2" t="s">
        <v>189</v>
      </c>
      <c r="H245" s="2" t="s">
        <v>152</v>
      </c>
      <c r="I245" s="2" t="s">
        <v>163</v>
      </c>
      <c r="J245" s="17"/>
      <c r="K245" s="17"/>
      <c r="L245" s="17"/>
      <c r="M245" s="17">
        <v>45829</v>
      </c>
      <c r="N245" s="18">
        <v>3202.34</v>
      </c>
    </row>
    <row r="246" spans="1:14" ht="15" customHeight="1" x14ac:dyDescent="0.25">
      <c r="A246" s="2" t="s">
        <v>413</v>
      </c>
      <c r="B246" s="17">
        <v>45728</v>
      </c>
      <c r="C246" s="2" t="s">
        <v>20</v>
      </c>
      <c r="D246" s="2" t="s">
        <v>26</v>
      </c>
      <c r="E246" s="2" t="s">
        <v>149</v>
      </c>
      <c r="F246" s="2" t="s">
        <v>156</v>
      </c>
      <c r="G246" s="2" t="s">
        <v>167</v>
      </c>
      <c r="H246" s="2" t="s">
        <v>152</v>
      </c>
      <c r="I246" s="2" t="s">
        <v>163</v>
      </c>
      <c r="J246" s="17"/>
      <c r="K246" s="17"/>
      <c r="L246" s="17"/>
      <c r="M246" s="17">
        <v>45748</v>
      </c>
      <c r="N246" s="18">
        <v>1059.95</v>
      </c>
    </row>
    <row r="247" spans="1:14" ht="15" customHeight="1" x14ac:dyDescent="0.25">
      <c r="A247" s="2" t="s">
        <v>414</v>
      </c>
      <c r="B247" s="17">
        <v>45720</v>
      </c>
      <c r="C247" s="2" t="s">
        <v>19</v>
      </c>
      <c r="D247" s="2" t="s">
        <v>27</v>
      </c>
      <c r="E247" s="2" t="s">
        <v>149</v>
      </c>
      <c r="F247" s="2" t="s">
        <v>156</v>
      </c>
      <c r="G247" s="2" t="s">
        <v>179</v>
      </c>
      <c r="H247" s="2" t="s">
        <v>152</v>
      </c>
      <c r="I247" s="2" t="s">
        <v>153</v>
      </c>
      <c r="J247" s="17">
        <v>45726</v>
      </c>
      <c r="K247" s="17">
        <v>45740</v>
      </c>
      <c r="L247" s="17"/>
      <c r="M247" s="17">
        <v>45745</v>
      </c>
      <c r="N247" s="18">
        <v>650.91</v>
      </c>
    </row>
    <row r="248" spans="1:14" ht="15" customHeight="1" x14ac:dyDescent="0.25">
      <c r="A248" s="2" t="s">
        <v>415</v>
      </c>
      <c r="B248" s="17">
        <v>45903</v>
      </c>
      <c r="C248" s="2" t="s">
        <v>20</v>
      </c>
      <c r="D248" s="2" t="s">
        <v>26</v>
      </c>
      <c r="E248" s="2" t="s">
        <v>149</v>
      </c>
      <c r="F248" s="2" t="s">
        <v>150</v>
      </c>
      <c r="G248" s="2" t="s">
        <v>189</v>
      </c>
      <c r="H248" s="2" t="s">
        <v>152</v>
      </c>
      <c r="I248" s="2" t="s">
        <v>153</v>
      </c>
      <c r="J248" s="17">
        <v>45911</v>
      </c>
      <c r="K248" s="17">
        <v>45921</v>
      </c>
      <c r="L248" s="17"/>
      <c r="M248" s="17">
        <v>45942</v>
      </c>
      <c r="N248" s="18">
        <v>7417.17</v>
      </c>
    </row>
    <row r="249" spans="1:14" ht="15" customHeight="1" x14ac:dyDescent="0.25">
      <c r="A249" s="2" t="s">
        <v>416</v>
      </c>
      <c r="B249" s="17">
        <v>45910</v>
      </c>
      <c r="C249" s="2" t="s">
        <v>19</v>
      </c>
      <c r="D249" s="2" t="s">
        <v>28</v>
      </c>
      <c r="E249" s="2" t="s">
        <v>149</v>
      </c>
      <c r="F249" s="2" t="s">
        <v>156</v>
      </c>
      <c r="G249" s="2" t="s">
        <v>179</v>
      </c>
      <c r="H249" s="2" t="s">
        <v>2</v>
      </c>
      <c r="I249" s="2" t="s">
        <v>153</v>
      </c>
      <c r="J249" s="17">
        <v>45913</v>
      </c>
      <c r="K249" s="17">
        <v>45916</v>
      </c>
      <c r="L249" s="17">
        <v>45942</v>
      </c>
      <c r="M249" s="17"/>
      <c r="N249" s="18">
        <v>982.51</v>
      </c>
    </row>
    <row r="250" spans="1:14" ht="15" customHeight="1" x14ac:dyDescent="0.25">
      <c r="A250" s="2" t="s">
        <v>417</v>
      </c>
      <c r="B250" s="17">
        <v>45845</v>
      </c>
      <c r="C250" s="2" t="s">
        <v>20</v>
      </c>
      <c r="D250" s="2" t="s">
        <v>28</v>
      </c>
      <c r="E250" s="2" t="s">
        <v>160</v>
      </c>
      <c r="F250" s="2" t="s">
        <v>156</v>
      </c>
      <c r="G250" s="2" t="s">
        <v>189</v>
      </c>
      <c r="H250" s="2" t="s">
        <v>152</v>
      </c>
      <c r="I250" s="2" t="s">
        <v>163</v>
      </c>
      <c r="J250" s="17"/>
      <c r="K250" s="17"/>
      <c r="L250" s="17"/>
      <c r="M250" s="17">
        <v>45855</v>
      </c>
      <c r="N250" s="18">
        <v>721.48</v>
      </c>
    </row>
    <row r="251" spans="1:14" ht="15" customHeight="1" x14ac:dyDescent="0.25">
      <c r="A251" s="2" t="s">
        <v>418</v>
      </c>
      <c r="B251" s="17">
        <v>45855</v>
      </c>
      <c r="C251" s="2" t="s">
        <v>20</v>
      </c>
      <c r="D251" s="2" t="s">
        <v>24</v>
      </c>
      <c r="E251" s="2" t="s">
        <v>149</v>
      </c>
      <c r="F251" s="2" t="s">
        <v>161</v>
      </c>
      <c r="G251" s="2" t="s">
        <v>192</v>
      </c>
      <c r="H251" s="2" t="s">
        <v>152</v>
      </c>
      <c r="I251" s="2" t="s">
        <v>163</v>
      </c>
      <c r="J251" s="17"/>
      <c r="K251" s="17"/>
      <c r="L251" s="17"/>
      <c r="M251" s="17">
        <v>45860</v>
      </c>
      <c r="N251" s="18">
        <v>2370.63</v>
      </c>
    </row>
    <row r="252" spans="1:14" ht="15" customHeight="1" x14ac:dyDescent="0.25">
      <c r="A252" s="2" t="s">
        <v>419</v>
      </c>
      <c r="B252" s="17">
        <v>46018</v>
      </c>
      <c r="C252" s="2" t="s">
        <v>19</v>
      </c>
      <c r="D252" s="2" t="s">
        <v>28</v>
      </c>
      <c r="E252" s="2" t="s">
        <v>149</v>
      </c>
      <c r="F252" s="2" t="s">
        <v>156</v>
      </c>
      <c r="G252" s="2" t="s">
        <v>179</v>
      </c>
      <c r="H252" s="2" t="s">
        <v>190</v>
      </c>
      <c r="I252" s="2" t="s">
        <v>163</v>
      </c>
      <c r="J252" s="17"/>
      <c r="K252" s="17"/>
      <c r="L252" s="17"/>
      <c r="M252" s="17"/>
      <c r="N252" s="18">
        <v>769.88</v>
      </c>
    </row>
    <row r="253" spans="1:14" ht="15" customHeight="1" x14ac:dyDescent="0.25">
      <c r="A253" s="2" t="s">
        <v>420</v>
      </c>
      <c r="B253" s="17">
        <v>45754</v>
      </c>
      <c r="C253" s="2" t="s">
        <v>19</v>
      </c>
      <c r="D253" s="2" t="s">
        <v>25</v>
      </c>
      <c r="E253" s="2" t="s">
        <v>149</v>
      </c>
      <c r="F253" s="2" t="s">
        <v>156</v>
      </c>
      <c r="G253" s="2" t="s">
        <v>207</v>
      </c>
      <c r="H253" s="2" t="s">
        <v>152</v>
      </c>
      <c r="I253" s="2" t="s">
        <v>153</v>
      </c>
      <c r="J253" s="17">
        <v>45760</v>
      </c>
      <c r="K253" s="17">
        <v>45762</v>
      </c>
      <c r="L253" s="17"/>
      <c r="M253" s="17">
        <v>45777</v>
      </c>
      <c r="N253" s="18">
        <v>1043.6099999999999</v>
      </c>
    </row>
    <row r="254" spans="1:14" ht="15" customHeight="1" x14ac:dyDescent="0.25">
      <c r="A254" s="2" t="s">
        <v>421</v>
      </c>
      <c r="B254" s="17">
        <v>45978</v>
      </c>
      <c r="C254" s="2" t="s">
        <v>20</v>
      </c>
      <c r="D254" s="2" t="s">
        <v>26</v>
      </c>
      <c r="E254" s="2" t="s">
        <v>186</v>
      </c>
      <c r="F254" s="2" t="s">
        <v>156</v>
      </c>
      <c r="G254" s="2" t="s">
        <v>189</v>
      </c>
      <c r="H254" s="2" t="s">
        <v>152</v>
      </c>
      <c r="I254" s="2" t="s">
        <v>153</v>
      </c>
      <c r="J254" s="17">
        <v>45980</v>
      </c>
      <c r="K254" s="17"/>
      <c r="L254" s="17"/>
      <c r="M254" s="17">
        <v>46004</v>
      </c>
      <c r="N254" s="18">
        <v>489.41</v>
      </c>
    </row>
    <row r="255" spans="1:14" ht="15" customHeight="1" x14ac:dyDescent="0.25">
      <c r="A255" s="2" t="s">
        <v>422</v>
      </c>
      <c r="B255" s="17">
        <v>45805</v>
      </c>
      <c r="C255" s="2" t="s">
        <v>22</v>
      </c>
      <c r="D255" s="2" t="s">
        <v>24</v>
      </c>
      <c r="E255" s="2" t="s">
        <v>155</v>
      </c>
      <c r="F255" s="2" t="s">
        <v>150</v>
      </c>
      <c r="G255" s="2" t="s">
        <v>151</v>
      </c>
      <c r="H255" s="2" t="s">
        <v>152</v>
      </c>
      <c r="I255" s="2" t="s">
        <v>163</v>
      </c>
      <c r="J255" s="17"/>
      <c r="K255" s="17"/>
      <c r="L255" s="17"/>
      <c r="M255" s="17">
        <v>45816</v>
      </c>
      <c r="N255" s="18">
        <v>6197.92</v>
      </c>
    </row>
    <row r="256" spans="1:14" ht="15" customHeight="1" x14ac:dyDescent="0.25">
      <c r="A256" s="2" t="s">
        <v>423</v>
      </c>
      <c r="B256" s="17">
        <v>45923</v>
      </c>
      <c r="C256" s="2" t="s">
        <v>22</v>
      </c>
      <c r="D256" s="2" t="s">
        <v>26</v>
      </c>
      <c r="E256" s="2" t="s">
        <v>160</v>
      </c>
      <c r="F256" s="2" t="s">
        <v>156</v>
      </c>
      <c r="G256" s="2" t="s">
        <v>170</v>
      </c>
      <c r="H256" s="2" t="s">
        <v>2</v>
      </c>
      <c r="I256" s="2" t="s">
        <v>153</v>
      </c>
      <c r="J256" s="17">
        <v>45928</v>
      </c>
      <c r="K256" s="17">
        <v>45936</v>
      </c>
      <c r="L256" s="17">
        <v>45963</v>
      </c>
      <c r="M256" s="17"/>
      <c r="N256" s="18">
        <v>919.94</v>
      </c>
    </row>
    <row r="257" spans="1:14" ht="15" customHeight="1" x14ac:dyDescent="0.25">
      <c r="A257" s="2" t="s">
        <v>424</v>
      </c>
      <c r="B257" s="17">
        <v>45834</v>
      </c>
      <c r="C257" s="2" t="s">
        <v>2963</v>
      </c>
      <c r="D257" s="2" t="s">
        <v>24</v>
      </c>
      <c r="E257" s="2" t="s">
        <v>186</v>
      </c>
      <c r="F257" s="2" t="s">
        <v>156</v>
      </c>
      <c r="G257" s="2" t="s">
        <v>167</v>
      </c>
      <c r="H257" s="2" t="s">
        <v>152</v>
      </c>
      <c r="I257" s="2" t="s">
        <v>153</v>
      </c>
      <c r="J257" s="17">
        <v>45835</v>
      </c>
      <c r="K257" s="17">
        <v>45849</v>
      </c>
      <c r="L257" s="17"/>
      <c r="M257" s="17">
        <v>45863</v>
      </c>
      <c r="N257" s="18">
        <v>650.78</v>
      </c>
    </row>
    <row r="258" spans="1:14" ht="15" customHeight="1" x14ac:dyDescent="0.25">
      <c r="A258" s="2" t="s">
        <v>425</v>
      </c>
      <c r="B258" s="17">
        <v>45724</v>
      </c>
      <c r="C258" s="2" t="s">
        <v>20</v>
      </c>
      <c r="D258" s="2" t="s">
        <v>24</v>
      </c>
      <c r="E258" s="2" t="s">
        <v>155</v>
      </c>
      <c r="F258" s="2" t="s">
        <v>156</v>
      </c>
      <c r="G258" s="2" t="s">
        <v>167</v>
      </c>
      <c r="H258" s="2" t="s">
        <v>152</v>
      </c>
      <c r="I258" s="2" t="s">
        <v>153</v>
      </c>
      <c r="J258" s="17">
        <v>45727</v>
      </c>
      <c r="K258" s="17">
        <v>45738</v>
      </c>
      <c r="L258" s="17"/>
      <c r="M258" s="17">
        <v>45744</v>
      </c>
      <c r="N258" s="18">
        <v>399.79</v>
      </c>
    </row>
    <row r="259" spans="1:14" ht="15" customHeight="1" x14ac:dyDescent="0.25">
      <c r="A259" s="2" t="s">
        <v>426</v>
      </c>
      <c r="B259" s="17">
        <v>45782</v>
      </c>
      <c r="C259" s="2" t="s">
        <v>22</v>
      </c>
      <c r="D259" s="2" t="s">
        <v>25</v>
      </c>
      <c r="E259" s="2" t="s">
        <v>149</v>
      </c>
      <c r="F259" s="2" t="s">
        <v>156</v>
      </c>
      <c r="G259" s="2" t="s">
        <v>170</v>
      </c>
      <c r="H259" s="2" t="s">
        <v>152</v>
      </c>
      <c r="I259" s="2" t="s">
        <v>153</v>
      </c>
      <c r="J259" s="17">
        <v>45783</v>
      </c>
      <c r="K259" s="17"/>
      <c r="L259" s="17"/>
      <c r="M259" s="17">
        <v>45793</v>
      </c>
      <c r="N259" s="18">
        <v>1101.03</v>
      </c>
    </row>
    <row r="260" spans="1:14" ht="15" customHeight="1" x14ac:dyDescent="0.25">
      <c r="A260" s="2" t="s">
        <v>53</v>
      </c>
      <c r="B260" s="17">
        <v>45843</v>
      </c>
      <c r="C260" s="2" t="s">
        <v>18</v>
      </c>
      <c r="E260" s="2" t="s">
        <v>160</v>
      </c>
      <c r="F260" s="2" t="s">
        <v>156</v>
      </c>
      <c r="G260" s="2" t="s">
        <v>251</v>
      </c>
      <c r="H260" s="2" t="s">
        <v>152</v>
      </c>
      <c r="I260" s="2" t="s">
        <v>163</v>
      </c>
      <c r="J260" s="17"/>
      <c r="K260" s="17"/>
      <c r="L260" s="17"/>
      <c r="M260" s="17">
        <v>45858</v>
      </c>
      <c r="N260" s="18">
        <v>933.81</v>
      </c>
    </row>
    <row r="261" spans="1:14" ht="15" customHeight="1" x14ac:dyDescent="0.25">
      <c r="A261" s="2" t="s">
        <v>63</v>
      </c>
      <c r="B261" s="17">
        <v>45913</v>
      </c>
      <c r="C261" s="2" t="s">
        <v>20</v>
      </c>
      <c r="D261" s="2" t="s">
        <v>24</v>
      </c>
      <c r="E261" s="2" t="s">
        <v>186</v>
      </c>
      <c r="F261" s="2" t="s">
        <v>161</v>
      </c>
      <c r="G261" s="2" t="s">
        <v>265</v>
      </c>
      <c r="H261" s="2" t="s">
        <v>152</v>
      </c>
      <c r="I261" s="2" t="s">
        <v>163</v>
      </c>
      <c r="J261" s="17"/>
      <c r="K261" s="17"/>
      <c r="L261" s="17"/>
      <c r="M261" s="17">
        <v>45917</v>
      </c>
      <c r="N261" s="18">
        <v>2054.59</v>
      </c>
    </row>
    <row r="262" spans="1:14" ht="15" customHeight="1" x14ac:dyDescent="0.25">
      <c r="A262" s="2" t="s">
        <v>427</v>
      </c>
      <c r="B262" s="17">
        <v>45893</v>
      </c>
      <c r="C262" s="2" t="s">
        <v>20</v>
      </c>
      <c r="D262" s="2" t="s">
        <v>28</v>
      </c>
      <c r="E262" s="2" t="s">
        <v>149</v>
      </c>
      <c r="F262" s="2" t="s">
        <v>156</v>
      </c>
      <c r="G262" s="2" t="s">
        <v>189</v>
      </c>
      <c r="H262" s="2" t="s">
        <v>152</v>
      </c>
      <c r="I262" s="2" t="s">
        <v>163</v>
      </c>
      <c r="J262" s="17"/>
      <c r="K262" s="17"/>
      <c r="L262" s="17"/>
      <c r="M262" s="17">
        <v>45898</v>
      </c>
      <c r="N262" s="18">
        <v>595.19000000000005</v>
      </c>
    </row>
    <row r="263" spans="1:14" ht="15" customHeight="1" x14ac:dyDescent="0.25">
      <c r="A263" s="2" t="s">
        <v>428</v>
      </c>
      <c r="B263" s="17">
        <v>45683</v>
      </c>
      <c r="C263" s="2" t="s">
        <v>19</v>
      </c>
      <c r="D263" s="2" t="s">
        <v>26</v>
      </c>
      <c r="E263" s="2" t="s">
        <v>186</v>
      </c>
      <c r="F263" s="2" t="s">
        <v>156</v>
      </c>
      <c r="G263" s="2" t="s">
        <v>210</v>
      </c>
      <c r="H263" s="2" t="s">
        <v>152</v>
      </c>
      <c r="I263" s="2" t="s">
        <v>163</v>
      </c>
      <c r="J263" s="17"/>
      <c r="K263" s="17"/>
      <c r="L263" s="17"/>
      <c r="M263" s="17">
        <v>45691</v>
      </c>
      <c r="N263" s="18">
        <v>592.48</v>
      </c>
    </row>
    <row r="264" spans="1:14" ht="15" customHeight="1" x14ac:dyDescent="0.25">
      <c r="A264" s="2" t="s">
        <v>429</v>
      </c>
      <c r="B264" s="17">
        <v>45743</v>
      </c>
      <c r="C264" s="2" t="s">
        <v>22</v>
      </c>
      <c r="D264" s="2" t="s">
        <v>27</v>
      </c>
      <c r="E264" s="2" t="s">
        <v>160</v>
      </c>
      <c r="F264" s="2" t="s">
        <v>150</v>
      </c>
      <c r="G264" s="2" t="s">
        <v>170</v>
      </c>
      <c r="H264" s="2" t="s">
        <v>152</v>
      </c>
      <c r="I264" s="2" t="s">
        <v>153</v>
      </c>
      <c r="J264" s="17">
        <v>45750</v>
      </c>
      <c r="K264" s="17"/>
      <c r="L264" s="17"/>
      <c r="M264" s="17">
        <v>45771</v>
      </c>
      <c r="N264" s="18">
        <v>5667.75</v>
      </c>
    </row>
    <row r="265" spans="1:14" ht="15" customHeight="1" x14ac:dyDescent="0.25">
      <c r="A265" s="2" t="s">
        <v>430</v>
      </c>
      <c r="B265" s="17">
        <v>45808</v>
      </c>
      <c r="C265" s="2" t="s">
        <v>19</v>
      </c>
      <c r="D265" s="2" t="s">
        <v>25</v>
      </c>
      <c r="E265" s="2" t="s">
        <v>149</v>
      </c>
      <c r="F265" s="2" t="s">
        <v>150</v>
      </c>
      <c r="G265" s="2" t="s">
        <v>179</v>
      </c>
      <c r="H265" s="2" t="s">
        <v>2</v>
      </c>
      <c r="I265" s="2" t="s">
        <v>153</v>
      </c>
      <c r="J265" s="17">
        <v>45809</v>
      </c>
      <c r="K265" s="17">
        <v>45812</v>
      </c>
      <c r="L265" s="17">
        <v>45831</v>
      </c>
      <c r="M265" s="17"/>
      <c r="N265" s="18">
        <v>10436.51</v>
      </c>
    </row>
    <row r="266" spans="1:14" ht="15" customHeight="1" x14ac:dyDescent="0.25">
      <c r="A266" s="2" t="s">
        <v>431</v>
      </c>
      <c r="B266" s="17">
        <v>45942</v>
      </c>
      <c r="C266" s="2" t="s">
        <v>18</v>
      </c>
      <c r="D266" s="2" t="s">
        <v>25</v>
      </c>
      <c r="E266" s="2" t="s">
        <v>149</v>
      </c>
      <c r="F266" s="2" t="s">
        <v>156</v>
      </c>
      <c r="G266" s="2" t="s">
        <v>157</v>
      </c>
      <c r="H266" s="2" t="s">
        <v>152</v>
      </c>
      <c r="I266" s="2" t="s">
        <v>163</v>
      </c>
      <c r="J266" s="17"/>
      <c r="K266" s="17"/>
      <c r="L266" s="17"/>
      <c r="M266" s="17">
        <v>45947</v>
      </c>
      <c r="N266" s="18">
        <v>590.61</v>
      </c>
    </row>
    <row r="267" spans="1:14" ht="15" customHeight="1" x14ac:dyDescent="0.25">
      <c r="A267" s="2" t="s">
        <v>432</v>
      </c>
      <c r="B267" s="17">
        <v>45960</v>
      </c>
      <c r="C267" s="2" t="s">
        <v>18</v>
      </c>
      <c r="D267" s="2" t="s">
        <v>24</v>
      </c>
      <c r="E267" s="2" t="s">
        <v>186</v>
      </c>
      <c r="F267" s="2" t="s">
        <v>150</v>
      </c>
      <c r="G267" s="2" t="s">
        <v>201</v>
      </c>
      <c r="H267" s="2" t="s">
        <v>152</v>
      </c>
      <c r="I267" s="2" t="s">
        <v>163</v>
      </c>
      <c r="J267" s="17"/>
      <c r="K267" s="17"/>
      <c r="L267" s="17"/>
      <c r="M267" s="17">
        <v>45980</v>
      </c>
      <c r="N267" s="18">
        <v>5797.56</v>
      </c>
    </row>
    <row r="268" spans="1:14" ht="15" customHeight="1" x14ac:dyDescent="0.25">
      <c r="A268" s="2" t="s">
        <v>433</v>
      </c>
      <c r="B268" s="17">
        <v>45955</v>
      </c>
      <c r="C268" s="2" t="s">
        <v>19</v>
      </c>
      <c r="D268" s="2" t="s">
        <v>25</v>
      </c>
      <c r="E268" s="2" t="s">
        <v>186</v>
      </c>
      <c r="F268" s="2" t="s">
        <v>150</v>
      </c>
      <c r="G268" s="2" t="s">
        <v>207</v>
      </c>
      <c r="H268" s="2" t="s">
        <v>152</v>
      </c>
      <c r="I268" s="2" t="s">
        <v>153</v>
      </c>
      <c r="J268" s="17">
        <v>45960</v>
      </c>
      <c r="K268" s="17"/>
      <c r="L268" s="17"/>
      <c r="M268" s="17">
        <v>45977</v>
      </c>
      <c r="N268" s="18">
        <v>8886.94</v>
      </c>
    </row>
    <row r="269" spans="1:14" ht="15" customHeight="1" x14ac:dyDescent="0.25">
      <c r="A269" s="2" t="s">
        <v>434</v>
      </c>
      <c r="B269" s="17">
        <v>45688</v>
      </c>
      <c r="C269" s="2" t="s">
        <v>20</v>
      </c>
      <c r="D269" s="2" t="s">
        <v>25</v>
      </c>
      <c r="E269" s="2" t="s">
        <v>160</v>
      </c>
      <c r="F269" s="2" t="s">
        <v>161</v>
      </c>
      <c r="G269" s="2" t="s">
        <v>192</v>
      </c>
      <c r="H269" s="2" t="s">
        <v>152</v>
      </c>
      <c r="I269" s="2" t="s">
        <v>153</v>
      </c>
      <c r="J269" s="17">
        <v>45698</v>
      </c>
      <c r="K269" s="17"/>
      <c r="L269" s="17"/>
      <c r="M269" s="17">
        <v>45715</v>
      </c>
      <c r="N269" s="18">
        <v>2755.87</v>
      </c>
    </row>
    <row r="270" spans="1:14" ht="15" customHeight="1" x14ac:dyDescent="0.25">
      <c r="A270" s="2" t="s">
        <v>435</v>
      </c>
      <c r="B270" s="17">
        <v>45790</v>
      </c>
      <c r="C270" s="2" t="s">
        <v>19</v>
      </c>
      <c r="D270" s="2" t="s">
        <v>27</v>
      </c>
      <c r="E270" s="2" t="s">
        <v>160</v>
      </c>
      <c r="F270" s="2" t="s">
        <v>161</v>
      </c>
      <c r="G270" s="2" t="s">
        <v>179</v>
      </c>
      <c r="H270" s="2" t="s">
        <v>2</v>
      </c>
      <c r="I270" s="2" t="s">
        <v>153</v>
      </c>
      <c r="J270" s="17">
        <v>45798</v>
      </c>
      <c r="K270" s="17">
        <v>45800</v>
      </c>
      <c r="L270" s="17">
        <v>45814</v>
      </c>
      <c r="M270" s="17"/>
      <c r="N270" s="18">
        <v>2697.38</v>
      </c>
    </row>
    <row r="271" spans="1:14" ht="15" customHeight="1" x14ac:dyDescent="0.25">
      <c r="A271" s="2" t="s">
        <v>436</v>
      </c>
      <c r="B271" s="17">
        <v>45998</v>
      </c>
      <c r="C271" s="2" t="s">
        <v>19</v>
      </c>
      <c r="D271" s="2" t="s">
        <v>28</v>
      </c>
      <c r="E271" s="2" t="s">
        <v>155</v>
      </c>
      <c r="F271" s="2" t="s">
        <v>156</v>
      </c>
      <c r="G271" s="2" t="s">
        <v>179</v>
      </c>
      <c r="H271" s="2" t="s">
        <v>190</v>
      </c>
      <c r="I271" s="2" t="s">
        <v>163</v>
      </c>
      <c r="J271" s="17"/>
      <c r="K271" s="17"/>
      <c r="L271" s="17"/>
      <c r="M271" s="17"/>
      <c r="N271" s="18">
        <v>661.69</v>
      </c>
    </row>
    <row r="272" spans="1:14" ht="15" customHeight="1" x14ac:dyDescent="0.25">
      <c r="A272" s="2" t="s">
        <v>48</v>
      </c>
      <c r="B272" s="17">
        <v>45739</v>
      </c>
      <c r="C272" s="2" t="s">
        <v>19</v>
      </c>
      <c r="D272" s="2" t="s">
        <v>27</v>
      </c>
      <c r="E272" s="2" t="s">
        <v>160</v>
      </c>
      <c r="F272" s="2" t="s">
        <v>156</v>
      </c>
      <c r="G272" s="2" t="s">
        <v>210</v>
      </c>
      <c r="H272" s="2" t="s">
        <v>152</v>
      </c>
      <c r="I272" s="2" t="s">
        <v>153</v>
      </c>
      <c r="J272" s="17">
        <v>45749</v>
      </c>
      <c r="K272" s="17">
        <v>45760</v>
      </c>
      <c r="L272" s="17"/>
      <c r="M272" s="17">
        <v>45765</v>
      </c>
      <c r="N272" s="18">
        <v>999.07</v>
      </c>
    </row>
    <row r="273" spans="1:14" ht="15" customHeight="1" x14ac:dyDescent="0.25">
      <c r="A273" s="2" t="s">
        <v>437</v>
      </c>
      <c r="B273" s="17">
        <v>45820</v>
      </c>
      <c r="C273" s="2" t="s">
        <v>18</v>
      </c>
      <c r="D273" s="2" t="s">
        <v>27</v>
      </c>
      <c r="E273" s="2" t="s">
        <v>149</v>
      </c>
      <c r="F273" s="2" t="s">
        <v>156</v>
      </c>
      <c r="G273" s="2" t="s">
        <v>157</v>
      </c>
      <c r="H273" s="2" t="s">
        <v>2</v>
      </c>
      <c r="I273" s="2" t="s">
        <v>153</v>
      </c>
      <c r="J273" s="17">
        <v>45830</v>
      </c>
      <c r="K273" s="17">
        <v>45832</v>
      </c>
      <c r="L273" s="17">
        <v>45846</v>
      </c>
      <c r="M273" s="17"/>
      <c r="N273" s="18">
        <v>1094.9000000000001</v>
      </c>
    </row>
    <row r="274" spans="1:14" ht="15" customHeight="1" x14ac:dyDescent="0.25">
      <c r="A274" s="2" t="s">
        <v>51</v>
      </c>
      <c r="B274" s="17">
        <v>45697</v>
      </c>
      <c r="C274" s="2" t="s">
        <v>18</v>
      </c>
      <c r="D274" s="2" t="s">
        <v>24</v>
      </c>
      <c r="E274" s="2" t="s">
        <v>155</v>
      </c>
      <c r="F274" s="2" t="s">
        <v>161</v>
      </c>
      <c r="G274" s="2" t="s">
        <v>201</v>
      </c>
      <c r="H274" s="2" t="s">
        <v>152</v>
      </c>
      <c r="I274" s="2" t="s">
        <v>153</v>
      </c>
      <c r="J274" s="17">
        <v>45700</v>
      </c>
      <c r="K274" s="17">
        <v>45705</v>
      </c>
      <c r="L274" s="17"/>
      <c r="M274" s="17">
        <v>45717</v>
      </c>
      <c r="N274" s="18">
        <v>1336.37</v>
      </c>
    </row>
    <row r="275" spans="1:14" ht="15" customHeight="1" x14ac:dyDescent="0.25">
      <c r="A275" s="2" t="s">
        <v>438</v>
      </c>
      <c r="B275" s="17">
        <v>45896</v>
      </c>
      <c r="C275" s="2" t="s">
        <v>2964</v>
      </c>
      <c r="D275" s="2" t="s">
        <v>25</v>
      </c>
      <c r="E275" s="2" t="s">
        <v>160</v>
      </c>
      <c r="F275" s="2" t="s">
        <v>156</v>
      </c>
      <c r="G275" s="2" t="s">
        <v>179</v>
      </c>
      <c r="H275" s="2" t="s">
        <v>152</v>
      </c>
      <c r="I275" s="2" t="s">
        <v>163</v>
      </c>
      <c r="J275" s="17"/>
      <c r="K275" s="17"/>
      <c r="L275" s="17"/>
      <c r="M275" s="17">
        <v>45901</v>
      </c>
      <c r="N275" s="18">
        <v>675.42</v>
      </c>
    </row>
    <row r="276" spans="1:14" ht="15" customHeight="1" x14ac:dyDescent="0.25">
      <c r="A276" s="2" t="s">
        <v>439</v>
      </c>
      <c r="B276" s="17">
        <v>45692</v>
      </c>
      <c r="C276" s="2" t="s">
        <v>22</v>
      </c>
      <c r="D276" s="2" t="s">
        <v>28</v>
      </c>
      <c r="E276" s="2" t="s">
        <v>155</v>
      </c>
      <c r="F276" s="2" t="s">
        <v>161</v>
      </c>
      <c r="G276" s="2" t="s">
        <v>165</v>
      </c>
      <c r="H276" s="2" t="s">
        <v>152</v>
      </c>
      <c r="I276" s="2" t="s">
        <v>163</v>
      </c>
      <c r="J276" s="17"/>
      <c r="K276" s="17"/>
      <c r="L276" s="17"/>
      <c r="M276" s="17">
        <v>45712</v>
      </c>
      <c r="N276" s="18">
        <v>1609.69</v>
      </c>
    </row>
    <row r="277" spans="1:14" ht="15" customHeight="1" x14ac:dyDescent="0.25">
      <c r="A277" s="2" t="s">
        <v>440</v>
      </c>
      <c r="B277" s="17">
        <v>45823</v>
      </c>
      <c r="C277" s="2" t="s">
        <v>18</v>
      </c>
      <c r="D277" s="2" t="s">
        <v>27</v>
      </c>
      <c r="E277" s="2" t="s">
        <v>186</v>
      </c>
      <c r="F277" s="2" t="s">
        <v>156</v>
      </c>
      <c r="G277" s="2" t="s">
        <v>201</v>
      </c>
      <c r="H277" s="2" t="s">
        <v>152</v>
      </c>
      <c r="I277" s="2" t="s">
        <v>153</v>
      </c>
      <c r="J277" s="17">
        <v>45825</v>
      </c>
      <c r="K277" s="17">
        <v>45830</v>
      </c>
      <c r="L277" s="17"/>
      <c r="M277" s="17">
        <v>45853</v>
      </c>
      <c r="N277" s="18">
        <v>602.97</v>
      </c>
    </row>
    <row r="278" spans="1:14" ht="15" customHeight="1" x14ac:dyDescent="0.25">
      <c r="A278" s="2" t="s">
        <v>441</v>
      </c>
      <c r="B278" s="17">
        <v>45977</v>
      </c>
      <c r="C278" s="2" t="s">
        <v>22</v>
      </c>
      <c r="D278" s="2" t="s">
        <v>28</v>
      </c>
      <c r="E278" s="2" t="s">
        <v>155</v>
      </c>
      <c r="F278" s="2" t="s">
        <v>156</v>
      </c>
      <c r="G278" s="2" t="s">
        <v>151</v>
      </c>
      <c r="H278" s="2" t="s">
        <v>152</v>
      </c>
      <c r="I278" s="2" t="s">
        <v>153</v>
      </c>
      <c r="J278" s="17">
        <v>45987</v>
      </c>
      <c r="K278" s="17">
        <v>45994</v>
      </c>
      <c r="L278" s="17"/>
      <c r="M278" s="17">
        <v>46011</v>
      </c>
      <c r="N278" s="18">
        <v>540.42999999999995</v>
      </c>
    </row>
    <row r="279" spans="1:14" ht="15" customHeight="1" x14ac:dyDescent="0.25">
      <c r="A279" s="2" t="s">
        <v>442</v>
      </c>
      <c r="B279" s="17">
        <v>45662</v>
      </c>
      <c r="C279" s="2" t="s">
        <v>18</v>
      </c>
      <c r="D279" s="2" t="s">
        <v>27</v>
      </c>
      <c r="E279" s="2" t="s">
        <v>149</v>
      </c>
      <c r="F279" s="2" t="s">
        <v>156</v>
      </c>
      <c r="G279" s="2" t="s">
        <v>157</v>
      </c>
      <c r="H279" s="2" t="s">
        <v>152</v>
      </c>
      <c r="I279" s="2" t="s">
        <v>153</v>
      </c>
      <c r="J279" s="17">
        <v>45671</v>
      </c>
      <c r="K279" s="17"/>
      <c r="L279" s="17"/>
      <c r="M279" s="17">
        <v>45685</v>
      </c>
      <c r="N279" s="18">
        <v>1117.5</v>
      </c>
    </row>
    <row r="280" spans="1:14" ht="15" customHeight="1" x14ac:dyDescent="0.25">
      <c r="A280" s="2" t="s">
        <v>443</v>
      </c>
      <c r="B280" s="17">
        <v>45911</v>
      </c>
      <c r="C280" s="2" t="s">
        <v>20</v>
      </c>
      <c r="D280" s="2" t="s">
        <v>26</v>
      </c>
      <c r="E280" s="2" t="s">
        <v>155</v>
      </c>
      <c r="F280" s="2" t="s">
        <v>161</v>
      </c>
      <c r="G280" s="2" t="s">
        <v>192</v>
      </c>
      <c r="H280" s="2" t="s">
        <v>152</v>
      </c>
      <c r="I280" s="2" t="s">
        <v>153</v>
      </c>
      <c r="J280" s="17">
        <v>45920</v>
      </c>
      <c r="K280" s="17"/>
      <c r="L280" s="17"/>
      <c r="M280" s="17">
        <v>45934</v>
      </c>
      <c r="N280" s="18">
        <v>2045.62</v>
      </c>
    </row>
    <row r="281" spans="1:14" ht="15" customHeight="1" x14ac:dyDescent="0.25">
      <c r="A281" s="2" t="s">
        <v>444</v>
      </c>
      <c r="B281" s="17">
        <v>45981</v>
      </c>
      <c r="C281" s="2" t="s">
        <v>20</v>
      </c>
      <c r="D281" s="2" t="s">
        <v>26</v>
      </c>
      <c r="E281" s="2" t="s">
        <v>160</v>
      </c>
      <c r="F281" s="2" t="s">
        <v>156</v>
      </c>
      <c r="G281" s="2" t="s">
        <v>167</v>
      </c>
      <c r="H281" s="2" t="s">
        <v>152</v>
      </c>
      <c r="I281" s="2" t="s">
        <v>163</v>
      </c>
      <c r="J281" s="17"/>
      <c r="K281" s="17"/>
      <c r="L281" s="17"/>
      <c r="M281" s="17">
        <v>45990</v>
      </c>
      <c r="N281" s="18">
        <v>644.52</v>
      </c>
    </row>
    <row r="282" spans="1:14" ht="15" customHeight="1" x14ac:dyDescent="0.25">
      <c r="A282" s="2" t="s">
        <v>445</v>
      </c>
      <c r="B282" s="17">
        <v>45977</v>
      </c>
      <c r="C282" s="2" t="s">
        <v>19</v>
      </c>
      <c r="D282" s="2" t="s">
        <v>25</v>
      </c>
      <c r="E282" s="2" t="s">
        <v>149</v>
      </c>
      <c r="F282" s="2" t="s">
        <v>161</v>
      </c>
      <c r="G282" s="2" t="s">
        <v>207</v>
      </c>
      <c r="H282" s="2" t="s">
        <v>152</v>
      </c>
      <c r="I282" s="2" t="s">
        <v>163</v>
      </c>
      <c r="J282" s="17"/>
      <c r="K282" s="17"/>
      <c r="L282" s="17"/>
      <c r="M282" s="17">
        <v>45979</v>
      </c>
      <c r="N282" s="18">
        <v>3002.02</v>
      </c>
    </row>
    <row r="283" spans="1:14" ht="15" customHeight="1" x14ac:dyDescent="0.25">
      <c r="A283" s="2" t="s">
        <v>446</v>
      </c>
      <c r="B283" s="17">
        <v>45794</v>
      </c>
      <c r="C283" s="2" t="s">
        <v>22</v>
      </c>
      <c r="D283" s="2" t="s">
        <v>26</v>
      </c>
      <c r="E283" s="2" t="s">
        <v>149</v>
      </c>
      <c r="F283" s="2" t="s">
        <v>161</v>
      </c>
      <c r="G283" s="2" t="s">
        <v>165</v>
      </c>
      <c r="H283" s="2" t="s">
        <v>152</v>
      </c>
      <c r="I283" s="2" t="s">
        <v>153</v>
      </c>
      <c r="J283" s="17">
        <v>45796</v>
      </c>
      <c r="K283" s="17">
        <v>45810</v>
      </c>
      <c r="L283" s="17"/>
      <c r="M283" s="17">
        <v>45837</v>
      </c>
      <c r="N283" s="18">
        <v>2076.33</v>
      </c>
    </row>
    <row r="284" spans="1:14" ht="15" customHeight="1" x14ac:dyDescent="0.25">
      <c r="A284" s="2" t="s">
        <v>447</v>
      </c>
      <c r="B284" s="17">
        <v>45809</v>
      </c>
      <c r="C284" s="2" t="s">
        <v>20</v>
      </c>
      <c r="D284" s="2" t="s">
        <v>24</v>
      </c>
      <c r="E284" s="2" t="s">
        <v>155</v>
      </c>
      <c r="F284" s="2" t="s">
        <v>156</v>
      </c>
      <c r="G284" s="2" t="s">
        <v>189</v>
      </c>
      <c r="H284" s="2" t="s">
        <v>2</v>
      </c>
      <c r="I284" s="2" t="s">
        <v>153</v>
      </c>
      <c r="J284" s="17">
        <v>45818</v>
      </c>
      <c r="K284" s="17">
        <v>45829</v>
      </c>
      <c r="L284" s="17">
        <v>45849</v>
      </c>
      <c r="M284" s="17"/>
      <c r="N284" s="18">
        <v>446.26</v>
      </c>
    </row>
    <row r="285" spans="1:14" ht="15" customHeight="1" x14ac:dyDescent="0.25">
      <c r="A285" s="2" t="s">
        <v>448</v>
      </c>
      <c r="B285" s="17">
        <v>45860</v>
      </c>
      <c r="C285" s="2" t="s">
        <v>22</v>
      </c>
      <c r="D285" s="2" t="s">
        <v>26</v>
      </c>
      <c r="E285" s="2" t="s">
        <v>149</v>
      </c>
      <c r="F285" s="2" t="s">
        <v>161</v>
      </c>
      <c r="G285" s="2" t="s">
        <v>170</v>
      </c>
      <c r="H285" s="2" t="s">
        <v>152</v>
      </c>
      <c r="I285" s="2" t="s">
        <v>163</v>
      </c>
      <c r="J285" s="17"/>
      <c r="K285" s="17"/>
      <c r="L285" s="17"/>
      <c r="M285" s="17">
        <v>45874</v>
      </c>
      <c r="N285" s="18">
        <v>3037.84</v>
      </c>
    </row>
    <row r="286" spans="1:14" ht="15" customHeight="1" x14ac:dyDescent="0.25">
      <c r="A286" s="2" t="s">
        <v>449</v>
      </c>
      <c r="B286" s="17">
        <v>45979</v>
      </c>
      <c r="C286" s="2" t="s">
        <v>19</v>
      </c>
      <c r="D286" s="2" t="s">
        <v>25</v>
      </c>
      <c r="E286" s="2" t="s">
        <v>149</v>
      </c>
      <c r="F286" s="2" t="s">
        <v>156</v>
      </c>
      <c r="G286" s="2" t="s">
        <v>207</v>
      </c>
      <c r="H286" s="2" t="s">
        <v>2</v>
      </c>
      <c r="I286" s="2" t="s">
        <v>153</v>
      </c>
      <c r="J286" s="17">
        <v>45981</v>
      </c>
      <c r="K286" s="17">
        <v>45990</v>
      </c>
      <c r="L286" s="17">
        <v>46002</v>
      </c>
      <c r="M286" s="17"/>
      <c r="N286" s="18">
        <v>807.92</v>
      </c>
    </row>
    <row r="287" spans="1:14" ht="15" customHeight="1" x14ac:dyDescent="0.25">
      <c r="A287" s="2" t="s">
        <v>450</v>
      </c>
      <c r="B287" s="17">
        <v>45844</v>
      </c>
      <c r="C287" s="2" t="s">
        <v>22</v>
      </c>
      <c r="D287" s="2" t="s">
        <v>26</v>
      </c>
      <c r="E287" s="2" t="s">
        <v>149</v>
      </c>
      <c r="F287" s="2" t="s">
        <v>161</v>
      </c>
      <c r="G287" s="2" t="s">
        <v>151</v>
      </c>
      <c r="H287" s="2" t="s">
        <v>152</v>
      </c>
      <c r="I287" s="2" t="s">
        <v>153</v>
      </c>
      <c r="J287" s="17">
        <v>45851</v>
      </c>
      <c r="K287" s="17"/>
      <c r="L287" s="17"/>
      <c r="M287" s="17">
        <v>45856</v>
      </c>
      <c r="N287" s="18">
        <v>3391.07</v>
      </c>
    </row>
    <row r="288" spans="1:14" ht="15" customHeight="1" x14ac:dyDescent="0.25">
      <c r="A288" s="2" t="s">
        <v>451</v>
      </c>
      <c r="B288" s="17">
        <v>45815</v>
      </c>
      <c r="C288" s="2" t="s">
        <v>20</v>
      </c>
      <c r="D288" s="2" t="s">
        <v>26</v>
      </c>
      <c r="E288" s="2" t="s">
        <v>149</v>
      </c>
      <c r="F288" s="2" t="s">
        <v>161</v>
      </c>
      <c r="G288" s="2" t="s">
        <v>189</v>
      </c>
      <c r="H288" s="2" t="s">
        <v>152</v>
      </c>
      <c r="I288" s="2" t="s">
        <v>163</v>
      </c>
      <c r="J288" s="17"/>
      <c r="K288" s="17"/>
      <c r="L288" s="17"/>
      <c r="M288" s="17">
        <v>45832</v>
      </c>
      <c r="N288" s="18">
        <v>2808.59</v>
      </c>
    </row>
    <row r="289" spans="1:14" ht="15" customHeight="1" x14ac:dyDescent="0.25">
      <c r="A289" s="2" t="s">
        <v>54</v>
      </c>
      <c r="B289" s="17">
        <v>45998</v>
      </c>
      <c r="C289" s="2" t="s">
        <v>22</v>
      </c>
      <c r="E289" s="2" t="s">
        <v>155</v>
      </c>
      <c r="F289" s="2" t="s">
        <v>156</v>
      </c>
      <c r="G289" s="2" t="s">
        <v>165</v>
      </c>
      <c r="H289" s="2" t="s">
        <v>190</v>
      </c>
      <c r="I289" s="2" t="s">
        <v>163</v>
      </c>
      <c r="J289" s="17"/>
      <c r="K289" s="17"/>
      <c r="L289" s="17"/>
      <c r="M289" s="17"/>
      <c r="N289" s="18">
        <v>497.78</v>
      </c>
    </row>
    <row r="290" spans="1:14" ht="15" customHeight="1" x14ac:dyDescent="0.25">
      <c r="A290" s="2" t="s">
        <v>452</v>
      </c>
      <c r="B290" s="17">
        <v>45730</v>
      </c>
      <c r="C290" s="2" t="s">
        <v>20</v>
      </c>
      <c r="D290" s="2" t="s">
        <v>24</v>
      </c>
      <c r="E290" s="2" t="s">
        <v>155</v>
      </c>
      <c r="F290" s="2" t="s">
        <v>150</v>
      </c>
      <c r="G290" s="2" t="s">
        <v>189</v>
      </c>
      <c r="H290" s="2" t="s">
        <v>2</v>
      </c>
      <c r="I290" s="2" t="s">
        <v>153</v>
      </c>
      <c r="J290" s="17">
        <v>45738</v>
      </c>
      <c r="K290" s="17">
        <v>45746</v>
      </c>
      <c r="L290" s="17">
        <v>45769</v>
      </c>
      <c r="M290" s="17"/>
      <c r="N290" s="18">
        <v>6517.51</v>
      </c>
    </row>
    <row r="291" spans="1:14" ht="15" customHeight="1" x14ac:dyDescent="0.25">
      <c r="A291" s="2" t="s">
        <v>453</v>
      </c>
      <c r="B291" s="17">
        <v>45752</v>
      </c>
      <c r="C291" s="2" t="s">
        <v>21</v>
      </c>
      <c r="D291" s="2" t="s">
        <v>25</v>
      </c>
      <c r="E291" s="2" t="s">
        <v>155</v>
      </c>
      <c r="F291" s="2" t="s">
        <v>156</v>
      </c>
      <c r="G291" s="2" t="s">
        <v>162</v>
      </c>
      <c r="H291" s="2" t="s">
        <v>2</v>
      </c>
      <c r="I291" s="2" t="s">
        <v>153</v>
      </c>
      <c r="J291" s="17">
        <v>45753</v>
      </c>
      <c r="K291" s="17">
        <v>45760</v>
      </c>
      <c r="L291" s="17">
        <v>45789</v>
      </c>
      <c r="M291" s="17"/>
      <c r="N291" s="18">
        <v>706</v>
      </c>
    </row>
    <row r="292" spans="1:14" ht="15" customHeight="1" x14ac:dyDescent="0.25">
      <c r="A292" s="2" t="s">
        <v>454</v>
      </c>
      <c r="B292" s="17">
        <v>45972</v>
      </c>
      <c r="C292" s="2" t="s">
        <v>18</v>
      </c>
      <c r="D292" s="2" t="s">
        <v>26</v>
      </c>
      <c r="E292" s="2" t="s">
        <v>186</v>
      </c>
      <c r="F292" s="2" t="s">
        <v>161</v>
      </c>
      <c r="G292" s="2" t="s">
        <v>251</v>
      </c>
      <c r="H292" s="2" t="s">
        <v>152</v>
      </c>
      <c r="I292" s="2" t="s">
        <v>153</v>
      </c>
      <c r="J292" s="17">
        <v>45975</v>
      </c>
      <c r="K292" s="17">
        <v>45979</v>
      </c>
      <c r="L292" s="17"/>
      <c r="M292" s="17">
        <v>46001</v>
      </c>
      <c r="N292" s="18">
        <v>1526.91</v>
      </c>
    </row>
    <row r="293" spans="1:14" ht="15" customHeight="1" x14ac:dyDescent="0.25">
      <c r="A293" s="2" t="s">
        <v>455</v>
      </c>
      <c r="B293" s="17">
        <v>46020</v>
      </c>
      <c r="C293" s="2" t="s">
        <v>20</v>
      </c>
      <c r="D293" s="2" t="s">
        <v>26</v>
      </c>
      <c r="E293" s="2" t="s">
        <v>149</v>
      </c>
      <c r="F293" s="2" t="s">
        <v>156</v>
      </c>
      <c r="G293" s="2" t="s">
        <v>189</v>
      </c>
      <c r="H293" s="2" t="s">
        <v>190</v>
      </c>
      <c r="I293" s="2" t="s">
        <v>163</v>
      </c>
      <c r="J293" s="17"/>
      <c r="K293" s="17"/>
      <c r="L293" s="17"/>
      <c r="M293" s="17"/>
      <c r="N293" s="18">
        <v>797.59</v>
      </c>
    </row>
    <row r="294" spans="1:14" ht="15" customHeight="1" x14ac:dyDescent="0.25">
      <c r="A294" s="2" t="s">
        <v>456</v>
      </c>
      <c r="B294" s="17">
        <v>45966</v>
      </c>
      <c r="C294" s="2" t="s">
        <v>18</v>
      </c>
      <c r="D294" s="2" t="s">
        <v>24</v>
      </c>
      <c r="E294" s="2" t="s">
        <v>149</v>
      </c>
      <c r="F294" s="2" t="s">
        <v>161</v>
      </c>
      <c r="G294" s="2" t="s">
        <v>201</v>
      </c>
      <c r="H294" s="2" t="s">
        <v>152</v>
      </c>
      <c r="I294" s="2" t="s">
        <v>153</v>
      </c>
      <c r="J294" s="17">
        <v>45969</v>
      </c>
      <c r="K294" s="17">
        <v>45975</v>
      </c>
      <c r="L294" s="17"/>
      <c r="M294" s="17">
        <v>45984</v>
      </c>
      <c r="N294" s="18">
        <v>1913.26</v>
      </c>
    </row>
    <row r="295" spans="1:14" ht="15" customHeight="1" x14ac:dyDescent="0.25">
      <c r="A295" s="2" t="s">
        <v>457</v>
      </c>
      <c r="B295" s="17">
        <v>45807</v>
      </c>
      <c r="C295" s="2" t="s">
        <v>22</v>
      </c>
      <c r="D295" s="2" t="s">
        <v>24</v>
      </c>
      <c r="E295" s="2" t="s">
        <v>149</v>
      </c>
      <c r="F295" s="2" t="s">
        <v>156</v>
      </c>
      <c r="G295" s="2" t="s">
        <v>165</v>
      </c>
      <c r="H295" s="2" t="s">
        <v>152</v>
      </c>
      <c r="I295" s="2" t="s">
        <v>153</v>
      </c>
      <c r="J295" s="17">
        <v>45816</v>
      </c>
      <c r="K295" s="17"/>
      <c r="L295" s="17"/>
      <c r="M295" s="17">
        <v>45841</v>
      </c>
      <c r="N295" s="18">
        <v>642.55999999999995</v>
      </c>
    </row>
    <row r="296" spans="1:14" ht="15" customHeight="1" x14ac:dyDescent="0.25">
      <c r="A296" s="2" t="s">
        <v>458</v>
      </c>
      <c r="B296" s="17">
        <v>45822</v>
      </c>
      <c r="C296" s="2" t="s">
        <v>20</v>
      </c>
      <c r="D296" s="2" t="s">
        <v>28</v>
      </c>
      <c r="E296" s="2" t="s">
        <v>149</v>
      </c>
      <c r="F296" s="2" t="s">
        <v>156</v>
      </c>
      <c r="G296" s="2" t="s">
        <v>189</v>
      </c>
      <c r="H296" s="2" t="s">
        <v>2</v>
      </c>
      <c r="I296" s="2" t="s">
        <v>153</v>
      </c>
      <c r="J296" s="17">
        <v>45823</v>
      </c>
      <c r="K296" s="17">
        <v>45827</v>
      </c>
      <c r="L296" s="17">
        <v>45839</v>
      </c>
      <c r="M296" s="17"/>
      <c r="N296" s="18">
        <v>758.21</v>
      </c>
    </row>
    <row r="297" spans="1:14" ht="15" customHeight="1" x14ac:dyDescent="0.25">
      <c r="A297" s="2" t="s">
        <v>459</v>
      </c>
      <c r="B297" s="17">
        <v>45967</v>
      </c>
      <c r="C297" s="2" t="s">
        <v>20</v>
      </c>
      <c r="D297" s="2" t="s">
        <v>24</v>
      </c>
      <c r="E297" s="2" t="s">
        <v>149</v>
      </c>
      <c r="F297" s="2" t="s">
        <v>150</v>
      </c>
      <c r="G297" s="2" t="s">
        <v>167</v>
      </c>
      <c r="H297" s="2" t="s">
        <v>152</v>
      </c>
      <c r="I297" s="2" t="s">
        <v>163</v>
      </c>
      <c r="J297" s="17"/>
      <c r="K297" s="17"/>
      <c r="L297" s="17"/>
      <c r="M297" s="17">
        <v>45984</v>
      </c>
      <c r="N297" s="18">
        <v>7055.89</v>
      </c>
    </row>
    <row r="298" spans="1:14" ht="15" customHeight="1" x14ac:dyDescent="0.25">
      <c r="A298" s="2" t="s">
        <v>460</v>
      </c>
      <c r="B298" s="17">
        <v>45960</v>
      </c>
      <c r="C298" s="2" t="s">
        <v>18</v>
      </c>
      <c r="D298" s="2" t="s">
        <v>24</v>
      </c>
      <c r="E298" s="2" t="s">
        <v>149</v>
      </c>
      <c r="F298" s="2" t="s">
        <v>161</v>
      </c>
      <c r="G298" s="2" t="s">
        <v>157</v>
      </c>
      <c r="H298" s="2" t="s">
        <v>152</v>
      </c>
      <c r="I298" s="2" t="s">
        <v>153</v>
      </c>
      <c r="J298" s="17">
        <v>45967</v>
      </c>
      <c r="K298" s="17">
        <v>45974</v>
      </c>
      <c r="L298" s="17"/>
      <c r="M298" s="17">
        <v>45991</v>
      </c>
      <c r="N298" s="18">
        <v>3537.4</v>
      </c>
    </row>
    <row r="299" spans="1:14" ht="15" customHeight="1" x14ac:dyDescent="0.25">
      <c r="A299" s="2" t="s">
        <v>461</v>
      </c>
      <c r="B299" s="17">
        <v>45805</v>
      </c>
      <c r="C299" s="2" t="s">
        <v>21</v>
      </c>
      <c r="D299" s="2" t="s">
        <v>25</v>
      </c>
      <c r="E299" s="2" t="s">
        <v>160</v>
      </c>
      <c r="F299" s="2" t="s">
        <v>161</v>
      </c>
      <c r="G299" s="2" t="s">
        <v>162</v>
      </c>
      <c r="H299" s="2" t="s">
        <v>2</v>
      </c>
      <c r="I299" s="2" t="s">
        <v>153</v>
      </c>
      <c r="J299" s="17">
        <v>45812</v>
      </c>
      <c r="K299" s="17">
        <v>45820</v>
      </c>
      <c r="L299" s="17">
        <v>45844</v>
      </c>
      <c r="M299" s="17"/>
      <c r="N299" s="18">
        <v>2807.03</v>
      </c>
    </row>
    <row r="300" spans="1:14" ht="15" customHeight="1" x14ac:dyDescent="0.25">
      <c r="A300" s="2" t="s">
        <v>462</v>
      </c>
      <c r="B300" s="17">
        <v>46016</v>
      </c>
      <c r="C300" s="2" t="s">
        <v>21</v>
      </c>
      <c r="D300" s="2" t="s">
        <v>26</v>
      </c>
      <c r="E300" s="2" t="s">
        <v>149</v>
      </c>
      <c r="F300" s="2" t="s">
        <v>150</v>
      </c>
      <c r="G300" s="2" t="s">
        <v>183</v>
      </c>
      <c r="H300" s="2" t="s">
        <v>158</v>
      </c>
      <c r="I300" s="2" t="s">
        <v>153</v>
      </c>
      <c r="J300" s="17">
        <v>46021</v>
      </c>
      <c r="K300" s="17">
        <v>46032</v>
      </c>
      <c r="L300" s="17"/>
      <c r="M300" s="17"/>
      <c r="N300" s="18">
        <v>5938.13</v>
      </c>
    </row>
    <row r="301" spans="1:14" ht="15" customHeight="1" x14ac:dyDescent="0.25">
      <c r="A301" s="2" t="s">
        <v>463</v>
      </c>
      <c r="B301" s="17">
        <v>45712</v>
      </c>
      <c r="C301" s="2" t="s">
        <v>20</v>
      </c>
      <c r="D301" s="2" t="s">
        <v>25</v>
      </c>
      <c r="E301" s="2" t="s">
        <v>186</v>
      </c>
      <c r="F301" s="2" t="s">
        <v>156</v>
      </c>
      <c r="G301" s="2" t="s">
        <v>189</v>
      </c>
      <c r="H301" s="2" t="s">
        <v>2</v>
      </c>
      <c r="I301" s="2" t="s">
        <v>153</v>
      </c>
      <c r="J301" s="17">
        <v>45719</v>
      </c>
      <c r="K301" s="17">
        <v>45730</v>
      </c>
      <c r="L301" s="17">
        <v>45737</v>
      </c>
      <c r="M301" s="17"/>
      <c r="N301" s="18">
        <v>784.27</v>
      </c>
    </row>
    <row r="302" spans="1:14" ht="15" customHeight="1" x14ac:dyDescent="0.25">
      <c r="A302" s="2" t="s">
        <v>464</v>
      </c>
      <c r="B302" s="17">
        <v>45751</v>
      </c>
      <c r="C302" s="2" t="s">
        <v>18</v>
      </c>
      <c r="D302" s="2" t="s">
        <v>26</v>
      </c>
      <c r="E302" s="2" t="s">
        <v>160</v>
      </c>
      <c r="F302" s="2" t="s">
        <v>161</v>
      </c>
      <c r="G302" s="2" t="s">
        <v>251</v>
      </c>
      <c r="H302" s="2" t="s">
        <v>152</v>
      </c>
      <c r="I302" s="2" t="s">
        <v>153</v>
      </c>
      <c r="J302" s="17">
        <v>45758</v>
      </c>
      <c r="K302" s="17">
        <v>45768</v>
      </c>
      <c r="L302" s="17"/>
      <c r="M302" s="17">
        <v>45797</v>
      </c>
      <c r="N302" s="18">
        <v>2757.7</v>
      </c>
    </row>
    <row r="303" spans="1:14" ht="15" customHeight="1" x14ac:dyDescent="0.25">
      <c r="A303" s="2" t="s">
        <v>465</v>
      </c>
      <c r="B303" s="17">
        <v>45787</v>
      </c>
      <c r="C303" s="2" t="s">
        <v>18</v>
      </c>
      <c r="D303" s="2" t="s">
        <v>24</v>
      </c>
      <c r="E303" s="2" t="s">
        <v>186</v>
      </c>
      <c r="F303" s="2" t="s">
        <v>156</v>
      </c>
      <c r="G303" s="2" t="s">
        <v>201</v>
      </c>
      <c r="H303" s="2" t="s">
        <v>2</v>
      </c>
      <c r="I303" s="2" t="s">
        <v>153</v>
      </c>
      <c r="J303" s="17">
        <v>45792</v>
      </c>
      <c r="K303" s="17">
        <v>45796</v>
      </c>
      <c r="L303" s="17">
        <v>45806</v>
      </c>
      <c r="M303" s="17"/>
      <c r="N303" s="18">
        <v>733.76</v>
      </c>
    </row>
    <row r="304" spans="1:14" ht="15" customHeight="1" x14ac:dyDescent="0.25">
      <c r="A304" s="2" t="s">
        <v>466</v>
      </c>
      <c r="B304" s="17">
        <v>45689</v>
      </c>
      <c r="C304" s="2" t="s">
        <v>22</v>
      </c>
      <c r="D304" s="2" t="s">
        <v>28</v>
      </c>
      <c r="E304" s="2" t="s">
        <v>186</v>
      </c>
      <c r="F304" s="2" t="s">
        <v>150</v>
      </c>
      <c r="G304" s="2" t="s">
        <v>170</v>
      </c>
      <c r="H304" s="2" t="s">
        <v>2</v>
      </c>
      <c r="I304" s="2" t="s">
        <v>153</v>
      </c>
      <c r="J304" s="17">
        <v>45696</v>
      </c>
      <c r="K304" s="17">
        <v>45697</v>
      </c>
      <c r="L304" s="17">
        <v>45711</v>
      </c>
      <c r="M304" s="17"/>
      <c r="N304" s="18">
        <v>5537.49</v>
      </c>
    </row>
    <row r="305" spans="1:14" ht="15" customHeight="1" x14ac:dyDescent="0.25">
      <c r="A305" s="2" t="s">
        <v>467</v>
      </c>
      <c r="B305" s="17">
        <v>45905</v>
      </c>
      <c r="C305" s="2" t="s">
        <v>22</v>
      </c>
      <c r="D305" s="2" t="s">
        <v>28</v>
      </c>
      <c r="E305" s="2" t="s">
        <v>149</v>
      </c>
      <c r="F305" s="2" t="s">
        <v>161</v>
      </c>
      <c r="G305" s="2" t="s">
        <v>165</v>
      </c>
      <c r="H305" s="2" t="s">
        <v>152</v>
      </c>
      <c r="I305" s="2" t="s">
        <v>153</v>
      </c>
      <c r="J305" s="17">
        <v>45908</v>
      </c>
      <c r="K305" s="17">
        <v>45914</v>
      </c>
      <c r="L305" s="17"/>
      <c r="M305" s="17">
        <v>45932</v>
      </c>
      <c r="N305" s="18">
        <v>2023.94</v>
      </c>
    </row>
    <row r="306" spans="1:14" ht="15" customHeight="1" x14ac:dyDescent="0.25">
      <c r="A306" s="2" t="s">
        <v>468</v>
      </c>
      <c r="B306" s="17">
        <v>45780</v>
      </c>
      <c r="C306" s="2" t="s">
        <v>21</v>
      </c>
      <c r="D306" s="2" t="s">
        <v>26</v>
      </c>
      <c r="E306" s="2" t="s">
        <v>155</v>
      </c>
      <c r="F306" s="2" t="s">
        <v>156</v>
      </c>
      <c r="G306" s="2" t="s">
        <v>162</v>
      </c>
      <c r="H306" s="2" t="s">
        <v>152</v>
      </c>
      <c r="I306" s="2" t="s">
        <v>163</v>
      </c>
      <c r="J306" s="17"/>
      <c r="K306" s="17"/>
      <c r="L306" s="17"/>
      <c r="M306" s="17">
        <v>45791</v>
      </c>
      <c r="N306" s="18">
        <v>534.48</v>
      </c>
    </row>
    <row r="307" spans="1:14" ht="15" customHeight="1" x14ac:dyDescent="0.25">
      <c r="A307" s="2" t="s">
        <v>469</v>
      </c>
      <c r="B307" s="17">
        <v>46000</v>
      </c>
      <c r="C307" s="2" t="s">
        <v>20</v>
      </c>
      <c r="D307" s="2" t="s">
        <v>27</v>
      </c>
      <c r="E307" s="2" t="s">
        <v>186</v>
      </c>
      <c r="F307" s="2" t="s">
        <v>156</v>
      </c>
      <c r="G307" s="2" t="s">
        <v>167</v>
      </c>
      <c r="H307" s="2" t="s">
        <v>158</v>
      </c>
      <c r="I307" s="2" t="s">
        <v>153</v>
      </c>
      <c r="J307" s="17">
        <v>46007</v>
      </c>
      <c r="K307" s="17">
        <v>46014</v>
      </c>
      <c r="L307" s="17"/>
      <c r="M307" s="17"/>
      <c r="N307" s="18">
        <v>657.51</v>
      </c>
    </row>
    <row r="308" spans="1:14" ht="15" customHeight="1" x14ac:dyDescent="0.25">
      <c r="A308" s="2" t="s">
        <v>470</v>
      </c>
      <c r="B308" s="17">
        <v>45765</v>
      </c>
      <c r="C308" s="2" t="s">
        <v>2965</v>
      </c>
      <c r="D308" s="2" t="s">
        <v>24</v>
      </c>
      <c r="E308" s="2" t="s">
        <v>160</v>
      </c>
      <c r="F308" s="2" t="s">
        <v>150</v>
      </c>
      <c r="G308" s="2" t="s">
        <v>167</v>
      </c>
      <c r="H308" s="2" t="s">
        <v>152</v>
      </c>
      <c r="I308" s="2" t="s">
        <v>163</v>
      </c>
      <c r="J308" s="17"/>
      <c r="K308" s="17"/>
      <c r="L308" s="17"/>
      <c r="M308" s="17">
        <v>45783</v>
      </c>
      <c r="N308" s="18">
        <v>7525.63</v>
      </c>
    </row>
    <row r="309" spans="1:14" ht="15" customHeight="1" x14ac:dyDescent="0.25">
      <c r="A309" s="2" t="s">
        <v>471</v>
      </c>
      <c r="B309" s="17">
        <v>45858</v>
      </c>
      <c r="C309" s="2" t="s">
        <v>18</v>
      </c>
      <c r="D309" s="2" t="s">
        <v>28</v>
      </c>
      <c r="E309" s="2" t="s">
        <v>186</v>
      </c>
      <c r="F309" s="2" t="s">
        <v>156</v>
      </c>
      <c r="G309" s="2" t="s">
        <v>251</v>
      </c>
      <c r="H309" s="2" t="s">
        <v>152</v>
      </c>
      <c r="I309" s="2" t="s">
        <v>153</v>
      </c>
      <c r="J309" s="17">
        <v>45864</v>
      </c>
      <c r="K309" s="17">
        <v>45872</v>
      </c>
      <c r="L309" s="17"/>
      <c r="M309" s="17">
        <v>45894</v>
      </c>
      <c r="N309" s="18">
        <v>747.08</v>
      </c>
    </row>
    <row r="310" spans="1:14" ht="15" customHeight="1" x14ac:dyDescent="0.25">
      <c r="A310" s="2" t="s">
        <v>472</v>
      </c>
      <c r="B310" s="17">
        <v>45920</v>
      </c>
      <c r="C310" s="2" t="s">
        <v>20</v>
      </c>
      <c r="D310" s="2" t="s">
        <v>26</v>
      </c>
      <c r="E310" s="2" t="s">
        <v>155</v>
      </c>
      <c r="F310" s="2" t="s">
        <v>156</v>
      </c>
      <c r="G310" s="2" t="s">
        <v>192</v>
      </c>
      <c r="H310" s="2" t="s">
        <v>152</v>
      </c>
      <c r="I310" s="2" t="s">
        <v>163</v>
      </c>
      <c r="J310" s="17"/>
      <c r="K310" s="17"/>
      <c r="L310" s="17"/>
      <c r="M310" s="17">
        <v>45929</v>
      </c>
      <c r="N310" s="18">
        <v>419.27</v>
      </c>
    </row>
    <row r="311" spans="1:14" ht="15" customHeight="1" x14ac:dyDescent="0.25">
      <c r="A311" s="2" t="s">
        <v>473</v>
      </c>
      <c r="B311" s="17">
        <v>45956</v>
      </c>
      <c r="C311" s="2" t="s">
        <v>19</v>
      </c>
      <c r="D311" s="2" t="s">
        <v>25</v>
      </c>
      <c r="E311" s="2" t="s">
        <v>149</v>
      </c>
      <c r="F311" s="2" t="s">
        <v>150</v>
      </c>
      <c r="G311" s="2" t="s">
        <v>179</v>
      </c>
      <c r="H311" s="2" t="s">
        <v>152</v>
      </c>
      <c r="I311" s="2" t="s">
        <v>153</v>
      </c>
      <c r="J311" s="17">
        <v>45965</v>
      </c>
      <c r="K311" s="17"/>
      <c r="L311" s="17"/>
      <c r="M311" s="17">
        <v>45988</v>
      </c>
      <c r="N311" s="18">
        <v>9655.25</v>
      </c>
    </row>
    <row r="312" spans="1:14" ht="15" customHeight="1" x14ac:dyDescent="0.25">
      <c r="A312" s="2" t="s">
        <v>474</v>
      </c>
      <c r="B312" s="17">
        <v>45744</v>
      </c>
      <c r="C312" s="2" t="s">
        <v>22</v>
      </c>
      <c r="D312" s="2" t="s">
        <v>25</v>
      </c>
      <c r="E312" s="2" t="s">
        <v>186</v>
      </c>
      <c r="F312" s="2" t="s">
        <v>150</v>
      </c>
      <c r="G312" s="2" t="s">
        <v>165</v>
      </c>
      <c r="H312" s="2" t="s">
        <v>2</v>
      </c>
      <c r="I312" s="2" t="s">
        <v>153</v>
      </c>
      <c r="J312" s="17">
        <v>45754</v>
      </c>
      <c r="K312" s="17">
        <v>45769</v>
      </c>
      <c r="L312" s="17">
        <v>45779</v>
      </c>
      <c r="M312" s="17"/>
      <c r="N312" s="18">
        <v>6198.69</v>
      </c>
    </row>
    <row r="313" spans="1:14" ht="15" customHeight="1" x14ac:dyDescent="0.25">
      <c r="A313" s="2" t="s">
        <v>475</v>
      </c>
      <c r="B313" s="17">
        <v>45989</v>
      </c>
      <c r="C313" s="2" t="s">
        <v>18</v>
      </c>
      <c r="D313" s="2" t="s">
        <v>26</v>
      </c>
      <c r="E313" s="2" t="s">
        <v>155</v>
      </c>
      <c r="F313" s="2" t="s">
        <v>156</v>
      </c>
      <c r="G313" s="2" t="s">
        <v>201</v>
      </c>
      <c r="H313" s="2" t="s">
        <v>152</v>
      </c>
      <c r="I313" s="2" t="s">
        <v>163</v>
      </c>
      <c r="J313" s="17"/>
      <c r="K313" s="17"/>
      <c r="L313" s="17"/>
      <c r="M313" s="17">
        <v>45996</v>
      </c>
      <c r="N313" s="18">
        <v>663.7</v>
      </c>
    </row>
    <row r="314" spans="1:14" ht="15" customHeight="1" x14ac:dyDescent="0.25">
      <c r="A314" s="2" t="s">
        <v>476</v>
      </c>
      <c r="B314" s="17">
        <v>45879</v>
      </c>
      <c r="C314" s="2" t="s">
        <v>21</v>
      </c>
      <c r="D314" s="2" t="s">
        <v>27</v>
      </c>
      <c r="E314" s="2" t="s">
        <v>149</v>
      </c>
      <c r="F314" s="2" t="s">
        <v>161</v>
      </c>
      <c r="G314" s="2" t="s">
        <v>176</v>
      </c>
      <c r="H314" s="2" t="s">
        <v>2</v>
      </c>
      <c r="I314" s="2" t="s">
        <v>153</v>
      </c>
      <c r="J314" s="17">
        <v>45882</v>
      </c>
      <c r="K314" s="17">
        <v>45889</v>
      </c>
      <c r="L314" s="17">
        <v>45900</v>
      </c>
      <c r="M314" s="17"/>
      <c r="N314" s="18">
        <v>3464.47</v>
      </c>
    </row>
    <row r="315" spans="1:14" ht="15" customHeight="1" x14ac:dyDescent="0.25">
      <c r="A315" s="2" t="s">
        <v>45</v>
      </c>
      <c r="B315" s="17">
        <v>45740</v>
      </c>
      <c r="C315" s="2" t="s">
        <v>20</v>
      </c>
      <c r="D315" s="2" t="s">
        <v>27</v>
      </c>
      <c r="E315" s="2" t="s">
        <v>149</v>
      </c>
      <c r="F315" s="2" t="s">
        <v>161</v>
      </c>
      <c r="G315" s="2" t="s">
        <v>167</v>
      </c>
      <c r="H315" s="2" t="s">
        <v>152</v>
      </c>
      <c r="I315" s="2" t="s">
        <v>153</v>
      </c>
      <c r="J315" s="17">
        <v>45747</v>
      </c>
      <c r="K315" s="17">
        <v>45757</v>
      </c>
      <c r="L315" s="17"/>
      <c r="M315" s="17">
        <v>45773</v>
      </c>
      <c r="N315" s="18">
        <v>2821.6</v>
      </c>
    </row>
    <row r="316" spans="1:14" ht="15" customHeight="1" x14ac:dyDescent="0.25">
      <c r="A316" s="2" t="s">
        <v>477</v>
      </c>
      <c r="B316" s="17">
        <v>46000</v>
      </c>
      <c r="C316" s="2" t="s">
        <v>21</v>
      </c>
      <c r="D316" s="2" t="s">
        <v>25</v>
      </c>
      <c r="E316" s="2" t="s">
        <v>155</v>
      </c>
      <c r="F316" s="2" t="s">
        <v>150</v>
      </c>
      <c r="G316" s="2" t="s">
        <v>183</v>
      </c>
      <c r="H316" s="2" t="s">
        <v>2</v>
      </c>
      <c r="I316" s="2" t="s">
        <v>153</v>
      </c>
      <c r="J316" s="17">
        <v>46005</v>
      </c>
      <c r="K316" s="17">
        <v>46010</v>
      </c>
      <c r="L316" s="17">
        <v>46028</v>
      </c>
      <c r="M316" s="17"/>
      <c r="N316" s="18">
        <v>3840.21</v>
      </c>
    </row>
    <row r="317" spans="1:14" ht="15" customHeight="1" x14ac:dyDescent="0.25">
      <c r="A317" s="2" t="s">
        <v>478</v>
      </c>
      <c r="B317" s="17">
        <v>45760</v>
      </c>
      <c r="C317" s="2" t="s">
        <v>18</v>
      </c>
      <c r="D317" s="2" t="s">
        <v>25</v>
      </c>
      <c r="E317" s="2" t="s">
        <v>160</v>
      </c>
      <c r="F317" s="2" t="s">
        <v>156</v>
      </c>
      <c r="G317" s="2" t="s">
        <v>157</v>
      </c>
      <c r="H317" s="2" t="s">
        <v>152</v>
      </c>
      <c r="I317" s="2" t="s">
        <v>153</v>
      </c>
      <c r="J317" s="17">
        <v>45766</v>
      </c>
      <c r="K317" s="17">
        <v>45775</v>
      </c>
      <c r="L317" s="17"/>
      <c r="M317" s="17">
        <v>45793</v>
      </c>
      <c r="N317" s="18">
        <v>561.36</v>
      </c>
    </row>
    <row r="318" spans="1:14" ht="15" customHeight="1" x14ac:dyDescent="0.25">
      <c r="A318" s="2" t="s">
        <v>479</v>
      </c>
      <c r="B318" s="17">
        <v>45848</v>
      </c>
      <c r="C318" s="2" t="s">
        <v>21</v>
      </c>
      <c r="D318" s="2" t="s">
        <v>26</v>
      </c>
      <c r="E318" s="2" t="s">
        <v>186</v>
      </c>
      <c r="F318" s="2" t="s">
        <v>156</v>
      </c>
      <c r="G318" s="2" t="s">
        <v>176</v>
      </c>
      <c r="H318" s="2" t="s">
        <v>152</v>
      </c>
      <c r="I318" s="2" t="s">
        <v>163</v>
      </c>
      <c r="J318" s="17"/>
      <c r="K318" s="17"/>
      <c r="L318" s="17"/>
      <c r="M318" s="17">
        <v>45852</v>
      </c>
      <c r="N318" s="18">
        <v>595.70000000000005</v>
      </c>
    </row>
    <row r="319" spans="1:14" ht="15" customHeight="1" x14ac:dyDescent="0.25">
      <c r="A319" s="2" t="s">
        <v>480</v>
      </c>
      <c r="B319" s="17">
        <v>45871</v>
      </c>
      <c r="C319" s="2" t="s">
        <v>22</v>
      </c>
      <c r="D319" s="2" t="s">
        <v>25</v>
      </c>
      <c r="E319" s="2" t="s">
        <v>149</v>
      </c>
      <c r="F319" s="2" t="s">
        <v>161</v>
      </c>
      <c r="G319" s="2" t="s">
        <v>170</v>
      </c>
      <c r="H319" s="2" t="s">
        <v>152</v>
      </c>
      <c r="I319" s="2" t="s">
        <v>153</v>
      </c>
      <c r="J319" s="17">
        <v>45875</v>
      </c>
      <c r="K319" s="17">
        <v>45881</v>
      </c>
      <c r="L319" s="17"/>
      <c r="M319" s="17">
        <v>45903</v>
      </c>
      <c r="N319" s="18">
        <v>2965.03</v>
      </c>
    </row>
    <row r="320" spans="1:14" ht="15" customHeight="1" x14ac:dyDescent="0.25">
      <c r="A320" s="2" t="s">
        <v>481</v>
      </c>
      <c r="B320" s="17">
        <v>45788</v>
      </c>
      <c r="C320" s="2" t="s">
        <v>22</v>
      </c>
      <c r="D320" s="2" t="s">
        <v>27</v>
      </c>
      <c r="E320" s="2" t="s">
        <v>149</v>
      </c>
      <c r="F320" s="2" t="s">
        <v>161</v>
      </c>
      <c r="G320" s="2" t="s">
        <v>151</v>
      </c>
      <c r="H320" s="2" t="s">
        <v>152</v>
      </c>
      <c r="I320" s="2" t="s">
        <v>153</v>
      </c>
      <c r="J320" s="17">
        <v>45793</v>
      </c>
      <c r="K320" s="17">
        <v>45802</v>
      </c>
      <c r="L320" s="17"/>
      <c r="M320" s="17">
        <v>45808</v>
      </c>
      <c r="N320" s="18">
        <v>2617.89</v>
      </c>
    </row>
    <row r="321" spans="1:14" ht="15" customHeight="1" x14ac:dyDescent="0.25">
      <c r="A321" s="2" t="s">
        <v>482</v>
      </c>
      <c r="B321" s="17">
        <v>45951</v>
      </c>
      <c r="C321" s="2" t="s">
        <v>20</v>
      </c>
      <c r="D321" s="2" t="s">
        <v>28</v>
      </c>
      <c r="E321" s="2" t="s">
        <v>155</v>
      </c>
      <c r="F321" s="2" t="s">
        <v>150</v>
      </c>
      <c r="G321" s="2" t="s">
        <v>192</v>
      </c>
      <c r="H321" s="2" t="s">
        <v>152</v>
      </c>
      <c r="I321" s="2" t="s">
        <v>163</v>
      </c>
      <c r="J321" s="17"/>
      <c r="K321" s="17"/>
      <c r="L321" s="17"/>
      <c r="M321" s="17">
        <v>45960</v>
      </c>
      <c r="N321" s="18">
        <v>5561.62</v>
      </c>
    </row>
    <row r="322" spans="1:14" ht="15" customHeight="1" x14ac:dyDescent="0.25">
      <c r="A322" s="2" t="s">
        <v>483</v>
      </c>
      <c r="B322" s="17">
        <v>45845</v>
      </c>
      <c r="C322" s="2" t="s">
        <v>22</v>
      </c>
      <c r="D322" s="2" t="s">
        <v>24</v>
      </c>
      <c r="E322" s="2" t="s">
        <v>149</v>
      </c>
      <c r="F322" s="2" t="s">
        <v>156</v>
      </c>
      <c r="G322" s="2" t="s">
        <v>151</v>
      </c>
      <c r="H322" s="2" t="s">
        <v>152</v>
      </c>
      <c r="I322" s="2" t="s">
        <v>153</v>
      </c>
      <c r="J322" s="17">
        <v>45846</v>
      </c>
      <c r="K322" s="17">
        <v>45853</v>
      </c>
      <c r="L322" s="17"/>
      <c r="M322" s="17">
        <v>45877</v>
      </c>
      <c r="N322" s="18">
        <v>604.62</v>
      </c>
    </row>
    <row r="323" spans="1:14" ht="15" customHeight="1" x14ac:dyDescent="0.25">
      <c r="A323" s="2" t="s">
        <v>484</v>
      </c>
      <c r="B323" s="17">
        <v>45784</v>
      </c>
      <c r="C323" s="2" t="s">
        <v>18</v>
      </c>
      <c r="D323" s="2" t="s">
        <v>28</v>
      </c>
      <c r="E323" s="2" t="s">
        <v>149</v>
      </c>
      <c r="F323" s="2" t="s">
        <v>156</v>
      </c>
      <c r="G323" s="2" t="s">
        <v>201</v>
      </c>
      <c r="H323" s="2" t="s">
        <v>152</v>
      </c>
      <c r="I323" s="2" t="s">
        <v>153</v>
      </c>
      <c r="J323" s="17">
        <v>45787</v>
      </c>
      <c r="K323" s="17">
        <v>45796</v>
      </c>
      <c r="L323" s="17"/>
      <c r="M323" s="17">
        <v>45804</v>
      </c>
      <c r="N323" s="18">
        <v>870.11</v>
      </c>
    </row>
    <row r="324" spans="1:14" ht="15" customHeight="1" x14ac:dyDescent="0.25">
      <c r="A324" s="2" t="s">
        <v>485</v>
      </c>
      <c r="B324" s="17">
        <v>45964</v>
      </c>
      <c r="C324" s="2" t="s">
        <v>18</v>
      </c>
      <c r="D324" s="2" t="s">
        <v>24</v>
      </c>
      <c r="E324" s="2" t="s">
        <v>149</v>
      </c>
      <c r="F324" s="2" t="s">
        <v>150</v>
      </c>
      <c r="G324" s="2" t="s">
        <v>157</v>
      </c>
      <c r="H324" s="2" t="s">
        <v>2</v>
      </c>
      <c r="I324" s="2" t="s">
        <v>153</v>
      </c>
      <c r="J324" s="17">
        <v>45973</v>
      </c>
      <c r="K324" s="17">
        <v>45976</v>
      </c>
      <c r="L324" s="17">
        <v>45982</v>
      </c>
      <c r="M324" s="17"/>
      <c r="N324" s="18">
        <v>10097.299999999999</v>
      </c>
    </row>
    <row r="325" spans="1:14" ht="15" customHeight="1" x14ac:dyDescent="0.25">
      <c r="A325" s="2" t="s">
        <v>486</v>
      </c>
      <c r="B325" s="17">
        <v>45892</v>
      </c>
      <c r="C325" s="2" t="s">
        <v>20</v>
      </c>
      <c r="D325" s="2" t="s">
        <v>25</v>
      </c>
      <c r="E325" s="2" t="s">
        <v>149</v>
      </c>
      <c r="F325" s="2" t="s">
        <v>150</v>
      </c>
      <c r="G325" s="2" t="s">
        <v>192</v>
      </c>
      <c r="H325" s="2" t="s">
        <v>2</v>
      </c>
      <c r="I325" s="2" t="s">
        <v>153</v>
      </c>
      <c r="J325" s="17">
        <v>45895</v>
      </c>
      <c r="K325" s="17">
        <v>45907</v>
      </c>
      <c r="L325" s="17">
        <v>45919</v>
      </c>
      <c r="M325" s="17"/>
      <c r="N325" s="18">
        <v>9640.93</v>
      </c>
    </row>
    <row r="326" spans="1:14" ht="15" customHeight="1" x14ac:dyDescent="0.25">
      <c r="A326" s="2" t="s">
        <v>487</v>
      </c>
      <c r="B326" s="17">
        <v>45674</v>
      </c>
      <c r="C326" s="2" t="s">
        <v>22</v>
      </c>
      <c r="D326" s="2" t="s">
        <v>25</v>
      </c>
      <c r="E326" s="2" t="s">
        <v>149</v>
      </c>
      <c r="F326" s="2" t="s">
        <v>156</v>
      </c>
      <c r="G326" s="2" t="s">
        <v>170</v>
      </c>
      <c r="H326" s="2" t="s">
        <v>152</v>
      </c>
      <c r="I326" s="2" t="s">
        <v>153</v>
      </c>
      <c r="J326" s="17">
        <v>45677</v>
      </c>
      <c r="K326" s="17">
        <v>45685</v>
      </c>
      <c r="L326" s="17"/>
      <c r="M326" s="17">
        <v>45717</v>
      </c>
      <c r="N326" s="18">
        <v>609.9</v>
      </c>
    </row>
    <row r="327" spans="1:14" ht="15" customHeight="1" x14ac:dyDescent="0.25">
      <c r="A327" s="2" t="s">
        <v>488</v>
      </c>
      <c r="B327" s="17">
        <v>45822</v>
      </c>
      <c r="C327" s="2" t="s">
        <v>19</v>
      </c>
      <c r="D327" s="2" t="s">
        <v>27</v>
      </c>
      <c r="E327" s="2" t="s">
        <v>149</v>
      </c>
      <c r="F327" s="2" t="s">
        <v>150</v>
      </c>
      <c r="G327" s="2" t="s">
        <v>207</v>
      </c>
      <c r="H327" s="2" t="s">
        <v>152</v>
      </c>
      <c r="I327" s="2" t="s">
        <v>153</v>
      </c>
      <c r="J327" s="17">
        <v>45823</v>
      </c>
      <c r="K327" s="17">
        <v>45834</v>
      </c>
      <c r="L327" s="17"/>
      <c r="M327" s="17">
        <v>45856</v>
      </c>
      <c r="N327" s="18">
        <v>11041.13</v>
      </c>
    </row>
    <row r="328" spans="1:14" ht="15" customHeight="1" x14ac:dyDescent="0.25">
      <c r="A328" s="2" t="s">
        <v>489</v>
      </c>
      <c r="B328" s="17">
        <v>45863</v>
      </c>
      <c r="C328" s="2" t="s">
        <v>21</v>
      </c>
      <c r="D328" s="2" t="s">
        <v>25</v>
      </c>
      <c r="E328" s="2" t="s">
        <v>186</v>
      </c>
      <c r="F328" s="2" t="s">
        <v>156</v>
      </c>
      <c r="G328" s="2" t="s">
        <v>162</v>
      </c>
      <c r="H328" s="2" t="s">
        <v>152</v>
      </c>
      <c r="I328" s="2" t="s">
        <v>153</v>
      </c>
      <c r="J328" s="17">
        <v>45868</v>
      </c>
      <c r="K328" s="17">
        <v>45879</v>
      </c>
      <c r="L328" s="17"/>
      <c r="M328" s="17">
        <v>45910</v>
      </c>
      <c r="N328" s="18">
        <v>561.30999999999995</v>
      </c>
    </row>
    <row r="329" spans="1:14" ht="15" customHeight="1" x14ac:dyDescent="0.25">
      <c r="A329" s="2" t="s">
        <v>490</v>
      </c>
      <c r="B329" s="17">
        <v>45929</v>
      </c>
      <c r="C329" s="2" t="s">
        <v>22</v>
      </c>
      <c r="D329" s="2" t="s">
        <v>25</v>
      </c>
      <c r="E329" s="2" t="s">
        <v>155</v>
      </c>
      <c r="F329" s="2" t="s">
        <v>150</v>
      </c>
      <c r="G329" s="2" t="s">
        <v>165</v>
      </c>
      <c r="H329" s="2" t="s">
        <v>152</v>
      </c>
      <c r="I329" s="2" t="s">
        <v>163</v>
      </c>
      <c r="J329" s="17"/>
      <c r="K329" s="17"/>
      <c r="L329" s="17"/>
      <c r="M329" s="17">
        <v>45947</v>
      </c>
      <c r="N329" s="18">
        <v>4766.88</v>
      </c>
    </row>
    <row r="330" spans="1:14" ht="15" customHeight="1" x14ac:dyDescent="0.25">
      <c r="A330" s="2" t="s">
        <v>491</v>
      </c>
      <c r="B330" s="17">
        <v>45660</v>
      </c>
      <c r="C330" s="2" t="s">
        <v>22</v>
      </c>
      <c r="D330" s="2" t="s">
        <v>24</v>
      </c>
      <c r="E330" s="2" t="s">
        <v>186</v>
      </c>
      <c r="F330" s="2" t="s">
        <v>156</v>
      </c>
      <c r="G330" s="2" t="s">
        <v>170</v>
      </c>
      <c r="H330" s="2" t="s">
        <v>152</v>
      </c>
      <c r="I330" s="2" t="s">
        <v>153</v>
      </c>
      <c r="J330" s="17">
        <v>45665</v>
      </c>
      <c r="K330" s="17"/>
      <c r="L330" s="17"/>
      <c r="M330" s="17">
        <v>45684</v>
      </c>
      <c r="N330" s="18">
        <v>862.15</v>
      </c>
    </row>
    <row r="331" spans="1:14" ht="15" customHeight="1" x14ac:dyDescent="0.25">
      <c r="A331" s="2" t="s">
        <v>492</v>
      </c>
      <c r="B331" s="17">
        <v>45857</v>
      </c>
      <c r="C331" s="2" t="s">
        <v>20</v>
      </c>
      <c r="D331" s="2" t="s">
        <v>24</v>
      </c>
      <c r="E331" s="2" t="s">
        <v>186</v>
      </c>
      <c r="F331" s="2" t="s">
        <v>161</v>
      </c>
      <c r="G331" s="2" t="s">
        <v>192</v>
      </c>
      <c r="H331" s="2" t="s">
        <v>152</v>
      </c>
      <c r="I331" s="2" t="s">
        <v>153</v>
      </c>
      <c r="J331" s="17">
        <v>45862</v>
      </c>
      <c r="K331" s="17">
        <v>45870</v>
      </c>
      <c r="L331" s="17"/>
      <c r="M331" s="17">
        <v>45895</v>
      </c>
      <c r="N331" s="18">
        <v>2214.2600000000002</v>
      </c>
    </row>
    <row r="332" spans="1:14" ht="15" customHeight="1" x14ac:dyDescent="0.25">
      <c r="A332" s="2" t="s">
        <v>493</v>
      </c>
      <c r="B332" s="17">
        <v>45716</v>
      </c>
      <c r="C332" s="2" t="s">
        <v>19</v>
      </c>
      <c r="D332" s="2" t="s">
        <v>24</v>
      </c>
      <c r="E332" s="2" t="s">
        <v>160</v>
      </c>
      <c r="F332" s="2" t="s">
        <v>156</v>
      </c>
      <c r="G332" s="2" t="s">
        <v>210</v>
      </c>
      <c r="H332" s="2" t="s">
        <v>152</v>
      </c>
      <c r="I332" s="2" t="s">
        <v>153</v>
      </c>
      <c r="J332" s="17">
        <v>45721</v>
      </c>
      <c r="K332" s="17">
        <v>45729</v>
      </c>
      <c r="L332" s="17"/>
      <c r="M332" s="17">
        <v>45763</v>
      </c>
      <c r="N332" s="18">
        <v>817.19</v>
      </c>
    </row>
    <row r="333" spans="1:14" ht="15" customHeight="1" x14ac:dyDescent="0.25">
      <c r="A333" s="2" t="s">
        <v>494</v>
      </c>
      <c r="B333" s="17">
        <v>45863</v>
      </c>
      <c r="C333" s="2" t="s">
        <v>18</v>
      </c>
      <c r="D333" s="2" t="s">
        <v>25</v>
      </c>
      <c r="E333" s="2" t="s">
        <v>149</v>
      </c>
      <c r="F333" s="2" t="s">
        <v>161</v>
      </c>
      <c r="G333" s="2" t="s">
        <v>157</v>
      </c>
      <c r="H333" s="2" t="s">
        <v>152</v>
      </c>
      <c r="I333" s="2" t="s">
        <v>153</v>
      </c>
      <c r="J333" s="17">
        <v>45869</v>
      </c>
      <c r="K333" s="17">
        <v>45871</v>
      </c>
      <c r="L333" s="17"/>
      <c r="M333" s="17">
        <v>45877</v>
      </c>
      <c r="N333" s="18">
        <v>2478.7399999999998</v>
      </c>
    </row>
    <row r="334" spans="1:14" ht="15" customHeight="1" x14ac:dyDescent="0.25">
      <c r="A334" s="2" t="s">
        <v>495</v>
      </c>
      <c r="B334" s="17">
        <v>45954</v>
      </c>
      <c r="C334" s="2" t="s">
        <v>20</v>
      </c>
      <c r="D334" s="2" t="s">
        <v>24</v>
      </c>
      <c r="E334" s="2" t="s">
        <v>155</v>
      </c>
      <c r="F334" s="2" t="s">
        <v>156</v>
      </c>
      <c r="G334" s="2" t="s">
        <v>192</v>
      </c>
      <c r="H334" s="2" t="s">
        <v>152</v>
      </c>
      <c r="I334" s="2" t="s">
        <v>163</v>
      </c>
      <c r="J334" s="17"/>
      <c r="K334" s="17"/>
      <c r="L334" s="17"/>
      <c r="M334" s="17">
        <v>45972</v>
      </c>
      <c r="N334" s="18">
        <v>374.63</v>
      </c>
    </row>
    <row r="335" spans="1:14" ht="15" customHeight="1" x14ac:dyDescent="0.25">
      <c r="A335" s="2" t="s">
        <v>496</v>
      </c>
      <c r="B335" s="17">
        <v>45719</v>
      </c>
      <c r="C335" s="2" t="s">
        <v>21</v>
      </c>
      <c r="D335" s="2" t="s">
        <v>25</v>
      </c>
      <c r="E335" s="2" t="s">
        <v>186</v>
      </c>
      <c r="F335" s="2" t="s">
        <v>161</v>
      </c>
      <c r="G335" s="2" t="s">
        <v>176</v>
      </c>
      <c r="H335" s="2" t="s">
        <v>2</v>
      </c>
      <c r="I335" s="2" t="s">
        <v>153</v>
      </c>
      <c r="J335" s="17">
        <v>45720</v>
      </c>
      <c r="K335" s="17">
        <v>45721</v>
      </c>
      <c r="L335" s="17">
        <v>45736</v>
      </c>
      <c r="M335" s="17"/>
      <c r="N335" s="18">
        <v>2559.14</v>
      </c>
    </row>
    <row r="336" spans="1:14" ht="15" customHeight="1" x14ac:dyDescent="0.25">
      <c r="A336" s="2" t="s">
        <v>497</v>
      </c>
      <c r="B336" s="17">
        <v>45679</v>
      </c>
      <c r="C336" s="2" t="s">
        <v>18</v>
      </c>
      <c r="D336" s="2" t="s">
        <v>28</v>
      </c>
      <c r="E336" s="2" t="s">
        <v>155</v>
      </c>
      <c r="F336" s="2" t="s">
        <v>156</v>
      </c>
      <c r="G336" s="2" t="s">
        <v>157</v>
      </c>
      <c r="H336" s="2" t="s">
        <v>152</v>
      </c>
      <c r="I336" s="2" t="s">
        <v>153</v>
      </c>
      <c r="J336" s="17">
        <v>45683</v>
      </c>
      <c r="K336" s="17">
        <v>45684</v>
      </c>
      <c r="L336" s="17"/>
      <c r="M336" s="17">
        <v>45701</v>
      </c>
      <c r="N336" s="18">
        <v>644.17999999999995</v>
      </c>
    </row>
    <row r="337" spans="1:14" ht="15" customHeight="1" x14ac:dyDescent="0.25">
      <c r="A337" s="2" t="s">
        <v>498</v>
      </c>
      <c r="B337" s="17">
        <v>46016</v>
      </c>
      <c r="C337" s="2" t="s">
        <v>20</v>
      </c>
      <c r="D337" s="2" t="s">
        <v>27</v>
      </c>
      <c r="E337" s="2" t="s">
        <v>149</v>
      </c>
      <c r="F337" s="2" t="s">
        <v>161</v>
      </c>
      <c r="G337" s="2" t="s">
        <v>189</v>
      </c>
      <c r="H337" s="2" t="s">
        <v>158</v>
      </c>
      <c r="I337" s="2" t="s">
        <v>153</v>
      </c>
      <c r="J337" s="17">
        <v>46025</v>
      </c>
      <c r="K337" s="17">
        <v>46033</v>
      </c>
      <c r="L337" s="17"/>
      <c r="M337" s="17"/>
      <c r="N337" s="18">
        <v>2048.81</v>
      </c>
    </row>
    <row r="338" spans="1:14" ht="15" customHeight="1" x14ac:dyDescent="0.25">
      <c r="A338" s="2" t="s">
        <v>499</v>
      </c>
      <c r="B338" s="17">
        <v>45753</v>
      </c>
      <c r="C338" s="2" t="s">
        <v>20</v>
      </c>
      <c r="D338" s="2" t="s">
        <v>27</v>
      </c>
      <c r="E338" s="2" t="s">
        <v>186</v>
      </c>
      <c r="F338" s="2" t="s">
        <v>161</v>
      </c>
      <c r="G338" s="2" t="s">
        <v>167</v>
      </c>
      <c r="H338" s="2" t="s">
        <v>152</v>
      </c>
      <c r="I338" s="2" t="s">
        <v>163</v>
      </c>
      <c r="J338" s="17"/>
      <c r="K338" s="17"/>
      <c r="L338" s="17"/>
      <c r="M338" s="17">
        <v>45764</v>
      </c>
      <c r="N338" s="18">
        <v>1909.06</v>
      </c>
    </row>
    <row r="339" spans="1:14" ht="15" customHeight="1" x14ac:dyDescent="0.25">
      <c r="A339" s="2" t="s">
        <v>500</v>
      </c>
      <c r="B339" s="17">
        <v>45719</v>
      </c>
      <c r="C339" s="2" t="s">
        <v>19</v>
      </c>
      <c r="D339" s="2" t="s">
        <v>25</v>
      </c>
      <c r="E339" s="2" t="s">
        <v>155</v>
      </c>
      <c r="F339" s="2" t="s">
        <v>150</v>
      </c>
      <c r="G339" s="2" t="s">
        <v>210</v>
      </c>
      <c r="H339" s="2" t="s">
        <v>2</v>
      </c>
      <c r="I339" s="2" t="s">
        <v>153</v>
      </c>
      <c r="J339" s="17">
        <v>45724</v>
      </c>
      <c r="K339" s="17">
        <v>45739</v>
      </c>
      <c r="L339" s="17">
        <v>45746</v>
      </c>
      <c r="M339" s="17"/>
      <c r="N339" s="18">
        <v>5133.84</v>
      </c>
    </row>
    <row r="340" spans="1:14" ht="15" customHeight="1" x14ac:dyDescent="0.25">
      <c r="A340" s="2" t="s">
        <v>501</v>
      </c>
      <c r="B340" s="17">
        <v>46012</v>
      </c>
      <c r="C340" s="2" t="s">
        <v>18</v>
      </c>
      <c r="D340" s="2" t="s">
        <v>26</v>
      </c>
      <c r="E340" s="2" t="s">
        <v>186</v>
      </c>
      <c r="F340" s="2" t="s">
        <v>156</v>
      </c>
      <c r="G340" s="2" t="s">
        <v>201</v>
      </c>
      <c r="H340" s="2" t="s">
        <v>2</v>
      </c>
      <c r="I340" s="2" t="s">
        <v>153</v>
      </c>
      <c r="J340" s="17">
        <v>46014</v>
      </c>
      <c r="K340" s="17">
        <v>46019</v>
      </c>
      <c r="L340" s="17">
        <v>46028</v>
      </c>
      <c r="M340" s="17"/>
      <c r="N340" s="18">
        <v>751.66</v>
      </c>
    </row>
    <row r="341" spans="1:14" ht="15" customHeight="1" x14ac:dyDescent="0.25">
      <c r="A341" s="2" t="s">
        <v>502</v>
      </c>
      <c r="B341" s="17">
        <v>45928</v>
      </c>
      <c r="C341" s="2" t="s">
        <v>21</v>
      </c>
      <c r="D341" s="2" t="s">
        <v>26</v>
      </c>
      <c r="E341" s="2" t="s">
        <v>155</v>
      </c>
      <c r="F341" s="2" t="s">
        <v>156</v>
      </c>
      <c r="G341" s="2" t="s">
        <v>162</v>
      </c>
      <c r="H341" s="2" t="s">
        <v>152</v>
      </c>
      <c r="I341" s="2" t="s">
        <v>163</v>
      </c>
      <c r="J341" s="17"/>
      <c r="K341" s="17"/>
      <c r="L341" s="17"/>
      <c r="M341" s="17">
        <v>45939</v>
      </c>
      <c r="N341" s="18">
        <v>598.71</v>
      </c>
    </row>
    <row r="342" spans="1:14" ht="15" customHeight="1" x14ac:dyDescent="0.25">
      <c r="A342" s="2" t="s">
        <v>503</v>
      </c>
      <c r="B342" s="17">
        <v>45703</v>
      </c>
      <c r="C342" s="2" t="s">
        <v>22</v>
      </c>
      <c r="D342" s="2" t="s">
        <v>25</v>
      </c>
      <c r="E342" s="2" t="s">
        <v>149</v>
      </c>
      <c r="F342" s="2" t="s">
        <v>156</v>
      </c>
      <c r="G342" s="2" t="s">
        <v>170</v>
      </c>
      <c r="H342" s="2" t="s">
        <v>2</v>
      </c>
      <c r="I342" s="2" t="s">
        <v>153</v>
      </c>
      <c r="J342" s="17">
        <v>45712</v>
      </c>
      <c r="K342" s="17">
        <v>45713</v>
      </c>
      <c r="L342" s="17">
        <v>45717</v>
      </c>
      <c r="M342" s="17"/>
      <c r="N342" s="18">
        <v>904.76</v>
      </c>
    </row>
    <row r="343" spans="1:14" ht="15" customHeight="1" x14ac:dyDescent="0.25">
      <c r="A343" s="2" t="s">
        <v>504</v>
      </c>
      <c r="B343" s="17">
        <v>46021</v>
      </c>
      <c r="C343" s="2" t="s">
        <v>22</v>
      </c>
      <c r="D343" s="2" t="s">
        <v>26</v>
      </c>
      <c r="E343" s="2" t="s">
        <v>160</v>
      </c>
      <c r="F343" s="2" t="s">
        <v>156</v>
      </c>
      <c r="G343" s="2" t="s">
        <v>151</v>
      </c>
      <c r="H343" s="2" t="s">
        <v>190</v>
      </c>
      <c r="I343" s="2" t="s">
        <v>163</v>
      </c>
      <c r="J343" s="17"/>
      <c r="K343" s="17"/>
      <c r="L343" s="17"/>
      <c r="M343" s="17"/>
      <c r="N343" s="18">
        <v>956.52</v>
      </c>
    </row>
    <row r="344" spans="1:14" ht="15" customHeight="1" x14ac:dyDescent="0.25">
      <c r="A344" s="2" t="s">
        <v>505</v>
      </c>
      <c r="B344" s="17">
        <v>45668</v>
      </c>
      <c r="C344" s="2" t="s">
        <v>20</v>
      </c>
      <c r="D344" s="2" t="s">
        <v>28</v>
      </c>
      <c r="E344" s="2" t="s">
        <v>160</v>
      </c>
      <c r="F344" s="2" t="s">
        <v>156</v>
      </c>
      <c r="G344" s="2" t="s">
        <v>167</v>
      </c>
      <c r="H344" s="2" t="s">
        <v>152</v>
      </c>
      <c r="I344" s="2" t="s">
        <v>153</v>
      </c>
      <c r="J344" s="17">
        <v>45673</v>
      </c>
      <c r="K344" s="17">
        <v>45688</v>
      </c>
      <c r="L344" s="17"/>
      <c r="M344" s="17">
        <v>45723</v>
      </c>
      <c r="N344" s="18">
        <v>828.03</v>
      </c>
    </row>
    <row r="345" spans="1:14" ht="15" customHeight="1" x14ac:dyDescent="0.25">
      <c r="A345" s="2" t="s">
        <v>506</v>
      </c>
      <c r="B345" s="17">
        <v>45962</v>
      </c>
      <c r="C345" s="2" t="s">
        <v>21</v>
      </c>
      <c r="D345" s="2" t="s">
        <v>24</v>
      </c>
      <c r="E345" s="2" t="s">
        <v>186</v>
      </c>
      <c r="F345" s="2" t="s">
        <v>161</v>
      </c>
      <c r="G345" s="2" t="s">
        <v>162</v>
      </c>
      <c r="H345" s="2" t="s">
        <v>152</v>
      </c>
      <c r="I345" s="2" t="s">
        <v>153</v>
      </c>
      <c r="J345" s="17">
        <v>45967</v>
      </c>
      <c r="K345" s="17">
        <v>45973</v>
      </c>
      <c r="L345" s="17"/>
      <c r="M345" s="17">
        <v>46003</v>
      </c>
      <c r="N345" s="18">
        <v>1816.37</v>
      </c>
    </row>
    <row r="346" spans="1:14" ht="15" customHeight="1" x14ac:dyDescent="0.25">
      <c r="A346" s="2" t="s">
        <v>507</v>
      </c>
      <c r="B346" s="17">
        <v>45732</v>
      </c>
      <c r="C346" s="2" t="s">
        <v>19</v>
      </c>
      <c r="D346" s="2" t="s">
        <v>28</v>
      </c>
      <c r="E346" s="2" t="s">
        <v>155</v>
      </c>
      <c r="F346" s="2" t="s">
        <v>156</v>
      </c>
      <c r="G346" s="2" t="s">
        <v>179</v>
      </c>
      <c r="H346" s="2" t="s">
        <v>152</v>
      </c>
      <c r="I346" s="2" t="s">
        <v>153</v>
      </c>
      <c r="J346" s="17">
        <v>45739</v>
      </c>
      <c r="K346" s="17">
        <v>45748</v>
      </c>
      <c r="L346" s="17"/>
      <c r="M346" s="17">
        <v>45779</v>
      </c>
      <c r="N346" s="18">
        <v>371.3</v>
      </c>
    </row>
    <row r="347" spans="1:14" ht="15" customHeight="1" x14ac:dyDescent="0.25">
      <c r="A347" s="2" t="s">
        <v>508</v>
      </c>
      <c r="B347" s="17">
        <v>45929</v>
      </c>
      <c r="C347" s="2" t="s">
        <v>19</v>
      </c>
      <c r="D347" s="2" t="s">
        <v>28</v>
      </c>
      <c r="E347" s="2" t="s">
        <v>149</v>
      </c>
      <c r="F347" s="2" t="s">
        <v>156</v>
      </c>
      <c r="G347" s="2" t="s">
        <v>179</v>
      </c>
      <c r="H347" s="2" t="s">
        <v>152</v>
      </c>
      <c r="I347" s="2" t="s">
        <v>153</v>
      </c>
      <c r="J347" s="17">
        <v>45934</v>
      </c>
      <c r="K347" s="17">
        <v>45937</v>
      </c>
      <c r="L347" s="17"/>
      <c r="M347" s="17">
        <v>45957</v>
      </c>
      <c r="N347" s="18">
        <v>895.48</v>
      </c>
    </row>
    <row r="348" spans="1:14" ht="15" customHeight="1" x14ac:dyDescent="0.25">
      <c r="A348" s="2" t="s">
        <v>509</v>
      </c>
      <c r="B348" s="17">
        <v>45662</v>
      </c>
      <c r="C348" s="2" t="s">
        <v>21</v>
      </c>
      <c r="D348" s="2" t="s">
        <v>26</v>
      </c>
      <c r="E348" s="2" t="s">
        <v>186</v>
      </c>
      <c r="F348" s="2" t="s">
        <v>150</v>
      </c>
      <c r="G348" s="2" t="s">
        <v>162</v>
      </c>
      <c r="H348" s="2" t="s">
        <v>152</v>
      </c>
      <c r="I348" s="2" t="s">
        <v>153</v>
      </c>
      <c r="J348" s="17">
        <v>45671</v>
      </c>
      <c r="K348" s="17">
        <v>45677</v>
      </c>
      <c r="L348" s="17"/>
      <c r="M348" s="17">
        <v>45700</v>
      </c>
      <c r="N348" s="18">
        <v>6555.45</v>
      </c>
    </row>
    <row r="349" spans="1:14" ht="15" customHeight="1" x14ac:dyDescent="0.25">
      <c r="A349" s="2" t="s">
        <v>510</v>
      </c>
      <c r="B349" s="17">
        <v>45813</v>
      </c>
      <c r="C349" s="2" t="s">
        <v>19</v>
      </c>
      <c r="D349" s="2" t="s">
        <v>28</v>
      </c>
      <c r="E349" s="2" t="s">
        <v>149</v>
      </c>
      <c r="F349" s="2" t="s">
        <v>156</v>
      </c>
      <c r="G349" s="2" t="s">
        <v>179</v>
      </c>
      <c r="H349" s="2" t="s">
        <v>152</v>
      </c>
      <c r="I349" s="2" t="s">
        <v>163</v>
      </c>
      <c r="J349" s="17"/>
      <c r="K349" s="17"/>
      <c r="L349" s="17"/>
      <c r="M349" s="17">
        <v>45823</v>
      </c>
      <c r="N349" s="18">
        <v>1062.27</v>
      </c>
    </row>
    <row r="350" spans="1:14" ht="15" customHeight="1" x14ac:dyDescent="0.25">
      <c r="A350" s="2" t="s">
        <v>511</v>
      </c>
      <c r="B350" s="17">
        <v>45723</v>
      </c>
      <c r="C350" s="2" t="s">
        <v>19</v>
      </c>
      <c r="D350" s="2" t="s">
        <v>26</v>
      </c>
      <c r="E350" s="2" t="s">
        <v>155</v>
      </c>
      <c r="F350" s="2" t="s">
        <v>161</v>
      </c>
      <c r="G350" s="2" t="s">
        <v>210</v>
      </c>
      <c r="H350" s="2" t="s">
        <v>152</v>
      </c>
      <c r="I350" s="2" t="s">
        <v>163</v>
      </c>
      <c r="J350" s="17"/>
      <c r="K350" s="17"/>
      <c r="L350" s="17"/>
      <c r="M350" s="17">
        <v>45736</v>
      </c>
      <c r="N350" s="18">
        <v>2060.23</v>
      </c>
    </row>
    <row r="351" spans="1:14" ht="15" customHeight="1" x14ac:dyDescent="0.25">
      <c r="A351" s="2" t="s">
        <v>512</v>
      </c>
      <c r="B351" s="17">
        <v>45918</v>
      </c>
      <c r="C351" s="2" t="s">
        <v>20</v>
      </c>
      <c r="D351" s="2" t="s">
        <v>26</v>
      </c>
      <c r="E351" s="2" t="s">
        <v>149</v>
      </c>
      <c r="F351" s="2" t="s">
        <v>150</v>
      </c>
      <c r="G351" s="2" t="s">
        <v>192</v>
      </c>
      <c r="H351" s="2" t="s">
        <v>152</v>
      </c>
      <c r="I351" s="2" t="s">
        <v>153</v>
      </c>
      <c r="J351" s="17">
        <v>45920</v>
      </c>
      <c r="K351" s="17"/>
      <c r="L351" s="17"/>
      <c r="M351" s="17">
        <v>45927</v>
      </c>
      <c r="N351" s="18">
        <v>11322.73</v>
      </c>
    </row>
    <row r="352" spans="1:14" ht="15" customHeight="1" x14ac:dyDescent="0.25">
      <c r="A352" s="2" t="s">
        <v>513</v>
      </c>
      <c r="B352" s="17">
        <v>45793</v>
      </c>
      <c r="C352" s="2" t="s">
        <v>19</v>
      </c>
      <c r="D352" s="2" t="s">
        <v>25</v>
      </c>
      <c r="E352" s="2" t="s">
        <v>155</v>
      </c>
      <c r="F352" s="2" t="s">
        <v>156</v>
      </c>
      <c r="G352" s="2" t="s">
        <v>179</v>
      </c>
      <c r="H352" s="2" t="s">
        <v>152</v>
      </c>
      <c r="I352" s="2" t="s">
        <v>153</v>
      </c>
      <c r="J352" s="17">
        <v>45796</v>
      </c>
      <c r="K352" s="17">
        <v>45805</v>
      </c>
      <c r="L352" s="17"/>
      <c r="M352" s="17">
        <v>45836</v>
      </c>
      <c r="N352" s="18">
        <v>599.79</v>
      </c>
    </row>
    <row r="353" spans="1:14" ht="15" customHeight="1" x14ac:dyDescent="0.25">
      <c r="A353" s="2" t="s">
        <v>514</v>
      </c>
      <c r="B353" s="17">
        <v>45751</v>
      </c>
      <c r="C353" s="2" t="s">
        <v>19</v>
      </c>
      <c r="D353" s="2" t="s">
        <v>24</v>
      </c>
      <c r="E353" s="2" t="s">
        <v>149</v>
      </c>
      <c r="F353" s="2" t="s">
        <v>150</v>
      </c>
      <c r="G353" s="2" t="s">
        <v>179</v>
      </c>
      <c r="H353" s="2" t="s">
        <v>152</v>
      </c>
      <c r="I353" s="2" t="s">
        <v>153</v>
      </c>
      <c r="J353" s="17">
        <v>45754</v>
      </c>
      <c r="K353" s="17">
        <v>45755</v>
      </c>
      <c r="L353" s="17"/>
      <c r="M353" s="17">
        <v>45774</v>
      </c>
      <c r="N353" s="18">
        <v>7994.33</v>
      </c>
    </row>
    <row r="354" spans="1:14" ht="15" customHeight="1" x14ac:dyDescent="0.25">
      <c r="A354" s="2" t="s">
        <v>515</v>
      </c>
      <c r="B354" s="17">
        <v>45798</v>
      </c>
      <c r="C354" s="2" t="s">
        <v>21</v>
      </c>
      <c r="D354" s="2" t="s">
        <v>26</v>
      </c>
      <c r="E354" s="2" t="s">
        <v>149</v>
      </c>
      <c r="F354" s="2" t="s">
        <v>156</v>
      </c>
      <c r="G354" s="2" t="s">
        <v>162</v>
      </c>
      <c r="H354" s="2" t="s">
        <v>152</v>
      </c>
      <c r="I354" s="2" t="s">
        <v>153</v>
      </c>
      <c r="J354" s="17">
        <v>45807</v>
      </c>
      <c r="K354" s="17"/>
      <c r="L354" s="17"/>
      <c r="M354" s="17">
        <v>45814</v>
      </c>
      <c r="N354" s="18">
        <v>1014</v>
      </c>
    </row>
    <row r="355" spans="1:14" ht="15" customHeight="1" x14ac:dyDescent="0.25">
      <c r="A355" s="2" t="s">
        <v>516</v>
      </c>
      <c r="B355" s="17">
        <v>45931</v>
      </c>
      <c r="C355" s="2" t="s">
        <v>20</v>
      </c>
      <c r="D355" s="2" t="s">
        <v>25</v>
      </c>
      <c r="E355" s="2" t="s">
        <v>149</v>
      </c>
      <c r="F355" s="2" t="s">
        <v>161</v>
      </c>
      <c r="G355" s="2" t="s">
        <v>167</v>
      </c>
      <c r="H355" s="2" t="s">
        <v>152</v>
      </c>
      <c r="I355" s="2" t="s">
        <v>153</v>
      </c>
      <c r="J355" s="17">
        <v>45938</v>
      </c>
      <c r="K355" s="17"/>
      <c r="L355" s="17"/>
      <c r="M355" s="17">
        <v>45944</v>
      </c>
      <c r="N355" s="18">
        <v>2416.84</v>
      </c>
    </row>
    <row r="356" spans="1:14" ht="15" customHeight="1" x14ac:dyDescent="0.25">
      <c r="A356" s="2" t="s">
        <v>517</v>
      </c>
      <c r="B356" s="17">
        <v>45699</v>
      </c>
      <c r="C356" s="2" t="s">
        <v>19</v>
      </c>
      <c r="D356" s="2" t="s">
        <v>25</v>
      </c>
      <c r="E356" s="2" t="s">
        <v>155</v>
      </c>
      <c r="F356" s="2" t="s">
        <v>150</v>
      </c>
      <c r="G356" s="2" t="s">
        <v>210</v>
      </c>
      <c r="H356" s="2" t="s">
        <v>2</v>
      </c>
      <c r="I356" s="2" t="s">
        <v>153</v>
      </c>
      <c r="J356" s="17">
        <v>45706</v>
      </c>
      <c r="K356" s="17">
        <v>45713</v>
      </c>
      <c r="L356" s="17">
        <v>45716</v>
      </c>
      <c r="M356" s="17"/>
      <c r="N356" s="18">
        <v>6559.66</v>
      </c>
    </row>
    <row r="357" spans="1:14" ht="15" customHeight="1" x14ac:dyDescent="0.25">
      <c r="A357" s="2" t="s">
        <v>518</v>
      </c>
      <c r="B357" s="17">
        <v>45693</v>
      </c>
      <c r="C357" s="2" t="s">
        <v>18</v>
      </c>
      <c r="D357" s="2" t="s">
        <v>28</v>
      </c>
      <c r="E357" s="2" t="s">
        <v>149</v>
      </c>
      <c r="F357" s="2" t="s">
        <v>150</v>
      </c>
      <c r="G357" s="2" t="s">
        <v>201</v>
      </c>
      <c r="H357" s="2" t="s">
        <v>2</v>
      </c>
      <c r="I357" s="2" t="s">
        <v>153</v>
      </c>
      <c r="J357" s="17">
        <v>45696</v>
      </c>
      <c r="K357" s="17">
        <v>45705</v>
      </c>
      <c r="L357" s="17">
        <v>45716</v>
      </c>
      <c r="M357" s="17"/>
      <c r="N357" s="18">
        <v>10492.14</v>
      </c>
    </row>
    <row r="358" spans="1:14" ht="15" customHeight="1" x14ac:dyDescent="0.25">
      <c r="A358" s="2" t="s">
        <v>519</v>
      </c>
      <c r="B358" s="17">
        <v>45859</v>
      </c>
      <c r="C358" s="2" t="s">
        <v>18</v>
      </c>
      <c r="D358" s="2" t="s">
        <v>25</v>
      </c>
      <c r="E358" s="2" t="s">
        <v>186</v>
      </c>
      <c r="F358" s="2" t="s">
        <v>156</v>
      </c>
      <c r="G358" s="2" t="s">
        <v>201</v>
      </c>
      <c r="H358" s="2" t="s">
        <v>152</v>
      </c>
      <c r="I358" s="2" t="s">
        <v>153</v>
      </c>
      <c r="J358" s="17">
        <v>45862</v>
      </c>
      <c r="K358" s="17">
        <v>45873</v>
      </c>
      <c r="L358" s="17"/>
      <c r="M358" s="17">
        <v>45901</v>
      </c>
      <c r="N358" s="18">
        <v>824.49</v>
      </c>
    </row>
    <row r="359" spans="1:14" ht="15" customHeight="1" x14ac:dyDescent="0.25">
      <c r="A359" s="2" t="s">
        <v>520</v>
      </c>
      <c r="B359" s="17">
        <v>45940</v>
      </c>
      <c r="C359" s="2" t="s">
        <v>20</v>
      </c>
      <c r="D359" s="2" t="s">
        <v>25</v>
      </c>
      <c r="E359" s="2" t="s">
        <v>186</v>
      </c>
      <c r="F359" s="2" t="s">
        <v>156</v>
      </c>
      <c r="G359" s="2" t="s">
        <v>192</v>
      </c>
      <c r="H359" s="2" t="s">
        <v>2</v>
      </c>
      <c r="I359" s="2" t="s">
        <v>153</v>
      </c>
      <c r="J359" s="17">
        <v>45941</v>
      </c>
      <c r="K359" s="17">
        <v>45953</v>
      </c>
      <c r="L359" s="17">
        <v>45962</v>
      </c>
      <c r="M359" s="17"/>
      <c r="N359" s="18">
        <v>635.51</v>
      </c>
    </row>
    <row r="360" spans="1:14" ht="15" customHeight="1" x14ac:dyDescent="0.25">
      <c r="A360" s="2" t="s">
        <v>521</v>
      </c>
      <c r="B360" s="17">
        <v>45690</v>
      </c>
      <c r="C360" s="2" t="s">
        <v>18</v>
      </c>
      <c r="D360" s="2" t="s">
        <v>25</v>
      </c>
      <c r="E360" s="2" t="s">
        <v>186</v>
      </c>
      <c r="F360" s="2" t="s">
        <v>156</v>
      </c>
      <c r="G360" s="2" t="s">
        <v>201</v>
      </c>
      <c r="H360" s="2" t="s">
        <v>152</v>
      </c>
      <c r="I360" s="2" t="s">
        <v>153</v>
      </c>
      <c r="J360" s="17">
        <v>45692</v>
      </c>
      <c r="K360" s="17">
        <v>45699</v>
      </c>
      <c r="L360" s="17"/>
      <c r="M360" s="17">
        <v>45720</v>
      </c>
      <c r="N360" s="18">
        <v>557.61</v>
      </c>
    </row>
    <row r="361" spans="1:14" ht="15" customHeight="1" x14ac:dyDescent="0.25">
      <c r="A361" s="2" t="s">
        <v>522</v>
      </c>
      <c r="B361" s="17">
        <v>45928</v>
      </c>
      <c r="C361" s="2" t="s">
        <v>22</v>
      </c>
      <c r="D361" s="2" t="s">
        <v>28</v>
      </c>
      <c r="E361" s="2" t="s">
        <v>186</v>
      </c>
      <c r="F361" s="2" t="s">
        <v>150</v>
      </c>
      <c r="G361" s="2" t="s">
        <v>165</v>
      </c>
      <c r="H361" s="2" t="s">
        <v>152</v>
      </c>
      <c r="I361" s="2" t="s">
        <v>153</v>
      </c>
      <c r="J361" s="17">
        <v>45931</v>
      </c>
      <c r="K361" s="17">
        <v>45934</v>
      </c>
      <c r="L361" s="17"/>
      <c r="M361" s="17">
        <v>45952</v>
      </c>
      <c r="N361" s="18">
        <v>7515.93</v>
      </c>
    </row>
    <row r="362" spans="1:14" ht="15" customHeight="1" x14ac:dyDescent="0.25">
      <c r="A362" s="2" t="s">
        <v>523</v>
      </c>
      <c r="B362" s="17">
        <v>45715</v>
      </c>
      <c r="C362" s="2" t="s">
        <v>20</v>
      </c>
      <c r="D362" s="2" t="s">
        <v>25</v>
      </c>
      <c r="E362" s="2" t="s">
        <v>160</v>
      </c>
      <c r="F362" s="2" t="s">
        <v>161</v>
      </c>
      <c r="G362" s="2" t="s">
        <v>192</v>
      </c>
      <c r="H362" s="2" t="s">
        <v>152</v>
      </c>
      <c r="I362" s="2" t="s">
        <v>163</v>
      </c>
      <c r="J362" s="17"/>
      <c r="K362" s="17"/>
      <c r="L362" s="17"/>
      <c r="M362" s="17">
        <v>45724</v>
      </c>
      <c r="N362" s="18">
        <v>2043.42</v>
      </c>
    </row>
    <row r="363" spans="1:14" ht="15" customHeight="1" x14ac:dyDescent="0.25">
      <c r="A363" s="2" t="s">
        <v>524</v>
      </c>
      <c r="B363" s="17">
        <v>45912</v>
      </c>
      <c r="C363" s="2" t="s">
        <v>20</v>
      </c>
      <c r="D363" s="2" t="s">
        <v>28</v>
      </c>
      <c r="E363" s="2" t="s">
        <v>149</v>
      </c>
      <c r="F363" s="2" t="s">
        <v>161</v>
      </c>
      <c r="G363" s="2" t="s">
        <v>167</v>
      </c>
      <c r="H363" s="2" t="s">
        <v>2</v>
      </c>
      <c r="I363" s="2" t="s">
        <v>153</v>
      </c>
      <c r="J363" s="17">
        <v>45922</v>
      </c>
      <c r="K363" s="17">
        <v>45924</v>
      </c>
      <c r="L363" s="17">
        <v>45937</v>
      </c>
      <c r="M363" s="17"/>
      <c r="N363" s="18">
        <v>2812.76</v>
      </c>
    </row>
    <row r="364" spans="1:14" ht="15" customHeight="1" x14ac:dyDescent="0.25">
      <c r="A364" s="2" t="s">
        <v>525</v>
      </c>
      <c r="B364" s="17">
        <v>45783</v>
      </c>
      <c r="C364" s="2" t="s">
        <v>18</v>
      </c>
      <c r="D364" s="2" t="s">
        <v>24</v>
      </c>
      <c r="E364" s="2" t="s">
        <v>160</v>
      </c>
      <c r="F364" s="2" t="s">
        <v>161</v>
      </c>
      <c r="G364" s="2" t="s">
        <v>157</v>
      </c>
      <c r="H364" s="2" t="s">
        <v>152</v>
      </c>
      <c r="I364" s="2" t="s">
        <v>163</v>
      </c>
      <c r="J364" s="17"/>
      <c r="K364" s="17"/>
      <c r="L364" s="17"/>
      <c r="M364" s="17">
        <v>45793</v>
      </c>
      <c r="N364" s="18">
        <v>1730.19</v>
      </c>
    </row>
    <row r="365" spans="1:14" ht="15" customHeight="1" x14ac:dyDescent="0.25">
      <c r="A365" s="2" t="s">
        <v>526</v>
      </c>
      <c r="B365" s="17">
        <v>45844</v>
      </c>
      <c r="C365" s="2" t="s">
        <v>22</v>
      </c>
      <c r="D365" s="2" t="s">
        <v>24</v>
      </c>
      <c r="E365" s="2" t="s">
        <v>160</v>
      </c>
      <c r="F365" s="2" t="s">
        <v>156</v>
      </c>
      <c r="G365" s="2" t="s">
        <v>170</v>
      </c>
      <c r="H365" s="2" t="s">
        <v>152</v>
      </c>
      <c r="I365" s="2" t="s">
        <v>163</v>
      </c>
      <c r="J365" s="17"/>
      <c r="K365" s="17"/>
      <c r="L365" s="17"/>
      <c r="M365" s="17">
        <v>45848</v>
      </c>
      <c r="N365" s="18">
        <v>765.02</v>
      </c>
    </row>
    <row r="366" spans="1:14" ht="15" customHeight="1" x14ac:dyDescent="0.25">
      <c r="A366" s="2" t="s">
        <v>527</v>
      </c>
      <c r="B366" s="17">
        <v>45742</v>
      </c>
      <c r="C366" s="2" t="s">
        <v>21</v>
      </c>
      <c r="D366" s="2" t="s">
        <v>24</v>
      </c>
      <c r="E366" s="2" t="s">
        <v>149</v>
      </c>
      <c r="F366" s="2" t="s">
        <v>156</v>
      </c>
      <c r="G366" s="2" t="s">
        <v>162</v>
      </c>
      <c r="H366" s="2" t="s">
        <v>152</v>
      </c>
      <c r="I366" s="2" t="s">
        <v>163</v>
      </c>
      <c r="J366" s="17"/>
      <c r="K366" s="17"/>
      <c r="L366" s="17"/>
      <c r="M366" s="17">
        <v>45748</v>
      </c>
      <c r="N366" s="18">
        <v>975.65</v>
      </c>
    </row>
    <row r="367" spans="1:14" ht="15" customHeight="1" x14ac:dyDescent="0.25">
      <c r="A367" s="2" t="s">
        <v>528</v>
      </c>
      <c r="B367" s="17">
        <v>45733</v>
      </c>
      <c r="C367" s="2" t="s">
        <v>22</v>
      </c>
      <c r="D367" s="2" t="s">
        <v>26</v>
      </c>
      <c r="E367" s="2" t="s">
        <v>186</v>
      </c>
      <c r="F367" s="2" t="s">
        <v>161</v>
      </c>
      <c r="G367" s="2" t="s">
        <v>165</v>
      </c>
      <c r="H367" s="2" t="s">
        <v>152</v>
      </c>
      <c r="I367" s="2" t="s">
        <v>163</v>
      </c>
      <c r="J367" s="17"/>
      <c r="K367" s="17"/>
      <c r="L367" s="17"/>
      <c r="M367" s="17">
        <v>45753</v>
      </c>
      <c r="N367" s="18">
        <v>1698.16</v>
      </c>
    </row>
    <row r="368" spans="1:14" ht="15" customHeight="1" x14ac:dyDescent="0.25">
      <c r="A368" s="2" t="s">
        <v>529</v>
      </c>
      <c r="B368" s="17">
        <v>45738</v>
      </c>
      <c r="C368" s="2" t="s">
        <v>19</v>
      </c>
      <c r="D368" s="2" t="s">
        <v>24</v>
      </c>
      <c r="E368" s="2" t="s">
        <v>149</v>
      </c>
      <c r="F368" s="2" t="s">
        <v>156</v>
      </c>
      <c r="G368" s="2" t="s">
        <v>207</v>
      </c>
      <c r="H368" s="2" t="s">
        <v>152</v>
      </c>
      <c r="I368" s="2" t="s">
        <v>163</v>
      </c>
      <c r="J368" s="17"/>
      <c r="K368" s="17"/>
      <c r="L368" s="17"/>
      <c r="M368" s="17">
        <v>45752</v>
      </c>
      <c r="N368" s="18">
        <v>1095.32</v>
      </c>
    </row>
    <row r="369" spans="1:14" ht="15" customHeight="1" x14ac:dyDescent="0.25">
      <c r="A369" s="2" t="s">
        <v>530</v>
      </c>
      <c r="B369" s="17">
        <v>45662</v>
      </c>
      <c r="C369" s="2" t="s">
        <v>21</v>
      </c>
      <c r="D369" s="2" t="s">
        <v>26</v>
      </c>
      <c r="E369" s="2" t="s">
        <v>186</v>
      </c>
      <c r="F369" s="2" t="s">
        <v>156</v>
      </c>
      <c r="G369" s="2" t="s">
        <v>176</v>
      </c>
      <c r="H369" s="2" t="s">
        <v>152</v>
      </c>
      <c r="I369" s="2" t="s">
        <v>163</v>
      </c>
      <c r="J369" s="17"/>
      <c r="K369" s="17"/>
      <c r="L369" s="17"/>
      <c r="M369" s="17">
        <v>45675</v>
      </c>
      <c r="N369" s="18">
        <v>863.65</v>
      </c>
    </row>
    <row r="370" spans="1:14" ht="15" customHeight="1" x14ac:dyDescent="0.25">
      <c r="A370" s="2" t="s">
        <v>531</v>
      </c>
      <c r="B370" s="17">
        <v>45930</v>
      </c>
      <c r="C370" s="2" t="s">
        <v>19</v>
      </c>
      <c r="D370" s="2" t="s">
        <v>26</v>
      </c>
      <c r="E370" s="2" t="s">
        <v>149</v>
      </c>
      <c r="F370" s="2" t="s">
        <v>156</v>
      </c>
      <c r="G370" s="2" t="s">
        <v>210</v>
      </c>
      <c r="H370" s="2" t="s">
        <v>2</v>
      </c>
      <c r="I370" s="2" t="s">
        <v>153</v>
      </c>
      <c r="J370" s="17">
        <v>45938</v>
      </c>
      <c r="K370" s="17">
        <v>45947</v>
      </c>
      <c r="L370" s="17">
        <v>45958</v>
      </c>
      <c r="M370" s="17"/>
      <c r="N370" s="18">
        <v>598.11</v>
      </c>
    </row>
    <row r="371" spans="1:14" ht="15" customHeight="1" x14ac:dyDescent="0.25">
      <c r="A371" s="2" t="s">
        <v>532</v>
      </c>
      <c r="B371" s="17">
        <v>45819</v>
      </c>
      <c r="C371" s="2" t="s">
        <v>21</v>
      </c>
      <c r="D371" s="2" t="s">
        <v>25</v>
      </c>
      <c r="E371" s="2" t="s">
        <v>155</v>
      </c>
      <c r="F371" s="2" t="s">
        <v>156</v>
      </c>
      <c r="G371" s="2" t="s">
        <v>183</v>
      </c>
      <c r="H371" s="2" t="s">
        <v>2</v>
      </c>
      <c r="I371" s="2" t="s">
        <v>153</v>
      </c>
      <c r="J371" s="17">
        <v>45825</v>
      </c>
      <c r="K371" s="17">
        <v>45826</v>
      </c>
      <c r="L371" s="17">
        <v>45855</v>
      </c>
      <c r="M371" s="17"/>
      <c r="N371" s="18">
        <v>542.29</v>
      </c>
    </row>
    <row r="372" spans="1:14" ht="15" customHeight="1" x14ac:dyDescent="0.25">
      <c r="A372" s="2" t="s">
        <v>533</v>
      </c>
      <c r="B372" s="17">
        <v>45833</v>
      </c>
      <c r="C372" s="2" t="s">
        <v>19</v>
      </c>
      <c r="D372" s="2" t="s">
        <v>24</v>
      </c>
      <c r="E372" s="2" t="s">
        <v>149</v>
      </c>
      <c r="F372" s="2" t="s">
        <v>150</v>
      </c>
      <c r="G372" s="2" t="s">
        <v>210</v>
      </c>
      <c r="H372" s="2" t="s">
        <v>152</v>
      </c>
      <c r="I372" s="2" t="s">
        <v>163</v>
      </c>
      <c r="J372" s="17"/>
      <c r="K372" s="17"/>
      <c r="L372" s="17"/>
      <c r="M372" s="17">
        <v>45838</v>
      </c>
      <c r="N372" s="18">
        <v>8436.67</v>
      </c>
    </row>
    <row r="373" spans="1:14" ht="15" customHeight="1" x14ac:dyDescent="0.25">
      <c r="A373" s="2" t="s">
        <v>534</v>
      </c>
      <c r="B373" s="17">
        <v>45851</v>
      </c>
      <c r="C373" s="2" t="s">
        <v>19</v>
      </c>
      <c r="D373" s="2" t="s">
        <v>28</v>
      </c>
      <c r="E373" s="2" t="s">
        <v>149</v>
      </c>
      <c r="F373" s="2" t="s">
        <v>156</v>
      </c>
      <c r="G373" s="2" t="s">
        <v>207</v>
      </c>
      <c r="H373" s="2" t="s">
        <v>2</v>
      </c>
      <c r="I373" s="2" t="s">
        <v>153</v>
      </c>
      <c r="J373" s="17">
        <v>45860</v>
      </c>
      <c r="K373" s="17">
        <v>45868</v>
      </c>
      <c r="L373" s="17">
        <v>45882</v>
      </c>
      <c r="M373" s="17"/>
      <c r="N373" s="18">
        <v>1018.33</v>
      </c>
    </row>
    <row r="374" spans="1:14" ht="15" customHeight="1" x14ac:dyDescent="0.25">
      <c r="A374" s="2" t="s">
        <v>535</v>
      </c>
      <c r="B374" s="17">
        <v>45997</v>
      </c>
      <c r="C374" s="2" t="s">
        <v>19</v>
      </c>
      <c r="D374" s="2" t="s">
        <v>24</v>
      </c>
      <c r="E374" s="2" t="s">
        <v>149</v>
      </c>
      <c r="F374" s="2" t="s">
        <v>161</v>
      </c>
      <c r="G374" s="2" t="s">
        <v>210</v>
      </c>
      <c r="H374" s="2" t="s">
        <v>158</v>
      </c>
      <c r="I374" s="2" t="s">
        <v>153</v>
      </c>
      <c r="J374" s="17">
        <v>46006</v>
      </c>
      <c r="K374" s="17">
        <v>46013</v>
      </c>
      <c r="L374" s="17"/>
      <c r="M374" s="17"/>
      <c r="N374" s="18">
        <v>2422.1799999999998</v>
      </c>
    </row>
    <row r="375" spans="1:14" ht="15" customHeight="1" x14ac:dyDescent="0.25">
      <c r="A375" s="2" t="s">
        <v>536</v>
      </c>
      <c r="B375" s="17">
        <v>45953</v>
      </c>
      <c r="C375" s="2" t="s">
        <v>22</v>
      </c>
      <c r="D375" s="2" t="s">
        <v>25</v>
      </c>
      <c r="E375" s="2" t="s">
        <v>186</v>
      </c>
      <c r="F375" s="2" t="s">
        <v>156</v>
      </c>
      <c r="G375" s="2" t="s">
        <v>165</v>
      </c>
      <c r="H375" s="2" t="s">
        <v>152</v>
      </c>
      <c r="I375" s="2" t="s">
        <v>153</v>
      </c>
      <c r="J375" s="17">
        <v>45961</v>
      </c>
      <c r="K375" s="17"/>
      <c r="L375" s="17"/>
      <c r="M375" s="17">
        <v>45984</v>
      </c>
      <c r="N375" s="18">
        <v>483.97</v>
      </c>
    </row>
    <row r="376" spans="1:14" ht="15" customHeight="1" x14ac:dyDescent="0.25">
      <c r="A376" s="2" t="s">
        <v>47</v>
      </c>
      <c r="B376" s="17">
        <v>45711</v>
      </c>
      <c r="C376" s="2" t="s">
        <v>19</v>
      </c>
      <c r="D376" s="2" t="s">
        <v>27</v>
      </c>
      <c r="E376" s="2" t="s">
        <v>186</v>
      </c>
      <c r="F376" s="2" t="s">
        <v>156</v>
      </c>
      <c r="G376" s="2" t="s">
        <v>179</v>
      </c>
      <c r="H376" s="2" t="s">
        <v>152</v>
      </c>
      <c r="I376" s="2" t="s">
        <v>153</v>
      </c>
      <c r="J376" s="17">
        <v>45712</v>
      </c>
      <c r="K376" s="17"/>
      <c r="L376" s="17"/>
      <c r="M376" s="17">
        <v>45734</v>
      </c>
      <c r="N376" s="18">
        <v>611.49</v>
      </c>
    </row>
    <row r="377" spans="1:14" ht="15" customHeight="1" x14ac:dyDescent="0.25">
      <c r="A377" s="2" t="s">
        <v>537</v>
      </c>
      <c r="B377" s="17">
        <v>45975</v>
      </c>
      <c r="C377" s="2" t="s">
        <v>20</v>
      </c>
      <c r="D377" s="2" t="s">
        <v>27</v>
      </c>
      <c r="E377" s="2" t="s">
        <v>149</v>
      </c>
      <c r="F377" s="2" t="s">
        <v>156</v>
      </c>
      <c r="G377" s="2" t="s">
        <v>192</v>
      </c>
      <c r="H377" s="2" t="s">
        <v>2</v>
      </c>
      <c r="I377" s="2" t="s">
        <v>153</v>
      </c>
      <c r="J377" s="17">
        <v>45984</v>
      </c>
      <c r="K377" s="17">
        <v>45987</v>
      </c>
      <c r="L377" s="17">
        <v>45995</v>
      </c>
      <c r="M377" s="17"/>
      <c r="N377" s="18">
        <v>849.91</v>
      </c>
    </row>
    <row r="378" spans="1:14" ht="15" customHeight="1" x14ac:dyDescent="0.25">
      <c r="A378" s="2" t="s">
        <v>538</v>
      </c>
      <c r="B378" s="17">
        <v>45997</v>
      </c>
      <c r="C378" s="2" t="s">
        <v>20</v>
      </c>
      <c r="D378" s="2" t="s">
        <v>25</v>
      </c>
      <c r="E378" s="2" t="s">
        <v>149</v>
      </c>
      <c r="F378" s="2" t="s">
        <v>161</v>
      </c>
      <c r="G378" s="2" t="s">
        <v>167</v>
      </c>
      <c r="H378" s="2" t="s">
        <v>152</v>
      </c>
      <c r="I378" s="2" t="s">
        <v>163</v>
      </c>
      <c r="J378" s="17"/>
      <c r="K378" s="17"/>
      <c r="L378" s="17"/>
      <c r="M378" s="17">
        <v>46001</v>
      </c>
      <c r="N378" s="18">
        <v>3245.71</v>
      </c>
    </row>
    <row r="379" spans="1:14" ht="15" customHeight="1" x14ac:dyDescent="0.25">
      <c r="A379" s="2" t="s">
        <v>539</v>
      </c>
      <c r="B379" s="17">
        <v>45914</v>
      </c>
      <c r="C379" s="2" t="s">
        <v>21</v>
      </c>
      <c r="D379" s="2" t="s">
        <v>26</v>
      </c>
      <c r="E379" s="2" t="s">
        <v>149</v>
      </c>
      <c r="F379" s="2" t="s">
        <v>156</v>
      </c>
      <c r="G379" s="2" t="s">
        <v>183</v>
      </c>
      <c r="H379" s="2" t="s">
        <v>2</v>
      </c>
      <c r="I379" s="2" t="s">
        <v>153</v>
      </c>
      <c r="J379" s="17">
        <v>45923</v>
      </c>
      <c r="K379" s="17">
        <v>45929</v>
      </c>
      <c r="L379" s="17">
        <v>45934</v>
      </c>
      <c r="M379" s="17"/>
      <c r="N379" s="18">
        <v>697.3</v>
      </c>
    </row>
    <row r="380" spans="1:14" ht="15" customHeight="1" x14ac:dyDescent="0.25">
      <c r="A380" s="2" t="s">
        <v>540</v>
      </c>
      <c r="B380" s="17">
        <v>45784</v>
      </c>
      <c r="C380" s="2" t="s">
        <v>20</v>
      </c>
      <c r="D380" s="2" t="s">
        <v>25</v>
      </c>
      <c r="E380" s="2" t="s">
        <v>149</v>
      </c>
      <c r="F380" s="2" t="s">
        <v>150</v>
      </c>
      <c r="G380" s="2" t="s">
        <v>189</v>
      </c>
      <c r="H380" s="2" t="s">
        <v>2</v>
      </c>
      <c r="I380" s="2" t="s">
        <v>153</v>
      </c>
      <c r="J380" s="17">
        <v>45789</v>
      </c>
      <c r="K380" s="17">
        <v>45790</v>
      </c>
      <c r="L380" s="17">
        <v>45793</v>
      </c>
      <c r="M380" s="17"/>
      <c r="N380" s="18">
        <v>6827.52</v>
      </c>
    </row>
    <row r="381" spans="1:14" ht="15" customHeight="1" x14ac:dyDescent="0.25">
      <c r="A381" s="2" t="s">
        <v>541</v>
      </c>
      <c r="B381" s="17">
        <v>45910</v>
      </c>
      <c r="C381" s="2" t="s">
        <v>19</v>
      </c>
      <c r="D381" s="2" t="s">
        <v>26</v>
      </c>
      <c r="E381" s="2" t="s">
        <v>149</v>
      </c>
      <c r="F381" s="2" t="s">
        <v>156</v>
      </c>
      <c r="G381" s="2" t="s">
        <v>179</v>
      </c>
      <c r="H381" s="2" t="s">
        <v>152</v>
      </c>
      <c r="I381" s="2" t="s">
        <v>153</v>
      </c>
      <c r="J381" s="17">
        <v>45915</v>
      </c>
      <c r="K381" s="17">
        <v>45927</v>
      </c>
      <c r="L381" s="17"/>
      <c r="M381" s="17">
        <v>45956</v>
      </c>
      <c r="N381" s="18">
        <v>646.41999999999996</v>
      </c>
    </row>
    <row r="382" spans="1:14" ht="15" customHeight="1" x14ac:dyDescent="0.25">
      <c r="A382" s="2" t="s">
        <v>542</v>
      </c>
      <c r="B382" s="17">
        <v>45956</v>
      </c>
      <c r="C382" s="2" t="s">
        <v>19</v>
      </c>
      <c r="D382" s="2" t="s">
        <v>25</v>
      </c>
      <c r="E382" s="2" t="s">
        <v>149</v>
      </c>
      <c r="F382" s="2" t="s">
        <v>156</v>
      </c>
      <c r="G382" s="2" t="s">
        <v>179</v>
      </c>
      <c r="H382" s="2" t="s">
        <v>2</v>
      </c>
      <c r="I382" s="2" t="s">
        <v>153</v>
      </c>
      <c r="J382" s="17">
        <v>45960</v>
      </c>
      <c r="K382" s="17">
        <v>45967</v>
      </c>
      <c r="L382" s="17">
        <v>45990</v>
      </c>
      <c r="M382" s="17"/>
      <c r="N382" s="18">
        <v>878.74</v>
      </c>
    </row>
    <row r="383" spans="1:14" ht="15" customHeight="1" x14ac:dyDescent="0.25">
      <c r="A383" s="2" t="s">
        <v>543</v>
      </c>
      <c r="B383" s="17">
        <v>46010</v>
      </c>
      <c r="C383" s="2" t="s">
        <v>21</v>
      </c>
      <c r="D383" s="2" t="s">
        <v>28</v>
      </c>
      <c r="E383" s="2" t="s">
        <v>149</v>
      </c>
      <c r="F383" s="2" t="s">
        <v>156</v>
      </c>
      <c r="G383" s="2" t="s">
        <v>183</v>
      </c>
      <c r="H383" s="2" t="s">
        <v>2</v>
      </c>
      <c r="I383" s="2" t="s">
        <v>153</v>
      </c>
      <c r="J383" s="17">
        <v>46016</v>
      </c>
      <c r="K383" s="17">
        <v>46022</v>
      </c>
      <c r="L383" s="17">
        <v>46036</v>
      </c>
      <c r="M383" s="17"/>
      <c r="N383" s="18">
        <v>725.42</v>
      </c>
    </row>
    <row r="384" spans="1:14" ht="15" customHeight="1" x14ac:dyDescent="0.25">
      <c r="A384" s="2" t="s">
        <v>544</v>
      </c>
      <c r="B384" s="17">
        <v>45723</v>
      </c>
      <c r="C384" s="2" t="s">
        <v>19</v>
      </c>
      <c r="D384" s="2" t="s">
        <v>26</v>
      </c>
      <c r="E384" s="2" t="s">
        <v>149</v>
      </c>
      <c r="F384" s="2" t="s">
        <v>150</v>
      </c>
      <c r="G384" s="2" t="s">
        <v>207</v>
      </c>
      <c r="H384" s="2" t="s">
        <v>152</v>
      </c>
      <c r="I384" s="2" t="s">
        <v>153</v>
      </c>
      <c r="J384" s="17">
        <v>45730</v>
      </c>
      <c r="K384" s="17">
        <v>45733</v>
      </c>
      <c r="L384" s="17"/>
      <c r="M384" s="17">
        <v>45764</v>
      </c>
      <c r="N384" s="18">
        <v>7848.66</v>
      </c>
    </row>
    <row r="385" spans="1:14" ht="15" customHeight="1" x14ac:dyDescent="0.25">
      <c r="A385" s="2" t="s">
        <v>545</v>
      </c>
      <c r="B385" s="17">
        <v>45862</v>
      </c>
      <c r="C385" s="2" t="s">
        <v>20</v>
      </c>
      <c r="D385" s="2" t="s">
        <v>25</v>
      </c>
      <c r="E385" s="2" t="s">
        <v>186</v>
      </c>
      <c r="F385" s="2" t="s">
        <v>150</v>
      </c>
      <c r="G385" s="2" t="s">
        <v>192</v>
      </c>
      <c r="H385" s="2" t="s">
        <v>152</v>
      </c>
      <c r="I385" s="2" t="s">
        <v>153</v>
      </c>
      <c r="J385" s="17">
        <v>45870</v>
      </c>
      <c r="K385" s="17">
        <v>45874</v>
      </c>
      <c r="L385" s="17"/>
      <c r="M385" s="17">
        <v>45894</v>
      </c>
      <c r="N385" s="18">
        <v>7449.47</v>
      </c>
    </row>
    <row r="386" spans="1:14" ht="15" customHeight="1" x14ac:dyDescent="0.25">
      <c r="A386" s="2" t="s">
        <v>546</v>
      </c>
      <c r="B386" s="17">
        <v>45899</v>
      </c>
      <c r="C386" s="2" t="s">
        <v>19</v>
      </c>
      <c r="D386" s="2" t="s">
        <v>25</v>
      </c>
      <c r="E386" s="2" t="s">
        <v>149</v>
      </c>
      <c r="F386" s="2" t="s">
        <v>156</v>
      </c>
      <c r="G386" s="2" t="s">
        <v>207</v>
      </c>
      <c r="H386" s="2" t="s">
        <v>152</v>
      </c>
      <c r="I386" s="2" t="s">
        <v>163</v>
      </c>
      <c r="J386" s="17"/>
      <c r="K386" s="17"/>
      <c r="L386" s="17"/>
      <c r="M386" s="17">
        <v>45911</v>
      </c>
      <c r="N386" s="18">
        <v>1133.51</v>
      </c>
    </row>
    <row r="387" spans="1:14" ht="15" customHeight="1" x14ac:dyDescent="0.25">
      <c r="A387" s="2" t="s">
        <v>547</v>
      </c>
      <c r="B387" s="17">
        <v>45922</v>
      </c>
      <c r="C387" s="2" t="s">
        <v>19</v>
      </c>
      <c r="D387" s="2" t="s">
        <v>28</v>
      </c>
      <c r="E387" s="2" t="s">
        <v>149</v>
      </c>
      <c r="F387" s="2" t="s">
        <v>156</v>
      </c>
      <c r="G387" s="2" t="s">
        <v>179</v>
      </c>
      <c r="H387" s="2" t="s">
        <v>152</v>
      </c>
      <c r="I387" s="2" t="s">
        <v>153</v>
      </c>
      <c r="J387" s="17">
        <v>45928</v>
      </c>
      <c r="K387" s="17">
        <v>45929</v>
      </c>
      <c r="L387" s="17"/>
      <c r="M387" s="17">
        <v>45942</v>
      </c>
      <c r="N387" s="18">
        <v>1082.23</v>
      </c>
    </row>
    <row r="388" spans="1:14" ht="15" customHeight="1" x14ac:dyDescent="0.25">
      <c r="A388" s="2" t="s">
        <v>548</v>
      </c>
      <c r="B388" s="17">
        <v>45821</v>
      </c>
      <c r="C388" s="2" t="s">
        <v>19</v>
      </c>
      <c r="D388" s="2" t="s">
        <v>24</v>
      </c>
      <c r="E388" s="2" t="s">
        <v>160</v>
      </c>
      <c r="F388" s="2" t="s">
        <v>161</v>
      </c>
      <c r="G388" s="2" t="s">
        <v>179</v>
      </c>
      <c r="H388" s="2" t="s">
        <v>152</v>
      </c>
      <c r="I388" s="2" t="s">
        <v>163</v>
      </c>
      <c r="J388" s="17"/>
      <c r="K388" s="17"/>
      <c r="L388" s="17"/>
      <c r="M388" s="17">
        <v>45838</v>
      </c>
      <c r="N388" s="18">
        <v>2351.0100000000002</v>
      </c>
    </row>
    <row r="389" spans="1:14" ht="15" customHeight="1" x14ac:dyDescent="0.25">
      <c r="A389" s="2" t="s">
        <v>549</v>
      </c>
      <c r="B389" s="17">
        <v>45837</v>
      </c>
      <c r="C389" s="2" t="s">
        <v>21</v>
      </c>
      <c r="D389" s="2" t="s">
        <v>24</v>
      </c>
      <c r="E389" s="2" t="s">
        <v>155</v>
      </c>
      <c r="F389" s="2" t="s">
        <v>161</v>
      </c>
      <c r="G389" s="2" t="s">
        <v>176</v>
      </c>
      <c r="H389" s="2" t="s">
        <v>152</v>
      </c>
      <c r="I389" s="2" t="s">
        <v>153</v>
      </c>
      <c r="J389" s="17">
        <v>45843</v>
      </c>
      <c r="K389" s="17"/>
      <c r="L389" s="17"/>
      <c r="M389" s="17">
        <v>45852</v>
      </c>
      <c r="N389" s="18">
        <v>1645.53</v>
      </c>
    </row>
    <row r="390" spans="1:14" ht="15" customHeight="1" x14ac:dyDescent="0.25">
      <c r="A390" s="2" t="s">
        <v>550</v>
      </c>
      <c r="B390" s="17">
        <v>45663</v>
      </c>
      <c r="C390" s="2" t="s">
        <v>22</v>
      </c>
      <c r="D390" s="2" t="s">
        <v>27</v>
      </c>
      <c r="E390" s="2" t="s">
        <v>155</v>
      </c>
      <c r="F390" s="2" t="s">
        <v>161</v>
      </c>
      <c r="G390" s="2" t="s">
        <v>170</v>
      </c>
      <c r="H390" s="2" t="s">
        <v>2</v>
      </c>
      <c r="I390" s="2" t="s">
        <v>153</v>
      </c>
      <c r="J390" s="17">
        <v>45668</v>
      </c>
      <c r="K390" s="17">
        <v>45674</v>
      </c>
      <c r="L390" s="17">
        <v>45684</v>
      </c>
      <c r="M390" s="17"/>
      <c r="N390" s="18">
        <v>1561.49</v>
      </c>
    </row>
    <row r="391" spans="1:14" ht="15" customHeight="1" x14ac:dyDescent="0.25">
      <c r="A391" s="2" t="s">
        <v>551</v>
      </c>
      <c r="B391" s="17">
        <v>45889</v>
      </c>
      <c r="C391" s="2" t="s">
        <v>21</v>
      </c>
      <c r="D391" s="2" t="s">
        <v>24</v>
      </c>
      <c r="E391" s="2" t="s">
        <v>149</v>
      </c>
      <c r="F391" s="2" t="s">
        <v>156</v>
      </c>
      <c r="G391" s="2" t="s">
        <v>176</v>
      </c>
      <c r="H391" s="2" t="s">
        <v>152</v>
      </c>
      <c r="I391" s="2" t="s">
        <v>153</v>
      </c>
      <c r="J391" s="17">
        <v>45894</v>
      </c>
      <c r="K391" s="17">
        <v>45903</v>
      </c>
      <c r="L391" s="17"/>
      <c r="M391" s="17">
        <v>45933</v>
      </c>
      <c r="N391" s="18">
        <v>604.59</v>
      </c>
    </row>
    <row r="392" spans="1:14" ht="15" customHeight="1" x14ac:dyDescent="0.25">
      <c r="A392" s="2" t="s">
        <v>552</v>
      </c>
      <c r="B392" s="17">
        <v>45884</v>
      </c>
      <c r="C392" s="2" t="s">
        <v>20</v>
      </c>
      <c r="D392" s="2" t="s">
        <v>25</v>
      </c>
      <c r="E392" s="2" t="s">
        <v>149</v>
      </c>
      <c r="F392" s="2" t="s">
        <v>156</v>
      </c>
      <c r="G392" s="2" t="s">
        <v>192</v>
      </c>
      <c r="H392" s="2" t="s">
        <v>152</v>
      </c>
      <c r="I392" s="2" t="s">
        <v>153</v>
      </c>
      <c r="J392" s="17">
        <v>45885</v>
      </c>
      <c r="K392" s="17">
        <v>45896</v>
      </c>
      <c r="L392" s="17"/>
      <c r="M392" s="17">
        <v>45906</v>
      </c>
      <c r="N392" s="18">
        <v>787.69</v>
      </c>
    </row>
    <row r="393" spans="1:14" ht="15" customHeight="1" x14ac:dyDescent="0.25">
      <c r="A393" s="2" t="s">
        <v>553</v>
      </c>
      <c r="B393" s="17">
        <v>45909</v>
      </c>
      <c r="C393" s="2" t="s">
        <v>19</v>
      </c>
      <c r="D393" s="2" t="s">
        <v>25</v>
      </c>
      <c r="E393" s="2" t="s">
        <v>186</v>
      </c>
      <c r="F393" s="2" t="s">
        <v>156</v>
      </c>
      <c r="G393" s="2" t="s">
        <v>210</v>
      </c>
      <c r="H393" s="2" t="s">
        <v>2</v>
      </c>
      <c r="I393" s="2" t="s">
        <v>153</v>
      </c>
      <c r="J393" s="17">
        <v>45910</v>
      </c>
      <c r="K393" s="17">
        <v>45913</v>
      </c>
      <c r="L393" s="17">
        <v>45921</v>
      </c>
      <c r="M393" s="17"/>
      <c r="N393" s="18">
        <v>880.85</v>
      </c>
    </row>
    <row r="394" spans="1:14" ht="15" customHeight="1" x14ac:dyDescent="0.25">
      <c r="A394" s="2" t="s">
        <v>554</v>
      </c>
      <c r="B394" s="17">
        <v>45753</v>
      </c>
      <c r="C394" s="2" t="s">
        <v>22</v>
      </c>
      <c r="D394" s="2" t="s">
        <v>25</v>
      </c>
      <c r="E394" s="2" t="s">
        <v>149</v>
      </c>
      <c r="F394" s="2" t="s">
        <v>156</v>
      </c>
      <c r="G394" s="2" t="s">
        <v>165</v>
      </c>
      <c r="H394" s="2" t="s">
        <v>2</v>
      </c>
      <c r="I394" s="2" t="s">
        <v>153</v>
      </c>
      <c r="J394" s="17">
        <v>45759</v>
      </c>
      <c r="K394" s="17">
        <v>45772</v>
      </c>
      <c r="L394" s="17">
        <v>45787</v>
      </c>
      <c r="M394" s="17"/>
      <c r="N394" s="18">
        <v>765.99</v>
      </c>
    </row>
    <row r="395" spans="1:14" ht="15" customHeight="1" x14ac:dyDescent="0.25">
      <c r="A395" s="2" t="s">
        <v>555</v>
      </c>
      <c r="B395" s="17">
        <v>45950</v>
      </c>
      <c r="C395" s="2" t="s">
        <v>21</v>
      </c>
      <c r="D395" s="2" t="s">
        <v>24</v>
      </c>
      <c r="E395" s="2" t="s">
        <v>155</v>
      </c>
      <c r="F395" s="2" t="s">
        <v>161</v>
      </c>
      <c r="G395" s="2" t="s">
        <v>162</v>
      </c>
      <c r="H395" s="2" t="s">
        <v>152</v>
      </c>
      <c r="I395" s="2" t="s">
        <v>153</v>
      </c>
      <c r="J395" s="17">
        <v>45957</v>
      </c>
      <c r="K395" s="17"/>
      <c r="L395" s="17"/>
      <c r="M395" s="17">
        <v>45962</v>
      </c>
      <c r="N395" s="18">
        <v>2120.7800000000002</v>
      </c>
    </row>
    <row r="396" spans="1:14" ht="15" customHeight="1" x14ac:dyDescent="0.25">
      <c r="A396" s="2" t="s">
        <v>556</v>
      </c>
      <c r="B396" s="17">
        <v>45693</v>
      </c>
      <c r="C396" s="2" t="s">
        <v>20</v>
      </c>
      <c r="D396" s="2" t="s">
        <v>27</v>
      </c>
      <c r="E396" s="2" t="s">
        <v>160</v>
      </c>
      <c r="F396" s="2" t="s">
        <v>150</v>
      </c>
      <c r="G396" s="2" t="s">
        <v>189</v>
      </c>
      <c r="H396" s="2" t="s">
        <v>152</v>
      </c>
      <c r="I396" s="2" t="s">
        <v>153</v>
      </c>
      <c r="J396" s="17">
        <v>45694</v>
      </c>
      <c r="K396" s="17">
        <v>45708</v>
      </c>
      <c r="L396" s="17"/>
      <c r="M396" s="17">
        <v>45717</v>
      </c>
      <c r="N396" s="18">
        <v>9945.07</v>
      </c>
    </row>
    <row r="397" spans="1:14" ht="15" customHeight="1" x14ac:dyDescent="0.25">
      <c r="A397" s="2" t="s">
        <v>557</v>
      </c>
      <c r="B397" s="17">
        <v>45870</v>
      </c>
      <c r="C397" s="2" t="s">
        <v>20</v>
      </c>
      <c r="D397" s="2" t="s">
        <v>25</v>
      </c>
      <c r="E397" s="2" t="s">
        <v>155</v>
      </c>
      <c r="F397" s="2" t="s">
        <v>150</v>
      </c>
      <c r="G397" s="2" t="s">
        <v>192</v>
      </c>
      <c r="H397" s="2" t="s">
        <v>152</v>
      </c>
      <c r="I397" s="2" t="s">
        <v>163</v>
      </c>
      <c r="J397" s="17"/>
      <c r="K397" s="17"/>
      <c r="L397" s="17"/>
      <c r="M397" s="17">
        <v>45874</v>
      </c>
      <c r="N397" s="18">
        <v>6988.75</v>
      </c>
    </row>
    <row r="398" spans="1:14" ht="15" customHeight="1" x14ac:dyDescent="0.25">
      <c r="A398" s="2" t="s">
        <v>558</v>
      </c>
      <c r="B398" s="17">
        <v>45842</v>
      </c>
      <c r="C398" s="2" t="s">
        <v>22</v>
      </c>
      <c r="D398" s="2" t="s">
        <v>25</v>
      </c>
      <c r="E398" s="2" t="s">
        <v>186</v>
      </c>
      <c r="F398" s="2" t="s">
        <v>156</v>
      </c>
      <c r="G398" s="2" t="s">
        <v>165</v>
      </c>
      <c r="H398" s="2" t="s">
        <v>152</v>
      </c>
      <c r="I398" s="2" t="s">
        <v>153</v>
      </c>
      <c r="J398" s="17">
        <v>45846</v>
      </c>
      <c r="K398" s="17">
        <v>45848</v>
      </c>
      <c r="L398" s="17"/>
      <c r="M398" s="17">
        <v>45868</v>
      </c>
      <c r="N398" s="18">
        <v>722.41</v>
      </c>
    </row>
    <row r="399" spans="1:14" ht="15" customHeight="1" x14ac:dyDescent="0.25">
      <c r="A399" s="2" t="s">
        <v>559</v>
      </c>
      <c r="B399" s="17">
        <v>45769</v>
      </c>
      <c r="C399" s="2" t="s">
        <v>20</v>
      </c>
      <c r="D399" s="2" t="s">
        <v>28</v>
      </c>
      <c r="E399" s="2" t="s">
        <v>186</v>
      </c>
      <c r="F399" s="2" t="s">
        <v>161</v>
      </c>
      <c r="G399" s="2" t="s">
        <v>192</v>
      </c>
      <c r="H399" s="2" t="s">
        <v>152</v>
      </c>
      <c r="I399" s="2" t="s">
        <v>153</v>
      </c>
      <c r="J399" s="17">
        <v>45774</v>
      </c>
      <c r="K399" s="17">
        <v>45780</v>
      </c>
      <c r="L399" s="17"/>
      <c r="M399" s="17">
        <v>45798</v>
      </c>
      <c r="N399" s="18">
        <v>2663.78</v>
      </c>
    </row>
    <row r="400" spans="1:14" ht="15" customHeight="1" x14ac:dyDescent="0.25">
      <c r="A400" s="2" t="s">
        <v>560</v>
      </c>
      <c r="B400" s="17">
        <v>45769</v>
      </c>
      <c r="C400" s="2" t="s">
        <v>20</v>
      </c>
      <c r="D400" s="2" t="s">
        <v>28</v>
      </c>
      <c r="E400" s="2" t="s">
        <v>149</v>
      </c>
      <c r="F400" s="2" t="s">
        <v>156</v>
      </c>
      <c r="G400" s="2" t="s">
        <v>192</v>
      </c>
      <c r="H400" s="2" t="s">
        <v>152</v>
      </c>
      <c r="I400" s="2" t="s">
        <v>153</v>
      </c>
      <c r="J400" s="17">
        <v>45776</v>
      </c>
      <c r="K400" s="17"/>
      <c r="L400" s="17"/>
      <c r="M400" s="17">
        <v>45796</v>
      </c>
      <c r="N400" s="18">
        <v>1065.81</v>
      </c>
    </row>
    <row r="401" spans="1:14" ht="15" customHeight="1" x14ac:dyDescent="0.25">
      <c r="A401" s="2" t="s">
        <v>561</v>
      </c>
      <c r="B401" s="17">
        <v>45790</v>
      </c>
      <c r="C401" s="2" t="s">
        <v>22</v>
      </c>
      <c r="D401" s="2" t="s">
        <v>26</v>
      </c>
      <c r="E401" s="2" t="s">
        <v>149</v>
      </c>
      <c r="F401" s="2" t="s">
        <v>161</v>
      </c>
      <c r="G401" s="2" t="s">
        <v>170</v>
      </c>
      <c r="H401" s="2" t="s">
        <v>152</v>
      </c>
      <c r="I401" s="2" t="s">
        <v>153</v>
      </c>
      <c r="J401" s="17">
        <v>45799</v>
      </c>
      <c r="K401" s="17">
        <v>45809</v>
      </c>
      <c r="L401" s="17"/>
      <c r="M401" s="17">
        <v>45820</v>
      </c>
      <c r="N401" s="18">
        <v>2702.17</v>
      </c>
    </row>
    <row r="402" spans="1:14" ht="15" customHeight="1" x14ac:dyDescent="0.25">
      <c r="A402" s="2" t="s">
        <v>562</v>
      </c>
      <c r="B402" s="17">
        <v>45825</v>
      </c>
      <c r="C402" s="2" t="s">
        <v>22</v>
      </c>
      <c r="D402" s="2" t="s">
        <v>26</v>
      </c>
      <c r="E402" s="2" t="s">
        <v>186</v>
      </c>
      <c r="F402" s="2" t="s">
        <v>161</v>
      </c>
      <c r="G402" s="2" t="s">
        <v>170</v>
      </c>
      <c r="H402" s="2" t="s">
        <v>152</v>
      </c>
      <c r="I402" s="2" t="s">
        <v>153</v>
      </c>
      <c r="J402" s="17">
        <v>45831</v>
      </c>
      <c r="K402" s="17">
        <v>45842</v>
      </c>
      <c r="L402" s="17"/>
      <c r="M402" s="17">
        <v>45858</v>
      </c>
      <c r="N402" s="18">
        <v>2165.98</v>
      </c>
    </row>
    <row r="403" spans="1:14" ht="15" customHeight="1" x14ac:dyDescent="0.25">
      <c r="A403" s="2" t="s">
        <v>563</v>
      </c>
      <c r="B403" s="17">
        <v>45975</v>
      </c>
      <c r="C403" s="2" t="s">
        <v>22</v>
      </c>
      <c r="D403" s="2" t="s">
        <v>25</v>
      </c>
      <c r="E403" s="2" t="s">
        <v>155</v>
      </c>
      <c r="F403" s="2" t="s">
        <v>156</v>
      </c>
      <c r="G403" s="2" t="s">
        <v>165</v>
      </c>
      <c r="H403" s="2" t="s">
        <v>152</v>
      </c>
      <c r="I403" s="2" t="s">
        <v>153</v>
      </c>
      <c r="J403" s="17">
        <v>45979</v>
      </c>
      <c r="K403" s="17">
        <v>45989</v>
      </c>
      <c r="L403" s="17"/>
      <c r="M403" s="17">
        <v>46020</v>
      </c>
      <c r="N403" s="18">
        <v>544.1</v>
      </c>
    </row>
    <row r="404" spans="1:14" ht="15" customHeight="1" x14ac:dyDescent="0.25">
      <c r="A404" s="2" t="s">
        <v>564</v>
      </c>
      <c r="B404" s="17">
        <v>45902</v>
      </c>
      <c r="C404" s="2" t="s">
        <v>22</v>
      </c>
      <c r="D404" s="2" t="s">
        <v>28</v>
      </c>
      <c r="E404" s="2" t="s">
        <v>155</v>
      </c>
      <c r="F404" s="2" t="s">
        <v>161</v>
      </c>
      <c r="G404" s="2" t="s">
        <v>165</v>
      </c>
      <c r="H404" s="2" t="s">
        <v>152</v>
      </c>
      <c r="I404" s="2" t="s">
        <v>153</v>
      </c>
      <c r="J404" s="17">
        <v>45910</v>
      </c>
      <c r="K404" s="17">
        <v>45923</v>
      </c>
      <c r="L404" s="17"/>
      <c r="M404" s="17">
        <v>45954</v>
      </c>
      <c r="N404" s="18">
        <v>1651.32</v>
      </c>
    </row>
    <row r="405" spans="1:14" ht="15" customHeight="1" x14ac:dyDescent="0.25">
      <c r="A405" s="2" t="s">
        <v>565</v>
      </c>
      <c r="B405" s="17">
        <v>45740</v>
      </c>
      <c r="C405" s="2" t="s">
        <v>18</v>
      </c>
      <c r="D405" s="2" t="s">
        <v>27</v>
      </c>
      <c r="E405" s="2" t="s">
        <v>155</v>
      </c>
      <c r="F405" s="2" t="s">
        <v>156</v>
      </c>
      <c r="G405" s="2" t="s">
        <v>201</v>
      </c>
      <c r="H405" s="2" t="s">
        <v>2</v>
      </c>
      <c r="I405" s="2" t="s">
        <v>153</v>
      </c>
      <c r="J405" s="17">
        <v>45746</v>
      </c>
      <c r="K405" s="17">
        <v>45748</v>
      </c>
      <c r="L405" s="17">
        <v>45769</v>
      </c>
      <c r="M405" s="17"/>
      <c r="N405" s="18">
        <v>615.38</v>
      </c>
    </row>
    <row r="406" spans="1:14" ht="15" customHeight="1" x14ac:dyDescent="0.25">
      <c r="A406" s="2" t="s">
        <v>566</v>
      </c>
      <c r="B406" s="17">
        <v>45728</v>
      </c>
      <c r="C406" s="2" t="s">
        <v>20</v>
      </c>
      <c r="D406" s="2" t="s">
        <v>25</v>
      </c>
      <c r="E406" s="2" t="s">
        <v>149</v>
      </c>
      <c r="F406" s="2" t="s">
        <v>161</v>
      </c>
      <c r="G406" s="2" t="s">
        <v>192</v>
      </c>
      <c r="H406" s="2" t="s">
        <v>152</v>
      </c>
      <c r="I406" s="2" t="s">
        <v>163</v>
      </c>
      <c r="J406" s="17"/>
      <c r="K406" s="17"/>
      <c r="L406" s="17"/>
      <c r="M406" s="17">
        <v>45744</v>
      </c>
      <c r="N406" s="18">
        <v>1950.09</v>
      </c>
    </row>
    <row r="407" spans="1:14" ht="15" customHeight="1" x14ac:dyDescent="0.25">
      <c r="A407" s="2" t="s">
        <v>567</v>
      </c>
      <c r="B407" s="17">
        <v>46021</v>
      </c>
      <c r="C407" s="2" t="s">
        <v>19</v>
      </c>
      <c r="D407" s="2" t="s">
        <v>28</v>
      </c>
      <c r="E407" s="2" t="s">
        <v>155</v>
      </c>
      <c r="F407" s="2" t="s">
        <v>161</v>
      </c>
      <c r="G407" s="2" t="s">
        <v>207</v>
      </c>
      <c r="H407" s="2" t="s">
        <v>190</v>
      </c>
      <c r="I407" s="2" t="s">
        <v>163</v>
      </c>
      <c r="J407" s="17"/>
      <c r="K407" s="17"/>
      <c r="L407" s="17"/>
      <c r="M407" s="17"/>
      <c r="N407" s="18">
        <v>2082.79</v>
      </c>
    </row>
    <row r="408" spans="1:14" ht="15" customHeight="1" x14ac:dyDescent="0.25">
      <c r="A408" s="2" t="s">
        <v>568</v>
      </c>
      <c r="B408" s="17">
        <v>45759</v>
      </c>
      <c r="C408" s="2" t="s">
        <v>20</v>
      </c>
      <c r="D408" s="2" t="s">
        <v>25</v>
      </c>
      <c r="E408" s="2" t="s">
        <v>160</v>
      </c>
      <c r="F408" s="2" t="s">
        <v>161</v>
      </c>
      <c r="G408" s="2" t="s">
        <v>192</v>
      </c>
      <c r="H408" s="2" t="s">
        <v>152</v>
      </c>
      <c r="I408" s="2" t="s">
        <v>153</v>
      </c>
      <c r="J408" s="17">
        <v>45761</v>
      </c>
      <c r="K408" s="17">
        <v>45768</v>
      </c>
      <c r="L408" s="17"/>
      <c r="M408" s="17">
        <v>45790</v>
      </c>
      <c r="N408" s="18">
        <v>2489.84</v>
      </c>
    </row>
    <row r="409" spans="1:14" ht="15" customHeight="1" x14ac:dyDescent="0.25">
      <c r="A409" s="2" t="s">
        <v>569</v>
      </c>
      <c r="B409" s="17">
        <v>45928</v>
      </c>
      <c r="C409" s="2" t="s">
        <v>22</v>
      </c>
      <c r="D409" s="2" t="s">
        <v>26</v>
      </c>
      <c r="E409" s="2" t="s">
        <v>149</v>
      </c>
      <c r="F409" s="2" t="s">
        <v>156</v>
      </c>
      <c r="G409" s="2" t="s">
        <v>151</v>
      </c>
      <c r="H409" s="2" t="s">
        <v>152</v>
      </c>
      <c r="I409" s="2" t="s">
        <v>163</v>
      </c>
      <c r="J409" s="17"/>
      <c r="K409" s="17"/>
      <c r="L409" s="17"/>
      <c r="M409" s="17">
        <v>45944</v>
      </c>
      <c r="N409" s="18">
        <v>753.51</v>
      </c>
    </row>
    <row r="410" spans="1:14" ht="15" customHeight="1" x14ac:dyDescent="0.25">
      <c r="A410" s="2" t="s">
        <v>570</v>
      </c>
      <c r="B410" s="17">
        <v>45681</v>
      </c>
      <c r="C410" s="2" t="s">
        <v>21</v>
      </c>
      <c r="D410" s="2" t="s">
        <v>24</v>
      </c>
      <c r="E410" s="2" t="s">
        <v>149</v>
      </c>
      <c r="F410" s="2" t="s">
        <v>150</v>
      </c>
      <c r="G410" s="2" t="s">
        <v>183</v>
      </c>
      <c r="H410" s="2" t="s">
        <v>152</v>
      </c>
      <c r="I410" s="2" t="s">
        <v>163</v>
      </c>
      <c r="J410" s="17"/>
      <c r="K410" s="17"/>
      <c r="L410" s="17"/>
      <c r="M410" s="17">
        <v>45695</v>
      </c>
      <c r="N410" s="18">
        <v>6328.36</v>
      </c>
    </row>
    <row r="411" spans="1:14" ht="15" customHeight="1" x14ac:dyDescent="0.25">
      <c r="A411" s="2" t="s">
        <v>571</v>
      </c>
      <c r="B411" s="17">
        <v>46005</v>
      </c>
      <c r="C411" s="2" t="s">
        <v>20</v>
      </c>
      <c r="D411" s="2" t="s">
        <v>24</v>
      </c>
      <c r="E411" s="2" t="s">
        <v>149</v>
      </c>
      <c r="F411" s="2" t="s">
        <v>161</v>
      </c>
      <c r="G411" s="2" t="s">
        <v>167</v>
      </c>
      <c r="H411" s="2" t="s">
        <v>158</v>
      </c>
      <c r="I411" s="2" t="s">
        <v>153</v>
      </c>
      <c r="J411" s="17">
        <v>46008</v>
      </c>
      <c r="K411" s="17">
        <v>46010</v>
      </c>
      <c r="L411" s="17"/>
      <c r="M411" s="17"/>
      <c r="N411" s="18">
        <v>2285.0500000000002</v>
      </c>
    </row>
    <row r="412" spans="1:14" ht="15" customHeight="1" x14ac:dyDescent="0.25">
      <c r="A412" s="2" t="s">
        <v>572</v>
      </c>
      <c r="B412" s="17">
        <v>45927</v>
      </c>
      <c r="C412" s="2" t="s">
        <v>20</v>
      </c>
      <c r="D412" s="2" t="s">
        <v>26</v>
      </c>
      <c r="E412" s="2" t="s">
        <v>155</v>
      </c>
      <c r="F412" s="2" t="s">
        <v>161</v>
      </c>
      <c r="G412" s="2" t="s">
        <v>192</v>
      </c>
      <c r="H412" s="2" t="s">
        <v>152</v>
      </c>
      <c r="I412" s="2" t="s">
        <v>163</v>
      </c>
      <c r="J412" s="17"/>
      <c r="K412" s="17"/>
      <c r="L412" s="17"/>
      <c r="M412" s="17">
        <v>45938</v>
      </c>
      <c r="N412" s="18">
        <v>1639.08</v>
      </c>
    </row>
    <row r="413" spans="1:14" ht="15" customHeight="1" x14ac:dyDescent="0.25">
      <c r="A413" s="2" t="s">
        <v>573</v>
      </c>
      <c r="B413" s="17">
        <v>45861</v>
      </c>
      <c r="C413" s="2" t="s">
        <v>20</v>
      </c>
      <c r="D413" s="2" t="s">
        <v>27</v>
      </c>
      <c r="E413" s="2" t="s">
        <v>149</v>
      </c>
      <c r="F413" s="2" t="s">
        <v>161</v>
      </c>
      <c r="G413" s="2" t="s">
        <v>189</v>
      </c>
      <c r="H413" s="2" t="s">
        <v>152</v>
      </c>
      <c r="I413" s="2" t="s">
        <v>153</v>
      </c>
      <c r="J413" s="17">
        <v>45862</v>
      </c>
      <c r="K413" s="17">
        <v>45867</v>
      </c>
      <c r="L413" s="17"/>
      <c r="M413" s="17">
        <v>45872</v>
      </c>
      <c r="N413" s="18">
        <v>2161.44</v>
      </c>
    </row>
    <row r="414" spans="1:14" ht="15" customHeight="1" x14ac:dyDescent="0.25">
      <c r="A414" s="2" t="s">
        <v>574</v>
      </c>
      <c r="B414" s="17">
        <v>45733</v>
      </c>
      <c r="C414" s="2" t="s">
        <v>21</v>
      </c>
      <c r="D414" s="2" t="s">
        <v>24</v>
      </c>
      <c r="E414" s="2" t="s">
        <v>149</v>
      </c>
      <c r="F414" s="2" t="s">
        <v>156</v>
      </c>
      <c r="G414" s="2" t="s">
        <v>162</v>
      </c>
      <c r="H414" s="2" t="s">
        <v>2</v>
      </c>
      <c r="I414" s="2" t="s">
        <v>153</v>
      </c>
      <c r="J414" s="17">
        <v>45736</v>
      </c>
      <c r="K414" s="17">
        <v>45745</v>
      </c>
      <c r="L414" s="17">
        <v>45766</v>
      </c>
      <c r="M414" s="17"/>
      <c r="N414" s="18">
        <v>748.72</v>
      </c>
    </row>
    <row r="415" spans="1:14" ht="15" customHeight="1" x14ac:dyDescent="0.25">
      <c r="A415" s="2" t="s">
        <v>575</v>
      </c>
      <c r="B415" s="17">
        <v>45661</v>
      </c>
      <c r="C415" s="2" t="s">
        <v>19</v>
      </c>
      <c r="D415" s="2" t="s">
        <v>25</v>
      </c>
      <c r="E415" s="2" t="s">
        <v>149</v>
      </c>
      <c r="F415" s="2" t="s">
        <v>161</v>
      </c>
      <c r="G415" s="2" t="s">
        <v>210</v>
      </c>
      <c r="H415" s="2" t="s">
        <v>152</v>
      </c>
      <c r="I415" s="2" t="s">
        <v>153</v>
      </c>
      <c r="J415" s="17">
        <v>45668</v>
      </c>
      <c r="K415" s="17">
        <v>45679</v>
      </c>
      <c r="L415" s="17"/>
      <c r="M415" s="17">
        <v>45703</v>
      </c>
      <c r="N415" s="18">
        <v>2017.09</v>
      </c>
    </row>
    <row r="416" spans="1:14" ht="15" customHeight="1" x14ac:dyDescent="0.25">
      <c r="A416" s="2" t="s">
        <v>576</v>
      </c>
      <c r="B416" s="17">
        <v>45865</v>
      </c>
      <c r="C416" s="2" t="s">
        <v>19</v>
      </c>
      <c r="D416" s="2" t="s">
        <v>24</v>
      </c>
      <c r="E416" s="2" t="s">
        <v>160</v>
      </c>
      <c r="F416" s="2" t="s">
        <v>161</v>
      </c>
      <c r="G416" s="2" t="s">
        <v>207</v>
      </c>
      <c r="H416" s="2" t="s">
        <v>152</v>
      </c>
      <c r="I416" s="2" t="s">
        <v>153</v>
      </c>
      <c r="J416" s="17">
        <v>45870</v>
      </c>
      <c r="K416" s="17">
        <v>45873</v>
      </c>
      <c r="L416" s="17"/>
      <c r="M416" s="17">
        <v>45899</v>
      </c>
      <c r="N416" s="18">
        <v>2528.12</v>
      </c>
    </row>
    <row r="417" spans="1:14" ht="15" customHeight="1" x14ac:dyDescent="0.25">
      <c r="A417" s="2" t="s">
        <v>577</v>
      </c>
      <c r="B417" s="17">
        <v>46006</v>
      </c>
      <c r="C417" s="2" t="s">
        <v>20</v>
      </c>
      <c r="D417" s="2" t="s">
        <v>24</v>
      </c>
      <c r="E417" s="2" t="s">
        <v>155</v>
      </c>
      <c r="F417" s="2" t="s">
        <v>150</v>
      </c>
      <c r="G417" s="2" t="s">
        <v>167</v>
      </c>
      <c r="H417" s="2" t="s">
        <v>190</v>
      </c>
      <c r="I417" s="2" t="s">
        <v>163</v>
      </c>
      <c r="J417" s="17"/>
      <c r="K417" s="17"/>
      <c r="L417" s="17"/>
      <c r="M417" s="17"/>
      <c r="N417" s="18">
        <v>5194.21</v>
      </c>
    </row>
    <row r="418" spans="1:14" ht="15" customHeight="1" x14ac:dyDescent="0.25">
      <c r="A418" s="2" t="s">
        <v>578</v>
      </c>
      <c r="B418" s="17">
        <v>45844</v>
      </c>
      <c r="C418" s="2" t="s">
        <v>20</v>
      </c>
      <c r="D418" s="2" t="s">
        <v>26</v>
      </c>
      <c r="E418" s="2" t="s">
        <v>186</v>
      </c>
      <c r="F418" s="2" t="s">
        <v>156</v>
      </c>
      <c r="G418" s="2" t="s">
        <v>192</v>
      </c>
      <c r="H418" s="2" t="s">
        <v>152</v>
      </c>
      <c r="I418" s="2" t="s">
        <v>153</v>
      </c>
      <c r="J418" s="17">
        <v>45848</v>
      </c>
      <c r="K418" s="17"/>
      <c r="L418" s="17"/>
      <c r="M418" s="17">
        <v>45857</v>
      </c>
      <c r="N418" s="18">
        <v>468.9</v>
      </c>
    </row>
    <row r="419" spans="1:14" ht="15" customHeight="1" x14ac:dyDescent="0.25">
      <c r="A419" s="2" t="s">
        <v>579</v>
      </c>
      <c r="B419" s="17">
        <v>45820</v>
      </c>
      <c r="C419" s="2" t="s">
        <v>19</v>
      </c>
      <c r="D419" s="2" t="s">
        <v>24</v>
      </c>
      <c r="E419" s="2" t="s">
        <v>149</v>
      </c>
      <c r="F419" s="2" t="s">
        <v>156</v>
      </c>
      <c r="G419" s="2" t="s">
        <v>179</v>
      </c>
      <c r="H419" s="2" t="s">
        <v>152</v>
      </c>
      <c r="I419" s="2" t="s">
        <v>153</v>
      </c>
      <c r="J419" s="17">
        <v>45830</v>
      </c>
      <c r="K419" s="17">
        <v>45843</v>
      </c>
      <c r="L419" s="17"/>
      <c r="M419" s="17">
        <v>45851</v>
      </c>
      <c r="N419" s="18">
        <v>626.88</v>
      </c>
    </row>
    <row r="420" spans="1:14" ht="15" customHeight="1" x14ac:dyDescent="0.25">
      <c r="A420" s="2" t="s">
        <v>580</v>
      </c>
      <c r="B420" s="17">
        <v>45879</v>
      </c>
      <c r="C420" s="2" t="s">
        <v>20</v>
      </c>
      <c r="D420" s="2" t="s">
        <v>25</v>
      </c>
      <c r="E420" s="2" t="s">
        <v>149</v>
      </c>
      <c r="F420" s="2" t="s">
        <v>156</v>
      </c>
      <c r="G420" s="2" t="s">
        <v>192</v>
      </c>
      <c r="H420" s="2" t="s">
        <v>152</v>
      </c>
      <c r="I420" s="2" t="s">
        <v>153</v>
      </c>
      <c r="J420" s="17">
        <v>45887</v>
      </c>
      <c r="K420" s="17">
        <v>45892</v>
      </c>
      <c r="L420" s="17"/>
      <c r="M420" s="17">
        <v>45918</v>
      </c>
      <c r="N420" s="18">
        <v>1032.8499999999999</v>
      </c>
    </row>
    <row r="421" spans="1:14" ht="15" customHeight="1" x14ac:dyDescent="0.25">
      <c r="A421" s="2" t="s">
        <v>581</v>
      </c>
      <c r="B421" s="17">
        <v>45686</v>
      </c>
      <c r="C421" s="2" t="s">
        <v>19</v>
      </c>
      <c r="D421" s="2" t="s">
        <v>26</v>
      </c>
      <c r="E421" s="2" t="s">
        <v>149</v>
      </c>
      <c r="F421" s="2" t="s">
        <v>161</v>
      </c>
      <c r="G421" s="2" t="s">
        <v>179</v>
      </c>
      <c r="H421" s="2" t="s">
        <v>152</v>
      </c>
      <c r="I421" s="2" t="s">
        <v>153</v>
      </c>
      <c r="J421" s="17">
        <v>45689</v>
      </c>
      <c r="K421" s="17">
        <v>45703</v>
      </c>
      <c r="L421" s="17"/>
      <c r="M421" s="17">
        <v>45713</v>
      </c>
      <c r="N421" s="18">
        <v>2228.67</v>
      </c>
    </row>
    <row r="422" spans="1:14" ht="15" customHeight="1" x14ac:dyDescent="0.25">
      <c r="A422" s="2" t="s">
        <v>582</v>
      </c>
      <c r="B422" s="17">
        <v>45971</v>
      </c>
      <c r="C422" s="2" t="s">
        <v>20</v>
      </c>
      <c r="D422" s="2" t="s">
        <v>26</v>
      </c>
      <c r="E422" s="2" t="s">
        <v>186</v>
      </c>
      <c r="F422" s="2" t="s">
        <v>161</v>
      </c>
      <c r="G422" s="2" t="s">
        <v>167</v>
      </c>
      <c r="H422" s="2" t="s">
        <v>152</v>
      </c>
      <c r="I422" s="2" t="s">
        <v>153</v>
      </c>
      <c r="J422" s="17">
        <v>45973</v>
      </c>
      <c r="K422" s="17">
        <v>45986</v>
      </c>
      <c r="L422" s="17"/>
      <c r="M422" s="17">
        <v>46018</v>
      </c>
      <c r="N422" s="18">
        <v>2557.64</v>
      </c>
    </row>
    <row r="423" spans="1:14" ht="15" customHeight="1" x14ac:dyDescent="0.25">
      <c r="A423" s="2" t="s">
        <v>583</v>
      </c>
      <c r="B423" s="17">
        <v>45860</v>
      </c>
      <c r="C423" s="2" t="s">
        <v>20</v>
      </c>
      <c r="D423" s="2" t="s">
        <v>25</v>
      </c>
      <c r="E423" s="2" t="s">
        <v>149</v>
      </c>
      <c r="F423" s="2" t="s">
        <v>156</v>
      </c>
      <c r="G423" s="2" t="s">
        <v>167</v>
      </c>
      <c r="H423" s="2" t="s">
        <v>152</v>
      </c>
      <c r="I423" s="2" t="s">
        <v>153</v>
      </c>
      <c r="J423" s="17">
        <v>45865</v>
      </c>
      <c r="K423" s="17">
        <v>45866</v>
      </c>
      <c r="L423" s="17"/>
      <c r="M423" s="17">
        <v>45887</v>
      </c>
      <c r="N423" s="18">
        <v>656</v>
      </c>
    </row>
    <row r="424" spans="1:14" ht="15" customHeight="1" x14ac:dyDescent="0.25">
      <c r="A424" s="2" t="s">
        <v>584</v>
      </c>
      <c r="B424" s="17">
        <v>45687</v>
      </c>
      <c r="C424" s="2" t="s">
        <v>22</v>
      </c>
      <c r="D424" s="2" t="s">
        <v>27</v>
      </c>
      <c r="E424" s="2" t="s">
        <v>186</v>
      </c>
      <c r="F424" s="2" t="s">
        <v>156</v>
      </c>
      <c r="G424" s="2" t="s">
        <v>165</v>
      </c>
      <c r="H424" s="2" t="s">
        <v>2</v>
      </c>
      <c r="I424" s="2" t="s">
        <v>153</v>
      </c>
      <c r="J424" s="17">
        <v>45692</v>
      </c>
      <c r="K424" s="17">
        <v>45698</v>
      </c>
      <c r="L424" s="17">
        <v>45724</v>
      </c>
      <c r="M424" s="17"/>
      <c r="N424" s="18">
        <v>819.04</v>
      </c>
    </row>
    <row r="425" spans="1:14" ht="15" customHeight="1" x14ac:dyDescent="0.25">
      <c r="A425" s="2" t="s">
        <v>585</v>
      </c>
      <c r="B425" s="17">
        <v>45775</v>
      </c>
      <c r="C425" s="2" t="s">
        <v>22</v>
      </c>
      <c r="D425" s="2" t="s">
        <v>25</v>
      </c>
      <c r="E425" s="2" t="s">
        <v>149</v>
      </c>
      <c r="F425" s="2" t="s">
        <v>156</v>
      </c>
      <c r="G425" s="2" t="s">
        <v>170</v>
      </c>
      <c r="H425" s="2" t="s">
        <v>2</v>
      </c>
      <c r="I425" s="2" t="s">
        <v>153</v>
      </c>
      <c r="J425" s="17">
        <v>45780</v>
      </c>
      <c r="K425" s="17">
        <v>45789</v>
      </c>
      <c r="L425" s="17">
        <v>45806</v>
      </c>
      <c r="M425" s="17"/>
      <c r="N425" s="18">
        <v>763.39</v>
      </c>
    </row>
    <row r="426" spans="1:14" ht="15" customHeight="1" x14ac:dyDescent="0.25">
      <c r="A426" s="2" t="s">
        <v>586</v>
      </c>
      <c r="B426" s="17">
        <v>45734</v>
      </c>
      <c r="C426" s="2" t="s">
        <v>21</v>
      </c>
      <c r="D426" s="2" t="s">
        <v>26</v>
      </c>
      <c r="E426" s="2" t="s">
        <v>149</v>
      </c>
      <c r="F426" s="2" t="s">
        <v>161</v>
      </c>
      <c r="G426" s="2" t="s">
        <v>176</v>
      </c>
      <c r="H426" s="2" t="s">
        <v>2</v>
      </c>
      <c r="I426" s="2" t="s">
        <v>153</v>
      </c>
      <c r="J426" s="17">
        <v>45735</v>
      </c>
      <c r="K426" s="17">
        <v>45750</v>
      </c>
      <c r="L426" s="17">
        <v>45780</v>
      </c>
      <c r="M426" s="17"/>
      <c r="N426" s="18">
        <v>2809.94</v>
      </c>
    </row>
    <row r="427" spans="1:14" ht="15" customHeight="1" x14ac:dyDescent="0.25">
      <c r="A427" s="2" t="s">
        <v>587</v>
      </c>
      <c r="B427" s="17">
        <v>45864</v>
      </c>
      <c r="C427" s="2" t="s">
        <v>22</v>
      </c>
      <c r="D427" s="2" t="s">
        <v>26</v>
      </c>
      <c r="E427" s="2" t="s">
        <v>149</v>
      </c>
      <c r="F427" s="2" t="s">
        <v>161</v>
      </c>
      <c r="G427" s="2" t="s">
        <v>170</v>
      </c>
      <c r="H427" s="2" t="s">
        <v>152</v>
      </c>
      <c r="I427" s="2" t="s">
        <v>153</v>
      </c>
      <c r="J427" s="17">
        <v>45873</v>
      </c>
      <c r="K427" s="17">
        <v>45885</v>
      </c>
      <c r="L427" s="17"/>
      <c r="M427" s="17">
        <v>45892</v>
      </c>
      <c r="N427" s="18">
        <v>3281.37</v>
      </c>
    </row>
    <row r="428" spans="1:14" ht="15" customHeight="1" x14ac:dyDescent="0.25">
      <c r="A428" s="2" t="s">
        <v>588</v>
      </c>
      <c r="B428" s="17">
        <v>45747</v>
      </c>
      <c r="C428" s="2" t="s">
        <v>20</v>
      </c>
      <c r="D428" s="2" t="s">
        <v>24</v>
      </c>
      <c r="E428" s="2" t="s">
        <v>160</v>
      </c>
      <c r="F428" s="2" t="s">
        <v>150</v>
      </c>
      <c r="G428" s="2" t="s">
        <v>167</v>
      </c>
      <c r="H428" s="2" t="s">
        <v>152</v>
      </c>
      <c r="I428" s="2" t="s">
        <v>153</v>
      </c>
      <c r="J428" s="17">
        <v>45757</v>
      </c>
      <c r="K428" s="17">
        <v>45763</v>
      </c>
      <c r="L428" s="17"/>
      <c r="M428" s="17">
        <v>45778</v>
      </c>
      <c r="N428" s="18">
        <v>8404.68</v>
      </c>
    </row>
    <row r="429" spans="1:14" ht="15" customHeight="1" x14ac:dyDescent="0.25">
      <c r="A429" s="2" t="s">
        <v>589</v>
      </c>
      <c r="B429" s="17">
        <v>45883</v>
      </c>
      <c r="C429" s="2" t="s">
        <v>18</v>
      </c>
      <c r="D429" s="2" t="s">
        <v>24</v>
      </c>
      <c r="E429" s="2" t="s">
        <v>155</v>
      </c>
      <c r="F429" s="2" t="s">
        <v>161</v>
      </c>
      <c r="G429" s="2" t="s">
        <v>251</v>
      </c>
      <c r="H429" s="2" t="s">
        <v>152</v>
      </c>
      <c r="I429" s="2" t="s">
        <v>163</v>
      </c>
      <c r="J429" s="17"/>
      <c r="K429" s="17"/>
      <c r="L429" s="17"/>
      <c r="M429" s="17">
        <v>45888</v>
      </c>
      <c r="N429" s="18">
        <v>1640.93</v>
      </c>
    </row>
    <row r="430" spans="1:14" ht="15" customHeight="1" x14ac:dyDescent="0.25">
      <c r="A430" s="2" t="s">
        <v>590</v>
      </c>
      <c r="B430" s="17">
        <v>45808</v>
      </c>
      <c r="C430" s="2" t="s">
        <v>22</v>
      </c>
      <c r="D430" s="2" t="s">
        <v>26</v>
      </c>
      <c r="E430" s="2" t="s">
        <v>155</v>
      </c>
      <c r="F430" s="2" t="s">
        <v>161</v>
      </c>
      <c r="G430" s="2" t="s">
        <v>170</v>
      </c>
      <c r="H430" s="2" t="s">
        <v>152</v>
      </c>
      <c r="I430" s="2" t="s">
        <v>163</v>
      </c>
      <c r="J430" s="17"/>
      <c r="K430" s="17"/>
      <c r="L430" s="17"/>
      <c r="M430" s="17">
        <v>45827</v>
      </c>
      <c r="N430" s="18">
        <v>2005</v>
      </c>
    </row>
    <row r="431" spans="1:14" ht="15" customHeight="1" x14ac:dyDescent="0.25">
      <c r="A431" s="2" t="s">
        <v>591</v>
      </c>
      <c r="B431" s="17">
        <v>45955</v>
      </c>
      <c r="C431" s="2" t="s">
        <v>22</v>
      </c>
      <c r="D431" s="2" t="s">
        <v>26</v>
      </c>
      <c r="E431" s="2" t="s">
        <v>149</v>
      </c>
      <c r="F431" s="2" t="s">
        <v>161</v>
      </c>
      <c r="G431" s="2" t="s">
        <v>170</v>
      </c>
      <c r="H431" s="2" t="s">
        <v>2</v>
      </c>
      <c r="I431" s="2" t="s">
        <v>153</v>
      </c>
      <c r="J431" s="17">
        <v>45959</v>
      </c>
      <c r="K431" s="17">
        <v>45967</v>
      </c>
      <c r="L431" s="17">
        <v>45993</v>
      </c>
      <c r="M431" s="17"/>
      <c r="N431" s="18">
        <v>3061.41</v>
      </c>
    </row>
    <row r="432" spans="1:14" ht="15" customHeight="1" x14ac:dyDescent="0.25">
      <c r="A432" s="2" t="s">
        <v>592</v>
      </c>
      <c r="B432" s="17">
        <v>45833</v>
      </c>
      <c r="C432" s="2" t="s">
        <v>19</v>
      </c>
      <c r="D432" s="2" t="s">
        <v>26</v>
      </c>
      <c r="E432" s="2" t="s">
        <v>155</v>
      </c>
      <c r="F432" s="2" t="s">
        <v>156</v>
      </c>
      <c r="G432" s="2" t="s">
        <v>179</v>
      </c>
      <c r="H432" s="2" t="s">
        <v>152</v>
      </c>
      <c r="I432" s="2" t="s">
        <v>163</v>
      </c>
      <c r="J432" s="17"/>
      <c r="K432" s="17"/>
      <c r="L432" s="17"/>
      <c r="M432" s="17">
        <v>45839</v>
      </c>
      <c r="N432" s="18">
        <v>468.84</v>
      </c>
    </row>
    <row r="433" spans="1:14" ht="15" customHeight="1" x14ac:dyDescent="0.25">
      <c r="A433" s="2" t="s">
        <v>593</v>
      </c>
      <c r="B433" s="17">
        <v>45979</v>
      </c>
      <c r="C433" s="2" t="s">
        <v>21</v>
      </c>
      <c r="D433" s="2" t="s">
        <v>26</v>
      </c>
      <c r="E433" s="2" t="s">
        <v>149</v>
      </c>
      <c r="F433" s="2" t="s">
        <v>150</v>
      </c>
      <c r="G433" s="2" t="s">
        <v>162</v>
      </c>
      <c r="H433" s="2" t="s">
        <v>152</v>
      </c>
      <c r="I433" s="2" t="s">
        <v>163</v>
      </c>
      <c r="J433" s="17"/>
      <c r="K433" s="17"/>
      <c r="L433" s="17"/>
      <c r="M433" s="17">
        <v>45988</v>
      </c>
      <c r="N433" s="18">
        <v>9516.5499999999993</v>
      </c>
    </row>
    <row r="434" spans="1:14" ht="15" customHeight="1" x14ac:dyDescent="0.25">
      <c r="A434" s="2" t="s">
        <v>594</v>
      </c>
      <c r="B434" s="17">
        <v>45678</v>
      </c>
      <c r="C434" s="2" t="s">
        <v>20</v>
      </c>
      <c r="D434" s="2" t="s">
        <v>25</v>
      </c>
      <c r="E434" s="2" t="s">
        <v>155</v>
      </c>
      <c r="F434" s="2" t="s">
        <v>156</v>
      </c>
      <c r="G434" s="2" t="s">
        <v>192</v>
      </c>
      <c r="H434" s="2" t="s">
        <v>152</v>
      </c>
      <c r="I434" s="2" t="s">
        <v>153</v>
      </c>
      <c r="J434" s="17">
        <v>45683</v>
      </c>
      <c r="K434" s="17">
        <v>45691</v>
      </c>
      <c r="L434" s="17"/>
      <c r="M434" s="17">
        <v>45705</v>
      </c>
      <c r="N434" s="18">
        <v>506.68</v>
      </c>
    </row>
    <row r="435" spans="1:14" ht="15" customHeight="1" x14ac:dyDescent="0.25">
      <c r="A435" s="2" t="s">
        <v>595</v>
      </c>
      <c r="B435" s="17">
        <v>45806</v>
      </c>
      <c r="C435" s="2" t="s">
        <v>20</v>
      </c>
      <c r="D435" s="2" t="s">
        <v>27</v>
      </c>
      <c r="E435" s="2" t="s">
        <v>160</v>
      </c>
      <c r="F435" s="2" t="s">
        <v>156</v>
      </c>
      <c r="G435" s="2" t="s">
        <v>167</v>
      </c>
      <c r="H435" s="2" t="s">
        <v>152</v>
      </c>
      <c r="I435" s="2" t="s">
        <v>153</v>
      </c>
      <c r="J435" s="17">
        <v>45810</v>
      </c>
      <c r="K435" s="17">
        <v>45817</v>
      </c>
      <c r="L435" s="17"/>
      <c r="M435" s="17">
        <v>45848</v>
      </c>
      <c r="N435" s="18">
        <v>932.56</v>
      </c>
    </row>
    <row r="436" spans="1:14" ht="15" customHeight="1" x14ac:dyDescent="0.25">
      <c r="A436" s="2" t="s">
        <v>596</v>
      </c>
      <c r="B436" s="17">
        <v>45858</v>
      </c>
      <c r="C436" s="2" t="s">
        <v>22</v>
      </c>
      <c r="D436" s="2" t="s">
        <v>25</v>
      </c>
      <c r="E436" s="2" t="s">
        <v>186</v>
      </c>
      <c r="F436" s="2" t="s">
        <v>156</v>
      </c>
      <c r="G436" s="2" t="s">
        <v>170</v>
      </c>
      <c r="H436" s="2" t="s">
        <v>2</v>
      </c>
      <c r="I436" s="2" t="s">
        <v>153</v>
      </c>
      <c r="J436" s="17">
        <v>45864</v>
      </c>
      <c r="K436" s="17">
        <v>45877</v>
      </c>
      <c r="L436" s="17">
        <v>45904</v>
      </c>
      <c r="M436" s="17"/>
      <c r="N436" s="18">
        <v>834.52</v>
      </c>
    </row>
    <row r="437" spans="1:14" ht="15" customHeight="1" x14ac:dyDescent="0.25">
      <c r="A437" s="2" t="s">
        <v>597</v>
      </c>
      <c r="B437" s="17">
        <v>45808</v>
      </c>
      <c r="C437" s="2" t="s">
        <v>18</v>
      </c>
      <c r="D437" s="2" t="s">
        <v>28</v>
      </c>
      <c r="E437" s="2" t="s">
        <v>149</v>
      </c>
      <c r="F437" s="2" t="s">
        <v>156</v>
      </c>
      <c r="G437" s="2" t="s">
        <v>251</v>
      </c>
      <c r="H437" s="2" t="s">
        <v>152</v>
      </c>
      <c r="I437" s="2" t="s">
        <v>163</v>
      </c>
      <c r="J437" s="17"/>
      <c r="K437" s="17"/>
      <c r="L437" s="17"/>
      <c r="M437" s="17">
        <v>45817</v>
      </c>
      <c r="N437" s="18">
        <v>805.33</v>
      </c>
    </row>
    <row r="438" spans="1:14" ht="15" customHeight="1" x14ac:dyDescent="0.25">
      <c r="A438" s="2" t="s">
        <v>598</v>
      </c>
      <c r="B438" s="17">
        <v>45845</v>
      </c>
      <c r="C438" s="2" t="s">
        <v>22</v>
      </c>
      <c r="D438" s="2" t="s">
        <v>25</v>
      </c>
      <c r="E438" s="2" t="s">
        <v>186</v>
      </c>
      <c r="F438" s="2" t="s">
        <v>156</v>
      </c>
      <c r="G438" s="2" t="s">
        <v>170</v>
      </c>
      <c r="H438" s="2" t="s">
        <v>152</v>
      </c>
      <c r="I438" s="2" t="s">
        <v>153</v>
      </c>
      <c r="J438" s="17">
        <v>45852</v>
      </c>
      <c r="K438" s="17"/>
      <c r="L438" s="17"/>
      <c r="M438" s="17">
        <v>45871</v>
      </c>
      <c r="N438" s="18">
        <v>623.14</v>
      </c>
    </row>
    <row r="439" spans="1:14" ht="15" customHeight="1" x14ac:dyDescent="0.25">
      <c r="A439" s="2" t="s">
        <v>599</v>
      </c>
      <c r="B439" s="17">
        <v>45920</v>
      </c>
      <c r="C439" s="2" t="s">
        <v>22</v>
      </c>
      <c r="D439" s="2" t="s">
        <v>27</v>
      </c>
      <c r="E439" s="2" t="s">
        <v>186</v>
      </c>
      <c r="F439" s="2" t="s">
        <v>161</v>
      </c>
      <c r="G439" s="2" t="s">
        <v>151</v>
      </c>
      <c r="H439" s="2" t="s">
        <v>152</v>
      </c>
      <c r="I439" s="2" t="s">
        <v>153</v>
      </c>
      <c r="J439" s="17">
        <v>45928</v>
      </c>
      <c r="K439" s="17">
        <v>45931</v>
      </c>
      <c r="L439" s="17"/>
      <c r="M439" s="17">
        <v>45961</v>
      </c>
      <c r="N439" s="18">
        <v>2415.19</v>
      </c>
    </row>
    <row r="440" spans="1:14" ht="15" customHeight="1" x14ac:dyDescent="0.25">
      <c r="A440" s="2" t="s">
        <v>600</v>
      </c>
      <c r="B440" s="17">
        <v>45826</v>
      </c>
      <c r="C440" s="2" t="s">
        <v>20</v>
      </c>
      <c r="D440" s="2" t="s">
        <v>28</v>
      </c>
      <c r="E440" s="2" t="s">
        <v>149</v>
      </c>
      <c r="F440" s="2" t="s">
        <v>161</v>
      </c>
      <c r="G440" s="2" t="s">
        <v>167</v>
      </c>
      <c r="H440" s="2" t="s">
        <v>152</v>
      </c>
      <c r="I440" s="2" t="s">
        <v>153</v>
      </c>
      <c r="J440" s="17">
        <v>45827</v>
      </c>
      <c r="K440" s="17">
        <v>45830</v>
      </c>
      <c r="L440" s="17"/>
      <c r="M440" s="17">
        <v>45858</v>
      </c>
      <c r="N440" s="18">
        <v>2644.04</v>
      </c>
    </row>
    <row r="441" spans="1:14" ht="15" customHeight="1" x14ac:dyDescent="0.25">
      <c r="A441" s="2" t="s">
        <v>601</v>
      </c>
      <c r="B441" s="17">
        <v>45771</v>
      </c>
      <c r="C441" s="2" t="s">
        <v>20</v>
      </c>
      <c r="D441" s="2" t="s">
        <v>26</v>
      </c>
      <c r="E441" s="2" t="s">
        <v>149</v>
      </c>
      <c r="F441" s="2" t="s">
        <v>156</v>
      </c>
      <c r="G441" s="2" t="s">
        <v>167</v>
      </c>
      <c r="H441" s="2" t="s">
        <v>152</v>
      </c>
      <c r="I441" s="2" t="s">
        <v>153</v>
      </c>
      <c r="J441" s="17">
        <v>45772</v>
      </c>
      <c r="K441" s="17">
        <v>45776</v>
      </c>
      <c r="L441" s="17"/>
      <c r="M441" s="17">
        <v>45784</v>
      </c>
      <c r="N441" s="18">
        <v>816.32</v>
      </c>
    </row>
    <row r="442" spans="1:14" ht="15" customHeight="1" x14ac:dyDescent="0.25">
      <c r="A442" s="2" t="s">
        <v>602</v>
      </c>
      <c r="B442" s="17">
        <v>45736</v>
      </c>
      <c r="C442" s="2" t="s">
        <v>21</v>
      </c>
      <c r="D442" s="2" t="s">
        <v>25</v>
      </c>
      <c r="E442" s="2" t="s">
        <v>149</v>
      </c>
      <c r="F442" s="2" t="s">
        <v>161</v>
      </c>
      <c r="G442" s="2" t="s">
        <v>183</v>
      </c>
      <c r="H442" s="2" t="s">
        <v>152</v>
      </c>
      <c r="I442" s="2" t="s">
        <v>163</v>
      </c>
      <c r="J442" s="17"/>
      <c r="K442" s="17"/>
      <c r="L442" s="17"/>
      <c r="M442" s="17">
        <v>45753</v>
      </c>
      <c r="N442" s="18">
        <v>2851.88</v>
      </c>
    </row>
    <row r="443" spans="1:14" ht="15" customHeight="1" x14ac:dyDescent="0.25">
      <c r="A443" s="2" t="s">
        <v>603</v>
      </c>
      <c r="B443" s="17">
        <v>45949</v>
      </c>
      <c r="C443" s="2" t="s">
        <v>22</v>
      </c>
      <c r="D443" s="2" t="s">
        <v>26</v>
      </c>
      <c r="E443" s="2" t="s">
        <v>186</v>
      </c>
      <c r="F443" s="2" t="s">
        <v>150</v>
      </c>
      <c r="G443" s="2" t="s">
        <v>165</v>
      </c>
      <c r="H443" s="2" t="s">
        <v>152</v>
      </c>
      <c r="I443" s="2" t="s">
        <v>153</v>
      </c>
      <c r="J443" s="17">
        <v>45955</v>
      </c>
      <c r="K443" s="17"/>
      <c r="L443" s="17"/>
      <c r="M443" s="17">
        <v>45975</v>
      </c>
      <c r="N443" s="18">
        <v>4939.3999999999996</v>
      </c>
    </row>
    <row r="444" spans="1:14" ht="15" customHeight="1" x14ac:dyDescent="0.25">
      <c r="A444" s="2" t="s">
        <v>604</v>
      </c>
      <c r="B444" s="17">
        <v>45741</v>
      </c>
      <c r="C444" s="2" t="s">
        <v>20</v>
      </c>
      <c r="D444" s="2" t="s">
        <v>26</v>
      </c>
      <c r="E444" s="2" t="s">
        <v>155</v>
      </c>
      <c r="F444" s="2" t="s">
        <v>161</v>
      </c>
      <c r="G444" s="2" t="s">
        <v>167</v>
      </c>
      <c r="H444" s="2" t="s">
        <v>152</v>
      </c>
      <c r="I444" s="2" t="s">
        <v>153</v>
      </c>
      <c r="J444" s="17">
        <v>45743</v>
      </c>
      <c r="K444" s="17"/>
      <c r="L444" s="17"/>
      <c r="M444" s="17">
        <v>45748</v>
      </c>
      <c r="N444" s="18">
        <v>1647.03</v>
      </c>
    </row>
    <row r="445" spans="1:14" ht="15" customHeight="1" x14ac:dyDescent="0.25">
      <c r="A445" s="2" t="s">
        <v>605</v>
      </c>
      <c r="B445" s="17">
        <v>46022</v>
      </c>
      <c r="C445" s="2" t="s">
        <v>20</v>
      </c>
      <c r="D445" s="2" t="s">
        <v>28</v>
      </c>
      <c r="E445" s="2" t="s">
        <v>186</v>
      </c>
      <c r="F445" s="2" t="s">
        <v>161</v>
      </c>
      <c r="G445" s="2" t="s">
        <v>167</v>
      </c>
      <c r="H445" s="2" t="s">
        <v>15</v>
      </c>
      <c r="I445" s="2" t="s">
        <v>153</v>
      </c>
      <c r="J445" s="17">
        <v>46031</v>
      </c>
      <c r="K445" s="17"/>
      <c r="L445" s="17"/>
      <c r="M445" s="17"/>
      <c r="N445" s="18">
        <v>2635.72</v>
      </c>
    </row>
    <row r="446" spans="1:14" ht="15" customHeight="1" x14ac:dyDescent="0.25">
      <c r="A446" s="2" t="s">
        <v>606</v>
      </c>
      <c r="B446" s="17">
        <v>45719</v>
      </c>
      <c r="C446" s="2" t="s">
        <v>20</v>
      </c>
      <c r="D446" s="2" t="s">
        <v>27</v>
      </c>
      <c r="E446" s="2" t="s">
        <v>149</v>
      </c>
      <c r="F446" s="2" t="s">
        <v>156</v>
      </c>
      <c r="G446" s="2" t="s">
        <v>192</v>
      </c>
      <c r="H446" s="2" t="s">
        <v>2</v>
      </c>
      <c r="I446" s="2" t="s">
        <v>153</v>
      </c>
      <c r="J446" s="17">
        <v>45722</v>
      </c>
      <c r="K446" s="17">
        <v>45727</v>
      </c>
      <c r="L446" s="17">
        <v>45741</v>
      </c>
      <c r="M446" s="17"/>
      <c r="N446" s="18">
        <v>699.36</v>
      </c>
    </row>
    <row r="447" spans="1:14" ht="15" customHeight="1" x14ac:dyDescent="0.25">
      <c r="A447" s="2" t="s">
        <v>607</v>
      </c>
      <c r="B447" s="17">
        <v>45709</v>
      </c>
      <c r="C447" s="2" t="s">
        <v>22</v>
      </c>
      <c r="D447" s="2" t="s">
        <v>25</v>
      </c>
      <c r="E447" s="2" t="s">
        <v>160</v>
      </c>
      <c r="F447" s="2" t="s">
        <v>156</v>
      </c>
      <c r="G447" s="2" t="s">
        <v>151</v>
      </c>
      <c r="H447" s="2" t="s">
        <v>152</v>
      </c>
      <c r="I447" s="2" t="s">
        <v>153</v>
      </c>
      <c r="J447" s="17">
        <v>45714</v>
      </c>
      <c r="K447" s="17">
        <v>45723</v>
      </c>
      <c r="L447" s="17"/>
      <c r="M447" s="17">
        <v>45742</v>
      </c>
      <c r="N447" s="18">
        <v>825.74</v>
      </c>
    </row>
    <row r="448" spans="1:14" ht="15" customHeight="1" x14ac:dyDescent="0.25">
      <c r="A448" s="2" t="s">
        <v>608</v>
      </c>
      <c r="B448" s="17">
        <v>45916</v>
      </c>
      <c r="C448" s="2" t="s">
        <v>22</v>
      </c>
      <c r="D448" s="2" t="s">
        <v>25</v>
      </c>
      <c r="E448" s="2" t="s">
        <v>149</v>
      </c>
      <c r="F448" s="2" t="s">
        <v>161</v>
      </c>
      <c r="G448" s="2" t="s">
        <v>151</v>
      </c>
      <c r="H448" s="2" t="s">
        <v>152</v>
      </c>
      <c r="I448" s="2" t="s">
        <v>153</v>
      </c>
      <c r="J448" s="17">
        <v>45922</v>
      </c>
      <c r="K448" s="17"/>
      <c r="L448" s="17"/>
      <c r="M448" s="17">
        <v>45935</v>
      </c>
      <c r="N448" s="18">
        <v>1910.58</v>
      </c>
    </row>
    <row r="449" spans="1:14" ht="15" customHeight="1" x14ac:dyDescent="0.25">
      <c r="A449" s="2" t="s">
        <v>609</v>
      </c>
      <c r="B449" s="17">
        <v>45937</v>
      </c>
      <c r="C449" s="2" t="s">
        <v>21</v>
      </c>
      <c r="D449" s="2" t="s">
        <v>24</v>
      </c>
      <c r="E449" s="2" t="s">
        <v>149</v>
      </c>
      <c r="F449" s="2" t="s">
        <v>156</v>
      </c>
      <c r="G449" s="2" t="s">
        <v>176</v>
      </c>
      <c r="H449" s="2" t="s">
        <v>152</v>
      </c>
      <c r="I449" s="2" t="s">
        <v>163</v>
      </c>
      <c r="J449" s="17"/>
      <c r="K449" s="17"/>
      <c r="L449" s="17"/>
      <c r="M449" s="17">
        <v>45947</v>
      </c>
      <c r="N449" s="18">
        <v>1067.55</v>
      </c>
    </row>
    <row r="450" spans="1:14" ht="15" customHeight="1" x14ac:dyDescent="0.25">
      <c r="A450" s="2" t="s">
        <v>610</v>
      </c>
      <c r="B450" s="17">
        <v>45667</v>
      </c>
      <c r="C450" s="2" t="s">
        <v>22</v>
      </c>
      <c r="D450" s="2" t="s">
        <v>28</v>
      </c>
      <c r="E450" s="2" t="s">
        <v>149</v>
      </c>
      <c r="F450" s="2" t="s">
        <v>156</v>
      </c>
      <c r="G450" s="2" t="s">
        <v>170</v>
      </c>
      <c r="H450" s="2" t="s">
        <v>152</v>
      </c>
      <c r="I450" s="2" t="s">
        <v>153</v>
      </c>
      <c r="J450" s="17">
        <v>45675</v>
      </c>
      <c r="K450" s="17">
        <v>45679</v>
      </c>
      <c r="L450" s="17"/>
      <c r="M450" s="17">
        <v>45707</v>
      </c>
      <c r="N450" s="18">
        <v>1069.79</v>
      </c>
    </row>
    <row r="451" spans="1:14" ht="15" customHeight="1" x14ac:dyDescent="0.25">
      <c r="A451" s="2" t="s">
        <v>611</v>
      </c>
      <c r="B451" s="17">
        <v>45709</v>
      </c>
      <c r="C451" s="2" t="s">
        <v>21</v>
      </c>
      <c r="D451" s="2" t="s">
        <v>24</v>
      </c>
      <c r="E451" s="2" t="s">
        <v>149</v>
      </c>
      <c r="F451" s="2" t="s">
        <v>156</v>
      </c>
      <c r="G451" s="2" t="s">
        <v>183</v>
      </c>
      <c r="H451" s="2" t="s">
        <v>152</v>
      </c>
      <c r="I451" s="2" t="s">
        <v>163</v>
      </c>
      <c r="J451" s="17"/>
      <c r="K451" s="17"/>
      <c r="L451" s="17"/>
      <c r="M451" s="17">
        <v>45726</v>
      </c>
      <c r="N451" s="18">
        <v>1123.6199999999999</v>
      </c>
    </row>
    <row r="452" spans="1:14" ht="15" customHeight="1" x14ac:dyDescent="0.25">
      <c r="A452" s="2" t="s">
        <v>612</v>
      </c>
      <c r="B452" s="17">
        <v>45816</v>
      </c>
      <c r="C452" s="2" t="s">
        <v>20</v>
      </c>
      <c r="D452" s="2" t="s">
        <v>25</v>
      </c>
      <c r="E452" s="2" t="s">
        <v>155</v>
      </c>
      <c r="F452" s="2" t="s">
        <v>156</v>
      </c>
      <c r="G452" s="2" t="s">
        <v>192</v>
      </c>
      <c r="H452" s="2" t="s">
        <v>152</v>
      </c>
      <c r="I452" s="2" t="s">
        <v>163</v>
      </c>
      <c r="J452" s="17"/>
      <c r="K452" s="17"/>
      <c r="L452" s="17"/>
      <c r="M452" s="17">
        <v>45828</v>
      </c>
      <c r="N452" s="18">
        <v>609.73</v>
      </c>
    </row>
    <row r="453" spans="1:14" ht="15" customHeight="1" x14ac:dyDescent="0.25">
      <c r="A453" s="2" t="s">
        <v>613</v>
      </c>
      <c r="B453" s="17">
        <v>45773</v>
      </c>
      <c r="C453" s="2" t="s">
        <v>21</v>
      </c>
      <c r="D453" s="2" t="s">
        <v>26</v>
      </c>
      <c r="E453" s="2" t="s">
        <v>149</v>
      </c>
      <c r="F453" s="2" t="s">
        <v>156</v>
      </c>
      <c r="G453" s="2" t="s">
        <v>183</v>
      </c>
      <c r="H453" s="2" t="s">
        <v>152</v>
      </c>
      <c r="I453" s="2" t="s">
        <v>153</v>
      </c>
      <c r="J453" s="17">
        <v>45775</v>
      </c>
      <c r="K453" s="17">
        <v>45777</v>
      </c>
      <c r="L453" s="17"/>
      <c r="M453" s="17">
        <v>45792</v>
      </c>
      <c r="N453" s="18">
        <v>990.38</v>
      </c>
    </row>
    <row r="454" spans="1:14" ht="15" customHeight="1" x14ac:dyDescent="0.25">
      <c r="A454" s="2" t="s">
        <v>614</v>
      </c>
      <c r="B454" s="17">
        <v>45821</v>
      </c>
      <c r="C454" s="2" t="s">
        <v>20</v>
      </c>
      <c r="D454" s="2" t="s">
        <v>28</v>
      </c>
      <c r="E454" s="2" t="s">
        <v>186</v>
      </c>
      <c r="F454" s="2" t="s">
        <v>161</v>
      </c>
      <c r="G454" s="2" t="s">
        <v>192</v>
      </c>
      <c r="H454" s="2" t="s">
        <v>152</v>
      </c>
      <c r="I454" s="2" t="s">
        <v>153</v>
      </c>
      <c r="J454" s="17">
        <v>45823</v>
      </c>
      <c r="K454" s="17">
        <v>45829</v>
      </c>
      <c r="L454" s="17"/>
      <c r="M454" s="17">
        <v>45855</v>
      </c>
      <c r="N454" s="18">
        <v>2818.69</v>
      </c>
    </row>
    <row r="455" spans="1:14" ht="15" customHeight="1" x14ac:dyDescent="0.25">
      <c r="A455" s="2" t="s">
        <v>615</v>
      </c>
      <c r="B455" s="17">
        <v>45853</v>
      </c>
      <c r="C455" s="2" t="s">
        <v>18</v>
      </c>
      <c r="D455" s="2" t="s">
        <v>26</v>
      </c>
      <c r="E455" s="2" t="s">
        <v>186</v>
      </c>
      <c r="F455" s="2" t="s">
        <v>161</v>
      </c>
      <c r="G455" s="2" t="s">
        <v>201</v>
      </c>
      <c r="H455" s="2" t="s">
        <v>152</v>
      </c>
      <c r="I455" s="2" t="s">
        <v>153</v>
      </c>
      <c r="J455" s="17">
        <v>45862</v>
      </c>
      <c r="K455" s="17"/>
      <c r="L455" s="17"/>
      <c r="M455" s="17">
        <v>45876</v>
      </c>
      <c r="N455" s="18">
        <v>2370.8000000000002</v>
      </c>
    </row>
    <row r="456" spans="1:14" ht="15" customHeight="1" x14ac:dyDescent="0.25">
      <c r="A456" s="2" t="s">
        <v>616</v>
      </c>
      <c r="B456" s="17">
        <v>45960</v>
      </c>
      <c r="C456" s="2" t="s">
        <v>20</v>
      </c>
      <c r="D456" s="2" t="s">
        <v>28</v>
      </c>
      <c r="E456" s="2" t="s">
        <v>149</v>
      </c>
      <c r="F456" s="2" t="s">
        <v>161</v>
      </c>
      <c r="G456" s="2" t="s">
        <v>189</v>
      </c>
      <c r="H456" s="2" t="s">
        <v>152</v>
      </c>
      <c r="I456" s="2" t="s">
        <v>153</v>
      </c>
      <c r="J456" s="17">
        <v>45967</v>
      </c>
      <c r="K456" s="17">
        <v>45976</v>
      </c>
      <c r="L456" s="17"/>
      <c r="M456" s="17">
        <v>46001</v>
      </c>
      <c r="N456" s="18">
        <v>1928.41</v>
      </c>
    </row>
    <row r="457" spans="1:14" ht="15" customHeight="1" x14ac:dyDescent="0.25">
      <c r="A457" s="2" t="s">
        <v>617</v>
      </c>
      <c r="B457" s="17">
        <v>45731</v>
      </c>
      <c r="C457" s="2" t="s">
        <v>22</v>
      </c>
      <c r="D457" s="2" t="s">
        <v>25</v>
      </c>
      <c r="E457" s="2" t="s">
        <v>149</v>
      </c>
      <c r="F457" s="2" t="s">
        <v>161</v>
      </c>
      <c r="G457" s="2" t="s">
        <v>165</v>
      </c>
      <c r="H457" s="2" t="s">
        <v>152</v>
      </c>
      <c r="I457" s="2" t="s">
        <v>163</v>
      </c>
      <c r="J457" s="17"/>
      <c r="K457" s="17"/>
      <c r="L457" s="17"/>
      <c r="M457" s="17">
        <v>45747</v>
      </c>
      <c r="N457" s="18">
        <v>2247.1799999999998</v>
      </c>
    </row>
    <row r="458" spans="1:14" ht="15" customHeight="1" x14ac:dyDescent="0.25">
      <c r="A458" s="2" t="s">
        <v>618</v>
      </c>
      <c r="B458" s="17">
        <v>45828</v>
      </c>
      <c r="C458" s="2" t="s">
        <v>20</v>
      </c>
      <c r="D458" s="2" t="s">
        <v>28</v>
      </c>
      <c r="E458" s="2" t="s">
        <v>149</v>
      </c>
      <c r="F458" s="2" t="s">
        <v>156</v>
      </c>
      <c r="G458" s="2" t="s">
        <v>189</v>
      </c>
      <c r="H458" s="2" t="s">
        <v>152</v>
      </c>
      <c r="I458" s="2" t="s">
        <v>153</v>
      </c>
      <c r="J458" s="17">
        <v>45829</v>
      </c>
      <c r="K458" s="17"/>
      <c r="L458" s="17"/>
      <c r="M458" s="17">
        <v>45835</v>
      </c>
      <c r="N458" s="18">
        <v>862.07</v>
      </c>
    </row>
    <row r="459" spans="1:14" ht="15" customHeight="1" x14ac:dyDescent="0.25">
      <c r="A459" s="2" t="s">
        <v>619</v>
      </c>
      <c r="B459" s="17">
        <v>45790</v>
      </c>
      <c r="C459" s="2" t="s">
        <v>18</v>
      </c>
      <c r="D459" s="2" t="s">
        <v>28</v>
      </c>
      <c r="E459" s="2" t="s">
        <v>149</v>
      </c>
      <c r="F459" s="2" t="s">
        <v>161</v>
      </c>
      <c r="G459" s="2" t="s">
        <v>201</v>
      </c>
      <c r="H459" s="2" t="s">
        <v>152</v>
      </c>
      <c r="I459" s="2" t="s">
        <v>153</v>
      </c>
      <c r="J459" s="17">
        <v>45799</v>
      </c>
      <c r="K459" s="17">
        <v>45807</v>
      </c>
      <c r="L459" s="17"/>
      <c r="M459" s="17">
        <v>45824</v>
      </c>
      <c r="N459" s="18">
        <v>2954</v>
      </c>
    </row>
    <row r="460" spans="1:14" ht="15" customHeight="1" x14ac:dyDescent="0.25">
      <c r="A460" s="2" t="s">
        <v>620</v>
      </c>
      <c r="B460" s="17">
        <v>45784</v>
      </c>
      <c r="C460" s="2" t="s">
        <v>22</v>
      </c>
      <c r="D460" s="2" t="s">
        <v>28</v>
      </c>
      <c r="E460" s="2" t="s">
        <v>149</v>
      </c>
      <c r="F460" s="2" t="s">
        <v>150</v>
      </c>
      <c r="G460" s="2" t="s">
        <v>165</v>
      </c>
      <c r="H460" s="2" t="s">
        <v>152</v>
      </c>
      <c r="I460" s="2" t="s">
        <v>153</v>
      </c>
      <c r="J460" s="17">
        <v>45790</v>
      </c>
      <c r="K460" s="17">
        <v>45803</v>
      </c>
      <c r="L460" s="17"/>
      <c r="M460" s="17">
        <v>45809</v>
      </c>
      <c r="N460" s="18">
        <v>8976.69</v>
      </c>
    </row>
    <row r="461" spans="1:14" ht="15" customHeight="1" x14ac:dyDescent="0.25">
      <c r="A461" s="2" t="s">
        <v>621</v>
      </c>
      <c r="B461" s="17">
        <v>45946</v>
      </c>
      <c r="C461" s="2" t="s">
        <v>19</v>
      </c>
      <c r="D461" s="2" t="s">
        <v>26</v>
      </c>
      <c r="E461" s="2" t="s">
        <v>186</v>
      </c>
      <c r="F461" s="2" t="s">
        <v>156</v>
      </c>
      <c r="G461" s="2" t="s">
        <v>210</v>
      </c>
      <c r="H461" s="2" t="s">
        <v>2</v>
      </c>
      <c r="I461" s="2" t="s">
        <v>153</v>
      </c>
      <c r="J461" s="17">
        <v>45948</v>
      </c>
      <c r="K461" s="17">
        <v>45950</v>
      </c>
      <c r="L461" s="17">
        <v>45980</v>
      </c>
      <c r="M461" s="17"/>
      <c r="N461" s="18">
        <v>840.18</v>
      </c>
    </row>
    <row r="462" spans="1:14" ht="15" customHeight="1" x14ac:dyDescent="0.25">
      <c r="A462" s="2" t="s">
        <v>622</v>
      </c>
      <c r="B462" s="17">
        <v>45676</v>
      </c>
      <c r="C462" s="2" t="s">
        <v>20</v>
      </c>
      <c r="D462" s="2" t="s">
        <v>25</v>
      </c>
      <c r="E462" s="2" t="s">
        <v>155</v>
      </c>
      <c r="F462" s="2" t="s">
        <v>156</v>
      </c>
      <c r="G462" s="2" t="s">
        <v>192</v>
      </c>
      <c r="H462" s="2" t="s">
        <v>2</v>
      </c>
      <c r="I462" s="2" t="s">
        <v>153</v>
      </c>
      <c r="J462" s="17">
        <v>45679</v>
      </c>
      <c r="K462" s="17">
        <v>45686</v>
      </c>
      <c r="L462" s="17">
        <v>45700</v>
      </c>
      <c r="M462" s="17"/>
      <c r="N462" s="18">
        <v>522.46</v>
      </c>
    </row>
    <row r="463" spans="1:14" ht="15" customHeight="1" x14ac:dyDescent="0.25">
      <c r="A463" s="2" t="s">
        <v>623</v>
      </c>
      <c r="B463" s="17">
        <v>45696</v>
      </c>
      <c r="C463" s="2" t="s">
        <v>20</v>
      </c>
      <c r="D463" s="2" t="s">
        <v>24</v>
      </c>
      <c r="E463" s="2" t="s">
        <v>160</v>
      </c>
      <c r="F463" s="2" t="s">
        <v>156</v>
      </c>
      <c r="G463" s="2" t="s">
        <v>189</v>
      </c>
      <c r="H463" s="2" t="s">
        <v>152</v>
      </c>
      <c r="I463" s="2" t="s">
        <v>163</v>
      </c>
      <c r="J463" s="17"/>
      <c r="K463" s="17"/>
      <c r="L463" s="17"/>
      <c r="M463" s="17">
        <v>45705</v>
      </c>
      <c r="N463" s="18">
        <v>879.26</v>
      </c>
    </row>
    <row r="464" spans="1:14" ht="15" customHeight="1" x14ac:dyDescent="0.25">
      <c r="A464" s="2" t="s">
        <v>624</v>
      </c>
      <c r="B464" s="17">
        <v>45810</v>
      </c>
      <c r="C464" s="2" t="s">
        <v>18</v>
      </c>
      <c r="D464" s="2" t="s">
        <v>28</v>
      </c>
      <c r="E464" s="2" t="s">
        <v>186</v>
      </c>
      <c r="F464" s="2" t="s">
        <v>161</v>
      </c>
      <c r="G464" s="2" t="s">
        <v>251</v>
      </c>
      <c r="H464" s="2" t="s">
        <v>152</v>
      </c>
      <c r="I464" s="2" t="s">
        <v>153</v>
      </c>
      <c r="J464" s="17">
        <v>45820</v>
      </c>
      <c r="K464" s="17">
        <v>45821</v>
      </c>
      <c r="L464" s="17"/>
      <c r="M464" s="17">
        <v>45845</v>
      </c>
      <c r="N464" s="18">
        <v>2718.26</v>
      </c>
    </row>
    <row r="465" spans="1:14" ht="15" customHeight="1" x14ac:dyDescent="0.25">
      <c r="A465" s="2" t="s">
        <v>625</v>
      </c>
      <c r="B465" s="17">
        <v>45823</v>
      </c>
      <c r="C465" s="2" t="s">
        <v>22</v>
      </c>
      <c r="D465" s="2" t="s">
        <v>26</v>
      </c>
      <c r="E465" s="2" t="s">
        <v>149</v>
      </c>
      <c r="F465" s="2" t="s">
        <v>156</v>
      </c>
      <c r="G465" s="2" t="s">
        <v>151</v>
      </c>
      <c r="H465" s="2" t="s">
        <v>152</v>
      </c>
      <c r="I465" s="2" t="s">
        <v>153</v>
      </c>
      <c r="J465" s="17">
        <v>45832</v>
      </c>
      <c r="K465" s="17">
        <v>45844</v>
      </c>
      <c r="L465" s="17"/>
      <c r="M465" s="17">
        <v>45867</v>
      </c>
      <c r="N465" s="18">
        <v>842.92</v>
      </c>
    </row>
    <row r="466" spans="1:14" ht="15" customHeight="1" x14ac:dyDescent="0.25">
      <c r="A466" s="2" t="s">
        <v>626</v>
      </c>
      <c r="B466" s="17">
        <v>45844</v>
      </c>
      <c r="C466" s="2" t="s">
        <v>20</v>
      </c>
      <c r="D466" s="2" t="s">
        <v>25</v>
      </c>
      <c r="E466" s="2" t="s">
        <v>160</v>
      </c>
      <c r="F466" s="2" t="s">
        <v>156</v>
      </c>
      <c r="G466" s="2" t="s">
        <v>192</v>
      </c>
      <c r="H466" s="2" t="s">
        <v>2</v>
      </c>
      <c r="I466" s="2" t="s">
        <v>153</v>
      </c>
      <c r="J466" s="17">
        <v>45849</v>
      </c>
      <c r="K466" s="17">
        <v>45857</v>
      </c>
      <c r="L466" s="17">
        <v>45883</v>
      </c>
      <c r="M466" s="17"/>
      <c r="N466" s="18">
        <v>822.3</v>
      </c>
    </row>
    <row r="467" spans="1:14" ht="15" customHeight="1" x14ac:dyDescent="0.25">
      <c r="A467" s="2" t="s">
        <v>627</v>
      </c>
      <c r="B467" s="17">
        <v>45913</v>
      </c>
      <c r="C467" s="2" t="s">
        <v>19</v>
      </c>
      <c r="D467" s="2" t="s">
        <v>25</v>
      </c>
      <c r="E467" s="2" t="s">
        <v>160</v>
      </c>
      <c r="F467" s="2" t="s">
        <v>156</v>
      </c>
      <c r="G467" s="2" t="s">
        <v>210</v>
      </c>
      <c r="H467" s="2" t="s">
        <v>152</v>
      </c>
      <c r="I467" s="2" t="s">
        <v>163</v>
      </c>
      <c r="J467" s="17"/>
      <c r="K467" s="17"/>
      <c r="L467" s="17"/>
      <c r="M467" s="17">
        <v>45930</v>
      </c>
      <c r="N467" s="18">
        <v>577.16</v>
      </c>
    </row>
    <row r="468" spans="1:14" ht="15" customHeight="1" x14ac:dyDescent="0.25">
      <c r="A468" s="2" t="s">
        <v>628</v>
      </c>
      <c r="B468" s="17">
        <v>45892</v>
      </c>
      <c r="C468" s="2" t="s">
        <v>21</v>
      </c>
      <c r="D468" s="2" t="s">
        <v>27</v>
      </c>
      <c r="E468" s="2" t="s">
        <v>155</v>
      </c>
      <c r="F468" s="2" t="s">
        <v>156</v>
      </c>
      <c r="G468" s="2" t="s">
        <v>176</v>
      </c>
      <c r="H468" s="2" t="s">
        <v>152</v>
      </c>
      <c r="I468" s="2" t="s">
        <v>153</v>
      </c>
      <c r="J468" s="17">
        <v>45897</v>
      </c>
      <c r="K468" s="17">
        <v>45904</v>
      </c>
      <c r="L468" s="17"/>
      <c r="M468" s="17">
        <v>45913</v>
      </c>
      <c r="N468" s="18">
        <v>657.62</v>
      </c>
    </row>
    <row r="469" spans="1:14" ht="15" customHeight="1" x14ac:dyDescent="0.25">
      <c r="A469" s="2" t="s">
        <v>629</v>
      </c>
      <c r="B469" s="17">
        <v>45814</v>
      </c>
      <c r="C469" s="2" t="s">
        <v>20</v>
      </c>
      <c r="D469" s="2" t="s">
        <v>25</v>
      </c>
      <c r="E469" s="2" t="s">
        <v>155</v>
      </c>
      <c r="F469" s="2" t="s">
        <v>156</v>
      </c>
      <c r="G469" s="2" t="s">
        <v>189</v>
      </c>
      <c r="H469" s="2" t="s">
        <v>152</v>
      </c>
      <c r="I469" s="2" t="s">
        <v>153</v>
      </c>
      <c r="J469" s="17">
        <v>45815</v>
      </c>
      <c r="K469" s="17"/>
      <c r="L469" s="17"/>
      <c r="M469" s="17">
        <v>45826</v>
      </c>
      <c r="N469" s="18">
        <v>410.58</v>
      </c>
    </row>
    <row r="470" spans="1:14" ht="15" customHeight="1" x14ac:dyDescent="0.25">
      <c r="A470" s="2" t="s">
        <v>55</v>
      </c>
      <c r="B470" s="17">
        <v>45980</v>
      </c>
      <c r="C470" s="2" t="s">
        <v>20</v>
      </c>
      <c r="E470" s="2" t="s">
        <v>160</v>
      </c>
      <c r="F470" s="2" t="s">
        <v>161</v>
      </c>
      <c r="G470" s="2" t="s">
        <v>167</v>
      </c>
      <c r="H470" s="2" t="s">
        <v>2</v>
      </c>
      <c r="I470" s="2" t="s">
        <v>153</v>
      </c>
      <c r="J470" s="17">
        <v>45983</v>
      </c>
      <c r="K470" s="17">
        <v>45998</v>
      </c>
      <c r="L470" s="17">
        <v>46025</v>
      </c>
      <c r="M470" s="17"/>
      <c r="N470" s="18">
        <v>1889.8</v>
      </c>
    </row>
    <row r="471" spans="1:14" ht="15" customHeight="1" x14ac:dyDescent="0.25">
      <c r="A471" s="2" t="s">
        <v>630</v>
      </c>
      <c r="B471" s="17">
        <v>45908</v>
      </c>
      <c r="C471" s="2" t="s">
        <v>21</v>
      </c>
      <c r="D471" s="2" t="s">
        <v>28</v>
      </c>
      <c r="E471" s="2" t="s">
        <v>160</v>
      </c>
      <c r="F471" s="2" t="s">
        <v>150</v>
      </c>
      <c r="G471" s="2" t="s">
        <v>183</v>
      </c>
      <c r="H471" s="2" t="s">
        <v>152</v>
      </c>
      <c r="I471" s="2" t="s">
        <v>153</v>
      </c>
      <c r="J471" s="17">
        <v>45917</v>
      </c>
      <c r="K471" s="17">
        <v>45926</v>
      </c>
      <c r="L471" s="17"/>
      <c r="M471" s="17">
        <v>45937</v>
      </c>
      <c r="N471" s="18">
        <v>7815.86</v>
      </c>
    </row>
    <row r="472" spans="1:14" ht="15" customHeight="1" x14ac:dyDescent="0.25">
      <c r="A472" s="2" t="s">
        <v>631</v>
      </c>
      <c r="B472" s="17">
        <v>45836</v>
      </c>
      <c r="C472" s="2" t="s">
        <v>21</v>
      </c>
      <c r="D472" s="2" t="s">
        <v>25</v>
      </c>
      <c r="E472" s="2" t="s">
        <v>160</v>
      </c>
      <c r="F472" s="2" t="s">
        <v>150</v>
      </c>
      <c r="G472" s="2" t="s">
        <v>162</v>
      </c>
      <c r="H472" s="2" t="s">
        <v>152</v>
      </c>
      <c r="I472" s="2" t="s">
        <v>163</v>
      </c>
      <c r="J472" s="17"/>
      <c r="K472" s="17"/>
      <c r="L472" s="17"/>
      <c r="M472" s="17">
        <v>45844</v>
      </c>
      <c r="N472" s="18">
        <v>6907.56</v>
      </c>
    </row>
    <row r="473" spans="1:14" ht="15" customHeight="1" x14ac:dyDescent="0.25">
      <c r="A473" s="2" t="s">
        <v>632</v>
      </c>
      <c r="B473" s="17">
        <v>45892</v>
      </c>
      <c r="C473" s="2" t="s">
        <v>22</v>
      </c>
      <c r="D473" s="2" t="s">
        <v>28</v>
      </c>
      <c r="E473" s="2" t="s">
        <v>160</v>
      </c>
      <c r="F473" s="2" t="s">
        <v>156</v>
      </c>
      <c r="G473" s="2" t="s">
        <v>165</v>
      </c>
      <c r="H473" s="2" t="s">
        <v>152</v>
      </c>
      <c r="I473" s="2" t="s">
        <v>153</v>
      </c>
      <c r="J473" s="17">
        <v>45895</v>
      </c>
      <c r="K473" s="17"/>
      <c r="L473" s="17"/>
      <c r="M473" s="17">
        <v>45905</v>
      </c>
      <c r="N473" s="18">
        <v>954.68</v>
      </c>
    </row>
    <row r="474" spans="1:14" ht="15" customHeight="1" x14ac:dyDescent="0.25">
      <c r="A474" s="2" t="s">
        <v>633</v>
      </c>
      <c r="B474" s="17">
        <v>45951</v>
      </c>
      <c r="C474" s="2" t="s">
        <v>20</v>
      </c>
      <c r="D474" s="2" t="s">
        <v>25</v>
      </c>
      <c r="E474" s="2" t="s">
        <v>186</v>
      </c>
      <c r="F474" s="2" t="s">
        <v>150</v>
      </c>
      <c r="G474" s="2" t="s">
        <v>167</v>
      </c>
      <c r="H474" s="2" t="s">
        <v>152</v>
      </c>
      <c r="I474" s="2" t="s">
        <v>153</v>
      </c>
      <c r="J474" s="17">
        <v>45958</v>
      </c>
      <c r="K474" s="17">
        <v>45972</v>
      </c>
      <c r="L474" s="17"/>
      <c r="M474" s="17">
        <v>46007</v>
      </c>
      <c r="N474" s="18">
        <v>8050.5</v>
      </c>
    </row>
    <row r="475" spans="1:14" ht="15" customHeight="1" x14ac:dyDescent="0.25">
      <c r="A475" s="2" t="s">
        <v>634</v>
      </c>
      <c r="B475" s="17">
        <v>45850</v>
      </c>
      <c r="C475" s="2" t="s">
        <v>20</v>
      </c>
      <c r="D475" s="2" t="s">
        <v>24</v>
      </c>
      <c r="E475" s="2" t="s">
        <v>149</v>
      </c>
      <c r="F475" s="2" t="s">
        <v>161</v>
      </c>
      <c r="G475" s="2" t="s">
        <v>189</v>
      </c>
      <c r="H475" s="2" t="s">
        <v>152</v>
      </c>
      <c r="I475" s="2" t="s">
        <v>163</v>
      </c>
      <c r="J475" s="17"/>
      <c r="K475" s="17"/>
      <c r="L475" s="17"/>
      <c r="M475" s="17">
        <v>45862</v>
      </c>
      <c r="N475" s="18">
        <v>3072.92</v>
      </c>
    </row>
    <row r="476" spans="1:14" ht="15" customHeight="1" x14ac:dyDescent="0.25">
      <c r="A476" s="2" t="s">
        <v>635</v>
      </c>
      <c r="B476" s="17">
        <v>45672</v>
      </c>
      <c r="C476" s="2" t="s">
        <v>20</v>
      </c>
      <c r="D476" s="2" t="s">
        <v>24</v>
      </c>
      <c r="E476" s="2" t="s">
        <v>149</v>
      </c>
      <c r="F476" s="2" t="s">
        <v>150</v>
      </c>
      <c r="G476" s="2" t="s">
        <v>192</v>
      </c>
      <c r="H476" s="2" t="s">
        <v>2</v>
      </c>
      <c r="I476" s="2" t="s">
        <v>153</v>
      </c>
      <c r="J476" s="17">
        <v>45680</v>
      </c>
      <c r="K476" s="17">
        <v>45692</v>
      </c>
      <c r="L476" s="17">
        <v>45720</v>
      </c>
      <c r="M476" s="17"/>
      <c r="N476" s="18">
        <v>8251.14</v>
      </c>
    </row>
    <row r="477" spans="1:14" ht="15" customHeight="1" x14ac:dyDescent="0.25">
      <c r="A477" s="2" t="s">
        <v>636</v>
      </c>
      <c r="B477" s="17">
        <v>45689</v>
      </c>
      <c r="C477" s="2" t="s">
        <v>21</v>
      </c>
      <c r="D477" s="2" t="s">
        <v>26</v>
      </c>
      <c r="E477" s="2" t="s">
        <v>149</v>
      </c>
      <c r="F477" s="2" t="s">
        <v>156</v>
      </c>
      <c r="G477" s="2" t="s">
        <v>176</v>
      </c>
      <c r="H477" s="2" t="s">
        <v>152</v>
      </c>
      <c r="I477" s="2" t="s">
        <v>153</v>
      </c>
      <c r="J477" s="17">
        <v>45696</v>
      </c>
      <c r="K477" s="17"/>
      <c r="L477" s="17"/>
      <c r="M477" s="17">
        <v>45719</v>
      </c>
      <c r="N477" s="18">
        <v>955.14</v>
      </c>
    </row>
    <row r="478" spans="1:14" ht="15" customHeight="1" x14ac:dyDescent="0.25">
      <c r="A478" s="2" t="s">
        <v>637</v>
      </c>
      <c r="B478" s="17">
        <v>45991</v>
      </c>
      <c r="C478" s="2" t="s">
        <v>19</v>
      </c>
      <c r="D478" s="2" t="s">
        <v>24</v>
      </c>
      <c r="E478" s="2" t="s">
        <v>186</v>
      </c>
      <c r="F478" s="2" t="s">
        <v>161</v>
      </c>
      <c r="G478" s="2" t="s">
        <v>207</v>
      </c>
      <c r="H478" s="2" t="s">
        <v>152</v>
      </c>
      <c r="I478" s="2" t="s">
        <v>163</v>
      </c>
      <c r="J478" s="17"/>
      <c r="K478" s="17"/>
      <c r="L478" s="17"/>
      <c r="M478" s="17">
        <v>46010</v>
      </c>
      <c r="N478" s="18">
        <v>2305.0300000000002</v>
      </c>
    </row>
    <row r="479" spans="1:14" ht="15" customHeight="1" x14ac:dyDescent="0.25">
      <c r="A479" s="2" t="s">
        <v>638</v>
      </c>
      <c r="B479" s="17">
        <v>45787</v>
      </c>
      <c r="C479" s="2" t="s">
        <v>20</v>
      </c>
      <c r="D479" s="2" t="s">
        <v>26</v>
      </c>
      <c r="E479" s="2" t="s">
        <v>155</v>
      </c>
      <c r="F479" s="2" t="s">
        <v>156</v>
      </c>
      <c r="G479" s="2" t="s">
        <v>167</v>
      </c>
      <c r="H479" s="2" t="s">
        <v>152</v>
      </c>
      <c r="I479" s="2" t="s">
        <v>153</v>
      </c>
      <c r="J479" s="17">
        <v>45790</v>
      </c>
      <c r="K479" s="17">
        <v>45799</v>
      </c>
      <c r="L479" s="17"/>
      <c r="M479" s="17">
        <v>45810</v>
      </c>
      <c r="N479" s="18">
        <v>699.35</v>
      </c>
    </row>
    <row r="480" spans="1:14" ht="15" customHeight="1" x14ac:dyDescent="0.25">
      <c r="A480" s="2" t="s">
        <v>639</v>
      </c>
      <c r="B480" s="17">
        <v>45860</v>
      </c>
      <c r="C480" s="2" t="s">
        <v>20</v>
      </c>
      <c r="D480" s="2" t="s">
        <v>25</v>
      </c>
      <c r="E480" s="2" t="s">
        <v>155</v>
      </c>
      <c r="F480" s="2" t="s">
        <v>156</v>
      </c>
      <c r="G480" s="2" t="s">
        <v>189</v>
      </c>
      <c r="H480" s="2" t="s">
        <v>2</v>
      </c>
      <c r="I480" s="2" t="s">
        <v>153</v>
      </c>
      <c r="J480" s="17">
        <v>45869</v>
      </c>
      <c r="K480" s="17">
        <v>45876</v>
      </c>
      <c r="L480" s="17">
        <v>45879</v>
      </c>
      <c r="M480" s="17"/>
      <c r="N480" s="18">
        <v>673.11</v>
      </c>
    </row>
    <row r="481" spans="1:14" ht="15" customHeight="1" x14ac:dyDescent="0.25">
      <c r="A481" s="2" t="s">
        <v>640</v>
      </c>
      <c r="B481" s="17">
        <v>45791</v>
      </c>
      <c r="C481" s="2" t="s">
        <v>21</v>
      </c>
      <c r="D481" s="2" t="s">
        <v>28</v>
      </c>
      <c r="E481" s="2" t="s">
        <v>160</v>
      </c>
      <c r="F481" s="2" t="s">
        <v>156</v>
      </c>
      <c r="G481" s="2" t="s">
        <v>183</v>
      </c>
      <c r="H481" s="2" t="s">
        <v>152</v>
      </c>
      <c r="I481" s="2" t="s">
        <v>153</v>
      </c>
      <c r="J481" s="17">
        <v>45801</v>
      </c>
      <c r="K481" s="17">
        <v>45812</v>
      </c>
      <c r="L481" s="17"/>
      <c r="M481" s="17">
        <v>45828</v>
      </c>
      <c r="N481" s="18">
        <v>819.69</v>
      </c>
    </row>
    <row r="482" spans="1:14" ht="15" customHeight="1" x14ac:dyDescent="0.25">
      <c r="A482" s="2" t="s">
        <v>641</v>
      </c>
      <c r="B482" s="17">
        <v>45736</v>
      </c>
      <c r="C482" s="2" t="s">
        <v>22</v>
      </c>
      <c r="D482" s="2" t="s">
        <v>25</v>
      </c>
      <c r="E482" s="2" t="s">
        <v>186</v>
      </c>
      <c r="F482" s="2" t="s">
        <v>150</v>
      </c>
      <c r="G482" s="2" t="s">
        <v>151</v>
      </c>
      <c r="H482" s="2" t="s">
        <v>152</v>
      </c>
      <c r="I482" s="2" t="s">
        <v>153</v>
      </c>
      <c r="J482" s="17">
        <v>45738</v>
      </c>
      <c r="K482" s="17">
        <v>45749</v>
      </c>
      <c r="L482" s="17"/>
      <c r="M482" s="17">
        <v>45767</v>
      </c>
      <c r="N482" s="18">
        <v>6623.82</v>
      </c>
    </row>
    <row r="483" spans="1:14" ht="15" customHeight="1" x14ac:dyDescent="0.25">
      <c r="A483" s="2" t="s">
        <v>642</v>
      </c>
      <c r="B483" s="17">
        <v>45664</v>
      </c>
      <c r="C483" s="2" t="s">
        <v>19</v>
      </c>
      <c r="D483" s="2" t="s">
        <v>27</v>
      </c>
      <c r="E483" s="2" t="s">
        <v>155</v>
      </c>
      <c r="F483" s="2" t="s">
        <v>156</v>
      </c>
      <c r="G483" s="2" t="s">
        <v>210</v>
      </c>
      <c r="H483" s="2" t="s">
        <v>152</v>
      </c>
      <c r="I483" s="2" t="s">
        <v>153</v>
      </c>
      <c r="J483" s="17">
        <v>45673</v>
      </c>
      <c r="K483" s="17">
        <v>45681</v>
      </c>
      <c r="L483" s="17"/>
      <c r="M483" s="17">
        <v>45692</v>
      </c>
      <c r="N483" s="18">
        <v>483.38</v>
      </c>
    </row>
    <row r="484" spans="1:14" ht="15" customHeight="1" x14ac:dyDescent="0.25">
      <c r="A484" s="2" t="s">
        <v>643</v>
      </c>
      <c r="B484" s="17">
        <v>45790</v>
      </c>
      <c r="C484" s="2" t="s">
        <v>18</v>
      </c>
      <c r="D484" s="2" t="s">
        <v>24</v>
      </c>
      <c r="E484" s="2" t="s">
        <v>149</v>
      </c>
      <c r="F484" s="2" t="s">
        <v>156</v>
      </c>
      <c r="G484" s="2" t="s">
        <v>201</v>
      </c>
      <c r="H484" s="2" t="s">
        <v>152</v>
      </c>
      <c r="I484" s="2" t="s">
        <v>163</v>
      </c>
      <c r="J484" s="17"/>
      <c r="K484" s="17"/>
      <c r="L484" s="17"/>
      <c r="M484" s="17">
        <v>45797</v>
      </c>
      <c r="N484" s="18">
        <v>937.33</v>
      </c>
    </row>
    <row r="485" spans="1:14" ht="15" customHeight="1" x14ac:dyDescent="0.25">
      <c r="A485" s="2" t="s">
        <v>644</v>
      </c>
      <c r="B485" s="17">
        <v>45891</v>
      </c>
      <c r="C485" s="2" t="s">
        <v>22</v>
      </c>
      <c r="D485" s="2" t="s">
        <v>24</v>
      </c>
      <c r="E485" s="2" t="s">
        <v>149</v>
      </c>
      <c r="F485" s="2" t="s">
        <v>156</v>
      </c>
      <c r="G485" s="2" t="s">
        <v>151</v>
      </c>
      <c r="H485" s="2" t="s">
        <v>152</v>
      </c>
      <c r="I485" s="2" t="s">
        <v>163</v>
      </c>
      <c r="J485" s="17"/>
      <c r="K485" s="17"/>
      <c r="L485" s="17"/>
      <c r="M485" s="17">
        <v>45906</v>
      </c>
      <c r="N485" s="18">
        <v>910.46</v>
      </c>
    </row>
    <row r="486" spans="1:14" ht="15" customHeight="1" x14ac:dyDescent="0.25">
      <c r="A486" s="2" t="s">
        <v>645</v>
      </c>
      <c r="B486" s="17">
        <v>45673</v>
      </c>
      <c r="C486" s="2" t="s">
        <v>18</v>
      </c>
      <c r="D486" s="2" t="s">
        <v>24</v>
      </c>
      <c r="E486" s="2" t="s">
        <v>149</v>
      </c>
      <c r="F486" s="2" t="s">
        <v>161</v>
      </c>
      <c r="G486" s="2" t="s">
        <v>251</v>
      </c>
      <c r="H486" s="2" t="s">
        <v>2</v>
      </c>
      <c r="I486" s="2" t="s">
        <v>153</v>
      </c>
      <c r="J486" s="17">
        <v>45683</v>
      </c>
      <c r="K486" s="17">
        <v>45685</v>
      </c>
      <c r="L486" s="17">
        <v>45688</v>
      </c>
      <c r="M486" s="17"/>
      <c r="N486" s="18">
        <v>2163.86</v>
      </c>
    </row>
    <row r="487" spans="1:14" ht="15" customHeight="1" x14ac:dyDescent="0.25">
      <c r="A487" s="2" t="s">
        <v>646</v>
      </c>
      <c r="B487" s="17">
        <v>45896</v>
      </c>
      <c r="C487" s="2" t="s">
        <v>22</v>
      </c>
      <c r="D487" s="2" t="s">
        <v>25</v>
      </c>
      <c r="E487" s="2" t="s">
        <v>155</v>
      </c>
      <c r="F487" s="2" t="s">
        <v>161</v>
      </c>
      <c r="G487" s="2" t="s">
        <v>151</v>
      </c>
      <c r="H487" s="2" t="s">
        <v>152</v>
      </c>
      <c r="I487" s="2" t="s">
        <v>153</v>
      </c>
      <c r="J487" s="17">
        <v>45897</v>
      </c>
      <c r="K487" s="17">
        <v>45904</v>
      </c>
      <c r="L487" s="17"/>
      <c r="M487" s="17">
        <v>45937</v>
      </c>
      <c r="N487" s="18">
        <v>1524.38</v>
      </c>
    </row>
    <row r="488" spans="1:14" ht="15" customHeight="1" x14ac:dyDescent="0.25">
      <c r="A488" s="2" t="s">
        <v>647</v>
      </c>
      <c r="B488" s="17">
        <v>45678</v>
      </c>
      <c r="C488" s="2" t="s">
        <v>21</v>
      </c>
      <c r="D488" s="2" t="s">
        <v>24</v>
      </c>
      <c r="E488" s="2" t="s">
        <v>186</v>
      </c>
      <c r="F488" s="2" t="s">
        <v>156</v>
      </c>
      <c r="G488" s="2" t="s">
        <v>183</v>
      </c>
      <c r="H488" s="2" t="s">
        <v>152</v>
      </c>
      <c r="I488" s="2" t="s">
        <v>163</v>
      </c>
      <c r="J488" s="17"/>
      <c r="K488" s="17"/>
      <c r="L488" s="17"/>
      <c r="M488" s="17">
        <v>45686</v>
      </c>
      <c r="N488" s="18">
        <v>474.64</v>
      </c>
    </row>
    <row r="489" spans="1:14" ht="15" customHeight="1" x14ac:dyDescent="0.25">
      <c r="A489" s="2" t="s">
        <v>648</v>
      </c>
      <c r="B489" s="17">
        <v>45713</v>
      </c>
      <c r="C489" s="2" t="s">
        <v>22</v>
      </c>
      <c r="D489" s="2" t="s">
        <v>25</v>
      </c>
      <c r="E489" s="2" t="s">
        <v>149</v>
      </c>
      <c r="F489" s="2" t="s">
        <v>156</v>
      </c>
      <c r="G489" s="2" t="s">
        <v>165</v>
      </c>
      <c r="H489" s="2" t="s">
        <v>152</v>
      </c>
      <c r="I489" s="2" t="s">
        <v>153</v>
      </c>
      <c r="J489" s="17">
        <v>45722</v>
      </c>
      <c r="K489" s="17"/>
      <c r="L489" s="17"/>
      <c r="M489" s="17">
        <v>45736</v>
      </c>
      <c r="N489" s="18">
        <v>1115.27</v>
      </c>
    </row>
    <row r="490" spans="1:14" ht="15" customHeight="1" x14ac:dyDescent="0.25">
      <c r="A490" s="2" t="s">
        <v>649</v>
      </c>
      <c r="B490" s="17">
        <v>45942</v>
      </c>
      <c r="C490" s="2" t="s">
        <v>22</v>
      </c>
      <c r="D490" s="2" t="s">
        <v>28</v>
      </c>
      <c r="E490" s="2" t="s">
        <v>149</v>
      </c>
      <c r="F490" s="2" t="s">
        <v>156</v>
      </c>
      <c r="G490" s="2" t="s">
        <v>165</v>
      </c>
      <c r="H490" s="2" t="s">
        <v>152</v>
      </c>
      <c r="I490" s="2" t="s">
        <v>153</v>
      </c>
      <c r="J490" s="17">
        <v>45943</v>
      </c>
      <c r="K490" s="17"/>
      <c r="L490" s="17"/>
      <c r="M490" s="17">
        <v>45951</v>
      </c>
      <c r="N490" s="18">
        <v>747.75</v>
      </c>
    </row>
    <row r="491" spans="1:14" ht="15" customHeight="1" x14ac:dyDescent="0.25">
      <c r="A491" s="2" t="s">
        <v>650</v>
      </c>
      <c r="B491" s="17">
        <v>45733</v>
      </c>
      <c r="C491" s="2" t="s">
        <v>18</v>
      </c>
      <c r="D491" s="2" t="s">
        <v>24</v>
      </c>
      <c r="E491" s="2" t="s">
        <v>149</v>
      </c>
      <c r="F491" s="2" t="s">
        <v>156</v>
      </c>
      <c r="G491" s="2" t="s">
        <v>157</v>
      </c>
      <c r="H491" s="2" t="s">
        <v>152</v>
      </c>
      <c r="I491" s="2" t="s">
        <v>153</v>
      </c>
      <c r="J491" s="17">
        <v>45742</v>
      </c>
      <c r="K491" s="17">
        <v>45752</v>
      </c>
      <c r="L491" s="17"/>
      <c r="M491" s="17">
        <v>45766</v>
      </c>
      <c r="N491" s="18">
        <v>752.83</v>
      </c>
    </row>
    <row r="492" spans="1:14" ht="15" customHeight="1" x14ac:dyDescent="0.25">
      <c r="A492" s="2" t="s">
        <v>651</v>
      </c>
      <c r="B492" s="17">
        <v>45788</v>
      </c>
      <c r="C492" s="2" t="s">
        <v>20</v>
      </c>
      <c r="D492" s="2" t="s">
        <v>27</v>
      </c>
      <c r="E492" s="2" t="s">
        <v>149</v>
      </c>
      <c r="F492" s="2" t="s">
        <v>161</v>
      </c>
      <c r="G492" s="2" t="s">
        <v>192</v>
      </c>
      <c r="H492" s="2" t="s">
        <v>152</v>
      </c>
      <c r="I492" s="2" t="s">
        <v>153</v>
      </c>
      <c r="J492" s="17">
        <v>45792</v>
      </c>
      <c r="K492" s="17">
        <v>45799</v>
      </c>
      <c r="L492" s="17"/>
      <c r="M492" s="17">
        <v>45829</v>
      </c>
      <c r="N492" s="18">
        <v>2417.48</v>
      </c>
    </row>
    <row r="493" spans="1:14" ht="15" customHeight="1" x14ac:dyDescent="0.25">
      <c r="A493" s="2" t="s">
        <v>652</v>
      </c>
      <c r="B493" s="17">
        <v>45921</v>
      </c>
      <c r="C493" s="2" t="s">
        <v>22</v>
      </c>
      <c r="D493" s="2" t="s">
        <v>24</v>
      </c>
      <c r="E493" s="2" t="s">
        <v>155</v>
      </c>
      <c r="F493" s="2" t="s">
        <v>156</v>
      </c>
      <c r="G493" s="2" t="s">
        <v>151</v>
      </c>
      <c r="H493" s="2" t="s">
        <v>152</v>
      </c>
      <c r="I493" s="2" t="s">
        <v>163</v>
      </c>
      <c r="J493" s="17"/>
      <c r="K493" s="17"/>
      <c r="L493" s="17"/>
      <c r="M493" s="17">
        <v>45940</v>
      </c>
      <c r="N493" s="18">
        <v>400.64</v>
      </c>
    </row>
    <row r="494" spans="1:14" ht="15" customHeight="1" x14ac:dyDescent="0.25">
      <c r="A494" s="2" t="s">
        <v>653</v>
      </c>
      <c r="B494" s="17">
        <v>45880</v>
      </c>
      <c r="C494" s="2" t="s">
        <v>22</v>
      </c>
      <c r="D494" s="2" t="s">
        <v>24</v>
      </c>
      <c r="E494" s="2" t="s">
        <v>149</v>
      </c>
      <c r="F494" s="2" t="s">
        <v>161</v>
      </c>
      <c r="G494" s="2" t="s">
        <v>165</v>
      </c>
      <c r="H494" s="2" t="s">
        <v>2</v>
      </c>
      <c r="I494" s="2" t="s">
        <v>153</v>
      </c>
      <c r="J494" s="17">
        <v>45885</v>
      </c>
      <c r="K494" s="17">
        <v>45887</v>
      </c>
      <c r="L494" s="17">
        <v>45896</v>
      </c>
      <c r="M494" s="17"/>
      <c r="N494" s="18">
        <v>3086.02</v>
      </c>
    </row>
    <row r="495" spans="1:14" ht="15" customHeight="1" x14ac:dyDescent="0.25">
      <c r="A495" s="2" t="s">
        <v>654</v>
      </c>
      <c r="B495" s="17">
        <v>45833</v>
      </c>
      <c r="C495" s="2" t="s">
        <v>22</v>
      </c>
      <c r="D495" s="2" t="s">
        <v>27</v>
      </c>
      <c r="E495" s="2" t="s">
        <v>160</v>
      </c>
      <c r="F495" s="2" t="s">
        <v>156</v>
      </c>
      <c r="G495" s="2" t="s">
        <v>170</v>
      </c>
      <c r="H495" s="2" t="s">
        <v>152</v>
      </c>
      <c r="I495" s="2" t="s">
        <v>163</v>
      </c>
      <c r="J495" s="17"/>
      <c r="K495" s="17"/>
      <c r="L495" s="17"/>
      <c r="M495" s="17">
        <v>45846</v>
      </c>
      <c r="N495" s="18">
        <v>539.38</v>
      </c>
    </row>
    <row r="496" spans="1:14" ht="15" customHeight="1" x14ac:dyDescent="0.25">
      <c r="A496" s="2" t="s">
        <v>655</v>
      </c>
      <c r="B496" s="17">
        <v>45815</v>
      </c>
      <c r="C496" s="2" t="s">
        <v>22</v>
      </c>
      <c r="D496" s="2" t="s">
        <v>26</v>
      </c>
      <c r="E496" s="2" t="s">
        <v>160</v>
      </c>
      <c r="F496" s="2" t="s">
        <v>156</v>
      </c>
      <c r="G496" s="2" t="s">
        <v>151</v>
      </c>
      <c r="H496" s="2" t="s">
        <v>2</v>
      </c>
      <c r="I496" s="2" t="s">
        <v>153</v>
      </c>
      <c r="J496" s="17">
        <v>45818</v>
      </c>
      <c r="K496" s="17">
        <v>45831</v>
      </c>
      <c r="L496" s="17">
        <v>45856</v>
      </c>
      <c r="M496" s="17"/>
      <c r="N496" s="18">
        <v>846.03</v>
      </c>
    </row>
    <row r="497" spans="1:14" ht="15" customHeight="1" x14ac:dyDescent="0.25">
      <c r="A497" s="2" t="s">
        <v>56</v>
      </c>
      <c r="B497" s="17">
        <v>45952</v>
      </c>
      <c r="C497" s="2" t="s">
        <v>21</v>
      </c>
      <c r="E497" s="2" t="s">
        <v>149</v>
      </c>
      <c r="F497" s="2" t="s">
        <v>156</v>
      </c>
      <c r="G497" s="2" t="s">
        <v>183</v>
      </c>
      <c r="H497" s="2" t="s">
        <v>152</v>
      </c>
      <c r="I497" s="2" t="s">
        <v>163</v>
      </c>
      <c r="J497" s="17"/>
      <c r="K497" s="17"/>
      <c r="L497" s="17"/>
      <c r="M497" s="17">
        <v>45967</v>
      </c>
      <c r="N497" s="18">
        <v>740.32</v>
      </c>
    </row>
    <row r="498" spans="1:14" ht="15" customHeight="1" x14ac:dyDescent="0.25">
      <c r="A498" s="2" t="s">
        <v>656</v>
      </c>
      <c r="B498" s="17">
        <v>45840</v>
      </c>
      <c r="C498" s="2" t="s">
        <v>20</v>
      </c>
      <c r="D498" s="2" t="s">
        <v>24</v>
      </c>
      <c r="E498" s="2" t="s">
        <v>160</v>
      </c>
      <c r="F498" s="2" t="s">
        <v>156</v>
      </c>
      <c r="G498" s="2" t="s">
        <v>189</v>
      </c>
      <c r="H498" s="2" t="s">
        <v>152</v>
      </c>
      <c r="I498" s="2" t="s">
        <v>153</v>
      </c>
      <c r="J498" s="17">
        <v>45843</v>
      </c>
      <c r="K498" s="17">
        <v>45857</v>
      </c>
      <c r="L498" s="17"/>
      <c r="M498" s="17">
        <v>45874</v>
      </c>
      <c r="N498" s="18">
        <v>617.53</v>
      </c>
    </row>
    <row r="499" spans="1:14" ht="15" customHeight="1" x14ac:dyDescent="0.25">
      <c r="A499" s="2" t="s">
        <v>657</v>
      </c>
      <c r="B499" s="17">
        <v>45774</v>
      </c>
      <c r="C499" s="2" t="s">
        <v>20</v>
      </c>
      <c r="D499" s="2" t="s">
        <v>25</v>
      </c>
      <c r="E499" s="2" t="s">
        <v>160</v>
      </c>
      <c r="F499" s="2" t="s">
        <v>161</v>
      </c>
      <c r="G499" s="2" t="s">
        <v>192</v>
      </c>
      <c r="H499" s="2" t="s">
        <v>152</v>
      </c>
      <c r="I499" s="2" t="s">
        <v>153</v>
      </c>
      <c r="J499" s="17">
        <v>45775</v>
      </c>
      <c r="K499" s="17">
        <v>45785</v>
      </c>
      <c r="L499" s="17"/>
      <c r="M499" s="17">
        <v>45797</v>
      </c>
      <c r="N499" s="18">
        <v>2355.5500000000002</v>
      </c>
    </row>
    <row r="500" spans="1:14" ht="15" customHeight="1" x14ac:dyDescent="0.25">
      <c r="A500" s="2" t="s">
        <v>69</v>
      </c>
      <c r="B500" s="17">
        <v>45717</v>
      </c>
      <c r="C500" s="2" t="s">
        <v>22</v>
      </c>
      <c r="D500" s="2" t="s">
        <v>27</v>
      </c>
      <c r="E500" s="2" t="s">
        <v>160</v>
      </c>
      <c r="F500" s="2" t="s">
        <v>156</v>
      </c>
      <c r="G500" s="2" t="s">
        <v>170</v>
      </c>
      <c r="H500" s="2" t="s">
        <v>2</v>
      </c>
      <c r="I500" s="2" t="s">
        <v>153</v>
      </c>
      <c r="J500" s="17">
        <v>45723</v>
      </c>
      <c r="K500" s="17">
        <v>45734</v>
      </c>
      <c r="L500" s="17">
        <v>45712</v>
      </c>
      <c r="M500" s="17"/>
      <c r="N500" s="18">
        <v>918.35</v>
      </c>
    </row>
    <row r="501" spans="1:14" ht="15" customHeight="1" x14ac:dyDescent="0.25">
      <c r="A501" s="2" t="s">
        <v>658</v>
      </c>
      <c r="B501" s="17">
        <v>45798</v>
      </c>
      <c r="C501" s="2" t="s">
        <v>21</v>
      </c>
      <c r="D501" s="2" t="s">
        <v>28</v>
      </c>
      <c r="E501" s="2" t="s">
        <v>149</v>
      </c>
      <c r="F501" s="2" t="s">
        <v>156</v>
      </c>
      <c r="G501" s="2" t="s">
        <v>162</v>
      </c>
      <c r="H501" s="2" t="s">
        <v>152</v>
      </c>
      <c r="I501" s="2" t="s">
        <v>153</v>
      </c>
      <c r="J501" s="17">
        <v>45801</v>
      </c>
      <c r="K501" s="17">
        <v>45804</v>
      </c>
      <c r="L501" s="17"/>
      <c r="M501" s="17">
        <v>45823</v>
      </c>
      <c r="N501" s="18">
        <v>834.69</v>
      </c>
    </row>
    <row r="502" spans="1:14" ht="15" customHeight="1" x14ac:dyDescent="0.25">
      <c r="A502" s="2" t="s">
        <v>659</v>
      </c>
      <c r="B502" s="17">
        <v>45974</v>
      </c>
      <c r="C502" s="2" t="s">
        <v>20</v>
      </c>
      <c r="D502" s="2" t="s">
        <v>28</v>
      </c>
      <c r="E502" s="2" t="s">
        <v>149</v>
      </c>
      <c r="F502" s="2" t="s">
        <v>161</v>
      </c>
      <c r="G502" s="2" t="s">
        <v>167</v>
      </c>
      <c r="H502" s="2" t="s">
        <v>152</v>
      </c>
      <c r="I502" s="2" t="s">
        <v>163</v>
      </c>
      <c r="J502" s="17"/>
      <c r="K502" s="17"/>
      <c r="L502" s="17"/>
      <c r="M502" s="17">
        <v>45988</v>
      </c>
      <c r="N502" s="18">
        <v>2310.2600000000002</v>
      </c>
    </row>
    <row r="503" spans="1:14" ht="15" customHeight="1" x14ac:dyDescent="0.25">
      <c r="A503" s="2" t="s">
        <v>660</v>
      </c>
      <c r="B503" s="17">
        <v>45886</v>
      </c>
      <c r="C503" s="2" t="s">
        <v>20</v>
      </c>
      <c r="D503" s="2" t="s">
        <v>28</v>
      </c>
      <c r="E503" s="2" t="s">
        <v>155</v>
      </c>
      <c r="F503" s="2" t="s">
        <v>150</v>
      </c>
      <c r="G503" s="2" t="s">
        <v>189</v>
      </c>
      <c r="H503" s="2" t="s">
        <v>152</v>
      </c>
      <c r="I503" s="2" t="s">
        <v>163</v>
      </c>
      <c r="J503" s="17"/>
      <c r="K503" s="17"/>
      <c r="L503" s="17"/>
      <c r="M503" s="17">
        <v>45897</v>
      </c>
      <c r="N503" s="18">
        <v>4811.5200000000004</v>
      </c>
    </row>
    <row r="504" spans="1:14" ht="15" customHeight="1" x14ac:dyDescent="0.25">
      <c r="A504" s="2" t="s">
        <v>661</v>
      </c>
      <c r="B504" s="17">
        <v>45965</v>
      </c>
      <c r="C504" s="2" t="s">
        <v>22</v>
      </c>
      <c r="D504" s="2" t="s">
        <v>27</v>
      </c>
      <c r="E504" s="2" t="s">
        <v>186</v>
      </c>
      <c r="F504" s="2" t="s">
        <v>150</v>
      </c>
      <c r="G504" s="2" t="s">
        <v>170</v>
      </c>
      <c r="H504" s="2" t="s">
        <v>152</v>
      </c>
      <c r="I504" s="2" t="s">
        <v>153</v>
      </c>
      <c r="J504" s="17">
        <v>45972</v>
      </c>
      <c r="K504" s="17">
        <v>45986</v>
      </c>
      <c r="L504" s="17"/>
      <c r="M504" s="17">
        <v>46008</v>
      </c>
      <c r="N504" s="18">
        <v>7174.48</v>
      </c>
    </row>
    <row r="505" spans="1:14" ht="15" customHeight="1" x14ac:dyDescent="0.25">
      <c r="A505" s="2" t="s">
        <v>662</v>
      </c>
      <c r="B505" s="17">
        <v>45876</v>
      </c>
      <c r="C505" s="2" t="s">
        <v>18</v>
      </c>
      <c r="D505" s="2" t="s">
        <v>25</v>
      </c>
      <c r="E505" s="2" t="s">
        <v>160</v>
      </c>
      <c r="F505" s="2" t="s">
        <v>156</v>
      </c>
      <c r="G505" s="2" t="s">
        <v>251</v>
      </c>
      <c r="H505" s="2" t="s">
        <v>152</v>
      </c>
      <c r="I505" s="2" t="s">
        <v>153</v>
      </c>
      <c r="J505" s="17">
        <v>45884</v>
      </c>
      <c r="K505" s="17">
        <v>45891</v>
      </c>
      <c r="L505" s="17"/>
      <c r="M505" s="17">
        <v>45921</v>
      </c>
      <c r="N505" s="18">
        <v>893.92</v>
      </c>
    </row>
    <row r="506" spans="1:14" ht="15" customHeight="1" x14ac:dyDescent="0.25">
      <c r="A506" s="2" t="s">
        <v>663</v>
      </c>
      <c r="B506" s="17">
        <v>45709</v>
      </c>
      <c r="C506" s="2" t="s">
        <v>20</v>
      </c>
      <c r="D506" s="2" t="s">
        <v>27</v>
      </c>
      <c r="E506" s="2" t="s">
        <v>149</v>
      </c>
      <c r="F506" s="2" t="s">
        <v>156</v>
      </c>
      <c r="G506" s="2" t="s">
        <v>192</v>
      </c>
      <c r="H506" s="2" t="s">
        <v>152</v>
      </c>
      <c r="I506" s="2" t="s">
        <v>153</v>
      </c>
      <c r="J506" s="17">
        <v>45711</v>
      </c>
      <c r="K506" s="17">
        <v>45723</v>
      </c>
      <c r="L506" s="17"/>
      <c r="M506" s="17">
        <v>45736</v>
      </c>
      <c r="N506" s="18">
        <v>618.27</v>
      </c>
    </row>
    <row r="507" spans="1:14" ht="15" customHeight="1" x14ac:dyDescent="0.25">
      <c r="A507" s="2" t="s">
        <v>664</v>
      </c>
      <c r="B507" s="17">
        <v>45760</v>
      </c>
      <c r="C507" s="2" t="s">
        <v>20</v>
      </c>
      <c r="D507" s="2" t="s">
        <v>26</v>
      </c>
      <c r="E507" s="2" t="s">
        <v>149</v>
      </c>
      <c r="F507" s="2" t="s">
        <v>161</v>
      </c>
      <c r="G507" s="2" t="s">
        <v>167</v>
      </c>
      <c r="H507" s="2" t="s">
        <v>2</v>
      </c>
      <c r="I507" s="2" t="s">
        <v>153</v>
      </c>
      <c r="J507" s="17">
        <v>45770</v>
      </c>
      <c r="K507" s="17">
        <v>45777</v>
      </c>
      <c r="L507" s="17">
        <v>45782</v>
      </c>
      <c r="M507" s="17"/>
      <c r="N507" s="18">
        <v>3027.87</v>
      </c>
    </row>
    <row r="508" spans="1:14" ht="15" customHeight="1" x14ac:dyDescent="0.25">
      <c r="A508" s="2" t="s">
        <v>665</v>
      </c>
      <c r="B508" s="17">
        <v>45883</v>
      </c>
      <c r="C508" s="2" t="s">
        <v>22</v>
      </c>
      <c r="D508" s="2" t="s">
        <v>25</v>
      </c>
      <c r="E508" s="2" t="s">
        <v>186</v>
      </c>
      <c r="F508" s="2" t="s">
        <v>156</v>
      </c>
      <c r="G508" s="2" t="s">
        <v>165</v>
      </c>
      <c r="H508" s="2" t="s">
        <v>2</v>
      </c>
      <c r="I508" s="2" t="s">
        <v>153</v>
      </c>
      <c r="J508" s="17">
        <v>45891</v>
      </c>
      <c r="K508" s="17">
        <v>45894</v>
      </c>
      <c r="L508" s="17">
        <v>45920</v>
      </c>
      <c r="M508" s="17"/>
      <c r="N508" s="18">
        <v>590.99</v>
      </c>
    </row>
    <row r="509" spans="1:14" ht="15" customHeight="1" x14ac:dyDescent="0.25">
      <c r="A509" s="2" t="s">
        <v>666</v>
      </c>
      <c r="B509" s="17">
        <v>45676</v>
      </c>
      <c r="C509" s="2" t="s">
        <v>18</v>
      </c>
      <c r="D509" s="2" t="s">
        <v>25</v>
      </c>
      <c r="E509" s="2" t="s">
        <v>149</v>
      </c>
      <c r="F509" s="2" t="s">
        <v>161</v>
      </c>
      <c r="G509" s="2" t="s">
        <v>157</v>
      </c>
      <c r="H509" s="2" t="s">
        <v>152</v>
      </c>
      <c r="I509" s="2" t="s">
        <v>153</v>
      </c>
      <c r="J509" s="17">
        <v>45683</v>
      </c>
      <c r="K509" s="17">
        <v>45687</v>
      </c>
      <c r="L509" s="17"/>
      <c r="M509" s="17">
        <v>45702</v>
      </c>
      <c r="N509" s="18">
        <v>2870.03</v>
      </c>
    </row>
    <row r="510" spans="1:14" ht="15" customHeight="1" x14ac:dyDescent="0.25">
      <c r="A510" s="2" t="s">
        <v>667</v>
      </c>
      <c r="B510" s="17">
        <v>45820</v>
      </c>
      <c r="C510" s="2" t="s">
        <v>20</v>
      </c>
      <c r="D510" s="2" t="s">
        <v>26</v>
      </c>
      <c r="E510" s="2" t="s">
        <v>155</v>
      </c>
      <c r="F510" s="2" t="s">
        <v>156</v>
      </c>
      <c r="G510" s="2" t="s">
        <v>192</v>
      </c>
      <c r="H510" s="2" t="s">
        <v>152</v>
      </c>
      <c r="I510" s="2" t="s">
        <v>153</v>
      </c>
      <c r="J510" s="17">
        <v>45821</v>
      </c>
      <c r="K510" s="17">
        <v>45822</v>
      </c>
      <c r="L510" s="17"/>
      <c r="M510" s="17">
        <v>45834</v>
      </c>
      <c r="N510" s="18">
        <v>394.44</v>
      </c>
    </row>
    <row r="511" spans="1:14" ht="15" customHeight="1" x14ac:dyDescent="0.25">
      <c r="A511" s="2" t="s">
        <v>668</v>
      </c>
      <c r="B511" s="17">
        <v>45993</v>
      </c>
      <c r="C511" s="2" t="s">
        <v>19</v>
      </c>
      <c r="D511" s="2" t="s">
        <v>24</v>
      </c>
      <c r="E511" s="2" t="s">
        <v>149</v>
      </c>
      <c r="F511" s="2" t="s">
        <v>156</v>
      </c>
      <c r="G511" s="2" t="s">
        <v>210</v>
      </c>
      <c r="H511" s="2" t="s">
        <v>15</v>
      </c>
      <c r="I511" s="2" t="s">
        <v>153</v>
      </c>
      <c r="J511" s="17">
        <v>45995</v>
      </c>
      <c r="K511" s="17"/>
      <c r="L511" s="17"/>
      <c r="M511" s="17"/>
      <c r="N511" s="18">
        <v>1114.72</v>
      </c>
    </row>
    <row r="512" spans="1:14" ht="15" customHeight="1" x14ac:dyDescent="0.25">
      <c r="A512" s="2" t="s">
        <v>669</v>
      </c>
      <c r="B512" s="17">
        <v>45881</v>
      </c>
      <c r="C512" s="2" t="s">
        <v>18</v>
      </c>
      <c r="D512" s="2" t="s">
        <v>24</v>
      </c>
      <c r="E512" s="2" t="s">
        <v>149</v>
      </c>
      <c r="F512" s="2" t="s">
        <v>161</v>
      </c>
      <c r="G512" s="2" t="s">
        <v>251</v>
      </c>
      <c r="H512" s="2" t="s">
        <v>152</v>
      </c>
      <c r="I512" s="2" t="s">
        <v>153</v>
      </c>
      <c r="J512" s="17">
        <v>45883</v>
      </c>
      <c r="K512" s="17">
        <v>45891</v>
      </c>
      <c r="L512" s="17"/>
      <c r="M512" s="17">
        <v>45916</v>
      </c>
      <c r="N512" s="18">
        <v>3028.63</v>
      </c>
    </row>
    <row r="513" spans="1:14" ht="15" customHeight="1" x14ac:dyDescent="0.25">
      <c r="A513" s="2" t="s">
        <v>670</v>
      </c>
      <c r="B513" s="17">
        <v>45702</v>
      </c>
      <c r="C513" s="2" t="s">
        <v>22</v>
      </c>
      <c r="D513" s="2" t="s">
        <v>24</v>
      </c>
      <c r="E513" s="2" t="s">
        <v>149</v>
      </c>
      <c r="F513" s="2" t="s">
        <v>161</v>
      </c>
      <c r="G513" s="2" t="s">
        <v>151</v>
      </c>
      <c r="H513" s="2" t="s">
        <v>152</v>
      </c>
      <c r="I513" s="2" t="s">
        <v>153</v>
      </c>
      <c r="J513" s="17">
        <v>45703</v>
      </c>
      <c r="K513" s="17">
        <v>45710</v>
      </c>
      <c r="L513" s="17"/>
      <c r="M513" s="17">
        <v>45724</v>
      </c>
      <c r="N513" s="18">
        <v>3064.74</v>
      </c>
    </row>
    <row r="514" spans="1:14" ht="15" customHeight="1" x14ac:dyDescent="0.25">
      <c r="A514" s="2" t="s">
        <v>671</v>
      </c>
      <c r="B514" s="17">
        <v>45798</v>
      </c>
      <c r="C514" s="2" t="s">
        <v>21</v>
      </c>
      <c r="D514" s="2" t="s">
        <v>24</v>
      </c>
      <c r="E514" s="2" t="s">
        <v>186</v>
      </c>
      <c r="F514" s="2" t="s">
        <v>156</v>
      </c>
      <c r="G514" s="2" t="s">
        <v>176</v>
      </c>
      <c r="H514" s="2" t="s">
        <v>152</v>
      </c>
      <c r="I514" s="2" t="s">
        <v>163</v>
      </c>
      <c r="J514" s="17"/>
      <c r="K514" s="17"/>
      <c r="L514" s="17"/>
      <c r="M514" s="17">
        <v>45811</v>
      </c>
      <c r="N514" s="18">
        <v>523.94000000000005</v>
      </c>
    </row>
    <row r="515" spans="1:14" ht="15" customHeight="1" x14ac:dyDescent="0.25">
      <c r="A515" s="2" t="s">
        <v>672</v>
      </c>
      <c r="B515" s="17">
        <v>45951</v>
      </c>
      <c r="C515" s="2" t="s">
        <v>22</v>
      </c>
      <c r="D515" s="2" t="s">
        <v>26</v>
      </c>
      <c r="E515" s="2" t="s">
        <v>186</v>
      </c>
      <c r="F515" s="2" t="s">
        <v>150</v>
      </c>
      <c r="G515" s="2" t="s">
        <v>170</v>
      </c>
      <c r="H515" s="2" t="s">
        <v>2</v>
      </c>
      <c r="I515" s="2" t="s">
        <v>153</v>
      </c>
      <c r="J515" s="17">
        <v>45953</v>
      </c>
      <c r="K515" s="17">
        <v>45958</v>
      </c>
      <c r="L515" s="17">
        <v>45965</v>
      </c>
      <c r="M515" s="17"/>
      <c r="N515" s="18">
        <v>6825.3</v>
      </c>
    </row>
    <row r="516" spans="1:14" ht="15" customHeight="1" x14ac:dyDescent="0.25">
      <c r="A516" s="2" t="s">
        <v>673</v>
      </c>
      <c r="B516" s="17">
        <v>45794</v>
      </c>
      <c r="C516" s="2" t="s">
        <v>18</v>
      </c>
      <c r="D516" s="2" t="s">
        <v>24</v>
      </c>
      <c r="E516" s="2" t="s">
        <v>149</v>
      </c>
      <c r="F516" s="2" t="s">
        <v>150</v>
      </c>
      <c r="G516" s="2" t="s">
        <v>157</v>
      </c>
      <c r="H516" s="2" t="s">
        <v>152</v>
      </c>
      <c r="I516" s="2" t="s">
        <v>163</v>
      </c>
      <c r="J516" s="17"/>
      <c r="K516" s="17"/>
      <c r="L516" s="17"/>
      <c r="M516" s="17">
        <v>45801</v>
      </c>
      <c r="N516" s="18">
        <v>5979.16</v>
      </c>
    </row>
    <row r="517" spans="1:14" ht="15" customHeight="1" x14ac:dyDescent="0.25">
      <c r="A517" s="2" t="s">
        <v>674</v>
      </c>
      <c r="B517" s="17">
        <v>45796</v>
      </c>
      <c r="C517" s="2" t="s">
        <v>19</v>
      </c>
      <c r="D517" s="2" t="s">
        <v>25</v>
      </c>
      <c r="E517" s="2" t="s">
        <v>186</v>
      </c>
      <c r="F517" s="2" t="s">
        <v>156</v>
      </c>
      <c r="G517" s="2" t="s">
        <v>210</v>
      </c>
      <c r="H517" s="2" t="s">
        <v>2</v>
      </c>
      <c r="I517" s="2" t="s">
        <v>153</v>
      </c>
      <c r="J517" s="17">
        <v>45801</v>
      </c>
      <c r="K517" s="17">
        <v>45806</v>
      </c>
      <c r="L517" s="17">
        <v>45810</v>
      </c>
      <c r="M517" s="17"/>
      <c r="N517" s="18">
        <v>687.3</v>
      </c>
    </row>
    <row r="518" spans="1:14" ht="15" customHeight="1" x14ac:dyDescent="0.25">
      <c r="A518" s="2" t="s">
        <v>675</v>
      </c>
      <c r="B518" s="17">
        <v>45915</v>
      </c>
      <c r="C518" s="2" t="s">
        <v>19</v>
      </c>
      <c r="D518" s="2" t="s">
        <v>24</v>
      </c>
      <c r="E518" s="2" t="s">
        <v>149</v>
      </c>
      <c r="F518" s="2" t="s">
        <v>156</v>
      </c>
      <c r="G518" s="2" t="s">
        <v>179</v>
      </c>
      <c r="H518" s="2" t="s">
        <v>152</v>
      </c>
      <c r="I518" s="2" t="s">
        <v>153</v>
      </c>
      <c r="J518" s="17">
        <v>45922</v>
      </c>
      <c r="K518" s="17"/>
      <c r="L518" s="17"/>
      <c r="M518" s="17">
        <v>45930</v>
      </c>
      <c r="N518" s="18">
        <v>661.52</v>
      </c>
    </row>
    <row r="519" spans="1:14" ht="15" customHeight="1" x14ac:dyDescent="0.25">
      <c r="A519" s="2" t="s">
        <v>676</v>
      </c>
      <c r="B519" s="17">
        <v>45829</v>
      </c>
      <c r="C519" s="2" t="s">
        <v>22</v>
      </c>
      <c r="D519" s="2" t="s">
        <v>25</v>
      </c>
      <c r="E519" s="2" t="s">
        <v>186</v>
      </c>
      <c r="F519" s="2" t="s">
        <v>156</v>
      </c>
      <c r="G519" s="2" t="s">
        <v>170</v>
      </c>
      <c r="H519" s="2" t="s">
        <v>152</v>
      </c>
      <c r="I519" s="2" t="s">
        <v>153</v>
      </c>
      <c r="J519" s="17">
        <v>45838</v>
      </c>
      <c r="K519" s="17"/>
      <c r="L519" s="17"/>
      <c r="M519" s="17">
        <v>45850</v>
      </c>
      <c r="N519" s="18">
        <v>614.39</v>
      </c>
    </row>
    <row r="520" spans="1:14" ht="15" customHeight="1" x14ac:dyDescent="0.25">
      <c r="A520" s="2" t="s">
        <v>677</v>
      </c>
      <c r="B520" s="17">
        <v>45678</v>
      </c>
      <c r="C520" s="2" t="s">
        <v>22</v>
      </c>
      <c r="D520" s="2" t="s">
        <v>25</v>
      </c>
      <c r="E520" s="2" t="s">
        <v>149</v>
      </c>
      <c r="F520" s="2" t="s">
        <v>156</v>
      </c>
      <c r="G520" s="2" t="s">
        <v>165</v>
      </c>
      <c r="H520" s="2" t="s">
        <v>152</v>
      </c>
      <c r="I520" s="2" t="s">
        <v>163</v>
      </c>
      <c r="J520" s="17"/>
      <c r="K520" s="17"/>
      <c r="L520" s="17"/>
      <c r="M520" s="17">
        <v>45694</v>
      </c>
      <c r="N520" s="18">
        <v>1090.3399999999999</v>
      </c>
    </row>
    <row r="521" spans="1:14" ht="15" customHeight="1" x14ac:dyDescent="0.25">
      <c r="A521" s="2" t="s">
        <v>678</v>
      </c>
      <c r="B521" s="17">
        <v>45997</v>
      </c>
      <c r="C521" s="2" t="s">
        <v>2964</v>
      </c>
      <c r="D521" s="2" t="s">
        <v>24</v>
      </c>
      <c r="E521" s="2" t="s">
        <v>160</v>
      </c>
      <c r="F521" s="2" t="s">
        <v>156</v>
      </c>
      <c r="G521" s="2" t="s">
        <v>210</v>
      </c>
      <c r="H521" s="2" t="s">
        <v>152</v>
      </c>
      <c r="I521" s="2" t="s">
        <v>163</v>
      </c>
      <c r="J521" s="17"/>
      <c r="K521" s="17"/>
      <c r="L521" s="17"/>
      <c r="M521" s="17">
        <v>46003</v>
      </c>
      <c r="N521" s="18">
        <v>768.91</v>
      </c>
    </row>
    <row r="522" spans="1:14" ht="15" customHeight="1" x14ac:dyDescent="0.25">
      <c r="A522" s="2" t="s">
        <v>679</v>
      </c>
      <c r="B522" s="17">
        <v>45874</v>
      </c>
      <c r="C522" s="2" t="s">
        <v>18</v>
      </c>
      <c r="D522" s="2" t="s">
        <v>26</v>
      </c>
      <c r="E522" s="2" t="s">
        <v>160</v>
      </c>
      <c r="F522" s="2" t="s">
        <v>150</v>
      </c>
      <c r="G522" s="2" t="s">
        <v>157</v>
      </c>
      <c r="H522" s="2" t="s">
        <v>2</v>
      </c>
      <c r="I522" s="2" t="s">
        <v>153</v>
      </c>
      <c r="J522" s="17">
        <v>45882</v>
      </c>
      <c r="K522" s="17">
        <v>45884</v>
      </c>
      <c r="L522" s="17">
        <v>45899</v>
      </c>
      <c r="M522" s="17"/>
      <c r="N522" s="18">
        <v>5691.94</v>
      </c>
    </row>
    <row r="523" spans="1:14" ht="15" customHeight="1" x14ac:dyDescent="0.25">
      <c r="A523" s="2" t="s">
        <v>680</v>
      </c>
      <c r="B523" s="17">
        <v>45991</v>
      </c>
      <c r="C523" s="2" t="s">
        <v>22</v>
      </c>
      <c r="D523" s="2" t="s">
        <v>28</v>
      </c>
      <c r="E523" s="2" t="s">
        <v>149</v>
      </c>
      <c r="F523" s="2" t="s">
        <v>150</v>
      </c>
      <c r="G523" s="2" t="s">
        <v>170</v>
      </c>
      <c r="H523" s="2" t="s">
        <v>15</v>
      </c>
      <c r="I523" s="2" t="s">
        <v>153</v>
      </c>
      <c r="J523" s="17">
        <v>45998</v>
      </c>
      <c r="K523" s="17"/>
      <c r="L523" s="17"/>
      <c r="M523" s="17"/>
      <c r="N523" s="18">
        <v>7794.54</v>
      </c>
    </row>
    <row r="524" spans="1:14" ht="15" customHeight="1" x14ac:dyDescent="0.25">
      <c r="A524" s="2" t="s">
        <v>681</v>
      </c>
      <c r="B524" s="17">
        <v>45678</v>
      </c>
      <c r="C524" s="2" t="s">
        <v>19</v>
      </c>
      <c r="D524" s="2" t="s">
        <v>26</v>
      </c>
      <c r="E524" s="2" t="s">
        <v>186</v>
      </c>
      <c r="F524" s="2" t="s">
        <v>161</v>
      </c>
      <c r="G524" s="2" t="s">
        <v>207</v>
      </c>
      <c r="H524" s="2" t="s">
        <v>152</v>
      </c>
      <c r="I524" s="2" t="s">
        <v>153</v>
      </c>
      <c r="J524" s="17">
        <v>45684</v>
      </c>
      <c r="K524" s="17">
        <v>45696</v>
      </c>
      <c r="L524" s="17"/>
      <c r="M524" s="17">
        <v>45731</v>
      </c>
      <c r="N524" s="18">
        <v>1705.41</v>
      </c>
    </row>
    <row r="525" spans="1:14" ht="15" customHeight="1" x14ac:dyDescent="0.25">
      <c r="A525" s="2" t="s">
        <v>682</v>
      </c>
      <c r="B525" s="17">
        <v>45955</v>
      </c>
      <c r="C525" s="2" t="s">
        <v>22</v>
      </c>
      <c r="D525" s="2" t="s">
        <v>25</v>
      </c>
      <c r="E525" s="2" t="s">
        <v>149</v>
      </c>
      <c r="F525" s="2" t="s">
        <v>156</v>
      </c>
      <c r="G525" s="2" t="s">
        <v>165</v>
      </c>
      <c r="H525" s="2" t="s">
        <v>2</v>
      </c>
      <c r="I525" s="2" t="s">
        <v>153</v>
      </c>
      <c r="J525" s="17">
        <v>45957</v>
      </c>
      <c r="K525" s="17">
        <v>45960</v>
      </c>
      <c r="L525" s="17">
        <v>45968</v>
      </c>
      <c r="M525" s="17"/>
      <c r="N525" s="18">
        <v>799.37</v>
      </c>
    </row>
    <row r="526" spans="1:14" ht="15" customHeight="1" x14ac:dyDescent="0.25">
      <c r="A526" s="2" t="s">
        <v>683</v>
      </c>
      <c r="B526" s="17">
        <v>45741</v>
      </c>
      <c r="C526" s="2" t="s">
        <v>19</v>
      </c>
      <c r="D526" s="2" t="s">
        <v>26</v>
      </c>
      <c r="E526" s="2" t="s">
        <v>149</v>
      </c>
      <c r="F526" s="2" t="s">
        <v>161</v>
      </c>
      <c r="G526" s="2" t="s">
        <v>179</v>
      </c>
      <c r="H526" s="2" t="s">
        <v>152</v>
      </c>
      <c r="I526" s="2" t="s">
        <v>163</v>
      </c>
      <c r="J526" s="17"/>
      <c r="K526" s="17"/>
      <c r="L526" s="17"/>
      <c r="M526" s="17">
        <v>45750</v>
      </c>
      <c r="N526" s="18">
        <v>2169</v>
      </c>
    </row>
    <row r="527" spans="1:14" ht="15" customHeight="1" x14ac:dyDescent="0.25">
      <c r="A527" s="2" t="s">
        <v>684</v>
      </c>
      <c r="B527" s="17">
        <v>45991</v>
      </c>
      <c r="C527" s="2" t="s">
        <v>22</v>
      </c>
      <c r="D527" s="2" t="s">
        <v>24</v>
      </c>
      <c r="E527" s="2" t="s">
        <v>149</v>
      </c>
      <c r="F527" s="2" t="s">
        <v>156</v>
      </c>
      <c r="G527" s="2" t="s">
        <v>151</v>
      </c>
      <c r="H527" s="2" t="s">
        <v>152</v>
      </c>
      <c r="I527" s="2" t="s">
        <v>163</v>
      </c>
      <c r="J527" s="17"/>
      <c r="K527" s="17"/>
      <c r="L527" s="17"/>
      <c r="M527" s="17">
        <v>46011</v>
      </c>
      <c r="N527" s="18">
        <v>896.87</v>
      </c>
    </row>
    <row r="528" spans="1:14" ht="15" customHeight="1" x14ac:dyDescent="0.25">
      <c r="A528" s="2" t="s">
        <v>685</v>
      </c>
      <c r="B528" s="17">
        <v>45687</v>
      </c>
      <c r="C528" s="2" t="s">
        <v>22</v>
      </c>
      <c r="D528" s="2" t="s">
        <v>27</v>
      </c>
      <c r="E528" s="2" t="s">
        <v>149</v>
      </c>
      <c r="F528" s="2" t="s">
        <v>161</v>
      </c>
      <c r="G528" s="2" t="s">
        <v>170</v>
      </c>
      <c r="H528" s="2" t="s">
        <v>2</v>
      </c>
      <c r="I528" s="2" t="s">
        <v>153</v>
      </c>
      <c r="J528" s="17">
        <v>45695</v>
      </c>
      <c r="K528" s="17">
        <v>45709</v>
      </c>
      <c r="L528" s="17">
        <v>45715</v>
      </c>
      <c r="M528" s="17"/>
      <c r="N528" s="18">
        <v>2684.85</v>
      </c>
    </row>
    <row r="529" spans="1:14" ht="15" customHeight="1" x14ac:dyDescent="0.25">
      <c r="A529" s="2" t="s">
        <v>686</v>
      </c>
      <c r="B529" s="17">
        <v>45934</v>
      </c>
      <c r="C529" s="2" t="s">
        <v>22</v>
      </c>
      <c r="D529" s="2" t="s">
        <v>25</v>
      </c>
      <c r="E529" s="2" t="s">
        <v>149</v>
      </c>
      <c r="F529" s="2" t="s">
        <v>156</v>
      </c>
      <c r="G529" s="2" t="s">
        <v>165</v>
      </c>
      <c r="H529" s="2" t="s">
        <v>2</v>
      </c>
      <c r="I529" s="2" t="s">
        <v>153</v>
      </c>
      <c r="J529" s="17">
        <v>45941</v>
      </c>
      <c r="K529" s="17">
        <v>45945</v>
      </c>
      <c r="L529" s="17">
        <v>45960</v>
      </c>
      <c r="M529" s="17"/>
      <c r="N529" s="18">
        <v>609.73</v>
      </c>
    </row>
    <row r="530" spans="1:14" ht="15" customHeight="1" x14ac:dyDescent="0.25">
      <c r="A530" s="2" t="s">
        <v>687</v>
      </c>
      <c r="B530" s="17">
        <v>45748</v>
      </c>
      <c r="C530" s="2" t="s">
        <v>20</v>
      </c>
      <c r="D530" s="2" t="s">
        <v>28</v>
      </c>
      <c r="E530" s="2" t="s">
        <v>155</v>
      </c>
      <c r="F530" s="2" t="s">
        <v>161</v>
      </c>
      <c r="G530" s="2" t="s">
        <v>189</v>
      </c>
      <c r="H530" s="2" t="s">
        <v>2</v>
      </c>
      <c r="I530" s="2" t="s">
        <v>153</v>
      </c>
      <c r="J530" s="17">
        <v>45758</v>
      </c>
      <c r="K530" s="17">
        <v>45767</v>
      </c>
      <c r="L530" s="17">
        <v>45779</v>
      </c>
      <c r="M530" s="17"/>
      <c r="N530" s="18">
        <v>1328.09</v>
      </c>
    </row>
    <row r="531" spans="1:14" ht="15" customHeight="1" x14ac:dyDescent="0.25">
      <c r="A531" s="2" t="s">
        <v>688</v>
      </c>
      <c r="B531" s="17">
        <v>45696</v>
      </c>
      <c r="C531" s="2" t="s">
        <v>20</v>
      </c>
      <c r="D531" s="2" t="s">
        <v>25</v>
      </c>
      <c r="E531" s="2" t="s">
        <v>160</v>
      </c>
      <c r="F531" s="2" t="s">
        <v>161</v>
      </c>
      <c r="G531" s="2" t="s">
        <v>189</v>
      </c>
      <c r="H531" s="2" t="s">
        <v>152</v>
      </c>
      <c r="I531" s="2" t="s">
        <v>163</v>
      </c>
      <c r="J531" s="17"/>
      <c r="K531" s="17"/>
      <c r="L531" s="17"/>
      <c r="M531" s="17">
        <v>45704</v>
      </c>
      <c r="N531" s="18">
        <v>2754.47</v>
      </c>
    </row>
    <row r="532" spans="1:14" ht="15" customHeight="1" x14ac:dyDescent="0.25">
      <c r="A532" s="2" t="s">
        <v>689</v>
      </c>
      <c r="B532" s="17">
        <v>46018</v>
      </c>
      <c r="C532" s="2" t="s">
        <v>20</v>
      </c>
      <c r="D532" s="2" t="s">
        <v>28</v>
      </c>
      <c r="E532" s="2" t="s">
        <v>155</v>
      </c>
      <c r="F532" s="2" t="s">
        <v>161</v>
      </c>
      <c r="G532" s="2" t="s">
        <v>167</v>
      </c>
      <c r="H532" s="2" t="s">
        <v>190</v>
      </c>
      <c r="I532" s="2" t="s">
        <v>163</v>
      </c>
      <c r="J532" s="17"/>
      <c r="K532" s="17"/>
      <c r="L532" s="17"/>
      <c r="M532" s="17"/>
      <c r="N532" s="18">
        <v>1716.32</v>
      </c>
    </row>
    <row r="533" spans="1:14" ht="15" customHeight="1" x14ac:dyDescent="0.25">
      <c r="A533" s="2" t="s">
        <v>690</v>
      </c>
      <c r="B533" s="17">
        <v>45781</v>
      </c>
      <c r="C533" s="2" t="s">
        <v>19</v>
      </c>
      <c r="D533" s="2" t="s">
        <v>24</v>
      </c>
      <c r="E533" s="2" t="s">
        <v>149</v>
      </c>
      <c r="F533" s="2" t="s">
        <v>161</v>
      </c>
      <c r="G533" s="2" t="s">
        <v>210</v>
      </c>
      <c r="H533" s="2" t="s">
        <v>152</v>
      </c>
      <c r="I533" s="2" t="s">
        <v>153</v>
      </c>
      <c r="J533" s="17">
        <v>45787</v>
      </c>
      <c r="K533" s="17"/>
      <c r="L533" s="17"/>
      <c r="M533" s="17">
        <v>45792</v>
      </c>
      <c r="N533" s="18">
        <v>2608.25</v>
      </c>
    </row>
    <row r="534" spans="1:14" ht="15" customHeight="1" x14ac:dyDescent="0.25">
      <c r="A534" s="2" t="s">
        <v>691</v>
      </c>
      <c r="B534" s="17">
        <v>45859</v>
      </c>
      <c r="C534" s="2" t="s">
        <v>20</v>
      </c>
      <c r="D534" s="2" t="s">
        <v>24</v>
      </c>
      <c r="E534" s="2" t="s">
        <v>155</v>
      </c>
      <c r="F534" s="2" t="s">
        <v>156</v>
      </c>
      <c r="G534" s="2" t="s">
        <v>167</v>
      </c>
      <c r="H534" s="2" t="s">
        <v>152</v>
      </c>
      <c r="I534" s="2" t="s">
        <v>153</v>
      </c>
      <c r="J534" s="17">
        <v>45867</v>
      </c>
      <c r="K534" s="17">
        <v>45869</v>
      </c>
      <c r="L534" s="17"/>
      <c r="M534" s="17">
        <v>45894</v>
      </c>
      <c r="N534" s="18">
        <v>489.1</v>
      </c>
    </row>
    <row r="535" spans="1:14" ht="15" customHeight="1" x14ac:dyDescent="0.25">
      <c r="A535" s="2" t="s">
        <v>692</v>
      </c>
      <c r="B535" s="17">
        <v>45962</v>
      </c>
      <c r="C535" s="2" t="s">
        <v>19</v>
      </c>
      <c r="D535" s="2" t="s">
        <v>28</v>
      </c>
      <c r="E535" s="2" t="s">
        <v>160</v>
      </c>
      <c r="F535" s="2" t="s">
        <v>156</v>
      </c>
      <c r="G535" s="2" t="s">
        <v>210</v>
      </c>
      <c r="H535" s="2" t="s">
        <v>152</v>
      </c>
      <c r="I535" s="2" t="s">
        <v>153</v>
      </c>
      <c r="J535" s="17">
        <v>45963</v>
      </c>
      <c r="K535" s="17">
        <v>45975</v>
      </c>
      <c r="L535" s="17"/>
      <c r="M535" s="17">
        <v>46001</v>
      </c>
      <c r="N535" s="18">
        <v>583.66</v>
      </c>
    </row>
    <row r="536" spans="1:14" ht="15" customHeight="1" x14ac:dyDescent="0.25">
      <c r="A536" s="2" t="s">
        <v>693</v>
      </c>
      <c r="B536" s="17">
        <v>45905</v>
      </c>
      <c r="C536" s="2" t="s">
        <v>21</v>
      </c>
      <c r="D536" s="2" t="s">
        <v>25</v>
      </c>
      <c r="E536" s="2" t="s">
        <v>149</v>
      </c>
      <c r="F536" s="2" t="s">
        <v>150</v>
      </c>
      <c r="G536" s="2" t="s">
        <v>162</v>
      </c>
      <c r="H536" s="2" t="s">
        <v>152</v>
      </c>
      <c r="I536" s="2" t="s">
        <v>153</v>
      </c>
      <c r="J536" s="17">
        <v>45908</v>
      </c>
      <c r="K536" s="17">
        <v>45922</v>
      </c>
      <c r="L536" s="17"/>
      <c r="M536" s="17">
        <v>45938</v>
      </c>
      <c r="N536" s="18">
        <v>8514.7099999999991</v>
      </c>
    </row>
    <row r="537" spans="1:14" ht="15" customHeight="1" x14ac:dyDescent="0.25">
      <c r="A537" s="2" t="s">
        <v>694</v>
      </c>
      <c r="B537" s="17">
        <v>45925</v>
      </c>
      <c r="C537" s="2" t="s">
        <v>19</v>
      </c>
      <c r="D537" s="2" t="s">
        <v>26</v>
      </c>
      <c r="E537" s="2" t="s">
        <v>186</v>
      </c>
      <c r="F537" s="2" t="s">
        <v>156</v>
      </c>
      <c r="G537" s="2" t="s">
        <v>207</v>
      </c>
      <c r="H537" s="2" t="s">
        <v>152</v>
      </c>
      <c r="I537" s="2" t="s">
        <v>153</v>
      </c>
      <c r="J537" s="17">
        <v>45935</v>
      </c>
      <c r="K537" s="17"/>
      <c r="L537" s="17"/>
      <c r="M537" s="17">
        <v>45952</v>
      </c>
      <c r="N537" s="18">
        <v>570.89</v>
      </c>
    </row>
    <row r="538" spans="1:14" ht="15" customHeight="1" x14ac:dyDescent="0.25">
      <c r="A538" s="2" t="s">
        <v>695</v>
      </c>
      <c r="B538" s="17">
        <v>45682</v>
      </c>
      <c r="C538" s="2" t="s">
        <v>20</v>
      </c>
      <c r="D538" s="2" t="s">
        <v>25</v>
      </c>
      <c r="E538" s="2" t="s">
        <v>186</v>
      </c>
      <c r="F538" s="2" t="s">
        <v>161</v>
      </c>
      <c r="G538" s="2" t="s">
        <v>167</v>
      </c>
      <c r="H538" s="2" t="s">
        <v>152</v>
      </c>
      <c r="I538" s="2" t="s">
        <v>153</v>
      </c>
      <c r="J538" s="17">
        <v>45688</v>
      </c>
      <c r="K538" s="17"/>
      <c r="L538" s="17"/>
      <c r="M538" s="17">
        <v>45699</v>
      </c>
      <c r="N538" s="18">
        <v>1965.22</v>
      </c>
    </row>
    <row r="539" spans="1:14" ht="15" customHeight="1" x14ac:dyDescent="0.25">
      <c r="A539" s="2" t="s">
        <v>696</v>
      </c>
      <c r="B539" s="17">
        <v>45660</v>
      </c>
      <c r="C539" s="2" t="s">
        <v>20</v>
      </c>
      <c r="D539" s="2" t="s">
        <v>27</v>
      </c>
      <c r="E539" s="2" t="s">
        <v>160</v>
      </c>
      <c r="F539" s="2" t="s">
        <v>150</v>
      </c>
      <c r="G539" s="2" t="s">
        <v>167</v>
      </c>
      <c r="H539" s="2" t="s">
        <v>2</v>
      </c>
      <c r="I539" s="2" t="s">
        <v>153</v>
      </c>
      <c r="J539" s="17">
        <v>45667</v>
      </c>
      <c r="K539" s="17">
        <v>45672</v>
      </c>
      <c r="L539" s="17">
        <v>45693</v>
      </c>
      <c r="M539" s="17"/>
      <c r="N539" s="18">
        <v>9137.25</v>
      </c>
    </row>
    <row r="540" spans="1:14" ht="15" customHeight="1" x14ac:dyDescent="0.25">
      <c r="A540" s="2" t="s">
        <v>697</v>
      </c>
      <c r="B540" s="17">
        <v>45975</v>
      </c>
      <c r="C540" s="2" t="s">
        <v>21</v>
      </c>
      <c r="D540" s="2" t="s">
        <v>26</v>
      </c>
      <c r="E540" s="2" t="s">
        <v>149</v>
      </c>
      <c r="F540" s="2" t="s">
        <v>156</v>
      </c>
      <c r="G540" s="2" t="s">
        <v>183</v>
      </c>
      <c r="H540" s="2" t="s">
        <v>152</v>
      </c>
      <c r="I540" s="2" t="s">
        <v>153</v>
      </c>
      <c r="J540" s="17">
        <v>45985</v>
      </c>
      <c r="K540" s="17"/>
      <c r="L540" s="17"/>
      <c r="M540" s="17">
        <v>46002</v>
      </c>
      <c r="N540" s="18">
        <v>810.14</v>
      </c>
    </row>
    <row r="541" spans="1:14" ht="15" customHeight="1" x14ac:dyDescent="0.25">
      <c r="A541" s="2" t="s">
        <v>698</v>
      </c>
      <c r="B541" s="17">
        <v>45682</v>
      </c>
      <c r="C541" s="2" t="s">
        <v>21</v>
      </c>
      <c r="D541" s="2" t="s">
        <v>25</v>
      </c>
      <c r="E541" s="2" t="s">
        <v>160</v>
      </c>
      <c r="F541" s="2" t="s">
        <v>156</v>
      </c>
      <c r="G541" s="2" t="s">
        <v>183</v>
      </c>
      <c r="H541" s="2" t="s">
        <v>152</v>
      </c>
      <c r="I541" s="2" t="s">
        <v>153</v>
      </c>
      <c r="J541" s="17">
        <v>45688</v>
      </c>
      <c r="K541" s="17">
        <v>45700</v>
      </c>
      <c r="L541" s="17"/>
      <c r="M541" s="17">
        <v>45711</v>
      </c>
      <c r="N541" s="18">
        <v>982.64</v>
      </c>
    </row>
    <row r="542" spans="1:14" ht="15" customHeight="1" x14ac:dyDescent="0.25">
      <c r="A542" s="2" t="s">
        <v>699</v>
      </c>
      <c r="B542" s="17">
        <v>45907</v>
      </c>
      <c r="C542" s="2" t="s">
        <v>19</v>
      </c>
      <c r="D542" s="2" t="s">
        <v>25</v>
      </c>
      <c r="E542" s="2" t="s">
        <v>155</v>
      </c>
      <c r="F542" s="2" t="s">
        <v>161</v>
      </c>
      <c r="G542" s="2" t="s">
        <v>179</v>
      </c>
      <c r="H542" s="2" t="s">
        <v>152</v>
      </c>
      <c r="I542" s="2" t="s">
        <v>163</v>
      </c>
      <c r="J542" s="17"/>
      <c r="K542" s="17"/>
      <c r="L542" s="17"/>
      <c r="M542" s="17">
        <v>45923</v>
      </c>
      <c r="N542" s="18">
        <v>1896.07</v>
      </c>
    </row>
    <row r="543" spans="1:14" ht="15" customHeight="1" x14ac:dyDescent="0.25">
      <c r="A543" s="2" t="s">
        <v>700</v>
      </c>
      <c r="B543" s="17">
        <v>45818</v>
      </c>
      <c r="C543" s="2" t="s">
        <v>22</v>
      </c>
      <c r="D543" s="2" t="s">
        <v>28</v>
      </c>
      <c r="E543" s="2" t="s">
        <v>149</v>
      </c>
      <c r="F543" s="2" t="s">
        <v>156</v>
      </c>
      <c r="G543" s="2" t="s">
        <v>151</v>
      </c>
      <c r="H543" s="2" t="s">
        <v>152</v>
      </c>
      <c r="I543" s="2" t="s">
        <v>153</v>
      </c>
      <c r="J543" s="17">
        <v>45822</v>
      </c>
      <c r="K543" s="17"/>
      <c r="L543" s="17"/>
      <c r="M543" s="17">
        <v>45831</v>
      </c>
      <c r="N543" s="18">
        <v>758.84</v>
      </c>
    </row>
    <row r="544" spans="1:14" ht="15" customHeight="1" x14ac:dyDescent="0.25">
      <c r="A544" s="2" t="s">
        <v>701</v>
      </c>
      <c r="B544" s="17">
        <v>45860</v>
      </c>
      <c r="C544" s="2" t="s">
        <v>18</v>
      </c>
      <c r="D544" s="2" t="s">
        <v>24</v>
      </c>
      <c r="E544" s="2" t="s">
        <v>149</v>
      </c>
      <c r="F544" s="2" t="s">
        <v>156</v>
      </c>
      <c r="G544" s="2" t="s">
        <v>251</v>
      </c>
      <c r="H544" s="2" t="s">
        <v>152</v>
      </c>
      <c r="I544" s="2" t="s">
        <v>153</v>
      </c>
      <c r="J544" s="17">
        <v>45865</v>
      </c>
      <c r="K544" s="17">
        <v>45874</v>
      </c>
      <c r="L544" s="17"/>
      <c r="M544" s="17">
        <v>45898</v>
      </c>
      <c r="N544" s="18">
        <v>1036.24</v>
      </c>
    </row>
    <row r="545" spans="1:14" ht="15" customHeight="1" x14ac:dyDescent="0.25">
      <c r="A545" s="2" t="s">
        <v>702</v>
      </c>
      <c r="B545" s="17">
        <v>45799</v>
      </c>
      <c r="C545" s="2" t="s">
        <v>22</v>
      </c>
      <c r="D545" s="2" t="s">
        <v>24</v>
      </c>
      <c r="E545" s="2" t="s">
        <v>155</v>
      </c>
      <c r="F545" s="2" t="s">
        <v>156</v>
      </c>
      <c r="G545" s="2" t="s">
        <v>151</v>
      </c>
      <c r="H545" s="2" t="s">
        <v>152</v>
      </c>
      <c r="I545" s="2" t="s">
        <v>163</v>
      </c>
      <c r="J545" s="17"/>
      <c r="K545" s="17"/>
      <c r="L545" s="17"/>
      <c r="M545" s="17">
        <v>45808</v>
      </c>
      <c r="N545" s="18">
        <v>437.86</v>
      </c>
    </row>
    <row r="546" spans="1:14" ht="15" customHeight="1" x14ac:dyDescent="0.25">
      <c r="A546" s="2" t="s">
        <v>703</v>
      </c>
      <c r="B546" s="17">
        <v>46004</v>
      </c>
      <c r="C546" s="2" t="s">
        <v>19</v>
      </c>
      <c r="D546" s="2" t="s">
        <v>26</v>
      </c>
      <c r="E546" s="2" t="s">
        <v>155</v>
      </c>
      <c r="F546" s="2" t="s">
        <v>156</v>
      </c>
      <c r="G546" s="2" t="s">
        <v>179</v>
      </c>
      <c r="H546" s="2" t="s">
        <v>158</v>
      </c>
      <c r="I546" s="2" t="s">
        <v>153</v>
      </c>
      <c r="J546" s="17">
        <v>46013</v>
      </c>
      <c r="K546" s="17">
        <v>46023</v>
      </c>
      <c r="L546" s="17"/>
      <c r="M546" s="17"/>
      <c r="N546" s="18">
        <v>566.63</v>
      </c>
    </row>
    <row r="547" spans="1:14" ht="15" customHeight="1" x14ac:dyDescent="0.25">
      <c r="A547" s="2" t="s">
        <v>704</v>
      </c>
      <c r="B547" s="17">
        <v>45984</v>
      </c>
      <c r="C547" s="2" t="s">
        <v>21</v>
      </c>
      <c r="D547" s="2" t="s">
        <v>24</v>
      </c>
      <c r="E547" s="2" t="s">
        <v>149</v>
      </c>
      <c r="F547" s="2" t="s">
        <v>161</v>
      </c>
      <c r="G547" s="2" t="s">
        <v>176</v>
      </c>
      <c r="H547" s="2" t="s">
        <v>152</v>
      </c>
      <c r="I547" s="2" t="s">
        <v>153</v>
      </c>
      <c r="J547" s="17">
        <v>45992</v>
      </c>
      <c r="K547" s="17">
        <v>46002</v>
      </c>
      <c r="L547" s="17"/>
      <c r="M547" s="17">
        <v>46014</v>
      </c>
      <c r="N547" s="18">
        <v>2478.6799999999998</v>
      </c>
    </row>
    <row r="548" spans="1:14" ht="15" customHeight="1" x14ac:dyDescent="0.25">
      <c r="A548" s="2" t="s">
        <v>705</v>
      </c>
      <c r="B548" s="17">
        <v>45961</v>
      </c>
      <c r="C548" s="2" t="s">
        <v>22</v>
      </c>
      <c r="D548" s="2" t="s">
        <v>24</v>
      </c>
      <c r="E548" s="2" t="s">
        <v>149</v>
      </c>
      <c r="F548" s="2" t="s">
        <v>156</v>
      </c>
      <c r="G548" s="2" t="s">
        <v>170</v>
      </c>
      <c r="H548" s="2" t="s">
        <v>152</v>
      </c>
      <c r="I548" s="2" t="s">
        <v>163</v>
      </c>
      <c r="J548" s="17"/>
      <c r="K548" s="17"/>
      <c r="L548" s="17"/>
      <c r="M548" s="17">
        <v>45968</v>
      </c>
      <c r="N548" s="18">
        <v>1062.6199999999999</v>
      </c>
    </row>
    <row r="549" spans="1:14" ht="15" customHeight="1" x14ac:dyDescent="0.25">
      <c r="A549" s="2" t="s">
        <v>706</v>
      </c>
      <c r="B549" s="17">
        <v>45835</v>
      </c>
      <c r="C549" s="2" t="s">
        <v>2965</v>
      </c>
      <c r="D549" s="2" t="s">
        <v>25</v>
      </c>
      <c r="E549" s="2" t="s">
        <v>155</v>
      </c>
      <c r="F549" s="2" t="s">
        <v>161</v>
      </c>
      <c r="G549" s="2" t="s">
        <v>189</v>
      </c>
      <c r="H549" s="2" t="s">
        <v>152</v>
      </c>
      <c r="I549" s="2" t="s">
        <v>163</v>
      </c>
      <c r="J549" s="17"/>
      <c r="K549" s="17"/>
      <c r="L549" s="17"/>
      <c r="M549" s="17">
        <v>45849</v>
      </c>
      <c r="N549" s="18">
        <v>2030.94</v>
      </c>
    </row>
    <row r="550" spans="1:14" ht="15" customHeight="1" x14ac:dyDescent="0.25">
      <c r="A550" s="2" t="s">
        <v>707</v>
      </c>
      <c r="B550" s="17">
        <v>45790</v>
      </c>
      <c r="C550" s="2" t="s">
        <v>21</v>
      </c>
      <c r="D550" s="2" t="s">
        <v>25</v>
      </c>
      <c r="E550" s="2" t="s">
        <v>155</v>
      </c>
      <c r="F550" s="2" t="s">
        <v>156</v>
      </c>
      <c r="G550" s="2" t="s">
        <v>162</v>
      </c>
      <c r="H550" s="2" t="s">
        <v>152</v>
      </c>
      <c r="I550" s="2" t="s">
        <v>153</v>
      </c>
      <c r="J550" s="17">
        <v>45797</v>
      </c>
      <c r="K550" s="17"/>
      <c r="L550" s="17"/>
      <c r="M550" s="17">
        <v>45806</v>
      </c>
      <c r="N550" s="18">
        <v>537.45000000000005</v>
      </c>
    </row>
    <row r="551" spans="1:14" ht="15" customHeight="1" x14ac:dyDescent="0.25">
      <c r="A551" s="2" t="s">
        <v>708</v>
      </c>
      <c r="B551" s="17">
        <v>45745</v>
      </c>
      <c r="C551" s="2" t="s">
        <v>22</v>
      </c>
      <c r="D551" s="2" t="s">
        <v>25</v>
      </c>
      <c r="E551" s="2" t="s">
        <v>155</v>
      </c>
      <c r="F551" s="2" t="s">
        <v>161</v>
      </c>
      <c r="G551" s="2" t="s">
        <v>165</v>
      </c>
      <c r="H551" s="2" t="s">
        <v>152</v>
      </c>
      <c r="I551" s="2" t="s">
        <v>163</v>
      </c>
      <c r="J551" s="17"/>
      <c r="K551" s="17"/>
      <c r="L551" s="17"/>
      <c r="M551" s="17">
        <v>45762</v>
      </c>
      <c r="N551" s="18">
        <v>1219.5999999999999</v>
      </c>
    </row>
    <row r="552" spans="1:14" ht="15" customHeight="1" x14ac:dyDescent="0.25">
      <c r="A552" s="2" t="s">
        <v>709</v>
      </c>
      <c r="B552" s="17">
        <v>45713</v>
      </c>
      <c r="C552" s="2" t="s">
        <v>20</v>
      </c>
      <c r="D552" s="2" t="s">
        <v>28</v>
      </c>
      <c r="E552" s="2" t="s">
        <v>149</v>
      </c>
      <c r="F552" s="2" t="s">
        <v>161</v>
      </c>
      <c r="G552" s="2" t="s">
        <v>189</v>
      </c>
      <c r="H552" s="2" t="s">
        <v>152</v>
      </c>
      <c r="I552" s="2" t="s">
        <v>153</v>
      </c>
      <c r="J552" s="17">
        <v>45721</v>
      </c>
      <c r="K552" s="17"/>
      <c r="L552" s="17"/>
      <c r="M552" s="17">
        <v>45727</v>
      </c>
      <c r="N552" s="18">
        <v>1918.19</v>
      </c>
    </row>
    <row r="553" spans="1:14" ht="15" customHeight="1" x14ac:dyDescent="0.25">
      <c r="A553" s="2" t="s">
        <v>710</v>
      </c>
      <c r="B553" s="17">
        <v>45787</v>
      </c>
      <c r="C553" s="2" t="s">
        <v>18</v>
      </c>
      <c r="D553" s="2" t="s">
        <v>24</v>
      </c>
      <c r="E553" s="2" t="s">
        <v>160</v>
      </c>
      <c r="F553" s="2" t="s">
        <v>156</v>
      </c>
      <c r="G553" s="2" t="s">
        <v>201</v>
      </c>
      <c r="H553" s="2" t="s">
        <v>152</v>
      </c>
      <c r="I553" s="2" t="s">
        <v>163</v>
      </c>
      <c r="J553" s="17"/>
      <c r="K553" s="17"/>
      <c r="L553" s="17"/>
      <c r="M553" s="17">
        <v>45791</v>
      </c>
      <c r="N553" s="18">
        <v>844.47</v>
      </c>
    </row>
    <row r="554" spans="1:14" ht="15" customHeight="1" x14ac:dyDescent="0.25">
      <c r="A554" s="2" t="s">
        <v>711</v>
      </c>
      <c r="B554" s="17">
        <v>45764</v>
      </c>
      <c r="C554" s="2" t="s">
        <v>19</v>
      </c>
      <c r="D554" s="2" t="s">
        <v>26</v>
      </c>
      <c r="E554" s="2" t="s">
        <v>186</v>
      </c>
      <c r="F554" s="2" t="s">
        <v>150</v>
      </c>
      <c r="G554" s="2" t="s">
        <v>179</v>
      </c>
      <c r="H554" s="2" t="s">
        <v>2</v>
      </c>
      <c r="I554" s="2" t="s">
        <v>153</v>
      </c>
      <c r="J554" s="17">
        <v>45771</v>
      </c>
      <c r="K554" s="17">
        <v>45772</v>
      </c>
      <c r="L554" s="17">
        <v>45785</v>
      </c>
      <c r="M554" s="17"/>
      <c r="N554" s="18">
        <v>8612.4599999999991</v>
      </c>
    </row>
    <row r="555" spans="1:14" ht="15" customHeight="1" x14ac:dyDescent="0.25">
      <c r="A555" s="2" t="s">
        <v>712</v>
      </c>
      <c r="B555" s="17">
        <v>45748</v>
      </c>
      <c r="C555" s="2" t="s">
        <v>20</v>
      </c>
      <c r="D555" s="2" t="s">
        <v>27</v>
      </c>
      <c r="E555" s="2" t="s">
        <v>160</v>
      </c>
      <c r="F555" s="2" t="s">
        <v>156</v>
      </c>
      <c r="G555" s="2" t="s">
        <v>167</v>
      </c>
      <c r="H555" s="2" t="s">
        <v>152</v>
      </c>
      <c r="I555" s="2" t="s">
        <v>163</v>
      </c>
      <c r="J555" s="17"/>
      <c r="K555" s="17"/>
      <c r="L555" s="17"/>
      <c r="M555" s="17">
        <v>45765</v>
      </c>
      <c r="N555" s="18">
        <v>950.31</v>
      </c>
    </row>
    <row r="556" spans="1:14" ht="15" customHeight="1" x14ac:dyDescent="0.25">
      <c r="A556" s="2" t="s">
        <v>713</v>
      </c>
      <c r="B556" s="17">
        <v>46001</v>
      </c>
      <c r="C556" s="2" t="s">
        <v>19</v>
      </c>
      <c r="D556" s="2" t="s">
        <v>26</v>
      </c>
      <c r="E556" s="2" t="s">
        <v>160</v>
      </c>
      <c r="F556" s="2" t="s">
        <v>161</v>
      </c>
      <c r="G556" s="2" t="s">
        <v>207</v>
      </c>
      <c r="H556" s="2" t="s">
        <v>15</v>
      </c>
      <c r="I556" s="2" t="s">
        <v>153</v>
      </c>
      <c r="J556" s="17">
        <v>46008</v>
      </c>
      <c r="K556" s="17"/>
      <c r="L556" s="17"/>
      <c r="M556" s="17"/>
      <c r="N556" s="18">
        <v>2661.01</v>
      </c>
    </row>
    <row r="557" spans="1:14" ht="15" customHeight="1" x14ac:dyDescent="0.25">
      <c r="A557" s="2" t="s">
        <v>714</v>
      </c>
      <c r="B557" s="17">
        <v>45832</v>
      </c>
      <c r="C557" s="2" t="s">
        <v>20</v>
      </c>
      <c r="D557" s="2" t="s">
        <v>27</v>
      </c>
      <c r="E557" s="2" t="s">
        <v>186</v>
      </c>
      <c r="F557" s="2" t="s">
        <v>156</v>
      </c>
      <c r="G557" s="2" t="s">
        <v>189</v>
      </c>
      <c r="H557" s="2" t="s">
        <v>152</v>
      </c>
      <c r="I557" s="2" t="s">
        <v>153</v>
      </c>
      <c r="J557" s="17">
        <v>45842</v>
      </c>
      <c r="K557" s="17">
        <v>45850</v>
      </c>
      <c r="L557" s="17"/>
      <c r="M557" s="17">
        <v>45873</v>
      </c>
      <c r="N557" s="18">
        <v>767.33</v>
      </c>
    </row>
    <row r="558" spans="1:14" ht="15" customHeight="1" x14ac:dyDescent="0.25">
      <c r="A558" s="2" t="s">
        <v>715</v>
      </c>
      <c r="B558" s="17">
        <v>45829</v>
      </c>
      <c r="C558" s="2" t="s">
        <v>22</v>
      </c>
      <c r="D558" s="2" t="s">
        <v>27</v>
      </c>
      <c r="E558" s="2" t="s">
        <v>155</v>
      </c>
      <c r="F558" s="2" t="s">
        <v>161</v>
      </c>
      <c r="G558" s="2" t="s">
        <v>165</v>
      </c>
      <c r="H558" s="2" t="s">
        <v>152</v>
      </c>
      <c r="I558" s="2" t="s">
        <v>153</v>
      </c>
      <c r="J558" s="17">
        <v>45839</v>
      </c>
      <c r="K558" s="17"/>
      <c r="L558" s="17"/>
      <c r="M558" s="17">
        <v>45845</v>
      </c>
      <c r="N558" s="18">
        <v>1228.25</v>
      </c>
    </row>
    <row r="559" spans="1:14" ht="15" customHeight="1" x14ac:dyDescent="0.25">
      <c r="A559" s="2" t="s">
        <v>716</v>
      </c>
      <c r="B559" s="17">
        <v>45912</v>
      </c>
      <c r="C559" s="2" t="s">
        <v>21</v>
      </c>
      <c r="D559" s="2" t="s">
        <v>24</v>
      </c>
      <c r="E559" s="2" t="s">
        <v>149</v>
      </c>
      <c r="F559" s="2" t="s">
        <v>161</v>
      </c>
      <c r="G559" s="2" t="s">
        <v>183</v>
      </c>
      <c r="H559" s="2" t="s">
        <v>152</v>
      </c>
      <c r="I559" s="2" t="s">
        <v>163</v>
      </c>
      <c r="J559" s="17"/>
      <c r="K559" s="17"/>
      <c r="L559" s="17"/>
      <c r="M559" s="17">
        <v>45914</v>
      </c>
      <c r="N559" s="18">
        <v>3264.47</v>
      </c>
    </row>
    <row r="560" spans="1:14" ht="15" customHeight="1" x14ac:dyDescent="0.25">
      <c r="A560" s="2" t="s">
        <v>717</v>
      </c>
      <c r="B560" s="17">
        <v>45730</v>
      </c>
      <c r="C560" s="2" t="s">
        <v>20</v>
      </c>
      <c r="D560" s="2" t="s">
        <v>26</v>
      </c>
      <c r="E560" s="2" t="s">
        <v>149</v>
      </c>
      <c r="F560" s="2" t="s">
        <v>156</v>
      </c>
      <c r="G560" s="2" t="s">
        <v>189</v>
      </c>
      <c r="H560" s="2" t="s">
        <v>152</v>
      </c>
      <c r="I560" s="2" t="s">
        <v>163</v>
      </c>
      <c r="J560" s="17"/>
      <c r="K560" s="17"/>
      <c r="L560" s="17"/>
      <c r="M560" s="17">
        <v>45739</v>
      </c>
      <c r="N560" s="18">
        <v>1006.78</v>
      </c>
    </row>
    <row r="561" spans="1:14" ht="15" customHeight="1" x14ac:dyDescent="0.25">
      <c r="A561" s="2" t="s">
        <v>718</v>
      </c>
      <c r="B561" s="17">
        <v>45999</v>
      </c>
      <c r="C561" s="2" t="s">
        <v>18</v>
      </c>
      <c r="D561" s="2" t="s">
        <v>26</v>
      </c>
      <c r="E561" s="2" t="s">
        <v>160</v>
      </c>
      <c r="F561" s="2" t="s">
        <v>156</v>
      </c>
      <c r="G561" s="2" t="s">
        <v>201</v>
      </c>
      <c r="H561" s="2" t="s">
        <v>2</v>
      </c>
      <c r="I561" s="2" t="s">
        <v>153</v>
      </c>
      <c r="J561" s="17">
        <v>46005</v>
      </c>
      <c r="K561" s="17">
        <v>46015</v>
      </c>
      <c r="L561" s="17">
        <v>46037</v>
      </c>
      <c r="M561" s="17"/>
      <c r="N561" s="18">
        <v>627.35</v>
      </c>
    </row>
    <row r="562" spans="1:14" ht="15" customHeight="1" x14ac:dyDescent="0.25">
      <c r="A562" s="2" t="s">
        <v>719</v>
      </c>
      <c r="B562" s="17">
        <v>45942</v>
      </c>
      <c r="C562" s="2" t="s">
        <v>22</v>
      </c>
      <c r="D562" s="2" t="s">
        <v>25</v>
      </c>
      <c r="E562" s="2" t="s">
        <v>160</v>
      </c>
      <c r="F562" s="2" t="s">
        <v>161</v>
      </c>
      <c r="G562" s="2" t="s">
        <v>170</v>
      </c>
      <c r="H562" s="2" t="s">
        <v>152</v>
      </c>
      <c r="I562" s="2" t="s">
        <v>163</v>
      </c>
      <c r="J562" s="17"/>
      <c r="K562" s="17"/>
      <c r="L562" s="17"/>
      <c r="M562" s="17">
        <v>45947</v>
      </c>
      <c r="N562" s="18">
        <v>3169.82</v>
      </c>
    </row>
    <row r="563" spans="1:14" ht="15" customHeight="1" x14ac:dyDescent="0.25">
      <c r="A563" s="2" t="s">
        <v>720</v>
      </c>
      <c r="B563" s="17">
        <v>45707</v>
      </c>
      <c r="C563" s="2" t="s">
        <v>20</v>
      </c>
      <c r="D563" s="2" t="s">
        <v>25</v>
      </c>
      <c r="E563" s="2" t="s">
        <v>186</v>
      </c>
      <c r="F563" s="2" t="s">
        <v>156</v>
      </c>
      <c r="G563" s="2" t="s">
        <v>192</v>
      </c>
      <c r="H563" s="2" t="s">
        <v>2</v>
      </c>
      <c r="I563" s="2" t="s">
        <v>153</v>
      </c>
      <c r="J563" s="17">
        <v>45709</v>
      </c>
      <c r="K563" s="17">
        <v>45720</v>
      </c>
      <c r="L563" s="17">
        <v>45724</v>
      </c>
      <c r="M563" s="17"/>
      <c r="N563" s="18">
        <v>673.59</v>
      </c>
    </row>
    <row r="564" spans="1:14" ht="15" customHeight="1" x14ac:dyDescent="0.25">
      <c r="A564" s="2" t="s">
        <v>721</v>
      </c>
      <c r="B564" s="17">
        <v>45831</v>
      </c>
      <c r="C564" s="2" t="s">
        <v>20</v>
      </c>
      <c r="D564" s="2" t="s">
        <v>25</v>
      </c>
      <c r="E564" s="2" t="s">
        <v>155</v>
      </c>
      <c r="F564" s="2" t="s">
        <v>156</v>
      </c>
      <c r="G564" s="2" t="s">
        <v>167</v>
      </c>
      <c r="H564" s="2" t="s">
        <v>2</v>
      </c>
      <c r="I564" s="2" t="s">
        <v>153</v>
      </c>
      <c r="J564" s="17">
        <v>45834</v>
      </c>
      <c r="K564" s="17">
        <v>45843</v>
      </c>
      <c r="L564" s="17">
        <v>45859</v>
      </c>
      <c r="M564" s="17"/>
      <c r="N564" s="18">
        <v>657.93</v>
      </c>
    </row>
    <row r="565" spans="1:14" ht="15" customHeight="1" x14ac:dyDescent="0.25">
      <c r="A565" s="2" t="s">
        <v>722</v>
      </c>
      <c r="B565" s="17">
        <v>45865</v>
      </c>
      <c r="C565" s="2" t="s">
        <v>19</v>
      </c>
      <c r="D565" s="2" t="s">
        <v>27</v>
      </c>
      <c r="E565" s="2" t="s">
        <v>149</v>
      </c>
      <c r="F565" s="2" t="s">
        <v>156</v>
      </c>
      <c r="G565" s="2" t="s">
        <v>210</v>
      </c>
      <c r="H565" s="2" t="s">
        <v>152</v>
      </c>
      <c r="I565" s="2" t="s">
        <v>153</v>
      </c>
      <c r="J565" s="17">
        <v>45869</v>
      </c>
      <c r="K565" s="17">
        <v>45882</v>
      </c>
      <c r="L565" s="17"/>
      <c r="M565" s="17">
        <v>45899</v>
      </c>
      <c r="N565" s="18">
        <v>1086.55</v>
      </c>
    </row>
    <row r="566" spans="1:14" ht="15" customHeight="1" x14ac:dyDescent="0.25">
      <c r="A566" s="2" t="s">
        <v>723</v>
      </c>
      <c r="B566" s="17">
        <v>45977</v>
      </c>
      <c r="C566" s="2" t="s">
        <v>22</v>
      </c>
      <c r="D566" s="2" t="s">
        <v>27</v>
      </c>
      <c r="E566" s="2" t="s">
        <v>186</v>
      </c>
      <c r="F566" s="2" t="s">
        <v>156</v>
      </c>
      <c r="G566" s="2" t="s">
        <v>165</v>
      </c>
      <c r="H566" s="2" t="s">
        <v>2</v>
      </c>
      <c r="I566" s="2" t="s">
        <v>153</v>
      </c>
      <c r="J566" s="17">
        <v>45982</v>
      </c>
      <c r="K566" s="17">
        <v>45985</v>
      </c>
      <c r="L566" s="17">
        <v>46011</v>
      </c>
      <c r="M566" s="17"/>
      <c r="N566" s="18">
        <v>849.15</v>
      </c>
    </row>
    <row r="567" spans="1:14" ht="15" customHeight="1" x14ac:dyDescent="0.25">
      <c r="A567" s="2" t="s">
        <v>724</v>
      </c>
      <c r="B567" s="17">
        <v>45793</v>
      </c>
      <c r="C567" s="2" t="s">
        <v>22</v>
      </c>
      <c r="D567" s="2" t="s">
        <v>28</v>
      </c>
      <c r="E567" s="2" t="s">
        <v>149</v>
      </c>
      <c r="F567" s="2" t="s">
        <v>156</v>
      </c>
      <c r="G567" s="2" t="s">
        <v>151</v>
      </c>
      <c r="H567" s="2" t="s">
        <v>152</v>
      </c>
      <c r="I567" s="2" t="s">
        <v>163</v>
      </c>
      <c r="J567" s="17"/>
      <c r="K567" s="17"/>
      <c r="L567" s="17"/>
      <c r="M567" s="17">
        <v>45805</v>
      </c>
      <c r="N567" s="18">
        <v>972.87</v>
      </c>
    </row>
    <row r="568" spans="1:14" ht="15" customHeight="1" x14ac:dyDescent="0.25">
      <c r="A568" s="2" t="s">
        <v>725</v>
      </c>
      <c r="B568" s="17">
        <v>45679</v>
      </c>
      <c r="C568" s="2" t="s">
        <v>19</v>
      </c>
      <c r="D568" s="2" t="s">
        <v>27</v>
      </c>
      <c r="E568" s="2" t="s">
        <v>155</v>
      </c>
      <c r="F568" s="2" t="s">
        <v>156</v>
      </c>
      <c r="G568" s="2" t="s">
        <v>179</v>
      </c>
      <c r="H568" s="2" t="s">
        <v>152</v>
      </c>
      <c r="I568" s="2" t="s">
        <v>163</v>
      </c>
      <c r="J568" s="17"/>
      <c r="K568" s="17"/>
      <c r="L568" s="17"/>
      <c r="M568" s="17">
        <v>45683</v>
      </c>
      <c r="N568" s="18">
        <v>393.17</v>
      </c>
    </row>
    <row r="569" spans="1:14" ht="15" customHeight="1" x14ac:dyDescent="0.25">
      <c r="A569" s="2" t="s">
        <v>726</v>
      </c>
      <c r="B569" s="17">
        <v>46020</v>
      </c>
      <c r="C569" s="2" t="s">
        <v>21</v>
      </c>
      <c r="D569" s="2" t="s">
        <v>27</v>
      </c>
      <c r="E569" s="2" t="s">
        <v>160</v>
      </c>
      <c r="F569" s="2" t="s">
        <v>156</v>
      </c>
      <c r="G569" s="2" t="s">
        <v>183</v>
      </c>
      <c r="H569" s="2" t="s">
        <v>15</v>
      </c>
      <c r="I569" s="2" t="s">
        <v>153</v>
      </c>
      <c r="J569" s="17">
        <v>46024</v>
      </c>
      <c r="K569" s="17"/>
      <c r="L569" s="17"/>
      <c r="M569" s="17"/>
      <c r="N569" s="18">
        <v>908.67</v>
      </c>
    </row>
    <row r="570" spans="1:14" ht="15" customHeight="1" x14ac:dyDescent="0.25">
      <c r="A570" s="2" t="s">
        <v>727</v>
      </c>
      <c r="B570" s="17">
        <v>45946</v>
      </c>
      <c r="C570" s="2" t="s">
        <v>22</v>
      </c>
      <c r="D570" s="2" t="s">
        <v>26</v>
      </c>
      <c r="E570" s="2" t="s">
        <v>149</v>
      </c>
      <c r="F570" s="2" t="s">
        <v>156</v>
      </c>
      <c r="G570" s="2" t="s">
        <v>165</v>
      </c>
      <c r="H570" s="2" t="s">
        <v>152</v>
      </c>
      <c r="I570" s="2" t="s">
        <v>153</v>
      </c>
      <c r="J570" s="17">
        <v>45952</v>
      </c>
      <c r="K570" s="17"/>
      <c r="L570" s="17"/>
      <c r="M570" s="17">
        <v>45961</v>
      </c>
      <c r="N570" s="18">
        <v>706.5</v>
      </c>
    </row>
    <row r="571" spans="1:14" ht="15" customHeight="1" x14ac:dyDescent="0.25">
      <c r="A571" s="2" t="s">
        <v>728</v>
      </c>
      <c r="B571" s="17">
        <v>45702</v>
      </c>
      <c r="C571" s="2" t="s">
        <v>20</v>
      </c>
      <c r="D571" s="2" t="s">
        <v>28</v>
      </c>
      <c r="E571" s="2" t="s">
        <v>149</v>
      </c>
      <c r="F571" s="2" t="s">
        <v>161</v>
      </c>
      <c r="G571" s="2" t="s">
        <v>189</v>
      </c>
      <c r="H571" s="2" t="s">
        <v>152</v>
      </c>
      <c r="I571" s="2" t="s">
        <v>153</v>
      </c>
      <c r="J571" s="17">
        <v>45712</v>
      </c>
      <c r="K571" s="17">
        <v>45723</v>
      </c>
      <c r="L571" s="17"/>
      <c r="M571" s="17">
        <v>45750</v>
      </c>
      <c r="N571" s="18">
        <v>1910.46</v>
      </c>
    </row>
    <row r="572" spans="1:14" ht="15" customHeight="1" x14ac:dyDescent="0.25">
      <c r="A572" s="2" t="s">
        <v>729</v>
      </c>
      <c r="B572" s="17">
        <v>45912</v>
      </c>
      <c r="C572" s="2" t="s">
        <v>19</v>
      </c>
      <c r="D572" s="2" t="s">
        <v>28</v>
      </c>
      <c r="E572" s="2" t="s">
        <v>149</v>
      </c>
      <c r="F572" s="2" t="s">
        <v>156</v>
      </c>
      <c r="G572" s="2" t="s">
        <v>207</v>
      </c>
      <c r="H572" s="2" t="s">
        <v>152</v>
      </c>
      <c r="I572" s="2" t="s">
        <v>153</v>
      </c>
      <c r="J572" s="17">
        <v>45915</v>
      </c>
      <c r="K572" s="17">
        <v>45928</v>
      </c>
      <c r="L572" s="17"/>
      <c r="M572" s="17">
        <v>45951</v>
      </c>
      <c r="N572" s="18">
        <v>825.19</v>
      </c>
    </row>
    <row r="573" spans="1:14" ht="15" customHeight="1" x14ac:dyDescent="0.25">
      <c r="A573" s="2" t="s">
        <v>730</v>
      </c>
      <c r="B573" s="17">
        <v>45682</v>
      </c>
      <c r="C573" s="2" t="s">
        <v>18</v>
      </c>
      <c r="D573" s="2" t="s">
        <v>25</v>
      </c>
      <c r="E573" s="2" t="s">
        <v>186</v>
      </c>
      <c r="F573" s="2" t="s">
        <v>156</v>
      </c>
      <c r="G573" s="2" t="s">
        <v>201</v>
      </c>
      <c r="H573" s="2" t="s">
        <v>152</v>
      </c>
      <c r="I573" s="2" t="s">
        <v>153</v>
      </c>
      <c r="J573" s="17">
        <v>45688</v>
      </c>
      <c r="K573" s="17"/>
      <c r="L573" s="17"/>
      <c r="M573" s="17">
        <v>45695</v>
      </c>
      <c r="N573" s="18">
        <v>853.28</v>
      </c>
    </row>
    <row r="574" spans="1:14" ht="15" customHeight="1" x14ac:dyDescent="0.25">
      <c r="A574" s="2" t="s">
        <v>731</v>
      </c>
      <c r="B574" s="17">
        <v>45755</v>
      </c>
      <c r="C574" s="2" t="s">
        <v>18</v>
      </c>
      <c r="D574" s="2" t="s">
        <v>26</v>
      </c>
      <c r="E574" s="2" t="s">
        <v>155</v>
      </c>
      <c r="F574" s="2" t="s">
        <v>156</v>
      </c>
      <c r="G574" s="2" t="s">
        <v>157</v>
      </c>
      <c r="H574" s="2" t="s">
        <v>152</v>
      </c>
      <c r="I574" s="2" t="s">
        <v>163</v>
      </c>
      <c r="J574" s="17"/>
      <c r="K574" s="17"/>
      <c r="L574" s="17"/>
      <c r="M574" s="17">
        <v>45771</v>
      </c>
      <c r="N574" s="18">
        <v>423.77</v>
      </c>
    </row>
    <row r="575" spans="1:14" ht="15" customHeight="1" x14ac:dyDescent="0.25">
      <c r="A575" s="2" t="s">
        <v>732</v>
      </c>
      <c r="B575" s="17">
        <v>45990</v>
      </c>
      <c r="C575" s="2" t="s">
        <v>20</v>
      </c>
      <c r="D575" s="2" t="s">
        <v>26</v>
      </c>
      <c r="E575" s="2" t="s">
        <v>155</v>
      </c>
      <c r="F575" s="2" t="s">
        <v>156</v>
      </c>
      <c r="G575" s="2" t="s">
        <v>192</v>
      </c>
      <c r="H575" s="2" t="s">
        <v>15</v>
      </c>
      <c r="I575" s="2" t="s">
        <v>153</v>
      </c>
      <c r="J575" s="17">
        <v>45992</v>
      </c>
      <c r="K575" s="17"/>
      <c r="L575" s="17"/>
      <c r="M575" s="17"/>
      <c r="N575" s="18">
        <v>476.79</v>
      </c>
    </row>
    <row r="576" spans="1:14" ht="15" customHeight="1" x14ac:dyDescent="0.25">
      <c r="A576" s="2" t="s">
        <v>733</v>
      </c>
      <c r="B576" s="17">
        <v>46022</v>
      </c>
      <c r="C576" s="2" t="s">
        <v>21</v>
      </c>
      <c r="D576" s="2" t="s">
        <v>25</v>
      </c>
      <c r="E576" s="2" t="s">
        <v>186</v>
      </c>
      <c r="F576" s="2" t="s">
        <v>156</v>
      </c>
      <c r="G576" s="2" t="s">
        <v>162</v>
      </c>
      <c r="H576" s="2" t="s">
        <v>158</v>
      </c>
      <c r="I576" s="2" t="s">
        <v>153</v>
      </c>
      <c r="J576" s="17">
        <v>46030</v>
      </c>
      <c r="K576" s="17">
        <v>46033</v>
      </c>
      <c r="L576" s="17"/>
      <c r="M576" s="17"/>
      <c r="N576" s="18">
        <v>687.46</v>
      </c>
    </row>
    <row r="577" spans="1:14" ht="15" customHeight="1" x14ac:dyDescent="0.25">
      <c r="A577" s="2" t="s">
        <v>734</v>
      </c>
      <c r="B577" s="17">
        <v>45759</v>
      </c>
      <c r="C577" s="2" t="s">
        <v>20</v>
      </c>
      <c r="D577" s="2" t="s">
        <v>26</v>
      </c>
      <c r="E577" s="2" t="s">
        <v>149</v>
      </c>
      <c r="F577" s="2" t="s">
        <v>150</v>
      </c>
      <c r="G577" s="2" t="s">
        <v>189</v>
      </c>
      <c r="H577" s="2" t="s">
        <v>152</v>
      </c>
      <c r="I577" s="2" t="s">
        <v>163</v>
      </c>
      <c r="J577" s="17"/>
      <c r="K577" s="17"/>
      <c r="L577" s="17"/>
      <c r="M577" s="17">
        <v>45776</v>
      </c>
      <c r="N577" s="18">
        <v>6486.89</v>
      </c>
    </row>
    <row r="578" spans="1:14" ht="15" customHeight="1" x14ac:dyDescent="0.25">
      <c r="A578" s="2" t="s">
        <v>735</v>
      </c>
      <c r="B578" s="17">
        <v>45796</v>
      </c>
      <c r="C578" s="2" t="s">
        <v>20</v>
      </c>
      <c r="D578" s="2" t="s">
        <v>25</v>
      </c>
      <c r="E578" s="2" t="s">
        <v>186</v>
      </c>
      <c r="F578" s="2" t="s">
        <v>161</v>
      </c>
      <c r="G578" s="2" t="s">
        <v>189</v>
      </c>
      <c r="H578" s="2" t="s">
        <v>2</v>
      </c>
      <c r="I578" s="2" t="s">
        <v>153</v>
      </c>
      <c r="J578" s="17">
        <v>45800</v>
      </c>
      <c r="K578" s="17">
        <v>45801</v>
      </c>
      <c r="L578" s="17">
        <v>45810</v>
      </c>
      <c r="M578" s="17"/>
      <c r="N578" s="18">
        <v>2736.44</v>
      </c>
    </row>
    <row r="579" spans="1:14" ht="15" customHeight="1" x14ac:dyDescent="0.25">
      <c r="A579" s="2" t="s">
        <v>736</v>
      </c>
      <c r="B579" s="17">
        <v>45794</v>
      </c>
      <c r="C579" s="2" t="s">
        <v>21</v>
      </c>
      <c r="D579" s="2" t="s">
        <v>25</v>
      </c>
      <c r="E579" s="2" t="s">
        <v>160</v>
      </c>
      <c r="F579" s="2" t="s">
        <v>161</v>
      </c>
      <c r="G579" s="2" t="s">
        <v>183</v>
      </c>
      <c r="H579" s="2" t="s">
        <v>2</v>
      </c>
      <c r="I579" s="2" t="s">
        <v>153</v>
      </c>
      <c r="J579" s="17">
        <v>45797</v>
      </c>
      <c r="K579" s="17">
        <v>45801</v>
      </c>
      <c r="L579" s="17">
        <v>45826</v>
      </c>
      <c r="M579" s="17"/>
      <c r="N579" s="18">
        <v>1713.99</v>
      </c>
    </row>
    <row r="580" spans="1:14" ht="15" customHeight="1" x14ac:dyDescent="0.25">
      <c r="A580" s="2" t="s">
        <v>737</v>
      </c>
      <c r="B580" s="17">
        <v>45898</v>
      </c>
      <c r="C580" s="2" t="s">
        <v>22</v>
      </c>
      <c r="D580" s="2" t="s">
        <v>28</v>
      </c>
      <c r="E580" s="2" t="s">
        <v>155</v>
      </c>
      <c r="F580" s="2" t="s">
        <v>156</v>
      </c>
      <c r="G580" s="2" t="s">
        <v>170</v>
      </c>
      <c r="H580" s="2" t="s">
        <v>152</v>
      </c>
      <c r="I580" s="2" t="s">
        <v>163</v>
      </c>
      <c r="J580" s="17"/>
      <c r="K580" s="17"/>
      <c r="L580" s="17"/>
      <c r="M580" s="17">
        <v>45917</v>
      </c>
      <c r="N580" s="18">
        <v>619.33000000000004</v>
      </c>
    </row>
    <row r="581" spans="1:14" ht="15" customHeight="1" x14ac:dyDescent="0.25">
      <c r="A581" s="2" t="s">
        <v>738</v>
      </c>
      <c r="B581" s="17">
        <v>45889</v>
      </c>
      <c r="C581" s="2" t="s">
        <v>19</v>
      </c>
      <c r="D581" s="2" t="s">
        <v>27</v>
      </c>
      <c r="E581" s="2" t="s">
        <v>186</v>
      </c>
      <c r="F581" s="2" t="s">
        <v>156</v>
      </c>
      <c r="G581" s="2" t="s">
        <v>210</v>
      </c>
      <c r="H581" s="2" t="s">
        <v>152</v>
      </c>
      <c r="I581" s="2" t="s">
        <v>153</v>
      </c>
      <c r="J581" s="17">
        <v>45891</v>
      </c>
      <c r="K581" s="17"/>
      <c r="L581" s="17"/>
      <c r="M581" s="17">
        <v>45899</v>
      </c>
      <c r="N581" s="18">
        <v>546.11</v>
      </c>
    </row>
    <row r="582" spans="1:14" ht="15" customHeight="1" x14ac:dyDescent="0.25">
      <c r="A582" s="2" t="s">
        <v>739</v>
      </c>
      <c r="B582" s="17">
        <v>45710</v>
      </c>
      <c r="C582" s="2" t="s">
        <v>19</v>
      </c>
      <c r="D582" s="2" t="s">
        <v>28</v>
      </c>
      <c r="E582" s="2" t="s">
        <v>160</v>
      </c>
      <c r="F582" s="2" t="s">
        <v>156</v>
      </c>
      <c r="G582" s="2" t="s">
        <v>179</v>
      </c>
      <c r="H582" s="2" t="s">
        <v>152</v>
      </c>
      <c r="I582" s="2" t="s">
        <v>163</v>
      </c>
      <c r="J582" s="17"/>
      <c r="K582" s="17"/>
      <c r="L582" s="17"/>
      <c r="M582" s="17">
        <v>45715</v>
      </c>
      <c r="N582" s="18">
        <v>778.84</v>
      </c>
    </row>
    <row r="583" spans="1:14" ht="15" customHeight="1" x14ac:dyDescent="0.25">
      <c r="A583" s="2" t="s">
        <v>740</v>
      </c>
      <c r="B583" s="17">
        <v>46019</v>
      </c>
      <c r="C583" s="2" t="s">
        <v>22</v>
      </c>
      <c r="D583" s="2" t="s">
        <v>25</v>
      </c>
      <c r="E583" s="2" t="s">
        <v>149</v>
      </c>
      <c r="F583" s="2" t="s">
        <v>156</v>
      </c>
      <c r="G583" s="2" t="s">
        <v>165</v>
      </c>
      <c r="H583" s="2" t="s">
        <v>158</v>
      </c>
      <c r="I583" s="2" t="s">
        <v>153</v>
      </c>
      <c r="J583" s="17">
        <v>46023</v>
      </c>
      <c r="K583" s="17">
        <v>46033</v>
      </c>
      <c r="L583" s="17"/>
      <c r="M583" s="17"/>
      <c r="N583" s="18">
        <v>721.31</v>
      </c>
    </row>
    <row r="584" spans="1:14" ht="15" customHeight="1" x14ac:dyDescent="0.25">
      <c r="A584" s="2" t="s">
        <v>741</v>
      </c>
      <c r="B584" s="17">
        <v>45978</v>
      </c>
      <c r="C584" s="2" t="s">
        <v>20</v>
      </c>
      <c r="D584" s="2" t="s">
        <v>27</v>
      </c>
      <c r="E584" s="2" t="s">
        <v>149</v>
      </c>
      <c r="F584" s="2" t="s">
        <v>156</v>
      </c>
      <c r="G584" s="2" t="s">
        <v>192</v>
      </c>
      <c r="H584" s="2" t="s">
        <v>152</v>
      </c>
      <c r="I584" s="2" t="s">
        <v>153</v>
      </c>
      <c r="J584" s="17">
        <v>45987</v>
      </c>
      <c r="K584" s="17">
        <v>45994</v>
      </c>
      <c r="L584" s="17"/>
      <c r="M584" s="17">
        <v>46000</v>
      </c>
      <c r="N584" s="18">
        <v>1131.93</v>
      </c>
    </row>
    <row r="585" spans="1:14" ht="15" customHeight="1" x14ac:dyDescent="0.25">
      <c r="A585" s="2" t="s">
        <v>57</v>
      </c>
      <c r="B585" s="17">
        <v>45740</v>
      </c>
      <c r="C585" s="2" t="s">
        <v>20</v>
      </c>
      <c r="E585" s="2" t="s">
        <v>149</v>
      </c>
      <c r="F585" s="2" t="s">
        <v>161</v>
      </c>
      <c r="G585" s="2" t="s">
        <v>192</v>
      </c>
      <c r="H585" s="2" t="s">
        <v>2</v>
      </c>
      <c r="I585" s="2" t="s">
        <v>153</v>
      </c>
      <c r="J585" s="17">
        <v>45744</v>
      </c>
      <c r="K585" s="17">
        <v>45759</v>
      </c>
      <c r="L585" s="17">
        <v>45762</v>
      </c>
      <c r="M585" s="17"/>
      <c r="N585" s="18">
        <v>1958.34</v>
      </c>
    </row>
    <row r="586" spans="1:14" ht="15" customHeight="1" x14ac:dyDescent="0.25">
      <c r="A586" s="2" t="s">
        <v>742</v>
      </c>
      <c r="B586" s="17">
        <v>46018</v>
      </c>
      <c r="C586" s="2" t="s">
        <v>18</v>
      </c>
      <c r="D586" s="2" t="s">
        <v>26</v>
      </c>
      <c r="E586" s="2" t="s">
        <v>155</v>
      </c>
      <c r="F586" s="2" t="s">
        <v>156</v>
      </c>
      <c r="G586" s="2" t="s">
        <v>157</v>
      </c>
      <c r="H586" s="2" t="s">
        <v>2</v>
      </c>
      <c r="I586" s="2" t="s">
        <v>153</v>
      </c>
      <c r="J586" s="17">
        <v>46024</v>
      </c>
      <c r="K586" s="17">
        <v>46026</v>
      </c>
      <c r="L586" s="17">
        <v>46035</v>
      </c>
      <c r="M586" s="17"/>
      <c r="N586" s="18">
        <v>605.41</v>
      </c>
    </row>
    <row r="587" spans="1:14" ht="15" customHeight="1" x14ac:dyDescent="0.25">
      <c r="A587" s="2" t="s">
        <v>743</v>
      </c>
      <c r="B587" s="17">
        <v>45986</v>
      </c>
      <c r="C587" s="2" t="s">
        <v>22</v>
      </c>
      <c r="D587" s="2" t="s">
        <v>25</v>
      </c>
      <c r="E587" s="2" t="s">
        <v>149</v>
      </c>
      <c r="F587" s="2" t="s">
        <v>156</v>
      </c>
      <c r="G587" s="2" t="s">
        <v>165</v>
      </c>
      <c r="H587" s="2" t="s">
        <v>152</v>
      </c>
      <c r="I587" s="2" t="s">
        <v>163</v>
      </c>
      <c r="J587" s="17"/>
      <c r="K587" s="17"/>
      <c r="L587" s="17"/>
      <c r="M587" s="17">
        <v>46004</v>
      </c>
      <c r="N587" s="18">
        <v>644.42999999999995</v>
      </c>
    </row>
    <row r="588" spans="1:14" ht="15" customHeight="1" x14ac:dyDescent="0.25">
      <c r="A588" s="2" t="s">
        <v>744</v>
      </c>
      <c r="B588" s="17">
        <v>45950</v>
      </c>
      <c r="C588" s="2" t="s">
        <v>18</v>
      </c>
      <c r="D588" s="2" t="s">
        <v>24</v>
      </c>
      <c r="E588" s="2" t="s">
        <v>155</v>
      </c>
      <c r="F588" s="2" t="s">
        <v>161</v>
      </c>
      <c r="G588" s="2" t="s">
        <v>201</v>
      </c>
      <c r="H588" s="2" t="s">
        <v>152</v>
      </c>
      <c r="I588" s="2" t="s">
        <v>163</v>
      </c>
      <c r="J588" s="17"/>
      <c r="K588" s="17"/>
      <c r="L588" s="17"/>
      <c r="M588" s="17">
        <v>45964</v>
      </c>
      <c r="N588" s="18">
        <v>1415.94</v>
      </c>
    </row>
    <row r="589" spans="1:14" ht="15" customHeight="1" x14ac:dyDescent="0.25">
      <c r="A589" s="2" t="s">
        <v>745</v>
      </c>
      <c r="B589" s="17">
        <v>45981</v>
      </c>
      <c r="C589" s="2" t="s">
        <v>22</v>
      </c>
      <c r="D589" s="2" t="s">
        <v>25</v>
      </c>
      <c r="E589" s="2" t="s">
        <v>160</v>
      </c>
      <c r="F589" s="2" t="s">
        <v>156</v>
      </c>
      <c r="G589" s="2" t="s">
        <v>165</v>
      </c>
      <c r="H589" s="2" t="s">
        <v>152</v>
      </c>
      <c r="I589" s="2" t="s">
        <v>153</v>
      </c>
      <c r="J589" s="17">
        <v>45987</v>
      </c>
      <c r="K589" s="17">
        <v>45990</v>
      </c>
      <c r="L589" s="17"/>
      <c r="M589" s="17">
        <v>46011</v>
      </c>
      <c r="N589" s="18">
        <v>778.33</v>
      </c>
    </row>
    <row r="590" spans="1:14" ht="15" customHeight="1" x14ac:dyDescent="0.25">
      <c r="A590" s="2" t="s">
        <v>746</v>
      </c>
      <c r="B590" s="17">
        <v>45869</v>
      </c>
      <c r="C590" s="2" t="s">
        <v>21</v>
      </c>
      <c r="D590" s="2" t="s">
        <v>25</v>
      </c>
      <c r="E590" s="2" t="s">
        <v>149</v>
      </c>
      <c r="F590" s="2" t="s">
        <v>156</v>
      </c>
      <c r="G590" s="2" t="s">
        <v>176</v>
      </c>
      <c r="H590" s="2" t="s">
        <v>2</v>
      </c>
      <c r="I590" s="2" t="s">
        <v>153</v>
      </c>
      <c r="J590" s="17">
        <v>45870</v>
      </c>
      <c r="K590" s="17">
        <v>45885</v>
      </c>
      <c r="L590" s="17">
        <v>45912</v>
      </c>
      <c r="M590" s="17"/>
      <c r="N590" s="18">
        <v>776.55</v>
      </c>
    </row>
    <row r="591" spans="1:14" ht="15" customHeight="1" x14ac:dyDescent="0.25">
      <c r="A591" s="2" t="s">
        <v>747</v>
      </c>
      <c r="B591" s="17">
        <v>45990</v>
      </c>
      <c r="C591" s="2" t="s">
        <v>18</v>
      </c>
      <c r="D591" s="2" t="s">
        <v>26</v>
      </c>
      <c r="E591" s="2" t="s">
        <v>149</v>
      </c>
      <c r="F591" s="2" t="s">
        <v>156</v>
      </c>
      <c r="G591" s="2" t="s">
        <v>201</v>
      </c>
      <c r="H591" s="2" t="s">
        <v>152</v>
      </c>
      <c r="I591" s="2" t="s">
        <v>163</v>
      </c>
      <c r="J591" s="17"/>
      <c r="K591" s="17"/>
      <c r="L591" s="17"/>
      <c r="M591" s="17">
        <v>46010</v>
      </c>
      <c r="N591" s="18">
        <v>692.45</v>
      </c>
    </row>
    <row r="592" spans="1:14" ht="15" customHeight="1" x14ac:dyDescent="0.25">
      <c r="A592" s="2" t="s">
        <v>748</v>
      </c>
      <c r="B592" s="17">
        <v>45880</v>
      </c>
      <c r="C592" s="2" t="s">
        <v>21</v>
      </c>
      <c r="D592" s="2" t="s">
        <v>28</v>
      </c>
      <c r="E592" s="2" t="s">
        <v>186</v>
      </c>
      <c r="F592" s="2" t="s">
        <v>156</v>
      </c>
      <c r="G592" s="2" t="s">
        <v>183</v>
      </c>
      <c r="H592" s="2" t="s">
        <v>152</v>
      </c>
      <c r="I592" s="2" t="s">
        <v>153</v>
      </c>
      <c r="J592" s="17">
        <v>45887</v>
      </c>
      <c r="K592" s="17"/>
      <c r="L592" s="17"/>
      <c r="M592" s="17">
        <v>45896</v>
      </c>
      <c r="N592" s="18">
        <v>611.19000000000005</v>
      </c>
    </row>
    <row r="593" spans="1:14" ht="15" customHeight="1" x14ac:dyDescent="0.25">
      <c r="A593" s="2" t="s">
        <v>749</v>
      </c>
      <c r="B593" s="17">
        <v>46018</v>
      </c>
      <c r="C593" s="2" t="s">
        <v>20</v>
      </c>
      <c r="D593" s="2" t="s">
        <v>28</v>
      </c>
      <c r="E593" s="2" t="s">
        <v>149</v>
      </c>
      <c r="F593" s="2" t="s">
        <v>156</v>
      </c>
      <c r="G593" s="2" t="s">
        <v>189</v>
      </c>
      <c r="H593" s="2" t="s">
        <v>158</v>
      </c>
      <c r="I593" s="2" t="s">
        <v>153</v>
      </c>
      <c r="J593" s="17">
        <v>46021</v>
      </c>
      <c r="K593" s="17">
        <v>46033</v>
      </c>
      <c r="L593" s="17"/>
      <c r="M593" s="17"/>
      <c r="N593" s="18">
        <v>995.23</v>
      </c>
    </row>
    <row r="594" spans="1:14" ht="15" customHeight="1" x14ac:dyDescent="0.25">
      <c r="A594" s="2" t="s">
        <v>750</v>
      </c>
      <c r="B594" s="17">
        <v>45958</v>
      </c>
      <c r="C594" s="2" t="s">
        <v>20</v>
      </c>
      <c r="D594" s="2" t="s">
        <v>24</v>
      </c>
      <c r="E594" s="2" t="s">
        <v>149</v>
      </c>
      <c r="F594" s="2" t="s">
        <v>150</v>
      </c>
      <c r="G594" s="2" t="s">
        <v>192</v>
      </c>
      <c r="H594" s="2" t="s">
        <v>2</v>
      </c>
      <c r="I594" s="2" t="s">
        <v>153</v>
      </c>
      <c r="J594" s="17">
        <v>45966</v>
      </c>
      <c r="K594" s="17">
        <v>45980</v>
      </c>
      <c r="L594" s="17">
        <v>45997</v>
      </c>
      <c r="M594" s="17"/>
      <c r="N594" s="18">
        <v>10577.12</v>
      </c>
    </row>
    <row r="595" spans="1:14" ht="15" customHeight="1" x14ac:dyDescent="0.25">
      <c r="A595" s="2" t="s">
        <v>751</v>
      </c>
      <c r="B595" s="17">
        <v>45768</v>
      </c>
      <c r="C595" s="2" t="s">
        <v>20</v>
      </c>
      <c r="D595" s="2" t="s">
        <v>26</v>
      </c>
      <c r="E595" s="2" t="s">
        <v>149</v>
      </c>
      <c r="F595" s="2" t="s">
        <v>161</v>
      </c>
      <c r="G595" s="2" t="s">
        <v>167</v>
      </c>
      <c r="H595" s="2" t="s">
        <v>152</v>
      </c>
      <c r="I595" s="2" t="s">
        <v>153</v>
      </c>
      <c r="J595" s="17">
        <v>45772</v>
      </c>
      <c r="K595" s="17">
        <v>45784</v>
      </c>
      <c r="L595" s="17"/>
      <c r="M595" s="17">
        <v>45815</v>
      </c>
      <c r="N595" s="18">
        <v>3322.04</v>
      </c>
    </row>
    <row r="596" spans="1:14" ht="15" customHeight="1" x14ac:dyDescent="0.25">
      <c r="A596" s="2" t="s">
        <v>752</v>
      </c>
      <c r="B596" s="17">
        <v>46006</v>
      </c>
      <c r="C596" s="2" t="s">
        <v>21</v>
      </c>
      <c r="D596" s="2" t="s">
        <v>28</v>
      </c>
      <c r="E596" s="2" t="s">
        <v>155</v>
      </c>
      <c r="F596" s="2" t="s">
        <v>161</v>
      </c>
      <c r="G596" s="2" t="s">
        <v>176</v>
      </c>
      <c r="H596" s="2" t="s">
        <v>190</v>
      </c>
      <c r="I596" s="2" t="s">
        <v>163</v>
      </c>
      <c r="J596" s="17"/>
      <c r="K596" s="17"/>
      <c r="L596" s="17"/>
      <c r="M596" s="17"/>
      <c r="N596" s="18">
        <v>1767.73</v>
      </c>
    </row>
    <row r="597" spans="1:14" ht="15" customHeight="1" x14ac:dyDescent="0.25">
      <c r="A597" s="2" t="s">
        <v>753</v>
      </c>
      <c r="B597" s="17">
        <v>45761</v>
      </c>
      <c r="C597" s="2" t="s">
        <v>19</v>
      </c>
      <c r="D597" s="2" t="s">
        <v>27</v>
      </c>
      <c r="E597" s="2" t="s">
        <v>149</v>
      </c>
      <c r="F597" s="2" t="s">
        <v>150</v>
      </c>
      <c r="G597" s="2" t="s">
        <v>210</v>
      </c>
      <c r="H597" s="2" t="s">
        <v>152</v>
      </c>
      <c r="I597" s="2" t="s">
        <v>153</v>
      </c>
      <c r="J597" s="17">
        <v>45770</v>
      </c>
      <c r="K597" s="17">
        <v>45775</v>
      </c>
      <c r="L597" s="17"/>
      <c r="M597" s="17">
        <v>45787</v>
      </c>
      <c r="N597" s="18">
        <v>11047.93</v>
      </c>
    </row>
    <row r="598" spans="1:14" ht="15" customHeight="1" x14ac:dyDescent="0.25">
      <c r="A598" s="2" t="s">
        <v>754</v>
      </c>
      <c r="B598" s="17">
        <v>45990</v>
      </c>
      <c r="C598" s="2" t="s">
        <v>22</v>
      </c>
      <c r="D598" s="2" t="s">
        <v>24</v>
      </c>
      <c r="E598" s="2" t="s">
        <v>160</v>
      </c>
      <c r="F598" s="2" t="s">
        <v>156</v>
      </c>
      <c r="G598" s="2" t="s">
        <v>165</v>
      </c>
      <c r="H598" s="2" t="s">
        <v>2</v>
      </c>
      <c r="I598" s="2" t="s">
        <v>153</v>
      </c>
      <c r="J598" s="17">
        <v>45996</v>
      </c>
      <c r="K598" s="17">
        <v>46008</v>
      </c>
      <c r="L598" s="17">
        <v>46033</v>
      </c>
      <c r="M598" s="17"/>
      <c r="N598" s="18">
        <v>553.88</v>
      </c>
    </row>
    <row r="599" spans="1:14" ht="15" customHeight="1" x14ac:dyDescent="0.25">
      <c r="A599" s="2" t="s">
        <v>755</v>
      </c>
      <c r="B599" s="17">
        <v>45892</v>
      </c>
      <c r="C599" s="2" t="s">
        <v>20</v>
      </c>
      <c r="D599" s="2" t="s">
        <v>27</v>
      </c>
      <c r="E599" s="2" t="s">
        <v>186</v>
      </c>
      <c r="F599" s="2" t="s">
        <v>156</v>
      </c>
      <c r="G599" s="2" t="s">
        <v>167</v>
      </c>
      <c r="H599" s="2" t="s">
        <v>152</v>
      </c>
      <c r="I599" s="2" t="s">
        <v>153</v>
      </c>
      <c r="J599" s="17">
        <v>45895</v>
      </c>
      <c r="K599" s="17"/>
      <c r="L599" s="17"/>
      <c r="M599" s="17">
        <v>45912</v>
      </c>
      <c r="N599" s="18">
        <v>526.91</v>
      </c>
    </row>
    <row r="600" spans="1:14" ht="15" customHeight="1" x14ac:dyDescent="0.25">
      <c r="A600" s="2" t="s">
        <v>756</v>
      </c>
      <c r="B600" s="17">
        <v>45978</v>
      </c>
      <c r="C600" s="2" t="s">
        <v>22</v>
      </c>
      <c r="D600" s="2" t="s">
        <v>24</v>
      </c>
      <c r="E600" s="2" t="s">
        <v>160</v>
      </c>
      <c r="F600" s="2" t="s">
        <v>156</v>
      </c>
      <c r="G600" s="2" t="s">
        <v>151</v>
      </c>
      <c r="H600" s="2" t="s">
        <v>152</v>
      </c>
      <c r="I600" s="2" t="s">
        <v>163</v>
      </c>
      <c r="J600" s="17"/>
      <c r="K600" s="17"/>
      <c r="L600" s="17"/>
      <c r="M600" s="17">
        <v>45996</v>
      </c>
      <c r="N600" s="18">
        <v>872.24</v>
      </c>
    </row>
    <row r="601" spans="1:14" ht="15" customHeight="1" x14ac:dyDescent="0.25">
      <c r="A601" s="2" t="s">
        <v>757</v>
      </c>
      <c r="B601" s="17">
        <v>45908</v>
      </c>
      <c r="C601" s="2" t="s">
        <v>21</v>
      </c>
      <c r="D601" s="2" t="s">
        <v>26</v>
      </c>
      <c r="E601" s="2" t="s">
        <v>149</v>
      </c>
      <c r="F601" s="2" t="s">
        <v>161</v>
      </c>
      <c r="G601" s="2" t="s">
        <v>162</v>
      </c>
      <c r="H601" s="2" t="s">
        <v>152</v>
      </c>
      <c r="I601" s="2" t="s">
        <v>163</v>
      </c>
      <c r="J601" s="17"/>
      <c r="K601" s="17"/>
      <c r="L601" s="17"/>
      <c r="M601" s="17">
        <v>45910</v>
      </c>
      <c r="N601" s="18">
        <v>2957.02</v>
      </c>
    </row>
    <row r="602" spans="1:14" ht="15" customHeight="1" x14ac:dyDescent="0.25">
      <c r="A602" s="2" t="s">
        <v>758</v>
      </c>
      <c r="B602" s="17">
        <v>45804</v>
      </c>
      <c r="C602" s="2" t="s">
        <v>19</v>
      </c>
      <c r="D602" s="2" t="s">
        <v>24</v>
      </c>
      <c r="E602" s="2" t="s">
        <v>155</v>
      </c>
      <c r="F602" s="2" t="s">
        <v>161</v>
      </c>
      <c r="G602" s="2" t="s">
        <v>210</v>
      </c>
      <c r="H602" s="2" t="s">
        <v>152</v>
      </c>
      <c r="I602" s="2" t="s">
        <v>153</v>
      </c>
      <c r="J602" s="17">
        <v>45811</v>
      </c>
      <c r="K602" s="17">
        <v>45813</v>
      </c>
      <c r="L602" s="17"/>
      <c r="M602" s="17">
        <v>45847</v>
      </c>
      <c r="N602" s="18">
        <v>1371.17</v>
      </c>
    </row>
    <row r="603" spans="1:14" ht="15" customHeight="1" x14ac:dyDescent="0.25">
      <c r="A603" s="2" t="s">
        <v>759</v>
      </c>
      <c r="B603" s="17">
        <v>45941</v>
      </c>
      <c r="C603" s="2" t="s">
        <v>22</v>
      </c>
      <c r="D603" s="2" t="s">
        <v>24</v>
      </c>
      <c r="E603" s="2" t="s">
        <v>160</v>
      </c>
      <c r="F603" s="2" t="s">
        <v>150</v>
      </c>
      <c r="G603" s="2" t="s">
        <v>170</v>
      </c>
      <c r="H603" s="2" t="s">
        <v>152</v>
      </c>
      <c r="I603" s="2" t="s">
        <v>153</v>
      </c>
      <c r="J603" s="17">
        <v>45949</v>
      </c>
      <c r="K603" s="17">
        <v>45950</v>
      </c>
      <c r="L603" s="17"/>
      <c r="M603" s="17">
        <v>45976</v>
      </c>
      <c r="N603" s="18">
        <v>7651.3</v>
      </c>
    </row>
    <row r="604" spans="1:14" ht="15" customHeight="1" x14ac:dyDescent="0.25">
      <c r="A604" s="2" t="s">
        <v>760</v>
      </c>
      <c r="B604" s="17">
        <v>45883</v>
      </c>
      <c r="C604" s="2" t="s">
        <v>21</v>
      </c>
      <c r="D604" s="2" t="s">
        <v>25</v>
      </c>
      <c r="E604" s="2" t="s">
        <v>149</v>
      </c>
      <c r="F604" s="2" t="s">
        <v>156</v>
      </c>
      <c r="G604" s="2" t="s">
        <v>176</v>
      </c>
      <c r="H604" s="2" t="s">
        <v>2</v>
      </c>
      <c r="I604" s="2" t="s">
        <v>153</v>
      </c>
      <c r="J604" s="17">
        <v>45892</v>
      </c>
      <c r="K604" s="17">
        <v>45896</v>
      </c>
      <c r="L604" s="17">
        <v>45918</v>
      </c>
      <c r="M604" s="17"/>
      <c r="N604" s="18">
        <v>794.5</v>
      </c>
    </row>
    <row r="605" spans="1:14" ht="15" customHeight="1" x14ac:dyDescent="0.25">
      <c r="A605" s="2" t="s">
        <v>761</v>
      </c>
      <c r="B605" s="17">
        <v>45769</v>
      </c>
      <c r="C605" s="2" t="s">
        <v>20</v>
      </c>
      <c r="D605" s="2" t="s">
        <v>25</v>
      </c>
      <c r="E605" s="2" t="s">
        <v>149</v>
      </c>
      <c r="F605" s="2" t="s">
        <v>156</v>
      </c>
      <c r="G605" s="2" t="s">
        <v>192</v>
      </c>
      <c r="H605" s="2" t="s">
        <v>152</v>
      </c>
      <c r="I605" s="2" t="s">
        <v>153</v>
      </c>
      <c r="J605" s="17">
        <v>45778</v>
      </c>
      <c r="K605" s="17"/>
      <c r="L605" s="17"/>
      <c r="M605" s="17">
        <v>45790</v>
      </c>
      <c r="N605" s="18">
        <v>928.67</v>
      </c>
    </row>
    <row r="606" spans="1:14" ht="15" customHeight="1" x14ac:dyDescent="0.25">
      <c r="A606" s="2" t="s">
        <v>762</v>
      </c>
      <c r="B606" s="17">
        <v>45978</v>
      </c>
      <c r="C606" s="2" t="s">
        <v>20</v>
      </c>
      <c r="D606" s="2" t="s">
        <v>26</v>
      </c>
      <c r="E606" s="2" t="s">
        <v>160</v>
      </c>
      <c r="F606" s="2" t="s">
        <v>161</v>
      </c>
      <c r="G606" s="2" t="s">
        <v>189</v>
      </c>
      <c r="H606" s="2" t="s">
        <v>152</v>
      </c>
      <c r="I606" s="2" t="s">
        <v>153</v>
      </c>
      <c r="J606" s="17">
        <v>45983</v>
      </c>
      <c r="K606" s="17"/>
      <c r="L606" s="17"/>
      <c r="M606" s="17">
        <v>45993</v>
      </c>
      <c r="N606" s="18">
        <v>2106.75</v>
      </c>
    </row>
    <row r="607" spans="1:14" ht="15" customHeight="1" x14ac:dyDescent="0.25">
      <c r="A607" s="2" t="s">
        <v>763</v>
      </c>
      <c r="B607" s="17">
        <v>45818</v>
      </c>
      <c r="C607" s="2" t="s">
        <v>22</v>
      </c>
      <c r="D607" s="2" t="s">
        <v>25</v>
      </c>
      <c r="E607" s="2" t="s">
        <v>186</v>
      </c>
      <c r="F607" s="2" t="s">
        <v>156</v>
      </c>
      <c r="G607" s="2" t="s">
        <v>165</v>
      </c>
      <c r="H607" s="2" t="s">
        <v>152</v>
      </c>
      <c r="I607" s="2" t="s">
        <v>153</v>
      </c>
      <c r="J607" s="17">
        <v>45827</v>
      </c>
      <c r="K607" s="17">
        <v>45839</v>
      </c>
      <c r="L607" s="17"/>
      <c r="M607" s="17">
        <v>45851</v>
      </c>
      <c r="N607" s="18">
        <v>565.51</v>
      </c>
    </row>
    <row r="608" spans="1:14" ht="15" customHeight="1" x14ac:dyDescent="0.25">
      <c r="A608" s="2" t="s">
        <v>764</v>
      </c>
      <c r="B608" s="17">
        <v>46000</v>
      </c>
      <c r="C608" s="2" t="s">
        <v>19</v>
      </c>
      <c r="D608" s="2" t="s">
        <v>26</v>
      </c>
      <c r="E608" s="2" t="s">
        <v>160</v>
      </c>
      <c r="F608" s="2" t="s">
        <v>156</v>
      </c>
      <c r="G608" s="2" t="s">
        <v>210</v>
      </c>
      <c r="H608" s="2" t="s">
        <v>158</v>
      </c>
      <c r="I608" s="2" t="s">
        <v>153</v>
      </c>
      <c r="J608" s="17">
        <v>46010</v>
      </c>
      <c r="K608" s="17">
        <v>46014</v>
      </c>
      <c r="L608" s="17"/>
      <c r="M608" s="17"/>
      <c r="N608" s="18">
        <v>575.29</v>
      </c>
    </row>
    <row r="609" spans="1:14" ht="15" customHeight="1" x14ac:dyDescent="0.25">
      <c r="A609" s="2" t="s">
        <v>765</v>
      </c>
      <c r="B609" s="17">
        <v>45998</v>
      </c>
      <c r="C609" s="2" t="s">
        <v>21</v>
      </c>
      <c r="D609" s="2" t="s">
        <v>24</v>
      </c>
      <c r="E609" s="2" t="s">
        <v>155</v>
      </c>
      <c r="F609" s="2" t="s">
        <v>150</v>
      </c>
      <c r="G609" s="2" t="s">
        <v>183</v>
      </c>
      <c r="H609" s="2" t="s">
        <v>158</v>
      </c>
      <c r="I609" s="2" t="s">
        <v>153</v>
      </c>
      <c r="J609" s="17">
        <v>46008</v>
      </c>
      <c r="K609" s="17">
        <v>46020</v>
      </c>
      <c r="L609" s="17"/>
      <c r="M609" s="17"/>
      <c r="N609" s="18">
        <v>6291.82</v>
      </c>
    </row>
    <row r="610" spans="1:14" ht="15" customHeight="1" x14ac:dyDescent="0.25">
      <c r="A610" s="2" t="s">
        <v>766</v>
      </c>
      <c r="B610" s="17">
        <v>45835</v>
      </c>
      <c r="C610" s="2" t="s">
        <v>21</v>
      </c>
      <c r="D610" s="2" t="s">
        <v>24</v>
      </c>
      <c r="E610" s="2" t="s">
        <v>149</v>
      </c>
      <c r="F610" s="2" t="s">
        <v>156</v>
      </c>
      <c r="G610" s="2" t="s">
        <v>176</v>
      </c>
      <c r="H610" s="2" t="s">
        <v>152</v>
      </c>
      <c r="I610" s="2" t="s">
        <v>163</v>
      </c>
      <c r="J610" s="17"/>
      <c r="K610" s="17"/>
      <c r="L610" s="17"/>
      <c r="M610" s="17">
        <v>45843</v>
      </c>
      <c r="N610" s="18">
        <v>824.89</v>
      </c>
    </row>
    <row r="611" spans="1:14" ht="15" customHeight="1" x14ac:dyDescent="0.25">
      <c r="A611" s="2" t="s">
        <v>767</v>
      </c>
      <c r="B611" s="17">
        <v>45861</v>
      </c>
      <c r="C611" s="2" t="s">
        <v>19</v>
      </c>
      <c r="D611" s="2" t="s">
        <v>26</v>
      </c>
      <c r="E611" s="2" t="s">
        <v>160</v>
      </c>
      <c r="F611" s="2" t="s">
        <v>156</v>
      </c>
      <c r="G611" s="2" t="s">
        <v>207</v>
      </c>
      <c r="H611" s="2" t="s">
        <v>152</v>
      </c>
      <c r="I611" s="2" t="s">
        <v>153</v>
      </c>
      <c r="J611" s="17">
        <v>45862</v>
      </c>
      <c r="K611" s="17"/>
      <c r="L611" s="17"/>
      <c r="M611" s="17">
        <v>45873</v>
      </c>
      <c r="N611" s="18">
        <v>624.65</v>
      </c>
    </row>
    <row r="612" spans="1:14" ht="15" customHeight="1" x14ac:dyDescent="0.25">
      <c r="A612" s="2" t="s">
        <v>768</v>
      </c>
      <c r="B612" s="17">
        <v>45763</v>
      </c>
      <c r="C612" s="2" t="s">
        <v>19</v>
      </c>
      <c r="D612" s="2" t="s">
        <v>26</v>
      </c>
      <c r="E612" s="2" t="s">
        <v>149</v>
      </c>
      <c r="F612" s="2" t="s">
        <v>150</v>
      </c>
      <c r="G612" s="2" t="s">
        <v>207</v>
      </c>
      <c r="H612" s="2" t="s">
        <v>152</v>
      </c>
      <c r="I612" s="2" t="s">
        <v>153</v>
      </c>
      <c r="J612" s="17">
        <v>45769</v>
      </c>
      <c r="K612" s="17">
        <v>45773</v>
      </c>
      <c r="L612" s="17"/>
      <c r="M612" s="17">
        <v>45803</v>
      </c>
      <c r="N612" s="18">
        <v>10623.52</v>
      </c>
    </row>
    <row r="613" spans="1:14" ht="15" customHeight="1" x14ac:dyDescent="0.25">
      <c r="A613" s="2" t="s">
        <v>769</v>
      </c>
      <c r="B613" s="17">
        <v>45947</v>
      </c>
      <c r="C613" s="2" t="s">
        <v>18</v>
      </c>
      <c r="D613" s="2" t="s">
        <v>28</v>
      </c>
      <c r="E613" s="2" t="s">
        <v>186</v>
      </c>
      <c r="F613" s="2" t="s">
        <v>150</v>
      </c>
      <c r="G613" s="2" t="s">
        <v>251</v>
      </c>
      <c r="H613" s="2" t="s">
        <v>2</v>
      </c>
      <c r="I613" s="2" t="s">
        <v>153</v>
      </c>
      <c r="J613" s="17">
        <v>45948</v>
      </c>
      <c r="K613" s="17">
        <v>45958</v>
      </c>
      <c r="L613" s="17">
        <v>45968</v>
      </c>
      <c r="M613" s="17"/>
      <c r="N613" s="18">
        <v>5268.6</v>
      </c>
    </row>
    <row r="614" spans="1:14" ht="15" customHeight="1" x14ac:dyDescent="0.25">
      <c r="A614" s="2" t="s">
        <v>770</v>
      </c>
      <c r="B614" s="17">
        <v>45660</v>
      </c>
      <c r="C614" s="2" t="s">
        <v>20</v>
      </c>
      <c r="D614" s="2" t="s">
        <v>24</v>
      </c>
      <c r="E614" s="2" t="s">
        <v>160</v>
      </c>
      <c r="F614" s="2" t="s">
        <v>161</v>
      </c>
      <c r="G614" s="2" t="s">
        <v>167</v>
      </c>
      <c r="H614" s="2" t="s">
        <v>152</v>
      </c>
      <c r="I614" s="2" t="s">
        <v>153</v>
      </c>
      <c r="J614" s="17">
        <v>45666</v>
      </c>
      <c r="K614" s="17"/>
      <c r="L614" s="17"/>
      <c r="M614" s="17">
        <v>45675</v>
      </c>
      <c r="N614" s="18">
        <v>2862.48</v>
      </c>
    </row>
    <row r="615" spans="1:14" ht="15" customHeight="1" x14ac:dyDescent="0.25">
      <c r="A615" s="2" t="s">
        <v>771</v>
      </c>
      <c r="B615" s="17">
        <v>45703</v>
      </c>
      <c r="C615" s="2" t="s">
        <v>22</v>
      </c>
      <c r="D615" s="2" t="s">
        <v>28</v>
      </c>
      <c r="E615" s="2" t="s">
        <v>149</v>
      </c>
      <c r="F615" s="2" t="s">
        <v>156</v>
      </c>
      <c r="G615" s="2" t="s">
        <v>165</v>
      </c>
      <c r="H615" s="2" t="s">
        <v>152</v>
      </c>
      <c r="I615" s="2" t="s">
        <v>163</v>
      </c>
      <c r="J615" s="17"/>
      <c r="K615" s="17"/>
      <c r="L615" s="17"/>
      <c r="M615" s="17">
        <v>45710</v>
      </c>
      <c r="N615" s="18">
        <v>846.51</v>
      </c>
    </row>
    <row r="616" spans="1:14" ht="15" customHeight="1" x14ac:dyDescent="0.25">
      <c r="A616" s="2" t="s">
        <v>772</v>
      </c>
      <c r="B616" s="17">
        <v>45663</v>
      </c>
      <c r="C616" s="2" t="s">
        <v>21</v>
      </c>
      <c r="D616" s="2" t="s">
        <v>26</v>
      </c>
      <c r="E616" s="2" t="s">
        <v>160</v>
      </c>
      <c r="F616" s="2" t="s">
        <v>156</v>
      </c>
      <c r="G616" s="2" t="s">
        <v>162</v>
      </c>
      <c r="H616" s="2" t="s">
        <v>152</v>
      </c>
      <c r="I616" s="2" t="s">
        <v>153</v>
      </c>
      <c r="J616" s="17">
        <v>45673</v>
      </c>
      <c r="K616" s="17">
        <v>45675</v>
      </c>
      <c r="L616" s="17"/>
      <c r="M616" s="17">
        <v>45693</v>
      </c>
      <c r="N616" s="18">
        <v>599.32000000000005</v>
      </c>
    </row>
    <row r="617" spans="1:14" ht="15" customHeight="1" x14ac:dyDescent="0.25">
      <c r="A617" s="2" t="s">
        <v>773</v>
      </c>
      <c r="B617" s="17">
        <v>45709</v>
      </c>
      <c r="C617" s="2" t="s">
        <v>18</v>
      </c>
      <c r="D617" s="2" t="s">
        <v>25</v>
      </c>
      <c r="E617" s="2" t="s">
        <v>160</v>
      </c>
      <c r="F617" s="2" t="s">
        <v>161</v>
      </c>
      <c r="G617" s="2" t="s">
        <v>201</v>
      </c>
      <c r="H617" s="2" t="s">
        <v>152</v>
      </c>
      <c r="I617" s="2" t="s">
        <v>163</v>
      </c>
      <c r="J617" s="17"/>
      <c r="K617" s="17"/>
      <c r="L617" s="17"/>
      <c r="M617" s="17">
        <v>45713</v>
      </c>
      <c r="N617" s="18">
        <v>2791</v>
      </c>
    </row>
    <row r="618" spans="1:14" ht="15" customHeight="1" x14ac:dyDescent="0.25">
      <c r="A618" s="2" t="s">
        <v>774</v>
      </c>
      <c r="B618" s="17">
        <v>45816</v>
      </c>
      <c r="C618" s="2" t="s">
        <v>18</v>
      </c>
      <c r="D618" s="2" t="s">
        <v>25</v>
      </c>
      <c r="E618" s="2" t="s">
        <v>155</v>
      </c>
      <c r="F618" s="2" t="s">
        <v>150</v>
      </c>
      <c r="G618" s="2" t="s">
        <v>251</v>
      </c>
      <c r="H618" s="2" t="s">
        <v>2</v>
      </c>
      <c r="I618" s="2" t="s">
        <v>153</v>
      </c>
      <c r="J618" s="17">
        <v>45818</v>
      </c>
      <c r="K618" s="17">
        <v>45824</v>
      </c>
      <c r="L618" s="17">
        <v>45828</v>
      </c>
      <c r="M618" s="17"/>
      <c r="N618" s="18">
        <v>6559.39</v>
      </c>
    </row>
    <row r="619" spans="1:14" ht="15" customHeight="1" x14ac:dyDescent="0.25">
      <c r="A619" s="2" t="s">
        <v>775</v>
      </c>
      <c r="B619" s="17">
        <v>45873</v>
      </c>
      <c r="C619" s="2" t="s">
        <v>22</v>
      </c>
      <c r="D619" s="2" t="s">
        <v>25</v>
      </c>
      <c r="E619" s="2" t="s">
        <v>155</v>
      </c>
      <c r="F619" s="2" t="s">
        <v>156</v>
      </c>
      <c r="G619" s="2" t="s">
        <v>151</v>
      </c>
      <c r="H619" s="2" t="s">
        <v>152</v>
      </c>
      <c r="I619" s="2" t="s">
        <v>153</v>
      </c>
      <c r="J619" s="17">
        <v>45879</v>
      </c>
      <c r="K619" s="17">
        <v>45889</v>
      </c>
      <c r="L619" s="17"/>
      <c r="M619" s="17">
        <v>45903</v>
      </c>
      <c r="N619" s="18">
        <v>412.05</v>
      </c>
    </row>
    <row r="620" spans="1:14" ht="15" customHeight="1" x14ac:dyDescent="0.25">
      <c r="A620" s="2" t="s">
        <v>776</v>
      </c>
      <c r="B620" s="17">
        <v>45939</v>
      </c>
      <c r="C620" s="2" t="s">
        <v>21</v>
      </c>
      <c r="D620" s="2" t="s">
        <v>25</v>
      </c>
      <c r="E620" s="2" t="s">
        <v>149</v>
      </c>
      <c r="F620" s="2" t="s">
        <v>156</v>
      </c>
      <c r="G620" s="2" t="s">
        <v>176</v>
      </c>
      <c r="H620" s="2" t="s">
        <v>2</v>
      </c>
      <c r="I620" s="2" t="s">
        <v>153</v>
      </c>
      <c r="J620" s="17">
        <v>45944</v>
      </c>
      <c r="K620" s="17">
        <v>45959</v>
      </c>
      <c r="L620" s="17">
        <v>45970</v>
      </c>
      <c r="M620" s="17"/>
      <c r="N620" s="18">
        <v>733.94</v>
      </c>
    </row>
    <row r="621" spans="1:14" ht="15" customHeight="1" x14ac:dyDescent="0.25">
      <c r="A621" s="2" t="s">
        <v>777</v>
      </c>
      <c r="B621" s="17">
        <v>45800</v>
      </c>
      <c r="C621" s="2" t="s">
        <v>19</v>
      </c>
      <c r="D621" s="2" t="s">
        <v>24</v>
      </c>
      <c r="E621" s="2" t="s">
        <v>155</v>
      </c>
      <c r="F621" s="2" t="s">
        <v>156</v>
      </c>
      <c r="G621" s="2" t="s">
        <v>210</v>
      </c>
      <c r="H621" s="2" t="s">
        <v>152</v>
      </c>
      <c r="I621" s="2" t="s">
        <v>163</v>
      </c>
      <c r="J621" s="17"/>
      <c r="K621" s="17"/>
      <c r="L621" s="17"/>
      <c r="M621" s="17">
        <v>45811</v>
      </c>
      <c r="N621" s="18">
        <v>389.59</v>
      </c>
    </row>
    <row r="622" spans="1:14" ht="15" customHeight="1" x14ac:dyDescent="0.25">
      <c r="A622" s="2" t="s">
        <v>778</v>
      </c>
      <c r="B622" s="17">
        <v>45907</v>
      </c>
      <c r="C622" s="2" t="s">
        <v>20</v>
      </c>
      <c r="D622" s="2" t="s">
        <v>25</v>
      </c>
      <c r="E622" s="2" t="s">
        <v>149</v>
      </c>
      <c r="F622" s="2" t="s">
        <v>156</v>
      </c>
      <c r="G622" s="2" t="s">
        <v>192</v>
      </c>
      <c r="H622" s="2" t="s">
        <v>152</v>
      </c>
      <c r="I622" s="2" t="s">
        <v>153</v>
      </c>
      <c r="J622" s="17">
        <v>45910</v>
      </c>
      <c r="K622" s="17">
        <v>45923</v>
      </c>
      <c r="L622" s="17"/>
      <c r="M622" s="17">
        <v>45952</v>
      </c>
      <c r="N622" s="18">
        <v>1034.79</v>
      </c>
    </row>
    <row r="623" spans="1:14" ht="15" customHeight="1" x14ac:dyDescent="0.25">
      <c r="A623" s="2" t="s">
        <v>779</v>
      </c>
      <c r="B623" s="17">
        <v>45970</v>
      </c>
      <c r="C623" s="2" t="s">
        <v>20</v>
      </c>
      <c r="D623" s="2" t="s">
        <v>25</v>
      </c>
      <c r="E623" s="2" t="s">
        <v>149</v>
      </c>
      <c r="F623" s="2" t="s">
        <v>161</v>
      </c>
      <c r="G623" s="2" t="s">
        <v>192</v>
      </c>
      <c r="H623" s="2" t="s">
        <v>2</v>
      </c>
      <c r="I623" s="2" t="s">
        <v>153</v>
      </c>
      <c r="J623" s="17">
        <v>45974</v>
      </c>
      <c r="K623" s="17">
        <v>45986</v>
      </c>
      <c r="L623" s="17">
        <v>46005</v>
      </c>
      <c r="M623" s="17"/>
      <c r="N623" s="18">
        <v>2171.0100000000002</v>
      </c>
    </row>
    <row r="624" spans="1:14" ht="15" customHeight="1" x14ac:dyDescent="0.25">
      <c r="A624" s="2" t="s">
        <v>780</v>
      </c>
      <c r="B624" s="17">
        <v>45689</v>
      </c>
      <c r="C624" s="2" t="s">
        <v>19</v>
      </c>
      <c r="D624" s="2" t="s">
        <v>26</v>
      </c>
      <c r="E624" s="2" t="s">
        <v>149</v>
      </c>
      <c r="F624" s="2" t="s">
        <v>161</v>
      </c>
      <c r="G624" s="2" t="s">
        <v>207</v>
      </c>
      <c r="H624" s="2" t="s">
        <v>152</v>
      </c>
      <c r="I624" s="2" t="s">
        <v>163</v>
      </c>
      <c r="J624" s="17"/>
      <c r="K624" s="17"/>
      <c r="L624" s="17"/>
      <c r="M624" s="17">
        <v>45694</v>
      </c>
      <c r="N624" s="18">
        <v>2595.9699999999998</v>
      </c>
    </row>
    <row r="625" spans="1:14" ht="15" customHeight="1" x14ac:dyDescent="0.25">
      <c r="A625" s="2" t="s">
        <v>781</v>
      </c>
      <c r="B625" s="17">
        <v>45857</v>
      </c>
      <c r="C625" s="2" t="s">
        <v>20</v>
      </c>
      <c r="D625" s="2" t="s">
        <v>24</v>
      </c>
      <c r="E625" s="2" t="s">
        <v>149</v>
      </c>
      <c r="F625" s="2" t="s">
        <v>156</v>
      </c>
      <c r="G625" s="2" t="s">
        <v>192</v>
      </c>
      <c r="H625" s="2" t="s">
        <v>152</v>
      </c>
      <c r="I625" s="2" t="s">
        <v>153</v>
      </c>
      <c r="J625" s="17">
        <v>45865</v>
      </c>
      <c r="K625" s="17">
        <v>45866</v>
      </c>
      <c r="L625" s="17"/>
      <c r="M625" s="17">
        <v>45891</v>
      </c>
      <c r="N625" s="18">
        <v>789.55</v>
      </c>
    </row>
    <row r="626" spans="1:14" ht="15" customHeight="1" x14ac:dyDescent="0.25">
      <c r="A626" s="2" t="s">
        <v>782</v>
      </c>
      <c r="B626" s="17">
        <v>45661</v>
      </c>
      <c r="C626" s="2" t="s">
        <v>21</v>
      </c>
      <c r="D626" s="2" t="s">
        <v>24</v>
      </c>
      <c r="E626" s="2" t="s">
        <v>149</v>
      </c>
      <c r="F626" s="2" t="s">
        <v>156</v>
      </c>
      <c r="G626" s="2" t="s">
        <v>162</v>
      </c>
      <c r="H626" s="2" t="s">
        <v>152</v>
      </c>
      <c r="I626" s="2" t="s">
        <v>153</v>
      </c>
      <c r="J626" s="17">
        <v>45665</v>
      </c>
      <c r="K626" s="17"/>
      <c r="L626" s="17"/>
      <c r="M626" s="17">
        <v>45685</v>
      </c>
      <c r="N626" s="18">
        <v>627.11</v>
      </c>
    </row>
    <row r="627" spans="1:14" ht="15" customHeight="1" x14ac:dyDescent="0.25">
      <c r="A627" s="2" t="s">
        <v>783</v>
      </c>
      <c r="B627" s="17">
        <v>45879</v>
      </c>
      <c r="C627" s="2" t="s">
        <v>19</v>
      </c>
      <c r="D627" s="2" t="s">
        <v>28</v>
      </c>
      <c r="E627" s="2" t="s">
        <v>160</v>
      </c>
      <c r="F627" s="2" t="s">
        <v>150</v>
      </c>
      <c r="G627" s="2" t="s">
        <v>179</v>
      </c>
      <c r="H627" s="2" t="s">
        <v>152</v>
      </c>
      <c r="I627" s="2" t="s">
        <v>163</v>
      </c>
      <c r="J627" s="17"/>
      <c r="K627" s="17"/>
      <c r="L627" s="17"/>
      <c r="M627" s="17">
        <v>45890</v>
      </c>
      <c r="N627" s="18">
        <v>9033.2999999999993</v>
      </c>
    </row>
    <row r="628" spans="1:14" ht="15" customHeight="1" x14ac:dyDescent="0.25">
      <c r="A628" s="2" t="s">
        <v>784</v>
      </c>
      <c r="B628" s="17">
        <v>45929</v>
      </c>
      <c r="C628" s="2" t="s">
        <v>22</v>
      </c>
      <c r="D628" s="2" t="s">
        <v>26</v>
      </c>
      <c r="E628" s="2" t="s">
        <v>149</v>
      </c>
      <c r="F628" s="2" t="s">
        <v>161</v>
      </c>
      <c r="G628" s="2" t="s">
        <v>151</v>
      </c>
      <c r="H628" s="2" t="s">
        <v>2</v>
      </c>
      <c r="I628" s="2" t="s">
        <v>153</v>
      </c>
      <c r="J628" s="17">
        <v>45938</v>
      </c>
      <c r="K628" s="17">
        <v>45942</v>
      </c>
      <c r="L628" s="17">
        <v>45959</v>
      </c>
      <c r="M628" s="17"/>
      <c r="N628" s="18">
        <v>2212.92</v>
      </c>
    </row>
    <row r="629" spans="1:14" ht="15" customHeight="1" x14ac:dyDescent="0.25">
      <c r="A629" s="2" t="s">
        <v>785</v>
      </c>
      <c r="B629" s="17">
        <v>46015</v>
      </c>
      <c r="C629" s="2" t="s">
        <v>20</v>
      </c>
      <c r="D629" s="2" t="s">
        <v>27</v>
      </c>
      <c r="E629" s="2" t="s">
        <v>149</v>
      </c>
      <c r="F629" s="2" t="s">
        <v>156</v>
      </c>
      <c r="G629" s="2" t="s">
        <v>167</v>
      </c>
      <c r="H629" s="2" t="s">
        <v>158</v>
      </c>
      <c r="I629" s="2" t="s">
        <v>153</v>
      </c>
      <c r="J629" s="17">
        <v>46023</v>
      </c>
      <c r="K629" s="17">
        <v>46035</v>
      </c>
      <c r="L629" s="17"/>
      <c r="M629" s="17"/>
      <c r="N629" s="18">
        <v>1001.45</v>
      </c>
    </row>
    <row r="630" spans="1:14" ht="15" customHeight="1" x14ac:dyDescent="0.25">
      <c r="A630" s="2" t="s">
        <v>786</v>
      </c>
      <c r="B630" s="17">
        <v>45755</v>
      </c>
      <c r="C630" s="2" t="s">
        <v>19</v>
      </c>
      <c r="D630" s="2" t="s">
        <v>24</v>
      </c>
      <c r="E630" s="2" t="s">
        <v>160</v>
      </c>
      <c r="F630" s="2" t="s">
        <v>156</v>
      </c>
      <c r="G630" s="2" t="s">
        <v>207</v>
      </c>
      <c r="H630" s="2" t="s">
        <v>152</v>
      </c>
      <c r="I630" s="2" t="s">
        <v>163</v>
      </c>
      <c r="J630" s="17"/>
      <c r="K630" s="17"/>
      <c r="L630" s="17"/>
      <c r="M630" s="17">
        <v>45769</v>
      </c>
      <c r="N630" s="18">
        <v>608.72</v>
      </c>
    </row>
    <row r="631" spans="1:14" ht="15" customHeight="1" x14ac:dyDescent="0.25">
      <c r="A631" s="2" t="s">
        <v>787</v>
      </c>
      <c r="B631" s="17">
        <v>45760</v>
      </c>
      <c r="C631" s="2" t="s">
        <v>18</v>
      </c>
      <c r="D631" s="2" t="s">
        <v>24</v>
      </c>
      <c r="E631" s="2" t="s">
        <v>149</v>
      </c>
      <c r="F631" s="2" t="s">
        <v>156</v>
      </c>
      <c r="G631" s="2" t="s">
        <v>251</v>
      </c>
      <c r="H631" s="2" t="s">
        <v>152</v>
      </c>
      <c r="I631" s="2" t="s">
        <v>153</v>
      </c>
      <c r="J631" s="17">
        <v>45762</v>
      </c>
      <c r="K631" s="17">
        <v>45772</v>
      </c>
      <c r="L631" s="17"/>
      <c r="M631" s="17">
        <v>45804</v>
      </c>
      <c r="N631" s="18">
        <v>620.82000000000005</v>
      </c>
    </row>
    <row r="632" spans="1:14" ht="15" customHeight="1" x14ac:dyDescent="0.25">
      <c r="A632" s="2" t="s">
        <v>788</v>
      </c>
      <c r="B632" s="17">
        <v>45905</v>
      </c>
      <c r="C632" s="2" t="s">
        <v>22</v>
      </c>
      <c r="D632" s="2" t="s">
        <v>28</v>
      </c>
      <c r="E632" s="2" t="s">
        <v>186</v>
      </c>
      <c r="F632" s="2" t="s">
        <v>156</v>
      </c>
      <c r="G632" s="2" t="s">
        <v>170</v>
      </c>
      <c r="H632" s="2" t="s">
        <v>152</v>
      </c>
      <c r="I632" s="2" t="s">
        <v>153</v>
      </c>
      <c r="J632" s="17">
        <v>45910</v>
      </c>
      <c r="K632" s="17">
        <v>45914</v>
      </c>
      <c r="L632" s="17"/>
      <c r="M632" s="17">
        <v>45920</v>
      </c>
      <c r="N632" s="18">
        <v>845.07</v>
      </c>
    </row>
    <row r="633" spans="1:14" ht="15" customHeight="1" x14ac:dyDescent="0.25">
      <c r="A633" s="2" t="s">
        <v>789</v>
      </c>
      <c r="B633" s="17">
        <v>45881</v>
      </c>
      <c r="C633" s="2" t="s">
        <v>21</v>
      </c>
      <c r="D633" s="2" t="s">
        <v>26</v>
      </c>
      <c r="E633" s="2" t="s">
        <v>149</v>
      </c>
      <c r="F633" s="2" t="s">
        <v>161</v>
      </c>
      <c r="G633" s="2" t="s">
        <v>183</v>
      </c>
      <c r="H633" s="2" t="s">
        <v>2</v>
      </c>
      <c r="I633" s="2" t="s">
        <v>153</v>
      </c>
      <c r="J633" s="17">
        <v>45891</v>
      </c>
      <c r="K633" s="17">
        <v>45906</v>
      </c>
      <c r="L633" s="17">
        <v>45934</v>
      </c>
      <c r="M633" s="17"/>
      <c r="N633" s="18">
        <v>2878.06</v>
      </c>
    </row>
    <row r="634" spans="1:14" ht="15" customHeight="1" x14ac:dyDescent="0.25">
      <c r="A634" s="2" t="s">
        <v>790</v>
      </c>
      <c r="B634" s="17">
        <v>45845</v>
      </c>
      <c r="C634" s="2" t="s">
        <v>20</v>
      </c>
      <c r="D634" s="2" t="s">
        <v>28</v>
      </c>
      <c r="E634" s="2" t="s">
        <v>160</v>
      </c>
      <c r="F634" s="2" t="s">
        <v>161</v>
      </c>
      <c r="G634" s="2" t="s">
        <v>192</v>
      </c>
      <c r="H634" s="2" t="s">
        <v>152</v>
      </c>
      <c r="I634" s="2" t="s">
        <v>153</v>
      </c>
      <c r="J634" s="17">
        <v>45847</v>
      </c>
      <c r="K634" s="17">
        <v>45852</v>
      </c>
      <c r="L634" s="17"/>
      <c r="M634" s="17">
        <v>45857</v>
      </c>
      <c r="N634" s="18">
        <v>2294.59</v>
      </c>
    </row>
    <row r="635" spans="1:14" ht="15" customHeight="1" x14ac:dyDescent="0.25">
      <c r="A635" s="2" t="s">
        <v>791</v>
      </c>
      <c r="B635" s="17">
        <v>45998</v>
      </c>
      <c r="C635" s="2" t="s">
        <v>22</v>
      </c>
      <c r="D635" s="2" t="s">
        <v>24</v>
      </c>
      <c r="E635" s="2" t="s">
        <v>186</v>
      </c>
      <c r="F635" s="2" t="s">
        <v>161</v>
      </c>
      <c r="G635" s="2" t="s">
        <v>170</v>
      </c>
      <c r="H635" s="2" t="s">
        <v>190</v>
      </c>
      <c r="I635" s="2" t="s">
        <v>163</v>
      </c>
      <c r="J635" s="17"/>
      <c r="K635" s="17"/>
      <c r="L635" s="17"/>
      <c r="M635" s="17"/>
      <c r="N635" s="18">
        <v>2188.75</v>
      </c>
    </row>
    <row r="636" spans="1:14" ht="15" customHeight="1" x14ac:dyDescent="0.25">
      <c r="A636" s="2" t="s">
        <v>792</v>
      </c>
      <c r="B636" s="17">
        <v>45978</v>
      </c>
      <c r="C636" s="2" t="s">
        <v>21</v>
      </c>
      <c r="D636" s="2" t="s">
        <v>26</v>
      </c>
      <c r="E636" s="2" t="s">
        <v>155</v>
      </c>
      <c r="F636" s="2" t="s">
        <v>156</v>
      </c>
      <c r="G636" s="2" t="s">
        <v>183</v>
      </c>
      <c r="H636" s="2" t="s">
        <v>152</v>
      </c>
      <c r="I636" s="2" t="s">
        <v>153</v>
      </c>
      <c r="J636" s="17">
        <v>45986</v>
      </c>
      <c r="K636" s="17">
        <v>45999</v>
      </c>
      <c r="L636" s="17"/>
      <c r="M636" s="17">
        <v>46023</v>
      </c>
      <c r="N636" s="18">
        <v>560.04</v>
      </c>
    </row>
    <row r="637" spans="1:14" ht="15" customHeight="1" x14ac:dyDescent="0.25">
      <c r="A637" s="2" t="s">
        <v>793</v>
      </c>
      <c r="B637" s="17">
        <v>45961</v>
      </c>
      <c r="C637" s="2" t="s">
        <v>20</v>
      </c>
      <c r="D637" s="2" t="s">
        <v>26</v>
      </c>
      <c r="E637" s="2" t="s">
        <v>149</v>
      </c>
      <c r="F637" s="2" t="s">
        <v>156</v>
      </c>
      <c r="G637" s="2" t="s">
        <v>189</v>
      </c>
      <c r="H637" s="2" t="s">
        <v>152</v>
      </c>
      <c r="I637" s="2" t="s">
        <v>153</v>
      </c>
      <c r="J637" s="17">
        <v>45966</v>
      </c>
      <c r="K637" s="17"/>
      <c r="L637" s="17"/>
      <c r="M637" s="17">
        <v>45980</v>
      </c>
      <c r="N637" s="18">
        <v>790.65</v>
      </c>
    </row>
    <row r="638" spans="1:14" ht="15" customHeight="1" x14ac:dyDescent="0.25">
      <c r="A638" s="2" t="s">
        <v>794</v>
      </c>
      <c r="B638" s="17">
        <v>45830</v>
      </c>
      <c r="C638" s="2" t="s">
        <v>22</v>
      </c>
      <c r="D638" s="2" t="s">
        <v>24</v>
      </c>
      <c r="E638" s="2" t="s">
        <v>160</v>
      </c>
      <c r="F638" s="2" t="s">
        <v>161</v>
      </c>
      <c r="G638" s="2" t="s">
        <v>151</v>
      </c>
      <c r="H638" s="2" t="s">
        <v>152</v>
      </c>
      <c r="I638" s="2" t="s">
        <v>163</v>
      </c>
      <c r="J638" s="17"/>
      <c r="K638" s="17"/>
      <c r="L638" s="17"/>
      <c r="M638" s="17">
        <v>45835</v>
      </c>
      <c r="N638" s="18">
        <v>2613.1999999999998</v>
      </c>
    </row>
    <row r="639" spans="1:14" ht="15" customHeight="1" x14ac:dyDescent="0.25">
      <c r="A639" s="2" t="s">
        <v>795</v>
      </c>
      <c r="B639" s="17">
        <v>45976</v>
      </c>
      <c r="C639" s="2" t="s">
        <v>22</v>
      </c>
      <c r="D639" s="2" t="s">
        <v>25</v>
      </c>
      <c r="E639" s="2" t="s">
        <v>160</v>
      </c>
      <c r="F639" s="2" t="s">
        <v>156</v>
      </c>
      <c r="G639" s="2" t="s">
        <v>151</v>
      </c>
      <c r="H639" s="2" t="s">
        <v>152</v>
      </c>
      <c r="I639" s="2" t="s">
        <v>153</v>
      </c>
      <c r="J639" s="17">
        <v>45984</v>
      </c>
      <c r="K639" s="17"/>
      <c r="L639" s="17"/>
      <c r="M639" s="17">
        <v>45989</v>
      </c>
      <c r="N639" s="18">
        <v>705.2</v>
      </c>
    </row>
    <row r="640" spans="1:14" ht="15" customHeight="1" x14ac:dyDescent="0.25">
      <c r="A640" s="2" t="s">
        <v>796</v>
      </c>
      <c r="B640" s="17">
        <v>45996</v>
      </c>
      <c r="C640" s="2" t="s">
        <v>20</v>
      </c>
      <c r="D640" s="2" t="s">
        <v>24</v>
      </c>
      <c r="E640" s="2" t="s">
        <v>149</v>
      </c>
      <c r="F640" s="2" t="s">
        <v>156</v>
      </c>
      <c r="G640" s="2" t="s">
        <v>192</v>
      </c>
      <c r="H640" s="2" t="s">
        <v>152</v>
      </c>
      <c r="I640" s="2" t="s">
        <v>163</v>
      </c>
      <c r="J640" s="17"/>
      <c r="K640" s="17"/>
      <c r="L640" s="17"/>
      <c r="M640" s="17">
        <v>46010</v>
      </c>
      <c r="N640" s="18">
        <v>712.56</v>
      </c>
    </row>
    <row r="641" spans="1:14" ht="15" customHeight="1" x14ac:dyDescent="0.25">
      <c r="A641" s="2" t="s">
        <v>797</v>
      </c>
      <c r="B641" s="17">
        <v>45957</v>
      </c>
      <c r="C641" s="2" t="s">
        <v>18</v>
      </c>
      <c r="D641" s="2" t="s">
        <v>24</v>
      </c>
      <c r="E641" s="2" t="s">
        <v>149</v>
      </c>
      <c r="F641" s="2" t="s">
        <v>156</v>
      </c>
      <c r="G641" s="2" t="s">
        <v>251</v>
      </c>
      <c r="H641" s="2" t="s">
        <v>152</v>
      </c>
      <c r="I641" s="2" t="s">
        <v>153</v>
      </c>
      <c r="J641" s="17">
        <v>45959</v>
      </c>
      <c r="K641" s="17">
        <v>45972</v>
      </c>
      <c r="L641" s="17"/>
      <c r="M641" s="17">
        <v>45999</v>
      </c>
      <c r="N641" s="18">
        <v>603.66999999999996</v>
      </c>
    </row>
    <row r="642" spans="1:14" ht="15" customHeight="1" x14ac:dyDescent="0.25">
      <c r="A642" s="2" t="s">
        <v>798</v>
      </c>
      <c r="B642" s="17">
        <v>45765</v>
      </c>
      <c r="C642" s="2" t="s">
        <v>19</v>
      </c>
      <c r="D642" s="2" t="s">
        <v>25</v>
      </c>
      <c r="E642" s="2" t="s">
        <v>186</v>
      </c>
      <c r="F642" s="2" t="s">
        <v>161</v>
      </c>
      <c r="G642" s="2" t="s">
        <v>207</v>
      </c>
      <c r="H642" s="2" t="s">
        <v>152</v>
      </c>
      <c r="I642" s="2" t="s">
        <v>153</v>
      </c>
      <c r="J642" s="17">
        <v>45772</v>
      </c>
      <c r="K642" s="17"/>
      <c r="L642" s="17"/>
      <c r="M642" s="17">
        <v>45789</v>
      </c>
      <c r="N642" s="18">
        <v>2227.77</v>
      </c>
    </row>
    <row r="643" spans="1:14" ht="15" customHeight="1" x14ac:dyDescent="0.25">
      <c r="A643" s="2" t="s">
        <v>799</v>
      </c>
      <c r="B643" s="17">
        <v>45903</v>
      </c>
      <c r="C643" s="2" t="s">
        <v>2966</v>
      </c>
      <c r="D643" s="2" t="s">
        <v>25</v>
      </c>
      <c r="E643" s="2" t="s">
        <v>149</v>
      </c>
      <c r="F643" s="2" t="s">
        <v>156</v>
      </c>
      <c r="G643" s="2" t="s">
        <v>179</v>
      </c>
      <c r="H643" s="2" t="s">
        <v>2</v>
      </c>
      <c r="I643" s="2" t="s">
        <v>153</v>
      </c>
      <c r="J643" s="17">
        <v>45910</v>
      </c>
      <c r="K643" s="17">
        <v>45913</v>
      </c>
      <c r="L643" s="17">
        <v>45940</v>
      </c>
      <c r="M643" s="17"/>
      <c r="N643" s="18">
        <v>775.08</v>
      </c>
    </row>
    <row r="644" spans="1:14" ht="15" customHeight="1" x14ac:dyDescent="0.25">
      <c r="A644" s="2" t="s">
        <v>800</v>
      </c>
      <c r="B644" s="17">
        <v>45813</v>
      </c>
      <c r="C644" s="2" t="s">
        <v>20</v>
      </c>
      <c r="D644" s="2" t="s">
        <v>27</v>
      </c>
      <c r="E644" s="2" t="s">
        <v>160</v>
      </c>
      <c r="F644" s="2" t="s">
        <v>156</v>
      </c>
      <c r="G644" s="2" t="s">
        <v>167</v>
      </c>
      <c r="H644" s="2" t="s">
        <v>152</v>
      </c>
      <c r="I644" s="2" t="s">
        <v>153</v>
      </c>
      <c r="J644" s="17">
        <v>45815</v>
      </c>
      <c r="K644" s="17">
        <v>45822</v>
      </c>
      <c r="L644" s="17"/>
      <c r="M644" s="17">
        <v>45855</v>
      </c>
      <c r="N644" s="18">
        <v>753.66</v>
      </c>
    </row>
    <row r="645" spans="1:14" ht="15" customHeight="1" x14ac:dyDescent="0.25">
      <c r="A645" s="2" t="s">
        <v>801</v>
      </c>
      <c r="B645" s="17">
        <v>45939</v>
      </c>
      <c r="C645" s="2" t="s">
        <v>19</v>
      </c>
      <c r="D645" s="2" t="s">
        <v>28</v>
      </c>
      <c r="E645" s="2" t="s">
        <v>149</v>
      </c>
      <c r="F645" s="2" t="s">
        <v>161</v>
      </c>
      <c r="G645" s="2" t="s">
        <v>179</v>
      </c>
      <c r="H645" s="2" t="s">
        <v>152</v>
      </c>
      <c r="I645" s="2" t="s">
        <v>163</v>
      </c>
      <c r="J645" s="17"/>
      <c r="K645" s="17"/>
      <c r="L645" s="17"/>
      <c r="M645" s="17">
        <v>45943</v>
      </c>
      <c r="N645" s="18">
        <v>2376.5700000000002</v>
      </c>
    </row>
    <row r="646" spans="1:14" ht="15" customHeight="1" x14ac:dyDescent="0.25">
      <c r="A646" s="2" t="s">
        <v>802</v>
      </c>
      <c r="B646" s="17">
        <v>45844</v>
      </c>
      <c r="C646" s="2" t="s">
        <v>21</v>
      </c>
      <c r="D646" s="2" t="s">
        <v>26</v>
      </c>
      <c r="E646" s="2" t="s">
        <v>186</v>
      </c>
      <c r="F646" s="2" t="s">
        <v>156</v>
      </c>
      <c r="G646" s="2" t="s">
        <v>162</v>
      </c>
      <c r="H646" s="2" t="s">
        <v>152</v>
      </c>
      <c r="I646" s="2" t="s">
        <v>163</v>
      </c>
      <c r="J646" s="17"/>
      <c r="K646" s="17"/>
      <c r="L646" s="17"/>
      <c r="M646" s="17">
        <v>45850</v>
      </c>
      <c r="N646" s="18">
        <v>741.52</v>
      </c>
    </row>
    <row r="647" spans="1:14" ht="15" customHeight="1" x14ac:dyDescent="0.25">
      <c r="A647" s="2" t="s">
        <v>803</v>
      </c>
      <c r="B647" s="17">
        <v>45881</v>
      </c>
      <c r="C647" s="2" t="s">
        <v>19</v>
      </c>
      <c r="D647" s="2" t="s">
        <v>25</v>
      </c>
      <c r="E647" s="2" t="s">
        <v>186</v>
      </c>
      <c r="F647" s="2" t="s">
        <v>161</v>
      </c>
      <c r="G647" s="2" t="s">
        <v>207</v>
      </c>
      <c r="H647" s="2" t="s">
        <v>152</v>
      </c>
      <c r="I647" s="2" t="s">
        <v>163</v>
      </c>
      <c r="J647" s="17"/>
      <c r="K647" s="17"/>
      <c r="L647" s="17"/>
      <c r="M647" s="17">
        <v>45901</v>
      </c>
      <c r="N647" s="18">
        <v>2401.84</v>
      </c>
    </row>
    <row r="648" spans="1:14" ht="15" customHeight="1" x14ac:dyDescent="0.25">
      <c r="A648" s="2" t="s">
        <v>804</v>
      </c>
      <c r="B648" s="17">
        <v>45856</v>
      </c>
      <c r="C648" s="2" t="s">
        <v>21</v>
      </c>
      <c r="D648" s="2" t="s">
        <v>24</v>
      </c>
      <c r="E648" s="2" t="s">
        <v>155</v>
      </c>
      <c r="F648" s="2" t="s">
        <v>161</v>
      </c>
      <c r="G648" s="2" t="s">
        <v>176</v>
      </c>
      <c r="H648" s="2" t="s">
        <v>152</v>
      </c>
      <c r="I648" s="2" t="s">
        <v>163</v>
      </c>
      <c r="J648" s="17"/>
      <c r="K648" s="17"/>
      <c r="L648" s="17"/>
      <c r="M648" s="17">
        <v>45862</v>
      </c>
      <c r="N648" s="18">
        <v>1368.93</v>
      </c>
    </row>
    <row r="649" spans="1:14" ht="15" customHeight="1" x14ac:dyDescent="0.25">
      <c r="A649" s="2" t="s">
        <v>805</v>
      </c>
      <c r="B649" s="17">
        <v>45663</v>
      </c>
      <c r="C649" s="2" t="s">
        <v>20</v>
      </c>
      <c r="D649" s="2" t="s">
        <v>26</v>
      </c>
      <c r="E649" s="2" t="s">
        <v>160</v>
      </c>
      <c r="F649" s="2" t="s">
        <v>161</v>
      </c>
      <c r="G649" s="2" t="s">
        <v>192</v>
      </c>
      <c r="H649" s="2" t="s">
        <v>152</v>
      </c>
      <c r="I649" s="2" t="s">
        <v>153</v>
      </c>
      <c r="J649" s="17">
        <v>45671</v>
      </c>
      <c r="K649" s="17">
        <v>45679</v>
      </c>
      <c r="L649" s="17"/>
      <c r="M649" s="17">
        <v>45687</v>
      </c>
      <c r="N649" s="18">
        <v>2152.0100000000002</v>
      </c>
    </row>
    <row r="650" spans="1:14" ht="15" customHeight="1" x14ac:dyDescent="0.25">
      <c r="A650" s="2" t="s">
        <v>806</v>
      </c>
      <c r="B650" s="17">
        <v>45670</v>
      </c>
      <c r="C650" s="2" t="s">
        <v>20</v>
      </c>
      <c r="D650" s="2" t="s">
        <v>25</v>
      </c>
      <c r="E650" s="2" t="s">
        <v>186</v>
      </c>
      <c r="F650" s="2" t="s">
        <v>156</v>
      </c>
      <c r="G650" s="2" t="s">
        <v>192</v>
      </c>
      <c r="H650" s="2" t="s">
        <v>152</v>
      </c>
      <c r="I650" s="2" t="s">
        <v>153</v>
      </c>
      <c r="J650" s="17">
        <v>45677</v>
      </c>
      <c r="K650" s="17"/>
      <c r="L650" s="17"/>
      <c r="M650" s="17">
        <v>45689</v>
      </c>
      <c r="N650" s="18">
        <v>650.73</v>
      </c>
    </row>
    <row r="651" spans="1:14" ht="15" customHeight="1" x14ac:dyDescent="0.25">
      <c r="A651" s="2" t="s">
        <v>807</v>
      </c>
      <c r="B651" s="17">
        <v>45703</v>
      </c>
      <c r="C651" s="2" t="s">
        <v>20</v>
      </c>
      <c r="D651" s="2" t="s">
        <v>26</v>
      </c>
      <c r="E651" s="2" t="s">
        <v>149</v>
      </c>
      <c r="F651" s="2" t="s">
        <v>156</v>
      </c>
      <c r="G651" s="2" t="s">
        <v>189</v>
      </c>
      <c r="H651" s="2" t="s">
        <v>2</v>
      </c>
      <c r="I651" s="2" t="s">
        <v>153</v>
      </c>
      <c r="J651" s="17">
        <v>45709</v>
      </c>
      <c r="K651" s="17">
        <v>45712</v>
      </c>
      <c r="L651" s="17">
        <v>45726</v>
      </c>
      <c r="M651" s="17"/>
      <c r="N651" s="18">
        <v>604.07000000000005</v>
      </c>
    </row>
    <row r="652" spans="1:14" ht="15" customHeight="1" x14ac:dyDescent="0.25">
      <c r="A652" s="2" t="s">
        <v>808</v>
      </c>
      <c r="B652" s="17">
        <v>46009</v>
      </c>
      <c r="C652" s="2" t="s">
        <v>20</v>
      </c>
      <c r="D652" s="2" t="s">
        <v>25</v>
      </c>
      <c r="E652" s="2" t="s">
        <v>160</v>
      </c>
      <c r="F652" s="2" t="s">
        <v>161</v>
      </c>
      <c r="G652" s="2" t="s">
        <v>167</v>
      </c>
      <c r="H652" s="2" t="s">
        <v>158</v>
      </c>
      <c r="I652" s="2" t="s">
        <v>153</v>
      </c>
      <c r="J652" s="17">
        <v>46010</v>
      </c>
      <c r="K652" s="17">
        <v>46023</v>
      </c>
      <c r="L652" s="17"/>
      <c r="M652" s="17"/>
      <c r="N652" s="18">
        <v>2870.38</v>
      </c>
    </row>
    <row r="653" spans="1:14" ht="15" customHeight="1" x14ac:dyDescent="0.25">
      <c r="A653" s="2" t="s">
        <v>809</v>
      </c>
      <c r="B653" s="17">
        <v>45884</v>
      </c>
      <c r="C653" s="2" t="s">
        <v>20</v>
      </c>
      <c r="D653" s="2" t="s">
        <v>24</v>
      </c>
      <c r="E653" s="2" t="s">
        <v>149</v>
      </c>
      <c r="F653" s="2" t="s">
        <v>150</v>
      </c>
      <c r="G653" s="2" t="s">
        <v>167</v>
      </c>
      <c r="H653" s="2" t="s">
        <v>152</v>
      </c>
      <c r="I653" s="2" t="s">
        <v>153</v>
      </c>
      <c r="J653" s="17">
        <v>45889</v>
      </c>
      <c r="K653" s="17">
        <v>45903</v>
      </c>
      <c r="L653" s="17"/>
      <c r="M653" s="17">
        <v>45929</v>
      </c>
      <c r="N653" s="18">
        <v>8501.91</v>
      </c>
    </row>
    <row r="654" spans="1:14" ht="15" customHeight="1" x14ac:dyDescent="0.25">
      <c r="A654" s="2" t="s">
        <v>810</v>
      </c>
      <c r="B654" s="17">
        <v>45788</v>
      </c>
      <c r="C654" s="2" t="s">
        <v>21</v>
      </c>
      <c r="D654" s="2" t="s">
        <v>26</v>
      </c>
      <c r="E654" s="2" t="s">
        <v>160</v>
      </c>
      <c r="F654" s="2" t="s">
        <v>156</v>
      </c>
      <c r="G654" s="2" t="s">
        <v>162</v>
      </c>
      <c r="H654" s="2" t="s">
        <v>2</v>
      </c>
      <c r="I654" s="2" t="s">
        <v>153</v>
      </c>
      <c r="J654" s="17">
        <v>45794</v>
      </c>
      <c r="K654" s="17">
        <v>45796</v>
      </c>
      <c r="L654" s="17">
        <v>45812</v>
      </c>
      <c r="M654" s="17"/>
      <c r="N654" s="18">
        <v>955.93</v>
      </c>
    </row>
    <row r="655" spans="1:14" ht="15" customHeight="1" x14ac:dyDescent="0.25">
      <c r="A655" s="2" t="s">
        <v>811</v>
      </c>
      <c r="B655" s="17">
        <v>46015</v>
      </c>
      <c r="C655" s="2" t="s">
        <v>22</v>
      </c>
      <c r="D655" s="2" t="s">
        <v>25</v>
      </c>
      <c r="E655" s="2" t="s">
        <v>149</v>
      </c>
      <c r="F655" s="2" t="s">
        <v>156</v>
      </c>
      <c r="G655" s="2" t="s">
        <v>170</v>
      </c>
      <c r="H655" s="2" t="s">
        <v>190</v>
      </c>
      <c r="I655" s="2" t="s">
        <v>163</v>
      </c>
      <c r="J655" s="17"/>
      <c r="K655" s="17"/>
      <c r="L655" s="17"/>
      <c r="M655" s="17"/>
      <c r="N655" s="18">
        <v>879.38</v>
      </c>
    </row>
    <row r="656" spans="1:14" ht="15" customHeight="1" x14ac:dyDescent="0.25">
      <c r="A656" s="2" t="s">
        <v>812</v>
      </c>
      <c r="B656" s="17">
        <v>45886</v>
      </c>
      <c r="C656" s="2" t="s">
        <v>19</v>
      </c>
      <c r="D656" s="2" t="s">
        <v>28</v>
      </c>
      <c r="E656" s="2" t="s">
        <v>149</v>
      </c>
      <c r="F656" s="2" t="s">
        <v>161</v>
      </c>
      <c r="G656" s="2" t="s">
        <v>210</v>
      </c>
      <c r="H656" s="2" t="s">
        <v>152</v>
      </c>
      <c r="I656" s="2" t="s">
        <v>163</v>
      </c>
      <c r="J656" s="17"/>
      <c r="K656" s="17"/>
      <c r="L656" s="17"/>
      <c r="M656" s="17">
        <v>45899</v>
      </c>
      <c r="N656" s="18">
        <v>2179.7399999999998</v>
      </c>
    </row>
    <row r="657" spans="1:14" ht="15" customHeight="1" x14ac:dyDescent="0.25">
      <c r="A657" s="2" t="s">
        <v>813</v>
      </c>
      <c r="B657" s="17">
        <v>45983</v>
      </c>
      <c r="C657" s="2" t="s">
        <v>20</v>
      </c>
      <c r="D657" s="2" t="s">
        <v>25</v>
      </c>
      <c r="E657" s="2" t="s">
        <v>149</v>
      </c>
      <c r="F657" s="2" t="s">
        <v>156</v>
      </c>
      <c r="G657" s="2" t="s">
        <v>192</v>
      </c>
      <c r="H657" s="2" t="s">
        <v>2</v>
      </c>
      <c r="I657" s="2" t="s">
        <v>153</v>
      </c>
      <c r="J657" s="17">
        <v>45993</v>
      </c>
      <c r="K657" s="17">
        <v>45998</v>
      </c>
      <c r="L657" s="17">
        <v>46003</v>
      </c>
      <c r="M657" s="17"/>
      <c r="N657" s="18">
        <v>783.14</v>
      </c>
    </row>
    <row r="658" spans="1:14" ht="15" customHeight="1" x14ac:dyDescent="0.25">
      <c r="A658" s="2" t="s">
        <v>814</v>
      </c>
      <c r="B658" s="17">
        <v>45981</v>
      </c>
      <c r="C658" s="2" t="s">
        <v>22</v>
      </c>
      <c r="D658" s="2" t="s">
        <v>24</v>
      </c>
      <c r="E658" s="2" t="s">
        <v>186</v>
      </c>
      <c r="F658" s="2" t="s">
        <v>156</v>
      </c>
      <c r="G658" s="2" t="s">
        <v>165</v>
      </c>
      <c r="H658" s="2" t="s">
        <v>152</v>
      </c>
      <c r="I658" s="2" t="s">
        <v>153</v>
      </c>
      <c r="J658" s="17">
        <v>45991</v>
      </c>
      <c r="K658" s="17"/>
      <c r="L658" s="17"/>
      <c r="M658" s="17">
        <v>45998</v>
      </c>
      <c r="N658" s="18">
        <v>872.33</v>
      </c>
    </row>
    <row r="659" spans="1:14" ht="15" customHeight="1" x14ac:dyDescent="0.25">
      <c r="A659" s="2" t="s">
        <v>815</v>
      </c>
      <c r="B659" s="17">
        <v>45752</v>
      </c>
      <c r="C659" s="2" t="s">
        <v>22</v>
      </c>
      <c r="D659" s="2" t="s">
        <v>25</v>
      </c>
      <c r="E659" s="2" t="s">
        <v>160</v>
      </c>
      <c r="F659" s="2" t="s">
        <v>156</v>
      </c>
      <c r="G659" s="2" t="s">
        <v>165</v>
      </c>
      <c r="H659" s="2" t="s">
        <v>152</v>
      </c>
      <c r="I659" s="2" t="s">
        <v>163</v>
      </c>
      <c r="J659" s="17"/>
      <c r="K659" s="17"/>
      <c r="L659" s="17"/>
      <c r="M659" s="17">
        <v>45761</v>
      </c>
      <c r="N659" s="18">
        <v>632.6</v>
      </c>
    </row>
    <row r="660" spans="1:14" ht="15" customHeight="1" x14ac:dyDescent="0.25">
      <c r="A660" s="2" t="s">
        <v>816</v>
      </c>
      <c r="B660" s="17">
        <v>45850</v>
      </c>
      <c r="C660" s="2" t="s">
        <v>21</v>
      </c>
      <c r="D660" s="2" t="s">
        <v>28</v>
      </c>
      <c r="E660" s="2" t="s">
        <v>160</v>
      </c>
      <c r="F660" s="2" t="s">
        <v>161</v>
      </c>
      <c r="G660" s="2" t="s">
        <v>176</v>
      </c>
      <c r="H660" s="2" t="s">
        <v>152</v>
      </c>
      <c r="I660" s="2" t="s">
        <v>153</v>
      </c>
      <c r="J660" s="17">
        <v>45853</v>
      </c>
      <c r="K660" s="17"/>
      <c r="L660" s="17"/>
      <c r="M660" s="17">
        <v>45874</v>
      </c>
      <c r="N660" s="18">
        <v>2306.46</v>
      </c>
    </row>
    <row r="661" spans="1:14" ht="15" customHeight="1" x14ac:dyDescent="0.25">
      <c r="A661" s="2" t="s">
        <v>817</v>
      </c>
      <c r="B661" s="17">
        <v>45949</v>
      </c>
      <c r="C661" s="2" t="s">
        <v>22</v>
      </c>
      <c r="D661" s="2" t="s">
        <v>26</v>
      </c>
      <c r="E661" s="2" t="s">
        <v>149</v>
      </c>
      <c r="F661" s="2" t="s">
        <v>156</v>
      </c>
      <c r="G661" s="2" t="s">
        <v>151</v>
      </c>
      <c r="H661" s="2" t="s">
        <v>152</v>
      </c>
      <c r="I661" s="2" t="s">
        <v>163</v>
      </c>
      <c r="J661" s="17"/>
      <c r="K661" s="17"/>
      <c r="L661" s="17"/>
      <c r="M661" s="17">
        <v>45954</v>
      </c>
      <c r="N661" s="18">
        <v>627.41999999999996</v>
      </c>
    </row>
    <row r="662" spans="1:14" ht="15" customHeight="1" x14ac:dyDescent="0.25">
      <c r="A662" s="2" t="s">
        <v>818</v>
      </c>
      <c r="B662" s="17">
        <v>45976</v>
      </c>
      <c r="C662" s="2" t="s">
        <v>22</v>
      </c>
      <c r="D662" s="2" t="s">
        <v>24</v>
      </c>
      <c r="E662" s="2" t="s">
        <v>149</v>
      </c>
      <c r="F662" s="2" t="s">
        <v>156</v>
      </c>
      <c r="G662" s="2" t="s">
        <v>170</v>
      </c>
      <c r="H662" s="2" t="s">
        <v>152</v>
      </c>
      <c r="I662" s="2" t="s">
        <v>153</v>
      </c>
      <c r="J662" s="17">
        <v>45979</v>
      </c>
      <c r="K662" s="17"/>
      <c r="L662" s="17"/>
      <c r="M662" s="17">
        <v>45991</v>
      </c>
      <c r="N662" s="18">
        <v>1126.04</v>
      </c>
    </row>
    <row r="663" spans="1:14" ht="15" customHeight="1" x14ac:dyDescent="0.25">
      <c r="A663" s="2" t="s">
        <v>819</v>
      </c>
      <c r="B663" s="17">
        <v>45857</v>
      </c>
      <c r="C663" s="2" t="s">
        <v>22</v>
      </c>
      <c r="D663" s="2" t="s">
        <v>25</v>
      </c>
      <c r="E663" s="2" t="s">
        <v>149</v>
      </c>
      <c r="F663" s="2" t="s">
        <v>161</v>
      </c>
      <c r="G663" s="2" t="s">
        <v>151</v>
      </c>
      <c r="H663" s="2" t="s">
        <v>152</v>
      </c>
      <c r="I663" s="2" t="s">
        <v>153</v>
      </c>
      <c r="J663" s="17">
        <v>45863</v>
      </c>
      <c r="K663" s="17"/>
      <c r="L663" s="17"/>
      <c r="M663" s="17">
        <v>45870</v>
      </c>
      <c r="N663" s="18">
        <v>2127.66</v>
      </c>
    </row>
    <row r="664" spans="1:14" ht="15" customHeight="1" x14ac:dyDescent="0.25">
      <c r="A664" s="2" t="s">
        <v>820</v>
      </c>
      <c r="B664" s="17">
        <v>45959</v>
      </c>
      <c r="C664" s="2" t="s">
        <v>22</v>
      </c>
      <c r="D664" s="2" t="s">
        <v>28</v>
      </c>
      <c r="E664" s="2" t="s">
        <v>155</v>
      </c>
      <c r="F664" s="2" t="s">
        <v>156</v>
      </c>
      <c r="G664" s="2" t="s">
        <v>151</v>
      </c>
      <c r="H664" s="2" t="s">
        <v>2</v>
      </c>
      <c r="I664" s="2" t="s">
        <v>153</v>
      </c>
      <c r="J664" s="17">
        <v>45969</v>
      </c>
      <c r="K664" s="17">
        <v>45976</v>
      </c>
      <c r="L664" s="17">
        <v>45990</v>
      </c>
      <c r="M664" s="17"/>
      <c r="N664" s="18">
        <v>385</v>
      </c>
    </row>
    <row r="665" spans="1:14" ht="15" customHeight="1" x14ac:dyDescent="0.25">
      <c r="A665" s="2" t="s">
        <v>821</v>
      </c>
      <c r="B665" s="17">
        <v>45987</v>
      </c>
      <c r="C665" s="2" t="s">
        <v>22</v>
      </c>
      <c r="D665" s="2" t="s">
        <v>25</v>
      </c>
      <c r="E665" s="2" t="s">
        <v>155</v>
      </c>
      <c r="F665" s="2" t="s">
        <v>161</v>
      </c>
      <c r="G665" s="2" t="s">
        <v>170</v>
      </c>
      <c r="H665" s="2" t="s">
        <v>152</v>
      </c>
      <c r="I665" s="2" t="s">
        <v>163</v>
      </c>
      <c r="J665" s="17"/>
      <c r="K665" s="17"/>
      <c r="L665" s="17"/>
      <c r="M665" s="17">
        <v>45989</v>
      </c>
      <c r="N665" s="18">
        <v>2020.92</v>
      </c>
    </row>
    <row r="666" spans="1:14" ht="15" customHeight="1" x14ac:dyDescent="0.25">
      <c r="A666" s="2" t="s">
        <v>822</v>
      </c>
      <c r="B666" s="17">
        <v>45881</v>
      </c>
      <c r="C666" s="2" t="s">
        <v>18</v>
      </c>
      <c r="D666" s="2" t="s">
        <v>26</v>
      </c>
      <c r="E666" s="2" t="s">
        <v>186</v>
      </c>
      <c r="F666" s="2" t="s">
        <v>150</v>
      </c>
      <c r="G666" s="2" t="s">
        <v>251</v>
      </c>
      <c r="H666" s="2" t="s">
        <v>2</v>
      </c>
      <c r="I666" s="2" t="s">
        <v>153</v>
      </c>
      <c r="J666" s="17">
        <v>45882</v>
      </c>
      <c r="K666" s="17">
        <v>45897</v>
      </c>
      <c r="L666" s="17">
        <v>45914</v>
      </c>
      <c r="M666" s="17"/>
      <c r="N666" s="18">
        <v>8147.72</v>
      </c>
    </row>
    <row r="667" spans="1:14" ht="15" customHeight="1" x14ac:dyDescent="0.25">
      <c r="A667" s="2" t="s">
        <v>823</v>
      </c>
      <c r="B667" s="17">
        <v>45924</v>
      </c>
      <c r="C667" s="2" t="s">
        <v>18</v>
      </c>
      <c r="D667" s="2" t="s">
        <v>25</v>
      </c>
      <c r="E667" s="2" t="s">
        <v>155</v>
      </c>
      <c r="F667" s="2" t="s">
        <v>161</v>
      </c>
      <c r="G667" s="2" t="s">
        <v>251</v>
      </c>
      <c r="H667" s="2" t="s">
        <v>152</v>
      </c>
      <c r="I667" s="2" t="s">
        <v>153</v>
      </c>
      <c r="J667" s="17">
        <v>45925</v>
      </c>
      <c r="K667" s="17">
        <v>45937</v>
      </c>
      <c r="L667" s="17"/>
      <c r="M667" s="17">
        <v>45968</v>
      </c>
      <c r="N667" s="18">
        <v>1438.48</v>
      </c>
    </row>
    <row r="668" spans="1:14" ht="15" customHeight="1" x14ac:dyDescent="0.25">
      <c r="A668" s="2" t="s">
        <v>824</v>
      </c>
      <c r="B668" s="17">
        <v>46019</v>
      </c>
      <c r="C668" s="2" t="s">
        <v>18</v>
      </c>
      <c r="D668" s="2" t="s">
        <v>26</v>
      </c>
      <c r="E668" s="2" t="s">
        <v>160</v>
      </c>
      <c r="F668" s="2" t="s">
        <v>161</v>
      </c>
      <c r="G668" s="2" t="s">
        <v>157</v>
      </c>
      <c r="H668" s="2" t="s">
        <v>2</v>
      </c>
      <c r="I668" s="2" t="s">
        <v>153</v>
      </c>
      <c r="J668" s="17">
        <v>46027</v>
      </c>
      <c r="K668" s="17">
        <v>46039</v>
      </c>
      <c r="L668" s="17">
        <v>46042</v>
      </c>
      <c r="M668" s="17"/>
      <c r="N668" s="18">
        <v>1970.71</v>
      </c>
    </row>
    <row r="669" spans="1:14" ht="15" customHeight="1" x14ac:dyDescent="0.25">
      <c r="A669" s="2" t="s">
        <v>825</v>
      </c>
      <c r="B669" s="17">
        <v>45840</v>
      </c>
      <c r="C669" s="2" t="s">
        <v>20</v>
      </c>
      <c r="D669" s="2" t="s">
        <v>24</v>
      </c>
      <c r="E669" s="2" t="s">
        <v>155</v>
      </c>
      <c r="F669" s="2" t="s">
        <v>150</v>
      </c>
      <c r="G669" s="2" t="s">
        <v>167</v>
      </c>
      <c r="H669" s="2" t="s">
        <v>152</v>
      </c>
      <c r="I669" s="2" t="s">
        <v>163</v>
      </c>
      <c r="J669" s="17"/>
      <c r="K669" s="17"/>
      <c r="L669" s="17"/>
      <c r="M669" s="17">
        <v>45851</v>
      </c>
      <c r="N669" s="18">
        <v>6009.35</v>
      </c>
    </row>
    <row r="670" spans="1:14" ht="15" customHeight="1" x14ac:dyDescent="0.25">
      <c r="A670" s="2" t="s">
        <v>826</v>
      </c>
      <c r="B670" s="17">
        <v>46000</v>
      </c>
      <c r="C670" s="2" t="s">
        <v>20</v>
      </c>
      <c r="D670" s="2" t="s">
        <v>24</v>
      </c>
      <c r="E670" s="2" t="s">
        <v>149</v>
      </c>
      <c r="F670" s="2" t="s">
        <v>156</v>
      </c>
      <c r="G670" s="2" t="s">
        <v>189</v>
      </c>
      <c r="H670" s="2" t="s">
        <v>15</v>
      </c>
      <c r="I670" s="2" t="s">
        <v>153</v>
      </c>
      <c r="J670" s="17">
        <v>46002</v>
      </c>
      <c r="K670" s="17"/>
      <c r="L670" s="17"/>
      <c r="M670" s="17"/>
      <c r="N670" s="18">
        <v>871.54</v>
      </c>
    </row>
    <row r="671" spans="1:14" ht="15" customHeight="1" x14ac:dyDescent="0.25">
      <c r="A671" s="2" t="s">
        <v>827</v>
      </c>
      <c r="B671" s="17">
        <v>45832</v>
      </c>
      <c r="C671" s="2" t="s">
        <v>20</v>
      </c>
      <c r="D671" s="2" t="s">
        <v>25</v>
      </c>
      <c r="E671" s="2" t="s">
        <v>160</v>
      </c>
      <c r="F671" s="2" t="s">
        <v>161</v>
      </c>
      <c r="G671" s="2" t="s">
        <v>192</v>
      </c>
      <c r="H671" s="2" t="s">
        <v>152</v>
      </c>
      <c r="I671" s="2" t="s">
        <v>153</v>
      </c>
      <c r="J671" s="17">
        <v>45840</v>
      </c>
      <c r="K671" s="17">
        <v>45846</v>
      </c>
      <c r="L671" s="17"/>
      <c r="M671" s="17">
        <v>45855</v>
      </c>
      <c r="N671" s="18">
        <v>1805.38</v>
      </c>
    </row>
    <row r="672" spans="1:14" ht="15" customHeight="1" x14ac:dyDescent="0.25">
      <c r="A672" s="2" t="s">
        <v>828</v>
      </c>
      <c r="B672" s="17">
        <v>45868</v>
      </c>
      <c r="C672" s="2" t="s">
        <v>19</v>
      </c>
      <c r="D672" s="2" t="s">
        <v>27</v>
      </c>
      <c r="E672" s="2" t="s">
        <v>160</v>
      </c>
      <c r="F672" s="2" t="s">
        <v>161</v>
      </c>
      <c r="G672" s="2" t="s">
        <v>207</v>
      </c>
      <c r="H672" s="2" t="s">
        <v>152</v>
      </c>
      <c r="I672" s="2" t="s">
        <v>153</v>
      </c>
      <c r="J672" s="17">
        <v>45873</v>
      </c>
      <c r="K672" s="17">
        <v>45879</v>
      </c>
      <c r="L672" s="17"/>
      <c r="M672" s="17">
        <v>45887</v>
      </c>
      <c r="N672" s="18">
        <v>1815.27</v>
      </c>
    </row>
    <row r="673" spans="1:14" ht="15" customHeight="1" x14ac:dyDescent="0.25">
      <c r="A673" s="2" t="s">
        <v>829</v>
      </c>
      <c r="B673" s="17">
        <v>45901</v>
      </c>
      <c r="C673" s="2" t="s">
        <v>21</v>
      </c>
      <c r="D673" s="2" t="s">
        <v>25</v>
      </c>
      <c r="E673" s="2" t="s">
        <v>160</v>
      </c>
      <c r="F673" s="2" t="s">
        <v>161</v>
      </c>
      <c r="G673" s="2" t="s">
        <v>162</v>
      </c>
      <c r="H673" s="2" t="s">
        <v>152</v>
      </c>
      <c r="I673" s="2" t="s">
        <v>153</v>
      </c>
      <c r="J673" s="17">
        <v>45906</v>
      </c>
      <c r="K673" s="17"/>
      <c r="L673" s="17"/>
      <c r="M673" s="17">
        <v>45929</v>
      </c>
      <c r="N673" s="18">
        <v>1694.16</v>
      </c>
    </row>
    <row r="674" spans="1:14" ht="15" customHeight="1" x14ac:dyDescent="0.25">
      <c r="A674" s="2" t="s">
        <v>830</v>
      </c>
      <c r="B674" s="17">
        <v>45792</v>
      </c>
      <c r="C674" s="2" t="s">
        <v>21</v>
      </c>
      <c r="D674" s="2" t="s">
        <v>27</v>
      </c>
      <c r="E674" s="2" t="s">
        <v>155</v>
      </c>
      <c r="F674" s="2" t="s">
        <v>156</v>
      </c>
      <c r="G674" s="2" t="s">
        <v>162</v>
      </c>
      <c r="H674" s="2" t="s">
        <v>152</v>
      </c>
      <c r="I674" s="2" t="s">
        <v>163</v>
      </c>
      <c r="J674" s="17"/>
      <c r="K674" s="17"/>
      <c r="L674" s="17"/>
      <c r="M674" s="17">
        <v>45800</v>
      </c>
      <c r="N674" s="18">
        <v>406.37</v>
      </c>
    </row>
    <row r="675" spans="1:14" ht="15" customHeight="1" x14ac:dyDescent="0.25">
      <c r="A675" s="2" t="s">
        <v>831</v>
      </c>
      <c r="B675" s="17">
        <v>45950</v>
      </c>
      <c r="C675" s="2" t="s">
        <v>22</v>
      </c>
      <c r="D675" s="2" t="s">
        <v>28</v>
      </c>
      <c r="E675" s="2" t="s">
        <v>155</v>
      </c>
      <c r="F675" s="2" t="s">
        <v>161</v>
      </c>
      <c r="G675" s="2" t="s">
        <v>165</v>
      </c>
      <c r="H675" s="2" t="s">
        <v>2</v>
      </c>
      <c r="I675" s="2" t="s">
        <v>153</v>
      </c>
      <c r="J675" s="17">
        <v>45953</v>
      </c>
      <c r="K675" s="17">
        <v>45965</v>
      </c>
      <c r="L675" s="17">
        <v>45983</v>
      </c>
      <c r="M675" s="17"/>
      <c r="N675" s="18">
        <v>1999.69</v>
      </c>
    </row>
    <row r="676" spans="1:14" ht="15" customHeight="1" x14ac:dyDescent="0.25">
      <c r="A676" s="2" t="s">
        <v>832</v>
      </c>
      <c r="B676" s="17">
        <v>45988</v>
      </c>
      <c r="C676" s="2" t="s">
        <v>20</v>
      </c>
      <c r="D676" s="2" t="s">
        <v>25</v>
      </c>
      <c r="E676" s="2" t="s">
        <v>186</v>
      </c>
      <c r="F676" s="2" t="s">
        <v>156</v>
      </c>
      <c r="G676" s="2" t="s">
        <v>189</v>
      </c>
      <c r="H676" s="2" t="s">
        <v>2</v>
      </c>
      <c r="I676" s="2" t="s">
        <v>153</v>
      </c>
      <c r="J676" s="17">
        <v>45998</v>
      </c>
      <c r="K676" s="17">
        <v>46003</v>
      </c>
      <c r="L676" s="17">
        <v>46029</v>
      </c>
      <c r="M676" s="17"/>
      <c r="N676" s="18">
        <v>886.41</v>
      </c>
    </row>
    <row r="677" spans="1:14" ht="15" customHeight="1" x14ac:dyDescent="0.25">
      <c r="A677" s="2" t="s">
        <v>833</v>
      </c>
      <c r="B677" s="17">
        <v>45838</v>
      </c>
      <c r="C677" s="2" t="s">
        <v>18</v>
      </c>
      <c r="D677" s="2" t="s">
        <v>25</v>
      </c>
      <c r="E677" s="2" t="s">
        <v>186</v>
      </c>
      <c r="F677" s="2" t="s">
        <v>156</v>
      </c>
      <c r="G677" s="2" t="s">
        <v>157</v>
      </c>
      <c r="H677" s="2" t="s">
        <v>152</v>
      </c>
      <c r="I677" s="2" t="s">
        <v>153</v>
      </c>
      <c r="J677" s="17">
        <v>45839</v>
      </c>
      <c r="K677" s="17">
        <v>45847</v>
      </c>
      <c r="L677" s="17"/>
      <c r="M677" s="17">
        <v>45871</v>
      </c>
      <c r="N677" s="18">
        <v>586.27</v>
      </c>
    </row>
    <row r="678" spans="1:14" ht="15" customHeight="1" x14ac:dyDescent="0.25">
      <c r="A678" s="2" t="s">
        <v>834</v>
      </c>
      <c r="B678" s="17">
        <v>45716</v>
      </c>
      <c r="C678" s="2" t="s">
        <v>21</v>
      </c>
      <c r="D678" s="2" t="s">
        <v>25</v>
      </c>
      <c r="E678" s="2" t="s">
        <v>160</v>
      </c>
      <c r="F678" s="2" t="s">
        <v>156</v>
      </c>
      <c r="G678" s="2" t="s">
        <v>176</v>
      </c>
      <c r="H678" s="2" t="s">
        <v>152</v>
      </c>
      <c r="I678" s="2" t="s">
        <v>163</v>
      </c>
      <c r="J678" s="17"/>
      <c r="K678" s="17"/>
      <c r="L678" s="17"/>
      <c r="M678" s="17">
        <v>45735</v>
      </c>
      <c r="N678" s="18">
        <v>615.48</v>
      </c>
    </row>
    <row r="679" spans="1:14" ht="15" customHeight="1" x14ac:dyDescent="0.25">
      <c r="A679" s="2" t="s">
        <v>835</v>
      </c>
      <c r="B679" s="17">
        <v>45725</v>
      </c>
      <c r="C679" s="2" t="s">
        <v>21</v>
      </c>
      <c r="D679" s="2" t="s">
        <v>25</v>
      </c>
      <c r="E679" s="2" t="s">
        <v>149</v>
      </c>
      <c r="F679" s="2" t="s">
        <v>156</v>
      </c>
      <c r="G679" s="2" t="s">
        <v>183</v>
      </c>
      <c r="H679" s="2" t="s">
        <v>152</v>
      </c>
      <c r="I679" s="2" t="s">
        <v>153</v>
      </c>
      <c r="J679" s="17">
        <v>45734</v>
      </c>
      <c r="K679" s="17"/>
      <c r="L679" s="17"/>
      <c r="M679" s="17">
        <v>45743</v>
      </c>
      <c r="N679" s="18">
        <v>599.74</v>
      </c>
    </row>
    <row r="680" spans="1:14" ht="15" customHeight="1" x14ac:dyDescent="0.25">
      <c r="A680" s="2" t="s">
        <v>836</v>
      </c>
      <c r="B680" s="17">
        <v>45988</v>
      </c>
      <c r="C680" s="2" t="s">
        <v>18</v>
      </c>
      <c r="D680" s="2" t="s">
        <v>25</v>
      </c>
      <c r="E680" s="2" t="s">
        <v>149</v>
      </c>
      <c r="F680" s="2" t="s">
        <v>156</v>
      </c>
      <c r="G680" s="2" t="s">
        <v>157</v>
      </c>
      <c r="H680" s="2" t="s">
        <v>152</v>
      </c>
      <c r="I680" s="2" t="s">
        <v>153</v>
      </c>
      <c r="J680" s="17">
        <v>45992</v>
      </c>
      <c r="K680" s="17">
        <v>45996</v>
      </c>
      <c r="L680" s="17"/>
      <c r="M680" s="17">
        <v>46011</v>
      </c>
      <c r="N680" s="18">
        <v>1085.55</v>
      </c>
    </row>
    <row r="681" spans="1:14" ht="15" customHeight="1" x14ac:dyDescent="0.25">
      <c r="A681" s="2" t="s">
        <v>837</v>
      </c>
      <c r="B681" s="17">
        <v>45860</v>
      </c>
      <c r="C681" s="2" t="s">
        <v>21</v>
      </c>
      <c r="D681" s="2" t="s">
        <v>24</v>
      </c>
      <c r="E681" s="2" t="s">
        <v>160</v>
      </c>
      <c r="F681" s="2" t="s">
        <v>156</v>
      </c>
      <c r="G681" s="2" t="s">
        <v>176</v>
      </c>
      <c r="H681" s="2" t="s">
        <v>152</v>
      </c>
      <c r="I681" s="2" t="s">
        <v>153</v>
      </c>
      <c r="J681" s="17">
        <v>45864</v>
      </c>
      <c r="K681" s="17">
        <v>45865</v>
      </c>
      <c r="L681" s="17"/>
      <c r="M681" s="17">
        <v>45872</v>
      </c>
      <c r="N681" s="18">
        <v>898.07</v>
      </c>
    </row>
    <row r="682" spans="1:14" ht="15" customHeight="1" x14ac:dyDescent="0.25">
      <c r="A682" s="2" t="s">
        <v>838</v>
      </c>
      <c r="B682" s="17">
        <v>45728</v>
      </c>
      <c r="C682" s="2" t="s">
        <v>19</v>
      </c>
      <c r="D682" s="2" t="s">
        <v>25</v>
      </c>
      <c r="E682" s="2" t="s">
        <v>149</v>
      </c>
      <c r="F682" s="2" t="s">
        <v>161</v>
      </c>
      <c r="G682" s="2" t="s">
        <v>179</v>
      </c>
      <c r="H682" s="2" t="s">
        <v>152</v>
      </c>
      <c r="I682" s="2" t="s">
        <v>153</v>
      </c>
      <c r="J682" s="17">
        <v>45731</v>
      </c>
      <c r="K682" s="17">
        <v>45737</v>
      </c>
      <c r="L682" s="17"/>
      <c r="M682" s="17">
        <v>45755</v>
      </c>
      <c r="N682" s="18">
        <v>3490.83</v>
      </c>
    </row>
    <row r="683" spans="1:14" ht="15" customHeight="1" x14ac:dyDescent="0.25">
      <c r="A683" s="2" t="s">
        <v>839</v>
      </c>
      <c r="B683" s="17">
        <v>45728</v>
      </c>
      <c r="C683" s="2" t="s">
        <v>22</v>
      </c>
      <c r="D683" s="2" t="s">
        <v>25</v>
      </c>
      <c r="E683" s="2" t="s">
        <v>155</v>
      </c>
      <c r="F683" s="2" t="s">
        <v>161</v>
      </c>
      <c r="G683" s="2" t="s">
        <v>151</v>
      </c>
      <c r="H683" s="2" t="s">
        <v>2</v>
      </c>
      <c r="I683" s="2" t="s">
        <v>153</v>
      </c>
      <c r="J683" s="17">
        <v>45730</v>
      </c>
      <c r="K683" s="17">
        <v>45744</v>
      </c>
      <c r="L683" s="17">
        <v>45757</v>
      </c>
      <c r="M683" s="17"/>
      <c r="N683" s="18">
        <v>1873.77</v>
      </c>
    </row>
    <row r="684" spans="1:14" ht="15" customHeight="1" x14ac:dyDescent="0.25">
      <c r="A684" s="2" t="s">
        <v>840</v>
      </c>
      <c r="B684" s="17">
        <v>45993</v>
      </c>
      <c r="C684" s="2" t="s">
        <v>21</v>
      </c>
      <c r="D684" s="2" t="s">
        <v>24</v>
      </c>
      <c r="E684" s="2" t="s">
        <v>186</v>
      </c>
      <c r="F684" s="2" t="s">
        <v>156</v>
      </c>
      <c r="G684" s="2" t="s">
        <v>176</v>
      </c>
      <c r="H684" s="2" t="s">
        <v>152</v>
      </c>
      <c r="I684" s="2" t="s">
        <v>163</v>
      </c>
      <c r="J684" s="17"/>
      <c r="K684" s="17"/>
      <c r="L684" s="17"/>
      <c r="M684" s="17">
        <v>46002</v>
      </c>
      <c r="N684" s="18">
        <v>615</v>
      </c>
    </row>
    <row r="685" spans="1:14" ht="15" customHeight="1" x14ac:dyDescent="0.25">
      <c r="A685" s="2" t="s">
        <v>841</v>
      </c>
      <c r="B685" s="17">
        <v>45669</v>
      </c>
      <c r="C685" s="2" t="s">
        <v>19</v>
      </c>
      <c r="D685" s="2" t="s">
        <v>25</v>
      </c>
      <c r="E685" s="2" t="s">
        <v>186</v>
      </c>
      <c r="F685" s="2" t="s">
        <v>150</v>
      </c>
      <c r="G685" s="2" t="s">
        <v>210</v>
      </c>
      <c r="H685" s="2" t="s">
        <v>2</v>
      </c>
      <c r="I685" s="2" t="s">
        <v>153</v>
      </c>
      <c r="J685" s="17">
        <v>45671</v>
      </c>
      <c r="K685" s="17">
        <v>45684</v>
      </c>
      <c r="L685" s="17">
        <v>45699</v>
      </c>
      <c r="M685" s="17"/>
      <c r="N685" s="18">
        <v>5649.33</v>
      </c>
    </row>
    <row r="686" spans="1:14" ht="15" customHeight="1" x14ac:dyDescent="0.25">
      <c r="A686" s="2" t="s">
        <v>842</v>
      </c>
      <c r="B686" s="17">
        <v>45881</v>
      </c>
      <c r="C686" s="2" t="s">
        <v>18</v>
      </c>
      <c r="D686" s="2" t="s">
        <v>26</v>
      </c>
      <c r="E686" s="2" t="s">
        <v>149</v>
      </c>
      <c r="F686" s="2" t="s">
        <v>150</v>
      </c>
      <c r="G686" s="2" t="s">
        <v>157</v>
      </c>
      <c r="H686" s="2" t="s">
        <v>152</v>
      </c>
      <c r="I686" s="2" t="s">
        <v>163</v>
      </c>
      <c r="J686" s="17"/>
      <c r="K686" s="17"/>
      <c r="L686" s="17"/>
      <c r="M686" s="17">
        <v>45891</v>
      </c>
      <c r="N686" s="18">
        <v>9676.94</v>
      </c>
    </row>
    <row r="687" spans="1:14" ht="15" customHeight="1" x14ac:dyDescent="0.25">
      <c r="A687" s="2" t="s">
        <v>843</v>
      </c>
      <c r="B687" s="17">
        <v>45856</v>
      </c>
      <c r="C687" s="2" t="s">
        <v>22</v>
      </c>
      <c r="D687" s="2" t="s">
        <v>25</v>
      </c>
      <c r="E687" s="2" t="s">
        <v>160</v>
      </c>
      <c r="F687" s="2" t="s">
        <v>156</v>
      </c>
      <c r="G687" s="2" t="s">
        <v>151</v>
      </c>
      <c r="H687" s="2" t="s">
        <v>152</v>
      </c>
      <c r="I687" s="2" t="s">
        <v>153</v>
      </c>
      <c r="J687" s="17">
        <v>45863</v>
      </c>
      <c r="K687" s="17"/>
      <c r="L687" s="17"/>
      <c r="M687" s="17">
        <v>45875</v>
      </c>
      <c r="N687" s="18">
        <v>882.77</v>
      </c>
    </row>
    <row r="688" spans="1:14" ht="15" customHeight="1" x14ac:dyDescent="0.25">
      <c r="A688" s="2" t="s">
        <v>844</v>
      </c>
      <c r="B688" s="17">
        <v>45769</v>
      </c>
      <c r="C688" s="2" t="s">
        <v>22</v>
      </c>
      <c r="D688" s="2" t="s">
        <v>28</v>
      </c>
      <c r="E688" s="2" t="s">
        <v>155</v>
      </c>
      <c r="F688" s="2" t="s">
        <v>156</v>
      </c>
      <c r="G688" s="2" t="s">
        <v>165</v>
      </c>
      <c r="H688" s="2" t="s">
        <v>152</v>
      </c>
      <c r="I688" s="2" t="s">
        <v>163</v>
      </c>
      <c r="J688" s="17"/>
      <c r="K688" s="17"/>
      <c r="L688" s="17"/>
      <c r="M688" s="17">
        <v>45788</v>
      </c>
      <c r="N688" s="18">
        <v>586.49</v>
      </c>
    </row>
    <row r="689" spans="1:14" ht="15" customHeight="1" x14ac:dyDescent="0.25">
      <c r="A689" s="2" t="s">
        <v>845</v>
      </c>
      <c r="B689" s="17">
        <v>45814</v>
      </c>
      <c r="C689" s="2" t="s">
        <v>21</v>
      </c>
      <c r="D689" s="2" t="s">
        <v>28</v>
      </c>
      <c r="E689" s="2" t="s">
        <v>149</v>
      </c>
      <c r="F689" s="2" t="s">
        <v>150</v>
      </c>
      <c r="G689" s="2" t="s">
        <v>176</v>
      </c>
      <c r="H689" s="2" t="s">
        <v>152</v>
      </c>
      <c r="I689" s="2" t="s">
        <v>163</v>
      </c>
      <c r="J689" s="17"/>
      <c r="K689" s="17"/>
      <c r="L689" s="17"/>
      <c r="M689" s="17">
        <v>45833</v>
      </c>
      <c r="N689" s="18">
        <v>8675.4599999999991</v>
      </c>
    </row>
    <row r="690" spans="1:14" ht="15" customHeight="1" x14ac:dyDescent="0.25">
      <c r="A690" s="2" t="s">
        <v>846</v>
      </c>
      <c r="B690" s="17">
        <v>45717</v>
      </c>
      <c r="C690" s="2" t="s">
        <v>22</v>
      </c>
      <c r="D690" s="2" t="s">
        <v>27</v>
      </c>
      <c r="E690" s="2" t="s">
        <v>160</v>
      </c>
      <c r="F690" s="2" t="s">
        <v>156</v>
      </c>
      <c r="G690" s="2" t="s">
        <v>151</v>
      </c>
      <c r="H690" s="2" t="s">
        <v>152</v>
      </c>
      <c r="I690" s="2" t="s">
        <v>153</v>
      </c>
      <c r="J690" s="17">
        <v>45727</v>
      </c>
      <c r="K690" s="17"/>
      <c r="L690" s="17"/>
      <c r="M690" s="17">
        <v>45739</v>
      </c>
      <c r="N690" s="18">
        <v>809.07</v>
      </c>
    </row>
    <row r="691" spans="1:14" ht="15" customHeight="1" x14ac:dyDescent="0.25">
      <c r="A691" s="2" t="s">
        <v>847</v>
      </c>
      <c r="B691" s="17">
        <v>45795</v>
      </c>
      <c r="C691" s="2" t="s">
        <v>22</v>
      </c>
      <c r="D691" s="2" t="s">
        <v>25</v>
      </c>
      <c r="E691" s="2" t="s">
        <v>149</v>
      </c>
      <c r="F691" s="2" t="s">
        <v>156</v>
      </c>
      <c r="G691" s="2" t="s">
        <v>151</v>
      </c>
      <c r="H691" s="2" t="s">
        <v>2</v>
      </c>
      <c r="I691" s="2" t="s">
        <v>153</v>
      </c>
      <c r="J691" s="17">
        <v>45800</v>
      </c>
      <c r="K691" s="17">
        <v>45808</v>
      </c>
      <c r="L691" s="17">
        <v>45817</v>
      </c>
      <c r="M691" s="17"/>
      <c r="N691" s="18">
        <v>823.24</v>
      </c>
    </row>
    <row r="692" spans="1:14" ht="15" customHeight="1" x14ac:dyDescent="0.25">
      <c r="A692" s="2" t="s">
        <v>848</v>
      </c>
      <c r="B692" s="17">
        <v>46017</v>
      </c>
      <c r="C692" s="2" t="s">
        <v>22</v>
      </c>
      <c r="D692" s="2" t="s">
        <v>25</v>
      </c>
      <c r="E692" s="2" t="s">
        <v>160</v>
      </c>
      <c r="F692" s="2" t="s">
        <v>161</v>
      </c>
      <c r="G692" s="2" t="s">
        <v>170</v>
      </c>
      <c r="H692" s="2" t="s">
        <v>2</v>
      </c>
      <c r="I692" s="2" t="s">
        <v>153</v>
      </c>
      <c r="J692" s="17">
        <v>46027</v>
      </c>
      <c r="K692" s="17">
        <v>46029</v>
      </c>
      <c r="L692" s="17">
        <v>46051</v>
      </c>
      <c r="M692" s="17"/>
      <c r="N692" s="18">
        <v>2599.6799999999998</v>
      </c>
    </row>
    <row r="693" spans="1:14" ht="15" customHeight="1" x14ac:dyDescent="0.25">
      <c r="A693" s="2" t="s">
        <v>849</v>
      </c>
      <c r="B693" s="17">
        <v>45776</v>
      </c>
      <c r="C693" s="2" t="s">
        <v>19</v>
      </c>
      <c r="D693" s="2" t="s">
        <v>25</v>
      </c>
      <c r="E693" s="2" t="s">
        <v>186</v>
      </c>
      <c r="F693" s="2" t="s">
        <v>156</v>
      </c>
      <c r="G693" s="2" t="s">
        <v>210</v>
      </c>
      <c r="H693" s="2" t="s">
        <v>152</v>
      </c>
      <c r="I693" s="2" t="s">
        <v>153</v>
      </c>
      <c r="J693" s="17">
        <v>45781</v>
      </c>
      <c r="K693" s="17">
        <v>45790</v>
      </c>
      <c r="L693" s="17"/>
      <c r="M693" s="17">
        <v>45818</v>
      </c>
      <c r="N693" s="18">
        <v>789.78</v>
      </c>
    </row>
    <row r="694" spans="1:14" ht="15" customHeight="1" x14ac:dyDescent="0.25">
      <c r="A694" s="2" t="s">
        <v>850</v>
      </c>
      <c r="B694" s="17">
        <v>45693</v>
      </c>
      <c r="C694" s="2" t="s">
        <v>20</v>
      </c>
      <c r="D694" s="2" t="s">
        <v>24</v>
      </c>
      <c r="E694" s="2" t="s">
        <v>149</v>
      </c>
      <c r="F694" s="2" t="s">
        <v>161</v>
      </c>
      <c r="G694" s="2" t="s">
        <v>189</v>
      </c>
      <c r="H694" s="2" t="s">
        <v>152</v>
      </c>
      <c r="I694" s="2" t="s">
        <v>163</v>
      </c>
      <c r="J694" s="17"/>
      <c r="K694" s="17"/>
      <c r="L694" s="17"/>
      <c r="M694" s="17">
        <v>45703</v>
      </c>
      <c r="N694" s="18">
        <v>1862.8</v>
      </c>
    </row>
    <row r="695" spans="1:14" ht="15" customHeight="1" x14ac:dyDescent="0.25">
      <c r="A695" s="2" t="s">
        <v>851</v>
      </c>
      <c r="B695" s="17">
        <v>46014</v>
      </c>
      <c r="C695" s="2" t="s">
        <v>21</v>
      </c>
      <c r="D695" s="2" t="s">
        <v>26</v>
      </c>
      <c r="E695" s="2" t="s">
        <v>160</v>
      </c>
      <c r="F695" s="2" t="s">
        <v>156</v>
      </c>
      <c r="G695" s="2" t="s">
        <v>183</v>
      </c>
      <c r="H695" s="2" t="s">
        <v>158</v>
      </c>
      <c r="I695" s="2" t="s">
        <v>153</v>
      </c>
      <c r="J695" s="17">
        <v>46023</v>
      </c>
      <c r="K695" s="17">
        <v>46037</v>
      </c>
      <c r="L695" s="17"/>
      <c r="M695" s="17"/>
      <c r="N695" s="18">
        <v>816.83</v>
      </c>
    </row>
    <row r="696" spans="1:14" ht="15" customHeight="1" x14ac:dyDescent="0.25">
      <c r="A696" s="2" t="s">
        <v>852</v>
      </c>
      <c r="B696" s="17">
        <v>45992</v>
      </c>
      <c r="C696" s="2" t="s">
        <v>20</v>
      </c>
      <c r="D696" s="2" t="s">
        <v>25</v>
      </c>
      <c r="E696" s="2" t="s">
        <v>186</v>
      </c>
      <c r="F696" s="2" t="s">
        <v>161</v>
      </c>
      <c r="G696" s="2" t="s">
        <v>189</v>
      </c>
      <c r="H696" s="2" t="s">
        <v>152</v>
      </c>
      <c r="I696" s="2" t="s">
        <v>163</v>
      </c>
      <c r="J696" s="17"/>
      <c r="K696" s="17"/>
      <c r="L696" s="17"/>
      <c r="M696" s="17">
        <v>46006</v>
      </c>
      <c r="N696" s="18">
        <v>1880.04</v>
      </c>
    </row>
    <row r="697" spans="1:14" ht="15" customHeight="1" x14ac:dyDescent="0.25">
      <c r="A697" s="2" t="s">
        <v>853</v>
      </c>
      <c r="B697" s="17">
        <v>45997</v>
      </c>
      <c r="C697" s="2" t="s">
        <v>21</v>
      </c>
      <c r="D697" s="2" t="s">
        <v>24</v>
      </c>
      <c r="E697" s="2" t="s">
        <v>155</v>
      </c>
      <c r="F697" s="2" t="s">
        <v>156</v>
      </c>
      <c r="G697" s="2" t="s">
        <v>162</v>
      </c>
      <c r="H697" s="2" t="s">
        <v>158</v>
      </c>
      <c r="I697" s="2" t="s">
        <v>153</v>
      </c>
      <c r="J697" s="17">
        <v>46007</v>
      </c>
      <c r="K697" s="17">
        <v>46014</v>
      </c>
      <c r="L697" s="17"/>
      <c r="M697" s="17"/>
      <c r="N697" s="18">
        <v>533.75</v>
      </c>
    </row>
    <row r="698" spans="1:14" ht="15" customHeight="1" x14ac:dyDescent="0.25">
      <c r="A698" s="2" t="s">
        <v>854</v>
      </c>
      <c r="B698" s="17">
        <v>45889</v>
      </c>
      <c r="C698" s="2" t="s">
        <v>20</v>
      </c>
      <c r="D698" s="2" t="s">
        <v>26</v>
      </c>
      <c r="E698" s="2" t="s">
        <v>149</v>
      </c>
      <c r="F698" s="2" t="s">
        <v>150</v>
      </c>
      <c r="G698" s="2" t="s">
        <v>167</v>
      </c>
      <c r="H698" s="2" t="s">
        <v>152</v>
      </c>
      <c r="I698" s="2" t="s">
        <v>163</v>
      </c>
      <c r="J698" s="17"/>
      <c r="K698" s="17"/>
      <c r="L698" s="17"/>
      <c r="M698" s="17">
        <v>45896</v>
      </c>
      <c r="N698" s="18">
        <v>8748.7999999999993</v>
      </c>
    </row>
    <row r="699" spans="1:14" ht="15" customHeight="1" x14ac:dyDescent="0.25">
      <c r="A699" s="2" t="s">
        <v>855</v>
      </c>
      <c r="B699" s="17">
        <v>45820</v>
      </c>
      <c r="C699" s="2" t="s">
        <v>20</v>
      </c>
      <c r="D699" s="2" t="s">
        <v>26</v>
      </c>
      <c r="E699" s="2" t="s">
        <v>149</v>
      </c>
      <c r="F699" s="2" t="s">
        <v>156</v>
      </c>
      <c r="G699" s="2" t="s">
        <v>167</v>
      </c>
      <c r="H699" s="2" t="s">
        <v>152</v>
      </c>
      <c r="I699" s="2" t="s">
        <v>153</v>
      </c>
      <c r="J699" s="17">
        <v>45823</v>
      </c>
      <c r="K699" s="17">
        <v>45831</v>
      </c>
      <c r="L699" s="17"/>
      <c r="M699" s="17">
        <v>45859</v>
      </c>
      <c r="N699" s="18">
        <v>830.47</v>
      </c>
    </row>
    <row r="700" spans="1:14" ht="15" customHeight="1" x14ac:dyDescent="0.25">
      <c r="A700" s="2" t="s">
        <v>856</v>
      </c>
      <c r="B700" s="17">
        <v>45828</v>
      </c>
      <c r="C700" s="2" t="s">
        <v>19</v>
      </c>
      <c r="D700" s="2" t="s">
        <v>24</v>
      </c>
      <c r="E700" s="2" t="s">
        <v>149</v>
      </c>
      <c r="F700" s="2" t="s">
        <v>161</v>
      </c>
      <c r="G700" s="2" t="s">
        <v>179</v>
      </c>
      <c r="H700" s="2" t="s">
        <v>152</v>
      </c>
      <c r="I700" s="2" t="s">
        <v>163</v>
      </c>
      <c r="J700" s="17"/>
      <c r="K700" s="17"/>
      <c r="L700" s="17"/>
      <c r="M700" s="17">
        <v>45832</v>
      </c>
      <c r="N700" s="18">
        <v>2643.11</v>
      </c>
    </row>
    <row r="701" spans="1:14" ht="15" customHeight="1" x14ac:dyDescent="0.25">
      <c r="A701" s="2" t="s">
        <v>857</v>
      </c>
      <c r="B701" s="17">
        <v>45964</v>
      </c>
      <c r="C701" s="2" t="s">
        <v>22</v>
      </c>
      <c r="D701" s="2" t="s">
        <v>24</v>
      </c>
      <c r="E701" s="2" t="s">
        <v>160</v>
      </c>
      <c r="F701" s="2" t="s">
        <v>161</v>
      </c>
      <c r="G701" s="2" t="s">
        <v>170</v>
      </c>
      <c r="H701" s="2" t="s">
        <v>152</v>
      </c>
      <c r="I701" s="2" t="s">
        <v>153</v>
      </c>
      <c r="J701" s="17">
        <v>45967</v>
      </c>
      <c r="K701" s="17">
        <v>45973</v>
      </c>
      <c r="L701" s="17"/>
      <c r="M701" s="17">
        <v>45983</v>
      </c>
      <c r="N701" s="18">
        <v>2003.2</v>
      </c>
    </row>
    <row r="702" spans="1:14" ht="15" customHeight="1" x14ac:dyDescent="0.25">
      <c r="A702" s="2" t="s">
        <v>858</v>
      </c>
      <c r="B702" s="17">
        <v>45831</v>
      </c>
      <c r="C702" s="2" t="s">
        <v>20</v>
      </c>
      <c r="D702" s="2" t="s">
        <v>24</v>
      </c>
      <c r="E702" s="2" t="s">
        <v>186</v>
      </c>
      <c r="F702" s="2" t="s">
        <v>161</v>
      </c>
      <c r="G702" s="2" t="s">
        <v>192</v>
      </c>
      <c r="H702" s="2" t="s">
        <v>152</v>
      </c>
      <c r="I702" s="2" t="s">
        <v>153</v>
      </c>
      <c r="J702" s="17">
        <v>45836</v>
      </c>
      <c r="K702" s="17">
        <v>45847</v>
      </c>
      <c r="L702" s="17"/>
      <c r="M702" s="17">
        <v>45856</v>
      </c>
      <c r="N702" s="18">
        <v>1830.98</v>
      </c>
    </row>
    <row r="703" spans="1:14" ht="15" customHeight="1" x14ac:dyDescent="0.25">
      <c r="A703" s="2" t="s">
        <v>859</v>
      </c>
      <c r="B703" s="17">
        <v>45788</v>
      </c>
      <c r="C703" s="2" t="s">
        <v>20</v>
      </c>
      <c r="D703" s="2" t="s">
        <v>25</v>
      </c>
      <c r="E703" s="2" t="s">
        <v>149</v>
      </c>
      <c r="F703" s="2" t="s">
        <v>161</v>
      </c>
      <c r="G703" s="2" t="s">
        <v>189</v>
      </c>
      <c r="H703" s="2" t="s">
        <v>152</v>
      </c>
      <c r="I703" s="2" t="s">
        <v>153</v>
      </c>
      <c r="J703" s="17">
        <v>45789</v>
      </c>
      <c r="K703" s="17">
        <v>45792</v>
      </c>
      <c r="L703" s="17"/>
      <c r="M703" s="17">
        <v>45805</v>
      </c>
      <c r="N703" s="18">
        <v>3256.84</v>
      </c>
    </row>
    <row r="704" spans="1:14" ht="15" customHeight="1" x14ac:dyDescent="0.25">
      <c r="A704" s="2" t="s">
        <v>860</v>
      </c>
      <c r="B704" s="17">
        <v>45893</v>
      </c>
      <c r="C704" s="2" t="s">
        <v>19</v>
      </c>
      <c r="D704" s="2" t="s">
        <v>28</v>
      </c>
      <c r="E704" s="2" t="s">
        <v>160</v>
      </c>
      <c r="F704" s="2" t="s">
        <v>161</v>
      </c>
      <c r="G704" s="2" t="s">
        <v>210</v>
      </c>
      <c r="H704" s="2" t="s">
        <v>152</v>
      </c>
      <c r="I704" s="2" t="s">
        <v>153</v>
      </c>
      <c r="J704" s="17">
        <v>45895</v>
      </c>
      <c r="K704" s="17"/>
      <c r="L704" s="17"/>
      <c r="M704" s="17">
        <v>45920</v>
      </c>
      <c r="N704" s="18">
        <v>2470.77</v>
      </c>
    </row>
    <row r="705" spans="1:14" ht="15" customHeight="1" x14ac:dyDescent="0.25">
      <c r="A705" s="2" t="s">
        <v>861</v>
      </c>
      <c r="B705" s="17">
        <v>45693</v>
      </c>
      <c r="C705" s="2" t="s">
        <v>19</v>
      </c>
      <c r="D705" s="2" t="s">
        <v>26</v>
      </c>
      <c r="E705" s="2" t="s">
        <v>149</v>
      </c>
      <c r="F705" s="2" t="s">
        <v>150</v>
      </c>
      <c r="G705" s="2" t="s">
        <v>207</v>
      </c>
      <c r="H705" s="2" t="s">
        <v>152</v>
      </c>
      <c r="I705" s="2" t="s">
        <v>153</v>
      </c>
      <c r="J705" s="17">
        <v>45698</v>
      </c>
      <c r="K705" s="17">
        <v>45711</v>
      </c>
      <c r="L705" s="17"/>
      <c r="M705" s="17">
        <v>45739</v>
      </c>
      <c r="N705" s="18">
        <v>11126.21</v>
      </c>
    </row>
    <row r="706" spans="1:14" ht="15" customHeight="1" x14ac:dyDescent="0.25">
      <c r="A706" s="2" t="s">
        <v>862</v>
      </c>
      <c r="B706" s="17">
        <v>45940</v>
      </c>
      <c r="C706" s="2" t="s">
        <v>20</v>
      </c>
      <c r="D706" s="2" t="s">
        <v>24</v>
      </c>
      <c r="E706" s="2" t="s">
        <v>160</v>
      </c>
      <c r="F706" s="2" t="s">
        <v>156</v>
      </c>
      <c r="G706" s="2" t="s">
        <v>167</v>
      </c>
      <c r="H706" s="2" t="s">
        <v>152</v>
      </c>
      <c r="I706" s="2" t="s">
        <v>163</v>
      </c>
      <c r="J706" s="17"/>
      <c r="K706" s="17"/>
      <c r="L706" s="17"/>
      <c r="M706" s="17">
        <v>45944</v>
      </c>
      <c r="N706" s="18">
        <v>1009.37</v>
      </c>
    </row>
    <row r="707" spans="1:14" ht="15" customHeight="1" x14ac:dyDescent="0.25">
      <c r="A707" s="2" t="s">
        <v>863</v>
      </c>
      <c r="B707" s="17">
        <v>45885</v>
      </c>
      <c r="C707" s="2" t="s">
        <v>22</v>
      </c>
      <c r="D707" s="2" t="s">
        <v>26</v>
      </c>
      <c r="E707" s="2" t="s">
        <v>186</v>
      </c>
      <c r="F707" s="2" t="s">
        <v>156</v>
      </c>
      <c r="G707" s="2" t="s">
        <v>151</v>
      </c>
      <c r="H707" s="2" t="s">
        <v>152</v>
      </c>
      <c r="I707" s="2" t="s">
        <v>153</v>
      </c>
      <c r="J707" s="17">
        <v>45891</v>
      </c>
      <c r="K707" s="17">
        <v>45902</v>
      </c>
      <c r="L707" s="17"/>
      <c r="M707" s="17">
        <v>45914</v>
      </c>
      <c r="N707" s="18">
        <v>533.51</v>
      </c>
    </row>
    <row r="708" spans="1:14" ht="15" customHeight="1" x14ac:dyDescent="0.25">
      <c r="A708" s="2" t="s">
        <v>71</v>
      </c>
      <c r="B708" s="17">
        <v>45996</v>
      </c>
      <c r="C708" s="2" t="s">
        <v>19</v>
      </c>
      <c r="D708" s="2" t="s">
        <v>28</v>
      </c>
      <c r="E708" s="2" t="s">
        <v>155</v>
      </c>
      <c r="F708" s="2" t="s">
        <v>161</v>
      </c>
      <c r="G708" s="2" t="s">
        <v>179</v>
      </c>
      <c r="H708" s="2" t="s">
        <v>15</v>
      </c>
      <c r="I708" s="2" t="s">
        <v>153</v>
      </c>
      <c r="J708" s="17">
        <v>46004</v>
      </c>
      <c r="K708" s="17"/>
      <c r="L708" s="17"/>
      <c r="M708" s="17"/>
      <c r="N708" s="18" t="s">
        <v>2967</v>
      </c>
    </row>
    <row r="709" spans="1:14" ht="15" customHeight="1" x14ac:dyDescent="0.25">
      <c r="A709" s="2" t="s">
        <v>864</v>
      </c>
      <c r="B709" s="17">
        <v>45996</v>
      </c>
      <c r="C709" s="2" t="s">
        <v>20</v>
      </c>
      <c r="D709" s="2" t="s">
        <v>26</v>
      </c>
      <c r="E709" s="2" t="s">
        <v>149</v>
      </c>
      <c r="F709" s="2" t="s">
        <v>150</v>
      </c>
      <c r="G709" s="2" t="s">
        <v>167</v>
      </c>
      <c r="H709" s="2" t="s">
        <v>158</v>
      </c>
      <c r="I709" s="2" t="s">
        <v>153</v>
      </c>
      <c r="J709" s="17">
        <v>46004</v>
      </c>
      <c r="K709" s="17">
        <v>46015</v>
      </c>
      <c r="L709" s="17"/>
      <c r="M709" s="17"/>
      <c r="N709" s="18">
        <v>7659.07</v>
      </c>
    </row>
    <row r="710" spans="1:14" ht="15" customHeight="1" x14ac:dyDescent="0.25">
      <c r="A710" s="2" t="s">
        <v>865</v>
      </c>
      <c r="B710" s="17">
        <v>45966</v>
      </c>
      <c r="C710" s="2" t="s">
        <v>21</v>
      </c>
      <c r="D710" s="2" t="s">
        <v>25</v>
      </c>
      <c r="E710" s="2" t="s">
        <v>186</v>
      </c>
      <c r="F710" s="2" t="s">
        <v>161</v>
      </c>
      <c r="G710" s="2" t="s">
        <v>162</v>
      </c>
      <c r="H710" s="2" t="s">
        <v>152</v>
      </c>
      <c r="I710" s="2" t="s">
        <v>153</v>
      </c>
      <c r="J710" s="17">
        <v>45972</v>
      </c>
      <c r="K710" s="17"/>
      <c r="L710" s="17"/>
      <c r="M710" s="17">
        <v>45988</v>
      </c>
      <c r="N710" s="18">
        <v>1934.6</v>
      </c>
    </row>
    <row r="711" spans="1:14" ht="15" customHeight="1" x14ac:dyDescent="0.25">
      <c r="A711" s="2" t="s">
        <v>866</v>
      </c>
      <c r="B711" s="17">
        <v>45828</v>
      </c>
      <c r="C711" s="2" t="s">
        <v>22</v>
      </c>
      <c r="D711" s="2" t="s">
        <v>28</v>
      </c>
      <c r="E711" s="2" t="s">
        <v>149</v>
      </c>
      <c r="F711" s="2" t="s">
        <v>156</v>
      </c>
      <c r="G711" s="2" t="s">
        <v>165</v>
      </c>
      <c r="H711" s="2" t="s">
        <v>152</v>
      </c>
      <c r="I711" s="2" t="s">
        <v>153</v>
      </c>
      <c r="J711" s="17">
        <v>45834</v>
      </c>
      <c r="K711" s="17"/>
      <c r="L711" s="17"/>
      <c r="M711" s="17">
        <v>45851</v>
      </c>
      <c r="N711" s="18">
        <v>824.48</v>
      </c>
    </row>
    <row r="712" spans="1:14" ht="15" customHeight="1" x14ac:dyDescent="0.25">
      <c r="A712" s="2" t="s">
        <v>867</v>
      </c>
      <c r="B712" s="17">
        <v>46019</v>
      </c>
      <c r="C712" s="2" t="s">
        <v>20</v>
      </c>
      <c r="D712" s="2" t="s">
        <v>26</v>
      </c>
      <c r="E712" s="2" t="s">
        <v>186</v>
      </c>
      <c r="F712" s="2" t="s">
        <v>156</v>
      </c>
      <c r="G712" s="2" t="s">
        <v>192</v>
      </c>
      <c r="H712" s="2" t="s">
        <v>158</v>
      </c>
      <c r="I712" s="2" t="s">
        <v>153</v>
      </c>
      <c r="J712" s="17">
        <v>46026</v>
      </c>
      <c r="K712" s="17">
        <v>46040</v>
      </c>
      <c r="L712" s="17"/>
      <c r="M712" s="17"/>
      <c r="N712" s="18">
        <v>725.8</v>
      </c>
    </row>
    <row r="713" spans="1:14" ht="15" customHeight="1" x14ac:dyDescent="0.25">
      <c r="A713" s="2" t="s">
        <v>868</v>
      </c>
      <c r="B713" s="17">
        <v>45899</v>
      </c>
      <c r="C713" s="2" t="s">
        <v>22</v>
      </c>
      <c r="D713" s="2" t="s">
        <v>25</v>
      </c>
      <c r="E713" s="2" t="s">
        <v>149</v>
      </c>
      <c r="F713" s="2" t="s">
        <v>156</v>
      </c>
      <c r="G713" s="2" t="s">
        <v>151</v>
      </c>
      <c r="H713" s="2" t="s">
        <v>152</v>
      </c>
      <c r="I713" s="2" t="s">
        <v>153</v>
      </c>
      <c r="J713" s="17">
        <v>45903</v>
      </c>
      <c r="K713" s="17"/>
      <c r="L713" s="17"/>
      <c r="M713" s="17">
        <v>45908</v>
      </c>
      <c r="N713" s="18">
        <v>849.12</v>
      </c>
    </row>
    <row r="714" spans="1:14" ht="15" customHeight="1" x14ac:dyDescent="0.25">
      <c r="A714" s="2" t="s">
        <v>869</v>
      </c>
      <c r="B714" s="17">
        <v>45765</v>
      </c>
      <c r="C714" s="2" t="s">
        <v>20</v>
      </c>
      <c r="D714" s="2" t="s">
        <v>25</v>
      </c>
      <c r="E714" s="2" t="s">
        <v>149</v>
      </c>
      <c r="F714" s="2" t="s">
        <v>161</v>
      </c>
      <c r="G714" s="2" t="s">
        <v>192</v>
      </c>
      <c r="H714" s="2" t="s">
        <v>152</v>
      </c>
      <c r="I714" s="2" t="s">
        <v>153</v>
      </c>
      <c r="J714" s="17">
        <v>45771</v>
      </c>
      <c r="K714" s="17"/>
      <c r="L714" s="17"/>
      <c r="M714" s="17">
        <v>45779</v>
      </c>
      <c r="N714" s="18">
        <v>3340.2</v>
      </c>
    </row>
    <row r="715" spans="1:14" ht="15" customHeight="1" x14ac:dyDescent="0.25">
      <c r="A715" s="2" t="s">
        <v>870</v>
      </c>
      <c r="B715" s="17">
        <v>45963</v>
      </c>
      <c r="C715" s="2" t="s">
        <v>21</v>
      </c>
      <c r="D715" s="2" t="s">
        <v>28</v>
      </c>
      <c r="E715" s="2" t="s">
        <v>149</v>
      </c>
      <c r="F715" s="2" t="s">
        <v>156</v>
      </c>
      <c r="G715" s="2" t="s">
        <v>162</v>
      </c>
      <c r="H715" s="2" t="s">
        <v>2</v>
      </c>
      <c r="I715" s="2" t="s">
        <v>153</v>
      </c>
      <c r="J715" s="17">
        <v>45968</v>
      </c>
      <c r="K715" s="17">
        <v>45975</v>
      </c>
      <c r="L715" s="17">
        <v>46005</v>
      </c>
      <c r="M715" s="17"/>
      <c r="N715" s="18">
        <v>638.5</v>
      </c>
    </row>
    <row r="716" spans="1:14" ht="15" customHeight="1" x14ac:dyDescent="0.25">
      <c r="A716" s="2" t="s">
        <v>871</v>
      </c>
      <c r="B716" s="17">
        <v>45893</v>
      </c>
      <c r="C716" s="2" t="s">
        <v>22</v>
      </c>
      <c r="D716" s="2" t="s">
        <v>24</v>
      </c>
      <c r="E716" s="2" t="s">
        <v>160</v>
      </c>
      <c r="F716" s="2" t="s">
        <v>156</v>
      </c>
      <c r="G716" s="2" t="s">
        <v>151</v>
      </c>
      <c r="H716" s="2" t="s">
        <v>152</v>
      </c>
      <c r="I716" s="2" t="s">
        <v>153</v>
      </c>
      <c r="J716" s="17">
        <v>45899</v>
      </c>
      <c r="K716" s="17">
        <v>45908</v>
      </c>
      <c r="L716" s="17"/>
      <c r="M716" s="17">
        <v>45936</v>
      </c>
      <c r="N716" s="18">
        <v>939.6</v>
      </c>
    </row>
    <row r="717" spans="1:14" ht="15" customHeight="1" x14ac:dyDescent="0.25">
      <c r="A717" s="2" t="s">
        <v>872</v>
      </c>
      <c r="B717" s="17">
        <v>45945</v>
      </c>
      <c r="C717" s="2" t="s">
        <v>21</v>
      </c>
      <c r="D717" s="2" t="s">
        <v>24</v>
      </c>
      <c r="E717" s="2" t="s">
        <v>155</v>
      </c>
      <c r="F717" s="2" t="s">
        <v>156</v>
      </c>
      <c r="G717" s="2" t="s">
        <v>162</v>
      </c>
      <c r="H717" s="2" t="s">
        <v>152</v>
      </c>
      <c r="I717" s="2" t="s">
        <v>163</v>
      </c>
      <c r="J717" s="17"/>
      <c r="K717" s="17"/>
      <c r="L717" s="17"/>
      <c r="M717" s="17">
        <v>45957</v>
      </c>
      <c r="N717" s="18">
        <v>541.11</v>
      </c>
    </row>
    <row r="718" spans="1:14" ht="15" customHeight="1" x14ac:dyDescent="0.25">
      <c r="A718" s="2" t="s">
        <v>873</v>
      </c>
      <c r="B718" s="17">
        <v>45915</v>
      </c>
      <c r="C718" s="2" t="s">
        <v>20</v>
      </c>
      <c r="D718" s="2" t="s">
        <v>26</v>
      </c>
      <c r="E718" s="2" t="s">
        <v>149</v>
      </c>
      <c r="F718" s="2" t="s">
        <v>156</v>
      </c>
      <c r="G718" s="2" t="s">
        <v>192</v>
      </c>
      <c r="H718" s="2" t="s">
        <v>152</v>
      </c>
      <c r="I718" s="2" t="s">
        <v>153</v>
      </c>
      <c r="J718" s="17">
        <v>45923</v>
      </c>
      <c r="K718" s="17"/>
      <c r="L718" s="17"/>
      <c r="M718" s="17">
        <v>45933</v>
      </c>
      <c r="N718" s="18">
        <v>903.56</v>
      </c>
    </row>
    <row r="719" spans="1:14" ht="15" customHeight="1" x14ac:dyDescent="0.25">
      <c r="A719" s="2" t="s">
        <v>874</v>
      </c>
      <c r="B719" s="17">
        <v>45903</v>
      </c>
      <c r="C719" s="2" t="s">
        <v>20</v>
      </c>
      <c r="D719" s="2" t="s">
        <v>24</v>
      </c>
      <c r="E719" s="2" t="s">
        <v>186</v>
      </c>
      <c r="F719" s="2" t="s">
        <v>161</v>
      </c>
      <c r="G719" s="2" t="s">
        <v>189</v>
      </c>
      <c r="H719" s="2" t="s">
        <v>152</v>
      </c>
      <c r="I719" s="2" t="s">
        <v>163</v>
      </c>
      <c r="J719" s="17"/>
      <c r="K719" s="17"/>
      <c r="L719" s="17"/>
      <c r="M719" s="17">
        <v>45917</v>
      </c>
      <c r="N719" s="18">
        <v>2534.42</v>
      </c>
    </row>
    <row r="720" spans="1:14" ht="15" customHeight="1" x14ac:dyDescent="0.25">
      <c r="A720" s="2" t="s">
        <v>875</v>
      </c>
      <c r="B720" s="17">
        <v>45873</v>
      </c>
      <c r="C720" s="2" t="s">
        <v>19</v>
      </c>
      <c r="D720" s="2" t="s">
        <v>25</v>
      </c>
      <c r="E720" s="2" t="s">
        <v>155</v>
      </c>
      <c r="F720" s="2" t="s">
        <v>156</v>
      </c>
      <c r="G720" s="2" t="s">
        <v>207</v>
      </c>
      <c r="H720" s="2" t="s">
        <v>2</v>
      </c>
      <c r="I720" s="2" t="s">
        <v>153</v>
      </c>
      <c r="J720" s="17">
        <v>45879</v>
      </c>
      <c r="K720" s="17">
        <v>45887</v>
      </c>
      <c r="L720" s="17">
        <v>45903</v>
      </c>
      <c r="M720" s="17"/>
      <c r="N720" s="18">
        <v>598.77</v>
      </c>
    </row>
    <row r="721" spans="1:14" ht="15" customHeight="1" x14ac:dyDescent="0.25">
      <c r="A721" s="2" t="s">
        <v>876</v>
      </c>
      <c r="B721" s="17">
        <v>45875</v>
      </c>
      <c r="C721" s="2" t="s">
        <v>18</v>
      </c>
      <c r="D721" s="2" t="s">
        <v>25</v>
      </c>
      <c r="E721" s="2" t="s">
        <v>186</v>
      </c>
      <c r="F721" s="2" t="s">
        <v>161</v>
      </c>
      <c r="G721" s="2" t="s">
        <v>157</v>
      </c>
      <c r="H721" s="2" t="s">
        <v>2</v>
      </c>
      <c r="I721" s="2" t="s">
        <v>153</v>
      </c>
      <c r="J721" s="17">
        <v>45885</v>
      </c>
      <c r="K721" s="17">
        <v>45891</v>
      </c>
      <c r="L721" s="17">
        <v>45915</v>
      </c>
      <c r="M721" s="17"/>
      <c r="N721" s="18">
        <v>1511.29</v>
      </c>
    </row>
    <row r="722" spans="1:14" ht="15" customHeight="1" x14ac:dyDescent="0.25">
      <c r="A722" s="2" t="s">
        <v>877</v>
      </c>
      <c r="B722" s="17">
        <v>45910</v>
      </c>
      <c r="C722" s="2" t="s">
        <v>20</v>
      </c>
      <c r="D722" s="2" t="s">
        <v>25</v>
      </c>
      <c r="E722" s="2" t="s">
        <v>149</v>
      </c>
      <c r="F722" s="2" t="s">
        <v>161</v>
      </c>
      <c r="G722" s="2" t="s">
        <v>189</v>
      </c>
      <c r="H722" s="2" t="s">
        <v>152</v>
      </c>
      <c r="I722" s="2" t="s">
        <v>153</v>
      </c>
      <c r="J722" s="17">
        <v>45920</v>
      </c>
      <c r="K722" s="17"/>
      <c r="L722" s="17"/>
      <c r="M722" s="17">
        <v>45928</v>
      </c>
      <c r="N722" s="18">
        <v>2044.34</v>
      </c>
    </row>
    <row r="723" spans="1:14" ht="15" customHeight="1" x14ac:dyDescent="0.25">
      <c r="A723" s="2" t="s">
        <v>72</v>
      </c>
      <c r="B723" s="17">
        <v>45996</v>
      </c>
      <c r="C723" s="2" t="s">
        <v>18</v>
      </c>
      <c r="D723" s="2" t="s">
        <v>26</v>
      </c>
      <c r="E723" s="2" t="s">
        <v>155</v>
      </c>
      <c r="F723" s="2" t="s">
        <v>156</v>
      </c>
      <c r="G723" s="2" t="s">
        <v>251</v>
      </c>
      <c r="H723" s="2" t="s">
        <v>152</v>
      </c>
      <c r="I723" s="2" t="s">
        <v>163</v>
      </c>
      <c r="J723" s="17"/>
      <c r="K723" s="17"/>
      <c r="L723" s="17"/>
      <c r="M723" s="17">
        <v>46002</v>
      </c>
      <c r="N723" s="18" t="s">
        <v>2968</v>
      </c>
    </row>
    <row r="724" spans="1:14" ht="15" customHeight="1" x14ac:dyDescent="0.25">
      <c r="A724" s="2" t="s">
        <v>878</v>
      </c>
      <c r="B724" s="17">
        <v>45738</v>
      </c>
      <c r="C724" s="2" t="s">
        <v>22</v>
      </c>
      <c r="D724" s="2" t="s">
        <v>24</v>
      </c>
      <c r="E724" s="2" t="s">
        <v>149</v>
      </c>
      <c r="F724" s="2" t="s">
        <v>161</v>
      </c>
      <c r="G724" s="2" t="s">
        <v>151</v>
      </c>
      <c r="H724" s="2" t="s">
        <v>152</v>
      </c>
      <c r="I724" s="2" t="s">
        <v>153</v>
      </c>
      <c r="J724" s="17">
        <v>45748</v>
      </c>
      <c r="K724" s="17"/>
      <c r="L724" s="17"/>
      <c r="M724" s="17">
        <v>45762</v>
      </c>
      <c r="N724" s="18">
        <v>1970.87</v>
      </c>
    </row>
    <row r="725" spans="1:14" ht="15" customHeight="1" x14ac:dyDescent="0.25">
      <c r="A725" s="2" t="s">
        <v>879</v>
      </c>
      <c r="B725" s="17">
        <v>45942</v>
      </c>
      <c r="C725" s="2" t="s">
        <v>20</v>
      </c>
      <c r="D725" s="2" t="s">
        <v>26</v>
      </c>
      <c r="E725" s="2" t="s">
        <v>160</v>
      </c>
      <c r="F725" s="2" t="s">
        <v>161</v>
      </c>
      <c r="G725" s="2" t="s">
        <v>167</v>
      </c>
      <c r="H725" s="2" t="s">
        <v>2</v>
      </c>
      <c r="I725" s="2" t="s">
        <v>153</v>
      </c>
      <c r="J725" s="17">
        <v>45951</v>
      </c>
      <c r="K725" s="17">
        <v>45957</v>
      </c>
      <c r="L725" s="17">
        <v>45962</v>
      </c>
      <c r="M725" s="17"/>
      <c r="N725" s="18">
        <v>2345.0300000000002</v>
      </c>
    </row>
    <row r="726" spans="1:14" ht="15" customHeight="1" x14ac:dyDescent="0.25">
      <c r="A726" s="2" t="s">
        <v>880</v>
      </c>
      <c r="B726" s="17">
        <v>45886</v>
      </c>
      <c r="C726" s="2" t="s">
        <v>18</v>
      </c>
      <c r="D726" s="2" t="s">
        <v>24</v>
      </c>
      <c r="E726" s="2" t="s">
        <v>160</v>
      </c>
      <c r="F726" s="2" t="s">
        <v>161</v>
      </c>
      <c r="G726" s="2" t="s">
        <v>201</v>
      </c>
      <c r="H726" s="2" t="s">
        <v>152</v>
      </c>
      <c r="I726" s="2" t="s">
        <v>163</v>
      </c>
      <c r="J726" s="17"/>
      <c r="K726" s="17"/>
      <c r="L726" s="17"/>
      <c r="M726" s="17">
        <v>45902</v>
      </c>
      <c r="N726" s="18">
        <v>3006.93</v>
      </c>
    </row>
    <row r="727" spans="1:14" ht="15" customHeight="1" x14ac:dyDescent="0.25">
      <c r="A727" s="2" t="s">
        <v>881</v>
      </c>
      <c r="B727" s="17">
        <v>45690</v>
      </c>
      <c r="C727" s="2" t="s">
        <v>21</v>
      </c>
      <c r="D727" s="2" t="s">
        <v>28</v>
      </c>
      <c r="E727" s="2" t="s">
        <v>160</v>
      </c>
      <c r="F727" s="2" t="s">
        <v>150</v>
      </c>
      <c r="G727" s="2" t="s">
        <v>176</v>
      </c>
      <c r="H727" s="2" t="s">
        <v>152</v>
      </c>
      <c r="I727" s="2" t="s">
        <v>153</v>
      </c>
      <c r="J727" s="17">
        <v>45697</v>
      </c>
      <c r="K727" s="17">
        <v>45711</v>
      </c>
      <c r="L727" s="17"/>
      <c r="M727" s="17">
        <v>45723</v>
      </c>
      <c r="N727" s="18">
        <v>5618.24</v>
      </c>
    </row>
    <row r="728" spans="1:14" ht="15" customHeight="1" x14ac:dyDescent="0.25">
      <c r="A728" s="2" t="s">
        <v>882</v>
      </c>
      <c r="B728" s="17">
        <v>45833</v>
      </c>
      <c r="C728" s="2" t="s">
        <v>18</v>
      </c>
      <c r="D728" s="2" t="s">
        <v>24</v>
      </c>
      <c r="E728" s="2" t="s">
        <v>149</v>
      </c>
      <c r="F728" s="2" t="s">
        <v>161</v>
      </c>
      <c r="G728" s="2" t="s">
        <v>251</v>
      </c>
      <c r="H728" s="2" t="s">
        <v>2</v>
      </c>
      <c r="I728" s="2" t="s">
        <v>153</v>
      </c>
      <c r="J728" s="17">
        <v>45838</v>
      </c>
      <c r="K728" s="17">
        <v>45842</v>
      </c>
      <c r="L728" s="17">
        <v>45862</v>
      </c>
      <c r="M728" s="17"/>
      <c r="N728" s="18">
        <v>3160.18</v>
      </c>
    </row>
    <row r="729" spans="1:14" ht="15" customHeight="1" x14ac:dyDescent="0.25">
      <c r="A729" s="2" t="s">
        <v>883</v>
      </c>
      <c r="B729" s="17">
        <v>45769</v>
      </c>
      <c r="C729" s="2" t="s">
        <v>22</v>
      </c>
      <c r="D729" s="2" t="s">
        <v>24</v>
      </c>
      <c r="E729" s="2" t="s">
        <v>149</v>
      </c>
      <c r="F729" s="2" t="s">
        <v>150</v>
      </c>
      <c r="G729" s="2" t="s">
        <v>151</v>
      </c>
      <c r="H729" s="2" t="s">
        <v>152</v>
      </c>
      <c r="I729" s="2" t="s">
        <v>163</v>
      </c>
      <c r="J729" s="17"/>
      <c r="K729" s="17"/>
      <c r="L729" s="17"/>
      <c r="M729" s="17">
        <v>45787</v>
      </c>
      <c r="N729" s="18">
        <v>10829.55</v>
      </c>
    </row>
    <row r="730" spans="1:14" ht="15" customHeight="1" x14ac:dyDescent="0.25">
      <c r="A730" s="2" t="s">
        <v>884</v>
      </c>
      <c r="B730" s="17">
        <v>45810</v>
      </c>
      <c r="C730" s="2" t="s">
        <v>22</v>
      </c>
      <c r="D730" s="2" t="s">
        <v>24</v>
      </c>
      <c r="E730" s="2" t="s">
        <v>160</v>
      </c>
      <c r="F730" s="2" t="s">
        <v>161</v>
      </c>
      <c r="G730" s="2" t="s">
        <v>151</v>
      </c>
      <c r="H730" s="2" t="s">
        <v>152</v>
      </c>
      <c r="I730" s="2" t="s">
        <v>153</v>
      </c>
      <c r="J730" s="17">
        <v>45818</v>
      </c>
      <c r="K730" s="17"/>
      <c r="L730" s="17"/>
      <c r="M730" s="17">
        <v>45837</v>
      </c>
      <c r="N730" s="18">
        <v>2824.18</v>
      </c>
    </row>
    <row r="731" spans="1:14" ht="15" customHeight="1" x14ac:dyDescent="0.25">
      <c r="A731" s="2" t="s">
        <v>73</v>
      </c>
      <c r="B731" s="17">
        <v>45759</v>
      </c>
      <c r="C731" s="2" t="s">
        <v>18</v>
      </c>
      <c r="D731" s="2" t="s">
        <v>24</v>
      </c>
      <c r="E731" s="2" t="s">
        <v>149</v>
      </c>
      <c r="F731" s="2" t="s">
        <v>156</v>
      </c>
      <c r="G731" s="2" t="s">
        <v>201</v>
      </c>
      <c r="H731" s="2" t="s">
        <v>152</v>
      </c>
      <c r="I731" s="2" t="s">
        <v>153</v>
      </c>
      <c r="J731" s="17">
        <v>45761</v>
      </c>
      <c r="K731" s="17">
        <v>45771</v>
      </c>
      <c r="L731" s="17"/>
      <c r="M731" s="17">
        <v>45800</v>
      </c>
      <c r="N731" s="18" t="s">
        <v>2969</v>
      </c>
    </row>
    <row r="732" spans="1:14" ht="15" customHeight="1" x14ac:dyDescent="0.25">
      <c r="A732" s="2" t="s">
        <v>885</v>
      </c>
      <c r="B732" s="17">
        <v>45863</v>
      </c>
      <c r="C732" s="2" t="s">
        <v>21</v>
      </c>
      <c r="D732" s="2" t="s">
        <v>26</v>
      </c>
      <c r="E732" s="2" t="s">
        <v>149</v>
      </c>
      <c r="F732" s="2" t="s">
        <v>161</v>
      </c>
      <c r="G732" s="2" t="s">
        <v>162</v>
      </c>
      <c r="H732" s="2" t="s">
        <v>152</v>
      </c>
      <c r="I732" s="2" t="s">
        <v>163</v>
      </c>
      <c r="J732" s="17"/>
      <c r="K732" s="17"/>
      <c r="L732" s="17"/>
      <c r="M732" s="17">
        <v>45882</v>
      </c>
      <c r="N732" s="18">
        <v>3284.24</v>
      </c>
    </row>
    <row r="733" spans="1:14" ht="15" customHeight="1" x14ac:dyDescent="0.25">
      <c r="A733" s="2" t="s">
        <v>886</v>
      </c>
      <c r="B733" s="17">
        <v>45721</v>
      </c>
      <c r="C733" s="2" t="s">
        <v>22</v>
      </c>
      <c r="D733" s="2" t="s">
        <v>28</v>
      </c>
      <c r="E733" s="2" t="s">
        <v>155</v>
      </c>
      <c r="F733" s="2" t="s">
        <v>156</v>
      </c>
      <c r="G733" s="2" t="s">
        <v>165</v>
      </c>
      <c r="H733" s="2" t="s">
        <v>2</v>
      </c>
      <c r="I733" s="2" t="s">
        <v>153</v>
      </c>
      <c r="J733" s="17">
        <v>45723</v>
      </c>
      <c r="K733" s="17">
        <v>45738</v>
      </c>
      <c r="L733" s="17">
        <v>45744</v>
      </c>
      <c r="M733" s="17"/>
      <c r="N733" s="18">
        <v>704.68</v>
      </c>
    </row>
    <row r="734" spans="1:14" ht="15" customHeight="1" x14ac:dyDescent="0.25">
      <c r="A734" s="2" t="s">
        <v>887</v>
      </c>
      <c r="B734" s="17">
        <v>45851</v>
      </c>
      <c r="C734" s="2" t="s">
        <v>20</v>
      </c>
      <c r="D734" s="2" t="s">
        <v>25</v>
      </c>
      <c r="E734" s="2" t="s">
        <v>149</v>
      </c>
      <c r="F734" s="2" t="s">
        <v>150</v>
      </c>
      <c r="G734" s="2" t="s">
        <v>167</v>
      </c>
      <c r="H734" s="2" t="s">
        <v>2</v>
      </c>
      <c r="I734" s="2" t="s">
        <v>153</v>
      </c>
      <c r="J734" s="17">
        <v>45856</v>
      </c>
      <c r="K734" s="17">
        <v>45857</v>
      </c>
      <c r="L734" s="17">
        <v>45864</v>
      </c>
      <c r="M734" s="17"/>
      <c r="N734" s="18">
        <v>7405.37</v>
      </c>
    </row>
    <row r="735" spans="1:14" ht="15" customHeight="1" x14ac:dyDescent="0.25">
      <c r="A735" s="2" t="s">
        <v>888</v>
      </c>
      <c r="B735" s="17">
        <v>45967</v>
      </c>
      <c r="C735" s="2" t="s">
        <v>21</v>
      </c>
      <c r="D735" s="2" t="s">
        <v>25</v>
      </c>
      <c r="E735" s="2" t="s">
        <v>160</v>
      </c>
      <c r="F735" s="2" t="s">
        <v>156</v>
      </c>
      <c r="G735" s="2" t="s">
        <v>183</v>
      </c>
      <c r="H735" s="2" t="s">
        <v>2</v>
      </c>
      <c r="I735" s="2" t="s">
        <v>153</v>
      </c>
      <c r="J735" s="17">
        <v>45969</v>
      </c>
      <c r="K735" s="17">
        <v>45977</v>
      </c>
      <c r="L735" s="17">
        <v>45984</v>
      </c>
      <c r="M735" s="17"/>
      <c r="N735" s="18">
        <v>948.19</v>
      </c>
    </row>
    <row r="736" spans="1:14" ht="15" customHeight="1" x14ac:dyDescent="0.25">
      <c r="A736" s="2" t="s">
        <v>889</v>
      </c>
      <c r="B736" s="17">
        <v>45990</v>
      </c>
      <c r="C736" s="2" t="s">
        <v>19</v>
      </c>
      <c r="D736" s="2" t="s">
        <v>24</v>
      </c>
      <c r="E736" s="2" t="s">
        <v>160</v>
      </c>
      <c r="F736" s="2" t="s">
        <v>161</v>
      </c>
      <c r="G736" s="2" t="s">
        <v>210</v>
      </c>
      <c r="H736" s="2" t="s">
        <v>152</v>
      </c>
      <c r="I736" s="2" t="s">
        <v>163</v>
      </c>
      <c r="J736" s="17"/>
      <c r="K736" s="17"/>
      <c r="L736" s="17"/>
      <c r="M736" s="17">
        <v>46002</v>
      </c>
      <c r="N736" s="18">
        <v>2091.25</v>
      </c>
    </row>
    <row r="737" spans="1:14" ht="15" customHeight="1" x14ac:dyDescent="0.25">
      <c r="A737" s="2" t="s">
        <v>890</v>
      </c>
      <c r="B737" s="17">
        <v>45923</v>
      </c>
      <c r="C737" s="2" t="s">
        <v>22</v>
      </c>
      <c r="D737" s="2" t="s">
        <v>28</v>
      </c>
      <c r="E737" s="2" t="s">
        <v>149</v>
      </c>
      <c r="F737" s="2" t="s">
        <v>156</v>
      </c>
      <c r="G737" s="2" t="s">
        <v>151</v>
      </c>
      <c r="H737" s="2" t="s">
        <v>152</v>
      </c>
      <c r="I737" s="2" t="s">
        <v>153</v>
      </c>
      <c r="J737" s="17">
        <v>45927</v>
      </c>
      <c r="K737" s="17">
        <v>45928</v>
      </c>
      <c r="L737" s="17"/>
      <c r="M737" s="17">
        <v>45945</v>
      </c>
      <c r="N737" s="18">
        <v>630.41</v>
      </c>
    </row>
    <row r="738" spans="1:14" ht="15" customHeight="1" x14ac:dyDescent="0.25">
      <c r="A738" s="2" t="s">
        <v>891</v>
      </c>
      <c r="B738" s="17">
        <v>46016</v>
      </c>
      <c r="C738" s="2" t="s">
        <v>20</v>
      </c>
      <c r="D738" s="2" t="s">
        <v>25</v>
      </c>
      <c r="E738" s="2" t="s">
        <v>149</v>
      </c>
      <c r="F738" s="2" t="s">
        <v>161</v>
      </c>
      <c r="G738" s="2" t="s">
        <v>189</v>
      </c>
      <c r="H738" s="2" t="s">
        <v>190</v>
      </c>
      <c r="I738" s="2" t="s">
        <v>163</v>
      </c>
      <c r="J738" s="17"/>
      <c r="K738" s="17"/>
      <c r="L738" s="17"/>
      <c r="M738" s="17"/>
      <c r="N738" s="18">
        <v>2687.02</v>
      </c>
    </row>
    <row r="739" spans="1:14" ht="15" customHeight="1" x14ac:dyDescent="0.25">
      <c r="A739" s="2" t="s">
        <v>892</v>
      </c>
      <c r="B739" s="17">
        <v>45773</v>
      </c>
      <c r="C739" s="2" t="s">
        <v>19</v>
      </c>
      <c r="D739" s="2" t="s">
        <v>24</v>
      </c>
      <c r="E739" s="2" t="s">
        <v>160</v>
      </c>
      <c r="F739" s="2" t="s">
        <v>150</v>
      </c>
      <c r="G739" s="2" t="s">
        <v>179</v>
      </c>
      <c r="H739" s="2" t="s">
        <v>152</v>
      </c>
      <c r="I739" s="2" t="s">
        <v>153</v>
      </c>
      <c r="J739" s="17">
        <v>45780</v>
      </c>
      <c r="K739" s="17">
        <v>45791</v>
      </c>
      <c r="L739" s="17"/>
      <c r="M739" s="17">
        <v>45816</v>
      </c>
      <c r="N739" s="18">
        <v>10074.93</v>
      </c>
    </row>
    <row r="740" spans="1:14" ht="15" customHeight="1" x14ac:dyDescent="0.25">
      <c r="A740" s="2" t="s">
        <v>893</v>
      </c>
      <c r="B740" s="17">
        <v>45698</v>
      </c>
      <c r="C740" s="2" t="s">
        <v>20</v>
      </c>
      <c r="D740" s="2" t="s">
        <v>26</v>
      </c>
      <c r="E740" s="2" t="s">
        <v>149</v>
      </c>
      <c r="F740" s="2" t="s">
        <v>156</v>
      </c>
      <c r="G740" s="2" t="s">
        <v>167</v>
      </c>
      <c r="H740" s="2" t="s">
        <v>152</v>
      </c>
      <c r="I740" s="2" t="s">
        <v>153</v>
      </c>
      <c r="J740" s="17">
        <v>45700</v>
      </c>
      <c r="K740" s="17"/>
      <c r="L740" s="17"/>
      <c r="M740" s="17">
        <v>45711</v>
      </c>
      <c r="N740" s="18">
        <v>905.33</v>
      </c>
    </row>
    <row r="741" spans="1:14" ht="15" customHeight="1" x14ac:dyDescent="0.25">
      <c r="A741" s="2" t="s">
        <v>894</v>
      </c>
      <c r="B741" s="17">
        <v>45708</v>
      </c>
      <c r="C741" s="2" t="s">
        <v>18</v>
      </c>
      <c r="D741" s="2" t="s">
        <v>24</v>
      </c>
      <c r="E741" s="2" t="s">
        <v>149</v>
      </c>
      <c r="F741" s="2" t="s">
        <v>156</v>
      </c>
      <c r="G741" s="2" t="s">
        <v>157</v>
      </c>
      <c r="H741" s="2" t="s">
        <v>2</v>
      </c>
      <c r="I741" s="2" t="s">
        <v>153</v>
      </c>
      <c r="J741" s="17">
        <v>45710</v>
      </c>
      <c r="K741" s="17">
        <v>45715</v>
      </c>
      <c r="L741" s="17">
        <v>45727</v>
      </c>
      <c r="M741" s="17"/>
      <c r="N741" s="18">
        <v>615.98</v>
      </c>
    </row>
    <row r="742" spans="1:14" ht="15" customHeight="1" x14ac:dyDescent="0.25">
      <c r="A742" s="2" t="s">
        <v>895</v>
      </c>
      <c r="B742" s="17">
        <v>45822</v>
      </c>
      <c r="C742" s="2" t="s">
        <v>20</v>
      </c>
      <c r="D742" s="2" t="s">
        <v>26</v>
      </c>
      <c r="E742" s="2" t="s">
        <v>149</v>
      </c>
      <c r="F742" s="2" t="s">
        <v>161</v>
      </c>
      <c r="G742" s="2" t="s">
        <v>192</v>
      </c>
      <c r="H742" s="2" t="s">
        <v>152</v>
      </c>
      <c r="I742" s="2" t="s">
        <v>153</v>
      </c>
      <c r="J742" s="17">
        <v>45829</v>
      </c>
      <c r="K742" s="17">
        <v>45834</v>
      </c>
      <c r="L742" s="17"/>
      <c r="M742" s="17">
        <v>45842</v>
      </c>
      <c r="N742" s="18">
        <v>3031.23</v>
      </c>
    </row>
    <row r="743" spans="1:14" ht="15" customHeight="1" x14ac:dyDescent="0.25">
      <c r="A743" s="2" t="s">
        <v>896</v>
      </c>
      <c r="B743" s="17">
        <v>45840</v>
      </c>
      <c r="C743" s="2" t="s">
        <v>20</v>
      </c>
      <c r="D743" s="2" t="s">
        <v>24</v>
      </c>
      <c r="E743" s="2" t="s">
        <v>149</v>
      </c>
      <c r="F743" s="2" t="s">
        <v>156</v>
      </c>
      <c r="G743" s="2" t="s">
        <v>192</v>
      </c>
      <c r="H743" s="2" t="s">
        <v>2</v>
      </c>
      <c r="I743" s="2" t="s">
        <v>153</v>
      </c>
      <c r="J743" s="17">
        <v>45841</v>
      </c>
      <c r="K743" s="17">
        <v>45853</v>
      </c>
      <c r="L743" s="17">
        <v>45861</v>
      </c>
      <c r="M743" s="17"/>
      <c r="N743" s="18">
        <v>1056.8</v>
      </c>
    </row>
    <row r="744" spans="1:14" ht="15" customHeight="1" x14ac:dyDescent="0.25">
      <c r="A744" s="2" t="s">
        <v>897</v>
      </c>
      <c r="B744" s="17">
        <v>45669</v>
      </c>
      <c r="C744" s="2" t="s">
        <v>21</v>
      </c>
      <c r="D744" s="2" t="s">
        <v>26</v>
      </c>
      <c r="E744" s="2" t="s">
        <v>186</v>
      </c>
      <c r="F744" s="2" t="s">
        <v>156</v>
      </c>
      <c r="G744" s="2" t="s">
        <v>183</v>
      </c>
      <c r="H744" s="2" t="s">
        <v>152</v>
      </c>
      <c r="I744" s="2" t="s">
        <v>153</v>
      </c>
      <c r="J744" s="17">
        <v>45670</v>
      </c>
      <c r="K744" s="17"/>
      <c r="L744" s="17"/>
      <c r="M744" s="17">
        <v>45677</v>
      </c>
      <c r="N744" s="18">
        <v>540.21</v>
      </c>
    </row>
    <row r="745" spans="1:14" ht="15" customHeight="1" x14ac:dyDescent="0.25">
      <c r="A745" s="2" t="s">
        <v>898</v>
      </c>
      <c r="B745" s="17">
        <v>45813</v>
      </c>
      <c r="C745" s="2" t="s">
        <v>20</v>
      </c>
      <c r="D745" s="2" t="s">
        <v>24</v>
      </c>
      <c r="E745" s="2" t="s">
        <v>149</v>
      </c>
      <c r="F745" s="2" t="s">
        <v>150</v>
      </c>
      <c r="G745" s="2" t="s">
        <v>192</v>
      </c>
      <c r="H745" s="2" t="s">
        <v>152</v>
      </c>
      <c r="I745" s="2" t="s">
        <v>163</v>
      </c>
      <c r="J745" s="17"/>
      <c r="K745" s="17"/>
      <c r="L745" s="17"/>
      <c r="M745" s="17">
        <v>45818</v>
      </c>
      <c r="N745" s="18">
        <v>6544.29</v>
      </c>
    </row>
    <row r="746" spans="1:14" ht="15" customHeight="1" x14ac:dyDescent="0.25">
      <c r="A746" s="2" t="s">
        <v>899</v>
      </c>
      <c r="B746" s="17">
        <v>45758</v>
      </c>
      <c r="C746" s="2" t="s">
        <v>20</v>
      </c>
      <c r="D746" s="2" t="s">
        <v>25</v>
      </c>
      <c r="E746" s="2" t="s">
        <v>155</v>
      </c>
      <c r="F746" s="2" t="s">
        <v>156</v>
      </c>
      <c r="G746" s="2" t="s">
        <v>167</v>
      </c>
      <c r="H746" s="2" t="s">
        <v>152</v>
      </c>
      <c r="I746" s="2" t="s">
        <v>153</v>
      </c>
      <c r="J746" s="17">
        <v>45767</v>
      </c>
      <c r="K746" s="17"/>
      <c r="L746" s="17"/>
      <c r="M746" s="17">
        <v>45772</v>
      </c>
      <c r="N746" s="18">
        <v>503.98</v>
      </c>
    </row>
    <row r="747" spans="1:14" ht="15" customHeight="1" x14ac:dyDescent="0.25">
      <c r="A747" s="2" t="s">
        <v>900</v>
      </c>
      <c r="B747" s="17">
        <v>45777</v>
      </c>
      <c r="C747" s="2" t="s">
        <v>20</v>
      </c>
      <c r="D747" s="2" t="s">
        <v>24</v>
      </c>
      <c r="E747" s="2" t="s">
        <v>160</v>
      </c>
      <c r="F747" s="2" t="s">
        <v>156</v>
      </c>
      <c r="G747" s="2" t="s">
        <v>192</v>
      </c>
      <c r="H747" s="2" t="s">
        <v>152</v>
      </c>
      <c r="I747" s="2" t="s">
        <v>153</v>
      </c>
      <c r="J747" s="17">
        <v>45778</v>
      </c>
      <c r="K747" s="17"/>
      <c r="L747" s="17"/>
      <c r="M747" s="17">
        <v>45786</v>
      </c>
      <c r="N747" s="18">
        <v>973.56</v>
      </c>
    </row>
    <row r="748" spans="1:14" ht="15" customHeight="1" x14ac:dyDescent="0.25">
      <c r="A748" s="2" t="s">
        <v>64</v>
      </c>
      <c r="B748" s="17">
        <v>45929</v>
      </c>
      <c r="C748" s="2" t="s">
        <v>21</v>
      </c>
      <c r="D748" s="2" t="s">
        <v>25</v>
      </c>
      <c r="E748" s="2" t="s">
        <v>149</v>
      </c>
      <c r="F748" s="2" t="s">
        <v>161</v>
      </c>
      <c r="G748" s="2" t="s">
        <v>265</v>
      </c>
      <c r="H748" s="2" t="s">
        <v>2</v>
      </c>
      <c r="I748" s="2" t="s">
        <v>153</v>
      </c>
      <c r="J748" s="17">
        <v>45935</v>
      </c>
      <c r="K748" s="17">
        <v>45948</v>
      </c>
      <c r="L748" s="17">
        <v>45978</v>
      </c>
      <c r="M748" s="17"/>
      <c r="N748" s="18">
        <v>2765.94</v>
      </c>
    </row>
    <row r="749" spans="1:14" ht="15" customHeight="1" x14ac:dyDescent="0.25">
      <c r="A749" s="2" t="s">
        <v>901</v>
      </c>
      <c r="B749" s="17">
        <v>45941</v>
      </c>
      <c r="C749" s="2" t="s">
        <v>22</v>
      </c>
      <c r="D749" s="2" t="s">
        <v>26</v>
      </c>
      <c r="E749" s="2" t="s">
        <v>155</v>
      </c>
      <c r="F749" s="2" t="s">
        <v>156</v>
      </c>
      <c r="G749" s="2" t="s">
        <v>170</v>
      </c>
      <c r="H749" s="2" t="s">
        <v>152</v>
      </c>
      <c r="I749" s="2" t="s">
        <v>163</v>
      </c>
      <c r="J749" s="17"/>
      <c r="K749" s="17"/>
      <c r="L749" s="17"/>
      <c r="M749" s="17">
        <v>45954</v>
      </c>
      <c r="N749" s="18">
        <v>392.08</v>
      </c>
    </row>
    <row r="750" spans="1:14" ht="15" customHeight="1" x14ac:dyDescent="0.25">
      <c r="A750" s="2" t="s">
        <v>902</v>
      </c>
      <c r="B750" s="17">
        <v>45908</v>
      </c>
      <c r="C750" s="2" t="s">
        <v>22</v>
      </c>
      <c r="D750" s="2" t="s">
        <v>24</v>
      </c>
      <c r="E750" s="2" t="s">
        <v>155</v>
      </c>
      <c r="F750" s="2" t="s">
        <v>161</v>
      </c>
      <c r="G750" s="2" t="s">
        <v>151</v>
      </c>
      <c r="H750" s="2" t="s">
        <v>152</v>
      </c>
      <c r="I750" s="2" t="s">
        <v>163</v>
      </c>
      <c r="J750" s="17"/>
      <c r="K750" s="17"/>
      <c r="L750" s="17"/>
      <c r="M750" s="17">
        <v>45920</v>
      </c>
      <c r="N750" s="18">
        <v>1895.06</v>
      </c>
    </row>
    <row r="751" spans="1:14" ht="15" customHeight="1" x14ac:dyDescent="0.25">
      <c r="A751" s="2" t="s">
        <v>903</v>
      </c>
      <c r="B751" s="17">
        <v>45861</v>
      </c>
      <c r="C751" s="2" t="s">
        <v>21</v>
      </c>
      <c r="D751" s="2" t="s">
        <v>28</v>
      </c>
      <c r="E751" s="2" t="s">
        <v>149</v>
      </c>
      <c r="F751" s="2" t="s">
        <v>156</v>
      </c>
      <c r="G751" s="2" t="s">
        <v>162</v>
      </c>
      <c r="H751" s="2" t="s">
        <v>152</v>
      </c>
      <c r="I751" s="2" t="s">
        <v>163</v>
      </c>
      <c r="J751" s="17"/>
      <c r="K751" s="17"/>
      <c r="L751" s="17"/>
      <c r="M751" s="17">
        <v>45877</v>
      </c>
      <c r="N751" s="18">
        <v>656.83</v>
      </c>
    </row>
    <row r="752" spans="1:14" ht="15" customHeight="1" x14ac:dyDescent="0.25">
      <c r="A752" s="2" t="s">
        <v>904</v>
      </c>
      <c r="B752" s="17">
        <v>45683</v>
      </c>
      <c r="C752" s="2" t="s">
        <v>21</v>
      </c>
      <c r="D752" s="2" t="s">
        <v>28</v>
      </c>
      <c r="E752" s="2" t="s">
        <v>149</v>
      </c>
      <c r="F752" s="2" t="s">
        <v>156</v>
      </c>
      <c r="G752" s="2" t="s">
        <v>162</v>
      </c>
      <c r="H752" s="2" t="s">
        <v>152</v>
      </c>
      <c r="I752" s="2" t="s">
        <v>153</v>
      </c>
      <c r="J752" s="17">
        <v>45689</v>
      </c>
      <c r="K752" s="17">
        <v>45701</v>
      </c>
      <c r="L752" s="17"/>
      <c r="M752" s="17">
        <v>45713</v>
      </c>
      <c r="N752" s="18">
        <v>1085.67</v>
      </c>
    </row>
    <row r="753" spans="1:14" ht="15" customHeight="1" x14ac:dyDescent="0.25">
      <c r="A753" s="2" t="s">
        <v>905</v>
      </c>
      <c r="B753" s="17">
        <v>45910</v>
      </c>
      <c r="C753" s="2" t="s">
        <v>20</v>
      </c>
      <c r="D753" s="2" t="s">
        <v>25</v>
      </c>
      <c r="E753" s="2" t="s">
        <v>155</v>
      </c>
      <c r="F753" s="2" t="s">
        <v>156</v>
      </c>
      <c r="G753" s="2" t="s">
        <v>167</v>
      </c>
      <c r="H753" s="2" t="s">
        <v>152</v>
      </c>
      <c r="I753" s="2" t="s">
        <v>153</v>
      </c>
      <c r="J753" s="17">
        <v>45916</v>
      </c>
      <c r="K753" s="17"/>
      <c r="L753" s="17"/>
      <c r="M753" s="17">
        <v>45921</v>
      </c>
      <c r="N753" s="18">
        <v>557.08000000000004</v>
      </c>
    </row>
    <row r="754" spans="1:14" ht="15" customHeight="1" x14ac:dyDescent="0.25">
      <c r="A754" s="2" t="s">
        <v>906</v>
      </c>
      <c r="B754" s="17">
        <v>45790</v>
      </c>
      <c r="C754" s="2" t="s">
        <v>18</v>
      </c>
      <c r="D754" s="2" t="s">
        <v>24</v>
      </c>
      <c r="E754" s="2" t="s">
        <v>155</v>
      </c>
      <c r="F754" s="2" t="s">
        <v>156</v>
      </c>
      <c r="G754" s="2" t="s">
        <v>201</v>
      </c>
      <c r="H754" s="2" t="s">
        <v>152</v>
      </c>
      <c r="I754" s="2" t="s">
        <v>153</v>
      </c>
      <c r="J754" s="17">
        <v>45791</v>
      </c>
      <c r="K754" s="17">
        <v>45802</v>
      </c>
      <c r="L754" s="17"/>
      <c r="M754" s="17">
        <v>45833</v>
      </c>
      <c r="N754" s="18">
        <v>692.58</v>
      </c>
    </row>
    <row r="755" spans="1:14" ht="15" customHeight="1" x14ac:dyDescent="0.25">
      <c r="A755" s="2" t="s">
        <v>907</v>
      </c>
      <c r="B755" s="17">
        <v>45963</v>
      </c>
      <c r="C755" s="2" t="s">
        <v>21</v>
      </c>
      <c r="D755" s="2" t="s">
        <v>25</v>
      </c>
      <c r="E755" s="2" t="s">
        <v>149</v>
      </c>
      <c r="F755" s="2" t="s">
        <v>161</v>
      </c>
      <c r="G755" s="2" t="s">
        <v>176</v>
      </c>
      <c r="H755" s="2" t="s">
        <v>152</v>
      </c>
      <c r="I755" s="2" t="s">
        <v>163</v>
      </c>
      <c r="J755" s="17"/>
      <c r="K755" s="17"/>
      <c r="L755" s="17"/>
      <c r="M755" s="17">
        <v>45983</v>
      </c>
      <c r="N755" s="18">
        <v>2766.79</v>
      </c>
    </row>
    <row r="756" spans="1:14" ht="15" customHeight="1" x14ac:dyDescent="0.25">
      <c r="A756" s="2" t="s">
        <v>908</v>
      </c>
      <c r="B756" s="17">
        <v>45954</v>
      </c>
      <c r="C756" s="2" t="s">
        <v>20</v>
      </c>
      <c r="D756" s="2" t="s">
        <v>24</v>
      </c>
      <c r="E756" s="2" t="s">
        <v>149</v>
      </c>
      <c r="F756" s="2" t="s">
        <v>156</v>
      </c>
      <c r="G756" s="2" t="s">
        <v>192</v>
      </c>
      <c r="H756" s="2" t="s">
        <v>152</v>
      </c>
      <c r="I756" s="2" t="s">
        <v>163</v>
      </c>
      <c r="J756" s="17"/>
      <c r="K756" s="17"/>
      <c r="L756" s="17"/>
      <c r="M756" s="17">
        <v>45959</v>
      </c>
      <c r="N756" s="18">
        <v>997.3</v>
      </c>
    </row>
    <row r="757" spans="1:14" ht="15" customHeight="1" x14ac:dyDescent="0.25">
      <c r="A757" s="2" t="s">
        <v>909</v>
      </c>
      <c r="B757" s="17">
        <v>45762</v>
      </c>
      <c r="C757" s="2" t="s">
        <v>21</v>
      </c>
      <c r="D757" s="2" t="s">
        <v>24</v>
      </c>
      <c r="E757" s="2" t="s">
        <v>160</v>
      </c>
      <c r="F757" s="2" t="s">
        <v>156</v>
      </c>
      <c r="G757" s="2" t="s">
        <v>183</v>
      </c>
      <c r="H757" s="2" t="s">
        <v>152</v>
      </c>
      <c r="I757" s="2" t="s">
        <v>153</v>
      </c>
      <c r="J757" s="17">
        <v>45766</v>
      </c>
      <c r="K757" s="17">
        <v>45772</v>
      </c>
      <c r="L757" s="17"/>
      <c r="M757" s="17">
        <v>45796</v>
      </c>
      <c r="N757" s="18">
        <v>902.56</v>
      </c>
    </row>
    <row r="758" spans="1:14" ht="15" customHeight="1" x14ac:dyDescent="0.25">
      <c r="A758" s="2" t="s">
        <v>910</v>
      </c>
      <c r="B758" s="17">
        <v>45845</v>
      </c>
      <c r="C758" s="2" t="s">
        <v>22</v>
      </c>
      <c r="D758" s="2" t="s">
        <v>28</v>
      </c>
      <c r="E758" s="2" t="s">
        <v>160</v>
      </c>
      <c r="F758" s="2" t="s">
        <v>156</v>
      </c>
      <c r="G758" s="2" t="s">
        <v>151</v>
      </c>
      <c r="H758" s="2" t="s">
        <v>152</v>
      </c>
      <c r="I758" s="2" t="s">
        <v>163</v>
      </c>
      <c r="J758" s="17"/>
      <c r="K758" s="17"/>
      <c r="L758" s="17"/>
      <c r="M758" s="17">
        <v>45860</v>
      </c>
      <c r="N758" s="18">
        <v>945.53</v>
      </c>
    </row>
    <row r="759" spans="1:14" ht="15" customHeight="1" x14ac:dyDescent="0.25">
      <c r="A759" s="2" t="s">
        <v>911</v>
      </c>
      <c r="B759" s="17">
        <v>46017</v>
      </c>
      <c r="C759" s="2" t="s">
        <v>22</v>
      </c>
      <c r="D759" s="2" t="s">
        <v>28</v>
      </c>
      <c r="E759" s="2" t="s">
        <v>149</v>
      </c>
      <c r="F759" s="2" t="s">
        <v>156</v>
      </c>
      <c r="G759" s="2" t="s">
        <v>151</v>
      </c>
      <c r="H759" s="2" t="s">
        <v>15</v>
      </c>
      <c r="I759" s="2" t="s">
        <v>153</v>
      </c>
      <c r="J759" s="17">
        <v>46023</v>
      </c>
      <c r="K759" s="17"/>
      <c r="L759" s="17"/>
      <c r="M759" s="17"/>
      <c r="N759" s="18">
        <v>925.07</v>
      </c>
    </row>
    <row r="760" spans="1:14" ht="15" customHeight="1" x14ac:dyDescent="0.25">
      <c r="A760" s="2" t="s">
        <v>912</v>
      </c>
      <c r="B760" s="17">
        <v>45697</v>
      </c>
      <c r="C760" s="2" t="s">
        <v>21</v>
      </c>
      <c r="D760" s="2" t="s">
        <v>25</v>
      </c>
      <c r="E760" s="2" t="s">
        <v>155</v>
      </c>
      <c r="F760" s="2" t="s">
        <v>161</v>
      </c>
      <c r="G760" s="2" t="s">
        <v>176</v>
      </c>
      <c r="H760" s="2" t="s">
        <v>152</v>
      </c>
      <c r="I760" s="2" t="s">
        <v>163</v>
      </c>
      <c r="J760" s="17"/>
      <c r="K760" s="17"/>
      <c r="L760" s="17"/>
      <c r="M760" s="17">
        <v>45710</v>
      </c>
      <c r="N760" s="18">
        <v>1621.93</v>
      </c>
    </row>
    <row r="761" spans="1:14" ht="15" customHeight="1" x14ac:dyDescent="0.25">
      <c r="A761" s="2" t="s">
        <v>913</v>
      </c>
      <c r="B761" s="17">
        <v>45746</v>
      </c>
      <c r="C761" s="2" t="s">
        <v>20</v>
      </c>
      <c r="D761" s="2" t="s">
        <v>25</v>
      </c>
      <c r="E761" s="2" t="s">
        <v>160</v>
      </c>
      <c r="F761" s="2" t="s">
        <v>156</v>
      </c>
      <c r="G761" s="2" t="s">
        <v>167</v>
      </c>
      <c r="H761" s="2" t="s">
        <v>2</v>
      </c>
      <c r="I761" s="2" t="s">
        <v>153</v>
      </c>
      <c r="J761" s="17">
        <v>45748</v>
      </c>
      <c r="K761" s="17">
        <v>45750</v>
      </c>
      <c r="L761" s="17">
        <v>45756</v>
      </c>
      <c r="M761" s="17"/>
      <c r="N761" s="18">
        <v>583.16999999999996</v>
      </c>
    </row>
    <row r="762" spans="1:14" ht="15" customHeight="1" x14ac:dyDescent="0.25">
      <c r="A762" s="2" t="s">
        <v>58</v>
      </c>
      <c r="B762" s="17">
        <v>45735</v>
      </c>
      <c r="C762" s="2" t="s">
        <v>20</v>
      </c>
      <c r="E762" s="2" t="s">
        <v>160</v>
      </c>
      <c r="F762" s="2" t="s">
        <v>156</v>
      </c>
      <c r="G762" s="2" t="s">
        <v>167</v>
      </c>
      <c r="H762" s="2" t="s">
        <v>2</v>
      </c>
      <c r="I762" s="2" t="s">
        <v>153</v>
      </c>
      <c r="J762" s="17">
        <v>45740</v>
      </c>
      <c r="K762" s="17">
        <v>45753</v>
      </c>
      <c r="L762" s="17">
        <v>45769</v>
      </c>
      <c r="M762" s="17"/>
      <c r="N762" s="18">
        <v>911.67</v>
      </c>
    </row>
    <row r="763" spans="1:14" ht="15" customHeight="1" x14ac:dyDescent="0.25">
      <c r="A763" s="2" t="s">
        <v>914</v>
      </c>
      <c r="B763" s="17">
        <v>45708</v>
      </c>
      <c r="C763" s="2" t="s">
        <v>20</v>
      </c>
      <c r="D763" s="2" t="s">
        <v>28</v>
      </c>
      <c r="E763" s="2" t="s">
        <v>186</v>
      </c>
      <c r="F763" s="2" t="s">
        <v>161</v>
      </c>
      <c r="G763" s="2" t="s">
        <v>192</v>
      </c>
      <c r="H763" s="2" t="s">
        <v>152</v>
      </c>
      <c r="I763" s="2" t="s">
        <v>153</v>
      </c>
      <c r="J763" s="17">
        <v>45718</v>
      </c>
      <c r="K763" s="17">
        <v>45719</v>
      </c>
      <c r="L763" s="17"/>
      <c r="M763" s="17">
        <v>45731</v>
      </c>
      <c r="N763" s="18">
        <v>2475.2600000000002</v>
      </c>
    </row>
    <row r="764" spans="1:14" ht="15" customHeight="1" x14ac:dyDescent="0.25">
      <c r="A764" s="2" t="s">
        <v>70</v>
      </c>
      <c r="B764" s="17">
        <v>45784</v>
      </c>
      <c r="C764" s="2" t="s">
        <v>18</v>
      </c>
      <c r="D764" s="2" t="s">
        <v>27</v>
      </c>
      <c r="E764" s="2" t="s">
        <v>149</v>
      </c>
      <c r="F764" s="2" t="s">
        <v>161</v>
      </c>
      <c r="G764" s="2" t="s">
        <v>157</v>
      </c>
      <c r="H764" s="2" t="s">
        <v>2</v>
      </c>
      <c r="I764" s="2" t="s">
        <v>153</v>
      </c>
      <c r="J764" s="17">
        <v>45791</v>
      </c>
      <c r="K764" s="17">
        <v>45792</v>
      </c>
      <c r="L764" s="17">
        <v>45779</v>
      </c>
      <c r="M764" s="17"/>
      <c r="N764" s="18">
        <v>2988.94</v>
      </c>
    </row>
    <row r="765" spans="1:14" ht="15" customHeight="1" x14ac:dyDescent="0.25">
      <c r="A765" s="2" t="s">
        <v>915</v>
      </c>
      <c r="B765" s="17">
        <v>45844</v>
      </c>
      <c r="C765" s="2" t="s">
        <v>20</v>
      </c>
      <c r="D765" s="2" t="s">
        <v>24</v>
      </c>
      <c r="E765" s="2" t="s">
        <v>149</v>
      </c>
      <c r="F765" s="2" t="s">
        <v>161</v>
      </c>
      <c r="G765" s="2" t="s">
        <v>167</v>
      </c>
      <c r="H765" s="2" t="s">
        <v>152</v>
      </c>
      <c r="I765" s="2" t="s">
        <v>163</v>
      </c>
      <c r="J765" s="17"/>
      <c r="K765" s="17"/>
      <c r="L765" s="17"/>
      <c r="M765" s="17">
        <v>45857</v>
      </c>
      <c r="N765" s="18">
        <v>1877.69</v>
      </c>
    </row>
    <row r="766" spans="1:14" ht="15" customHeight="1" x14ac:dyDescent="0.25">
      <c r="A766" s="2" t="s">
        <v>916</v>
      </c>
      <c r="B766" s="17">
        <v>45833</v>
      </c>
      <c r="C766" s="2" t="s">
        <v>19</v>
      </c>
      <c r="D766" s="2" t="s">
        <v>27</v>
      </c>
      <c r="E766" s="2" t="s">
        <v>149</v>
      </c>
      <c r="F766" s="2" t="s">
        <v>156</v>
      </c>
      <c r="G766" s="2" t="s">
        <v>207</v>
      </c>
      <c r="H766" s="2" t="s">
        <v>152</v>
      </c>
      <c r="I766" s="2" t="s">
        <v>153</v>
      </c>
      <c r="J766" s="17">
        <v>45835</v>
      </c>
      <c r="K766" s="17">
        <v>45847</v>
      </c>
      <c r="L766" s="17"/>
      <c r="M766" s="17">
        <v>45874</v>
      </c>
      <c r="N766" s="18">
        <v>1000.87</v>
      </c>
    </row>
    <row r="767" spans="1:14" ht="15" customHeight="1" x14ac:dyDescent="0.25">
      <c r="A767" s="2" t="s">
        <v>917</v>
      </c>
      <c r="B767" s="17">
        <v>46014</v>
      </c>
      <c r="C767" s="2" t="s">
        <v>18</v>
      </c>
      <c r="D767" s="2" t="s">
        <v>24</v>
      </c>
      <c r="E767" s="2" t="s">
        <v>155</v>
      </c>
      <c r="F767" s="2" t="s">
        <v>156</v>
      </c>
      <c r="G767" s="2" t="s">
        <v>201</v>
      </c>
      <c r="H767" s="2" t="s">
        <v>190</v>
      </c>
      <c r="I767" s="2" t="s">
        <v>163</v>
      </c>
      <c r="J767" s="17"/>
      <c r="K767" s="17"/>
      <c r="L767" s="17"/>
      <c r="M767" s="17"/>
      <c r="N767" s="18">
        <v>476.57</v>
      </c>
    </row>
    <row r="768" spans="1:14" ht="15" customHeight="1" x14ac:dyDescent="0.25">
      <c r="A768" s="2" t="s">
        <v>918</v>
      </c>
      <c r="B768" s="17">
        <v>45732</v>
      </c>
      <c r="C768" s="2" t="s">
        <v>21</v>
      </c>
      <c r="D768" s="2" t="s">
        <v>27</v>
      </c>
      <c r="E768" s="2" t="s">
        <v>149</v>
      </c>
      <c r="F768" s="2" t="s">
        <v>161</v>
      </c>
      <c r="G768" s="2" t="s">
        <v>176</v>
      </c>
      <c r="H768" s="2" t="s">
        <v>152</v>
      </c>
      <c r="I768" s="2" t="s">
        <v>153</v>
      </c>
      <c r="J768" s="17">
        <v>45740</v>
      </c>
      <c r="K768" s="17">
        <v>45743</v>
      </c>
      <c r="L768" s="17"/>
      <c r="M768" s="17">
        <v>45748</v>
      </c>
      <c r="N768" s="18">
        <v>2685.48</v>
      </c>
    </row>
    <row r="769" spans="1:14" ht="15" customHeight="1" x14ac:dyDescent="0.25">
      <c r="A769" s="2" t="s">
        <v>919</v>
      </c>
      <c r="B769" s="17">
        <v>45912</v>
      </c>
      <c r="C769" s="2" t="s">
        <v>22</v>
      </c>
      <c r="D769" s="2" t="s">
        <v>24</v>
      </c>
      <c r="E769" s="2" t="s">
        <v>186</v>
      </c>
      <c r="F769" s="2" t="s">
        <v>156</v>
      </c>
      <c r="G769" s="2" t="s">
        <v>170</v>
      </c>
      <c r="H769" s="2" t="s">
        <v>152</v>
      </c>
      <c r="I769" s="2" t="s">
        <v>163</v>
      </c>
      <c r="J769" s="17"/>
      <c r="K769" s="17"/>
      <c r="L769" s="17"/>
      <c r="M769" s="17">
        <v>45931</v>
      </c>
      <c r="N769" s="18">
        <v>488.75</v>
      </c>
    </row>
    <row r="770" spans="1:14" ht="15" customHeight="1" x14ac:dyDescent="0.25">
      <c r="A770" s="2" t="s">
        <v>920</v>
      </c>
      <c r="B770" s="17">
        <v>45969</v>
      </c>
      <c r="C770" s="2" t="s">
        <v>22</v>
      </c>
      <c r="D770" s="2" t="s">
        <v>25</v>
      </c>
      <c r="E770" s="2" t="s">
        <v>160</v>
      </c>
      <c r="F770" s="2" t="s">
        <v>150</v>
      </c>
      <c r="G770" s="2" t="s">
        <v>151</v>
      </c>
      <c r="H770" s="2" t="s">
        <v>152</v>
      </c>
      <c r="I770" s="2" t="s">
        <v>153</v>
      </c>
      <c r="J770" s="17">
        <v>45970</v>
      </c>
      <c r="K770" s="17">
        <v>45971</v>
      </c>
      <c r="L770" s="17"/>
      <c r="M770" s="17">
        <v>45993</v>
      </c>
      <c r="N770" s="18">
        <v>8057.95</v>
      </c>
    </row>
    <row r="771" spans="1:14" ht="15" customHeight="1" x14ac:dyDescent="0.25">
      <c r="A771" s="2" t="s">
        <v>921</v>
      </c>
      <c r="B771" s="17">
        <v>45873</v>
      </c>
      <c r="C771" s="2" t="s">
        <v>18</v>
      </c>
      <c r="D771" s="2" t="s">
        <v>25</v>
      </c>
      <c r="E771" s="2" t="s">
        <v>160</v>
      </c>
      <c r="F771" s="2" t="s">
        <v>156</v>
      </c>
      <c r="G771" s="2" t="s">
        <v>157</v>
      </c>
      <c r="H771" s="2" t="s">
        <v>152</v>
      </c>
      <c r="I771" s="2" t="s">
        <v>153</v>
      </c>
      <c r="J771" s="17">
        <v>45880</v>
      </c>
      <c r="K771" s="17"/>
      <c r="L771" s="17"/>
      <c r="M771" s="17">
        <v>45890</v>
      </c>
      <c r="N771" s="18">
        <v>882.79</v>
      </c>
    </row>
    <row r="772" spans="1:14" ht="15" customHeight="1" x14ac:dyDescent="0.25">
      <c r="A772" s="2" t="s">
        <v>922</v>
      </c>
      <c r="B772" s="17">
        <v>45921</v>
      </c>
      <c r="C772" s="2" t="s">
        <v>22</v>
      </c>
      <c r="D772" s="2" t="s">
        <v>26</v>
      </c>
      <c r="E772" s="2" t="s">
        <v>149</v>
      </c>
      <c r="F772" s="2" t="s">
        <v>150</v>
      </c>
      <c r="G772" s="2" t="s">
        <v>151</v>
      </c>
      <c r="H772" s="2" t="s">
        <v>152</v>
      </c>
      <c r="I772" s="2" t="s">
        <v>153</v>
      </c>
      <c r="J772" s="17">
        <v>45930</v>
      </c>
      <c r="K772" s="17"/>
      <c r="L772" s="17"/>
      <c r="M772" s="17">
        <v>45951</v>
      </c>
      <c r="N772" s="18">
        <v>9581.2099999999991</v>
      </c>
    </row>
    <row r="773" spans="1:14" ht="15" customHeight="1" x14ac:dyDescent="0.25">
      <c r="A773" s="2" t="s">
        <v>923</v>
      </c>
      <c r="B773" s="17">
        <v>45795</v>
      </c>
      <c r="C773" s="2" t="s">
        <v>21</v>
      </c>
      <c r="D773" s="2" t="s">
        <v>24</v>
      </c>
      <c r="E773" s="2" t="s">
        <v>149</v>
      </c>
      <c r="F773" s="2" t="s">
        <v>161</v>
      </c>
      <c r="G773" s="2" t="s">
        <v>176</v>
      </c>
      <c r="H773" s="2" t="s">
        <v>2</v>
      </c>
      <c r="I773" s="2" t="s">
        <v>153</v>
      </c>
      <c r="J773" s="17">
        <v>45796</v>
      </c>
      <c r="K773" s="17">
        <v>45809</v>
      </c>
      <c r="L773" s="17">
        <v>45812</v>
      </c>
      <c r="M773" s="17"/>
      <c r="N773" s="18">
        <v>2470.5700000000002</v>
      </c>
    </row>
    <row r="774" spans="1:14" ht="15" customHeight="1" x14ac:dyDescent="0.25">
      <c r="A774" s="2" t="s">
        <v>924</v>
      </c>
      <c r="B774" s="17">
        <v>45677</v>
      </c>
      <c r="C774" s="2" t="s">
        <v>20</v>
      </c>
      <c r="D774" s="2" t="s">
        <v>26</v>
      </c>
      <c r="E774" s="2" t="s">
        <v>160</v>
      </c>
      <c r="F774" s="2" t="s">
        <v>156</v>
      </c>
      <c r="G774" s="2" t="s">
        <v>167</v>
      </c>
      <c r="H774" s="2" t="s">
        <v>152</v>
      </c>
      <c r="I774" s="2" t="s">
        <v>153</v>
      </c>
      <c r="J774" s="17">
        <v>45683</v>
      </c>
      <c r="K774" s="17">
        <v>45688</v>
      </c>
      <c r="L774" s="17"/>
      <c r="M774" s="17">
        <v>45698</v>
      </c>
      <c r="N774" s="18">
        <v>913.77</v>
      </c>
    </row>
    <row r="775" spans="1:14" ht="15" customHeight="1" x14ac:dyDescent="0.25">
      <c r="A775" s="2" t="s">
        <v>925</v>
      </c>
      <c r="B775" s="17">
        <v>45996</v>
      </c>
      <c r="C775" s="2" t="s">
        <v>22</v>
      </c>
      <c r="D775" s="2" t="s">
        <v>25</v>
      </c>
      <c r="E775" s="2" t="s">
        <v>149</v>
      </c>
      <c r="F775" s="2" t="s">
        <v>156</v>
      </c>
      <c r="G775" s="2" t="s">
        <v>170</v>
      </c>
      <c r="H775" s="2" t="s">
        <v>158</v>
      </c>
      <c r="I775" s="2" t="s">
        <v>153</v>
      </c>
      <c r="J775" s="17">
        <v>46006</v>
      </c>
      <c r="K775" s="17">
        <v>46017</v>
      </c>
      <c r="L775" s="17"/>
      <c r="M775" s="17"/>
      <c r="N775" s="18">
        <v>636.67999999999995</v>
      </c>
    </row>
    <row r="776" spans="1:14" ht="15" customHeight="1" x14ac:dyDescent="0.25">
      <c r="A776" s="2" t="s">
        <v>926</v>
      </c>
      <c r="B776" s="17">
        <v>45781</v>
      </c>
      <c r="C776" s="2" t="s">
        <v>19</v>
      </c>
      <c r="D776" s="2" t="s">
        <v>25</v>
      </c>
      <c r="E776" s="2" t="s">
        <v>186</v>
      </c>
      <c r="F776" s="2" t="s">
        <v>161</v>
      </c>
      <c r="G776" s="2" t="s">
        <v>210</v>
      </c>
      <c r="H776" s="2" t="s">
        <v>152</v>
      </c>
      <c r="I776" s="2" t="s">
        <v>153</v>
      </c>
      <c r="J776" s="17">
        <v>45784</v>
      </c>
      <c r="K776" s="17"/>
      <c r="L776" s="17"/>
      <c r="M776" s="17">
        <v>45802</v>
      </c>
      <c r="N776" s="18">
        <v>1828.65</v>
      </c>
    </row>
    <row r="777" spans="1:14" ht="15" customHeight="1" x14ac:dyDescent="0.25">
      <c r="A777" s="2" t="s">
        <v>927</v>
      </c>
      <c r="B777" s="17">
        <v>46021</v>
      </c>
      <c r="C777" s="2" t="s">
        <v>20</v>
      </c>
      <c r="D777" s="2" t="s">
        <v>28</v>
      </c>
      <c r="E777" s="2" t="s">
        <v>186</v>
      </c>
      <c r="F777" s="2" t="s">
        <v>161</v>
      </c>
      <c r="G777" s="2" t="s">
        <v>189</v>
      </c>
      <c r="H777" s="2" t="s">
        <v>158</v>
      </c>
      <c r="I777" s="2" t="s">
        <v>153</v>
      </c>
      <c r="J777" s="17">
        <v>46031</v>
      </c>
      <c r="K777" s="17">
        <v>46040</v>
      </c>
      <c r="L777" s="17"/>
      <c r="M777" s="17"/>
      <c r="N777" s="18">
        <v>2079.9299999999998</v>
      </c>
    </row>
    <row r="778" spans="1:14" ht="15" customHeight="1" x14ac:dyDescent="0.25">
      <c r="A778" s="2" t="s">
        <v>928</v>
      </c>
      <c r="B778" s="17">
        <v>45845</v>
      </c>
      <c r="C778" s="2" t="s">
        <v>22</v>
      </c>
      <c r="D778" s="2" t="s">
        <v>28</v>
      </c>
      <c r="E778" s="2" t="s">
        <v>149</v>
      </c>
      <c r="F778" s="2" t="s">
        <v>156</v>
      </c>
      <c r="G778" s="2" t="s">
        <v>151</v>
      </c>
      <c r="H778" s="2" t="s">
        <v>152</v>
      </c>
      <c r="I778" s="2" t="s">
        <v>153</v>
      </c>
      <c r="J778" s="17">
        <v>45855</v>
      </c>
      <c r="K778" s="17"/>
      <c r="L778" s="17"/>
      <c r="M778" s="17">
        <v>45866</v>
      </c>
      <c r="N778" s="18">
        <v>620.52</v>
      </c>
    </row>
    <row r="779" spans="1:14" ht="15" customHeight="1" x14ac:dyDescent="0.25">
      <c r="A779" s="2" t="s">
        <v>929</v>
      </c>
      <c r="B779" s="17">
        <v>45670</v>
      </c>
      <c r="C779" s="2" t="s">
        <v>20</v>
      </c>
      <c r="D779" s="2" t="s">
        <v>24</v>
      </c>
      <c r="E779" s="2" t="s">
        <v>149</v>
      </c>
      <c r="F779" s="2" t="s">
        <v>161</v>
      </c>
      <c r="G779" s="2" t="s">
        <v>192</v>
      </c>
      <c r="H779" s="2" t="s">
        <v>2</v>
      </c>
      <c r="I779" s="2" t="s">
        <v>153</v>
      </c>
      <c r="J779" s="17">
        <v>45674</v>
      </c>
      <c r="K779" s="17">
        <v>45686</v>
      </c>
      <c r="L779" s="17">
        <v>45695</v>
      </c>
      <c r="M779" s="17"/>
      <c r="N779" s="18">
        <v>3276.01</v>
      </c>
    </row>
    <row r="780" spans="1:14" ht="15" customHeight="1" x14ac:dyDescent="0.25">
      <c r="A780" s="2" t="s">
        <v>930</v>
      </c>
      <c r="B780" s="17">
        <v>45745</v>
      </c>
      <c r="C780" s="2" t="s">
        <v>19</v>
      </c>
      <c r="D780" s="2" t="s">
        <v>24</v>
      </c>
      <c r="E780" s="2" t="s">
        <v>155</v>
      </c>
      <c r="F780" s="2" t="s">
        <v>161</v>
      </c>
      <c r="G780" s="2" t="s">
        <v>207</v>
      </c>
      <c r="H780" s="2" t="s">
        <v>152</v>
      </c>
      <c r="I780" s="2" t="s">
        <v>153</v>
      </c>
      <c r="J780" s="17">
        <v>45750</v>
      </c>
      <c r="K780" s="17">
        <v>45761</v>
      </c>
      <c r="L780" s="17"/>
      <c r="M780" s="17">
        <v>45794</v>
      </c>
      <c r="N780" s="18">
        <v>1575.36</v>
      </c>
    </row>
    <row r="781" spans="1:14" ht="15" customHeight="1" x14ac:dyDescent="0.25">
      <c r="A781" s="2" t="s">
        <v>931</v>
      </c>
      <c r="B781" s="17">
        <v>45833</v>
      </c>
      <c r="C781" s="2" t="s">
        <v>18</v>
      </c>
      <c r="D781" s="2" t="s">
        <v>24</v>
      </c>
      <c r="E781" s="2" t="s">
        <v>186</v>
      </c>
      <c r="F781" s="2" t="s">
        <v>156</v>
      </c>
      <c r="G781" s="2" t="s">
        <v>251</v>
      </c>
      <c r="H781" s="2" t="s">
        <v>152</v>
      </c>
      <c r="I781" s="2" t="s">
        <v>163</v>
      </c>
      <c r="J781" s="17"/>
      <c r="K781" s="17"/>
      <c r="L781" s="17"/>
      <c r="M781" s="17">
        <v>45851</v>
      </c>
      <c r="N781" s="18">
        <v>754.87</v>
      </c>
    </row>
    <row r="782" spans="1:14" ht="15" customHeight="1" x14ac:dyDescent="0.25">
      <c r="A782" s="2" t="s">
        <v>932</v>
      </c>
      <c r="B782" s="17">
        <v>45914</v>
      </c>
      <c r="C782" s="2" t="s">
        <v>21</v>
      </c>
      <c r="D782" s="2" t="s">
        <v>26</v>
      </c>
      <c r="E782" s="2" t="s">
        <v>186</v>
      </c>
      <c r="F782" s="2" t="s">
        <v>156</v>
      </c>
      <c r="G782" s="2" t="s">
        <v>162</v>
      </c>
      <c r="H782" s="2" t="s">
        <v>152</v>
      </c>
      <c r="I782" s="2" t="s">
        <v>163</v>
      </c>
      <c r="J782" s="17"/>
      <c r="K782" s="17"/>
      <c r="L782" s="17"/>
      <c r="M782" s="17">
        <v>45923</v>
      </c>
      <c r="N782" s="18">
        <v>674.53</v>
      </c>
    </row>
    <row r="783" spans="1:14" ht="15" customHeight="1" x14ac:dyDescent="0.25">
      <c r="A783" s="2" t="s">
        <v>933</v>
      </c>
      <c r="B783" s="17">
        <v>45740</v>
      </c>
      <c r="C783" s="2" t="s">
        <v>19</v>
      </c>
      <c r="D783" s="2" t="s">
        <v>26</v>
      </c>
      <c r="E783" s="2" t="s">
        <v>155</v>
      </c>
      <c r="F783" s="2" t="s">
        <v>156</v>
      </c>
      <c r="G783" s="2" t="s">
        <v>210</v>
      </c>
      <c r="H783" s="2" t="s">
        <v>152</v>
      </c>
      <c r="I783" s="2" t="s">
        <v>153</v>
      </c>
      <c r="J783" s="17">
        <v>45743</v>
      </c>
      <c r="K783" s="17">
        <v>45754</v>
      </c>
      <c r="L783" s="17"/>
      <c r="M783" s="17">
        <v>45789</v>
      </c>
      <c r="N783" s="18">
        <v>424.74</v>
      </c>
    </row>
    <row r="784" spans="1:14" ht="15" customHeight="1" x14ac:dyDescent="0.25">
      <c r="A784" s="2" t="s">
        <v>934</v>
      </c>
      <c r="B784" s="17">
        <v>45855</v>
      </c>
      <c r="C784" s="2" t="s">
        <v>20</v>
      </c>
      <c r="D784" s="2" t="s">
        <v>26</v>
      </c>
      <c r="E784" s="2" t="s">
        <v>155</v>
      </c>
      <c r="F784" s="2" t="s">
        <v>161</v>
      </c>
      <c r="G784" s="2" t="s">
        <v>192</v>
      </c>
      <c r="H784" s="2" t="s">
        <v>152</v>
      </c>
      <c r="I784" s="2" t="s">
        <v>163</v>
      </c>
      <c r="J784" s="17"/>
      <c r="K784" s="17"/>
      <c r="L784" s="17"/>
      <c r="M784" s="17">
        <v>45863</v>
      </c>
      <c r="N784" s="18">
        <v>1589.05</v>
      </c>
    </row>
    <row r="785" spans="1:14" ht="15" customHeight="1" x14ac:dyDescent="0.25">
      <c r="A785" s="2" t="s">
        <v>935</v>
      </c>
      <c r="B785" s="17">
        <v>45899</v>
      </c>
      <c r="C785" s="2" t="s">
        <v>22</v>
      </c>
      <c r="D785" s="2" t="s">
        <v>28</v>
      </c>
      <c r="E785" s="2" t="s">
        <v>186</v>
      </c>
      <c r="F785" s="2" t="s">
        <v>156</v>
      </c>
      <c r="G785" s="2" t="s">
        <v>170</v>
      </c>
      <c r="H785" s="2" t="s">
        <v>152</v>
      </c>
      <c r="I785" s="2" t="s">
        <v>153</v>
      </c>
      <c r="J785" s="17">
        <v>45908</v>
      </c>
      <c r="K785" s="17">
        <v>45915</v>
      </c>
      <c r="L785" s="17"/>
      <c r="M785" s="17">
        <v>45939</v>
      </c>
      <c r="N785" s="18">
        <v>864.83</v>
      </c>
    </row>
    <row r="786" spans="1:14" ht="15" customHeight="1" x14ac:dyDescent="0.25">
      <c r="A786" s="2" t="s">
        <v>936</v>
      </c>
      <c r="B786" s="17">
        <v>45694</v>
      </c>
      <c r="C786" s="2" t="s">
        <v>18</v>
      </c>
      <c r="D786" s="2" t="s">
        <v>24</v>
      </c>
      <c r="E786" s="2" t="s">
        <v>149</v>
      </c>
      <c r="F786" s="2" t="s">
        <v>161</v>
      </c>
      <c r="G786" s="2" t="s">
        <v>201</v>
      </c>
      <c r="H786" s="2" t="s">
        <v>152</v>
      </c>
      <c r="I786" s="2" t="s">
        <v>163</v>
      </c>
      <c r="J786" s="17"/>
      <c r="K786" s="17"/>
      <c r="L786" s="17"/>
      <c r="M786" s="17">
        <v>45712</v>
      </c>
      <c r="N786" s="18">
        <v>2143.83</v>
      </c>
    </row>
    <row r="787" spans="1:14" ht="15" customHeight="1" x14ac:dyDescent="0.25">
      <c r="A787" s="2" t="s">
        <v>937</v>
      </c>
      <c r="B787" s="17">
        <v>45727</v>
      </c>
      <c r="C787" s="2" t="s">
        <v>20</v>
      </c>
      <c r="D787" s="2" t="s">
        <v>26</v>
      </c>
      <c r="E787" s="2" t="s">
        <v>149</v>
      </c>
      <c r="F787" s="2" t="s">
        <v>161</v>
      </c>
      <c r="G787" s="2" t="s">
        <v>192</v>
      </c>
      <c r="H787" s="2" t="s">
        <v>152</v>
      </c>
      <c r="I787" s="2" t="s">
        <v>153</v>
      </c>
      <c r="J787" s="17">
        <v>45734</v>
      </c>
      <c r="K787" s="17"/>
      <c r="L787" s="17"/>
      <c r="M787" s="17">
        <v>45739</v>
      </c>
      <c r="N787" s="18">
        <v>2277.83</v>
      </c>
    </row>
    <row r="788" spans="1:14" ht="15" customHeight="1" x14ac:dyDescent="0.25">
      <c r="A788" s="2" t="s">
        <v>938</v>
      </c>
      <c r="B788" s="17">
        <v>45930</v>
      </c>
      <c r="C788" s="2" t="s">
        <v>22</v>
      </c>
      <c r="D788" s="2" t="s">
        <v>26</v>
      </c>
      <c r="E788" s="2" t="s">
        <v>149</v>
      </c>
      <c r="F788" s="2" t="s">
        <v>161</v>
      </c>
      <c r="G788" s="2" t="s">
        <v>151</v>
      </c>
      <c r="H788" s="2" t="s">
        <v>152</v>
      </c>
      <c r="I788" s="2" t="s">
        <v>163</v>
      </c>
      <c r="J788" s="17"/>
      <c r="K788" s="17"/>
      <c r="L788" s="17"/>
      <c r="M788" s="17">
        <v>45949</v>
      </c>
      <c r="N788" s="18">
        <v>2043.58</v>
      </c>
    </row>
    <row r="789" spans="1:14" ht="15" customHeight="1" x14ac:dyDescent="0.25">
      <c r="A789" s="2" t="s">
        <v>939</v>
      </c>
      <c r="B789" s="17">
        <v>45754</v>
      </c>
      <c r="C789" s="2" t="s">
        <v>21</v>
      </c>
      <c r="D789" s="2" t="s">
        <v>24</v>
      </c>
      <c r="E789" s="2" t="s">
        <v>160</v>
      </c>
      <c r="F789" s="2" t="s">
        <v>161</v>
      </c>
      <c r="G789" s="2" t="s">
        <v>183</v>
      </c>
      <c r="H789" s="2" t="s">
        <v>152</v>
      </c>
      <c r="I789" s="2" t="s">
        <v>153</v>
      </c>
      <c r="J789" s="17">
        <v>45755</v>
      </c>
      <c r="K789" s="17">
        <v>45760</v>
      </c>
      <c r="L789" s="17"/>
      <c r="M789" s="17">
        <v>45770</v>
      </c>
      <c r="N789" s="18">
        <v>3111.3</v>
      </c>
    </row>
    <row r="790" spans="1:14" ht="15" customHeight="1" x14ac:dyDescent="0.25">
      <c r="A790" s="2" t="s">
        <v>940</v>
      </c>
      <c r="B790" s="17">
        <v>45843</v>
      </c>
      <c r="C790" s="2" t="s">
        <v>21</v>
      </c>
      <c r="D790" s="2" t="s">
        <v>26</v>
      </c>
      <c r="E790" s="2" t="s">
        <v>149</v>
      </c>
      <c r="F790" s="2" t="s">
        <v>156</v>
      </c>
      <c r="G790" s="2" t="s">
        <v>183</v>
      </c>
      <c r="H790" s="2" t="s">
        <v>152</v>
      </c>
      <c r="I790" s="2" t="s">
        <v>153</v>
      </c>
      <c r="J790" s="17">
        <v>45846</v>
      </c>
      <c r="K790" s="17"/>
      <c r="L790" s="17"/>
      <c r="M790" s="17">
        <v>45851</v>
      </c>
      <c r="N790" s="18">
        <v>655.63</v>
      </c>
    </row>
    <row r="791" spans="1:14" ht="15" customHeight="1" x14ac:dyDescent="0.25">
      <c r="A791" s="2" t="s">
        <v>941</v>
      </c>
      <c r="B791" s="17">
        <v>45963</v>
      </c>
      <c r="C791" s="2" t="s">
        <v>21</v>
      </c>
      <c r="D791" s="2" t="s">
        <v>27</v>
      </c>
      <c r="E791" s="2" t="s">
        <v>186</v>
      </c>
      <c r="F791" s="2" t="s">
        <v>161</v>
      </c>
      <c r="G791" s="2" t="s">
        <v>176</v>
      </c>
      <c r="H791" s="2" t="s">
        <v>2</v>
      </c>
      <c r="I791" s="2" t="s">
        <v>153</v>
      </c>
      <c r="J791" s="17">
        <v>45967</v>
      </c>
      <c r="K791" s="17">
        <v>45977</v>
      </c>
      <c r="L791" s="17">
        <v>45995</v>
      </c>
      <c r="M791" s="17"/>
      <c r="N791" s="18">
        <v>2600.23</v>
      </c>
    </row>
    <row r="792" spans="1:14" ht="15" customHeight="1" x14ac:dyDescent="0.25">
      <c r="A792" s="2" t="s">
        <v>942</v>
      </c>
      <c r="B792" s="17">
        <v>45737</v>
      </c>
      <c r="C792" s="2" t="s">
        <v>18</v>
      </c>
      <c r="D792" s="2" t="s">
        <v>28</v>
      </c>
      <c r="E792" s="2" t="s">
        <v>149</v>
      </c>
      <c r="F792" s="2" t="s">
        <v>156</v>
      </c>
      <c r="G792" s="2" t="s">
        <v>251</v>
      </c>
      <c r="H792" s="2" t="s">
        <v>152</v>
      </c>
      <c r="I792" s="2" t="s">
        <v>153</v>
      </c>
      <c r="J792" s="17">
        <v>45739</v>
      </c>
      <c r="K792" s="17">
        <v>45742</v>
      </c>
      <c r="L792" s="17"/>
      <c r="M792" s="17">
        <v>45750</v>
      </c>
      <c r="N792" s="18">
        <v>1050.98</v>
      </c>
    </row>
    <row r="793" spans="1:14" ht="15" customHeight="1" x14ac:dyDescent="0.25">
      <c r="A793" s="2" t="s">
        <v>943</v>
      </c>
      <c r="B793" s="17">
        <v>45839</v>
      </c>
      <c r="C793" s="2" t="s">
        <v>21</v>
      </c>
      <c r="D793" s="2" t="s">
        <v>28</v>
      </c>
      <c r="E793" s="2" t="s">
        <v>155</v>
      </c>
      <c r="F793" s="2" t="s">
        <v>156</v>
      </c>
      <c r="G793" s="2" t="s">
        <v>176</v>
      </c>
      <c r="H793" s="2" t="s">
        <v>2</v>
      </c>
      <c r="I793" s="2" t="s">
        <v>153</v>
      </c>
      <c r="J793" s="17">
        <v>45844</v>
      </c>
      <c r="K793" s="17">
        <v>45852</v>
      </c>
      <c r="L793" s="17">
        <v>45878</v>
      </c>
      <c r="M793" s="17"/>
      <c r="N793" s="18">
        <v>530.54</v>
      </c>
    </row>
    <row r="794" spans="1:14" ht="15" customHeight="1" x14ac:dyDescent="0.25">
      <c r="A794" s="2" t="s">
        <v>944</v>
      </c>
      <c r="B794" s="17">
        <v>45805</v>
      </c>
      <c r="C794" s="2" t="s">
        <v>20</v>
      </c>
      <c r="D794" s="2" t="s">
        <v>26</v>
      </c>
      <c r="E794" s="2" t="s">
        <v>149</v>
      </c>
      <c r="F794" s="2" t="s">
        <v>161</v>
      </c>
      <c r="G794" s="2" t="s">
        <v>189</v>
      </c>
      <c r="H794" s="2" t="s">
        <v>2</v>
      </c>
      <c r="I794" s="2" t="s">
        <v>153</v>
      </c>
      <c r="J794" s="17">
        <v>45807</v>
      </c>
      <c r="K794" s="17">
        <v>45816</v>
      </c>
      <c r="L794" s="17">
        <v>45841</v>
      </c>
      <c r="M794" s="17"/>
      <c r="N794" s="18">
        <v>3026.62</v>
      </c>
    </row>
    <row r="795" spans="1:14" ht="15" customHeight="1" x14ac:dyDescent="0.25">
      <c r="A795" s="2" t="s">
        <v>945</v>
      </c>
      <c r="B795" s="17">
        <v>45838</v>
      </c>
      <c r="C795" s="2" t="s">
        <v>20</v>
      </c>
      <c r="D795" s="2" t="s">
        <v>24</v>
      </c>
      <c r="E795" s="2" t="s">
        <v>160</v>
      </c>
      <c r="F795" s="2" t="s">
        <v>156</v>
      </c>
      <c r="G795" s="2" t="s">
        <v>189</v>
      </c>
      <c r="H795" s="2" t="s">
        <v>152</v>
      </c>
      <c r="I795" s="2" t="s">
        <v>153</v>
      </c>
      <c r="J795" s="17">
        <v>45842</v>
      </c>
      <c r="K795" s="17">
        <v>45847</v>
      </c>
      <c r="L795" s="17"/>
      <c r="M795" s="17">
        <v>45855</v>
      </c>
      <c r="N795" s="18">
        <v>817.43</v>
      </c>
    </row>
    <row r="796" spans="1:14" ht="15" customHeight="1" x14ac:dyDescent="0.25">
      <c r="A796" s="2" t="s">
        <v>946</v>
      </c>
      <c r="B796" s="17">
        <v>46017</v>
      </c>
      <c r="C796" s="2" t="s">
        <v>20</v>
      </c>
      <c r="D796" s="2" t="s">
        <v>24</v>
      </c>
      <c r="E796" s="2" t="s">
        <v>186</v>
      </c>
      <c r="F796" s="2" t="s">
        <v>156</v>
      </c>
      <c r="G796" s="2" t="s">
        <v>167</v>
      </c>
      <c r="H796" s="2" t="s">
        <v>190</v>
      </c>
      <c r="I796" s="2" t="s">
        <v>163</v>
      </c>
      <c r="J796" s="17"/>
      <c r="K796" s="17"/>
      <c r="L796" s="17"/>
      <c r="M796" s="17"/>
      <c r="N796" s="18">
        <v>589.64</v>
      </c>
    </row>
    <row r="797" spans="1:14" ht="15" customHeight="1" x14ac:dyDescent="0.25">
      <c r="A797" s="2" t="s">
        <v>947</v>
      </c>
      <c r="B797" s="17">
        <v>46002</v>
      </c>
      <c r="C797" s="2" t="s">
        <v>22</v>
      </c>
      <c r="D797" s="2" t="s">
        <v>26</v>
      </c>
      <c r="E797" s="2" t="s">
        <v>186</v>
      </c>
      <c r="F797" s="2" t="s">
        <v>156</v>
      </c>
      <c r="G797" s="2" t="s">
        <v>170</v>
      </c>
      <c r="H797" s="2" t="s">
        <v>15</v>
      </c>
      <c r="I797" s="2" t="s">
        <v>153</v>
      </c>
      <c r="J797" s="17">
        <v>46005</v>
      </c>
      <c r="K797" s="17"/>
      <c r="L797" s="17"/>
      <c r="M797" s="17"/>
      <c r="N797" s="18">
        <v>850.04</v>
      </c>
    </row>
    <row r="798" spans="1:14" ht="15" customHeight="1" x14ac:dyDescent="0.25">
      <c r="A798" s="2" t="s">
        <v>948</v>
      </c>
      <c r="B798" s="17">
        <v>45991</v>
      </c>
      <c r="C798" s="2" t="s">
        <v>20</v>
      </c>
      <c r="D798" s="2" t="s">
        <v>25</v>
      </c>
      <c r="E798" s="2" t="s">
        <v>149</v>
      </c>
      <c r="F798" s="2" t="s">
        <v>161</v>
      </c>
      <c r="G798" s="2" t="s">
        <v>192</v>
      </c>
      <c r="H798" s="2" t="s">
        <v>152</v>
      </c>
      <c r="I798" s="2" t="s">
        <v>163</v>
      </c>
      <c r="J798" s="17"/>
      <c r="K798" s="17"/>
      <c r="L798" s="17"/>
      <c r="M798" s="17">
        <v>46011</v>
      </c>
      <c r="N798" s="18">
        <v>3375.69</v>
      </c>
    </row>
    <row r="799" spans="1:14" ht="15" customHeight="1" x14ac:dyDescent="0.25">
      <c r="A799" s="2" t="s">
        <v>949</v>
      </c>
      <c r="B799" s="17">
        <v>45827</v>
      </c>
      <c r="C799" s="2" t="s">
        <v>20</v>
      </c>
      <c r="D799" s="2" t="s">
        <v>26</v>
      </c>
      <c r="E799" s="2" t="s">
        <v>149</v>
      </c>
      <c r="F799" s="2" t="s">
        <v>156</v>
      </c>
      <c r="G799" s="2" t="s">
        <v>192</v>
      </c>
      <c r="H799" s="2" t="s">
        <v>152</v>
      </c>
      <c r="I799" s="2" t="s">
        <v>153</v>
      </c>
      <c r="J799" s="17">
        <v>45831</v>
      </c>
      <c r="K799" s="17">
        <v>45841</v>
      </c>
      <c r="L799" s="17"/>
      <c r="M799" s="17">
        <v>45854</v>
      </c>
      <c r="N799" s="18">
        <v>782.98</v>
      </c>
    </row>
    <row r="800" spans="1:14" ht="15" customHeight="1" x14ac:dyDescent="0.25">
      <c r="A800" s="2" t="s">
        <v>950</v>
      </c>
      <c r="B800" s="17">
        <v>45955</v>
      </c>
      <c r="C800" s="2" t="s">
        <v>19</v>
      </c>
      <c r="D800" s="2" t="s">
        <v>28</v>
      </c>
      <c r="E800" s="2" t="s">
        <v>186</v>
      </c>
      <c r="F800" s="2" t="s">
        <v>156</v>
      </c>
      <c r="G800" s="2" t="s">
        <v>210</v>
      </c>
      <c r="H800" s="2" t="s">
        <v>152</v>
      </c>
      <c r="I800" s="2" t="s">
        <v>163</v>
      </c>
      <c r="J800" s="17"/>
      <c r="K800" s="17"/>
      <c r="L800" s="17"/>
      <c r="M800" s="17">
        <v>45967</v>
      </c>
      <c r="N800" s="18">
        <v>888.33</v>
      </c>
    </row>
    <row r="801" spans="1:14" ht="15" customHeight="1" x14ac:dyDescent="0.25">
      <c r="A801" s="2" t="s">
        <v>951</v>
      </c>
      <c r="B801" s="17">
        <v>45706</v>
      </c>
      <c r="C801" s="2" t="s">
        <v>22</v>
      </c>
      <c r="D801" s="2" t="s">
        <v>27</v>
      </c>
      <c r="E801" s="2" t="s">
        <v>149</v>
      </c>
      <c r="F801" s="2" t="s">
        <v>150</v>
      </c>
      <c r="G801" s="2" t="s">
        <v>151</v>
      </c>
      <c r="H801" s="2" t="s">
        <v>152</v>
      </c>
      <c r="I801" s="2" t="s">
        <v>153</v>
      </c>
      <c r="J801" s="17">
        <v>45708</v>
      </c>
      <c r="K801" s="17"/>
      <c r="L801" s="17"/>
      <c r="M801" s="17">
        <v>45716</v>
      </c>
      <c r="N801" s="18">
        <v>9716.33</v>
      </c>
    </row>
    <row r="802" spans="1:14" ht="15" customHeight="1" x14ac:dyDescent="0.25">
      <c r="A802" s="2" t="s">
        <v>952</v>
      </c>
      <c r="B802" s="17">
        <v>45887</v>
      </c>
      <c r="C802" s="2" t="s">
        <v>20</v>
      </c>
      <c r="D802" s="2" t="s">
        <v>27</v>
      </c>
      <c r="E802" s="2" t="s">
        <v>155</v>
      </c>
      <c r="F802" s="2" t="s">
        <v>156</v>
      </c>
      <c r="G802" s="2" t="s">
        <v>189</v>
      </c>
      <c r="H802" s="2" t="s">
        <v>152</v>
      </c>
      <c r="I802" s="2" t="s">
        <v>153</v>
      </c>
      <c r="J802" s="17">
        <v>45892</v>
      </c>
      <c r="K802" s="17">
        <v>45903</v>
      </c>
      <c r="L802" s="17"/>
      <c r="M802" s="17">
        <v>45908</v>
      </c>
      <c r="N802" s="18">
        <v>614.61</v>
      </c>
    </row>
    <row r="803" spans="1:14" ht="15" customHeight="1" x14ac:dyDescent="0.25">
      <c r="A803" s="2" t="s">
        <v>953</v>
      </c>
      <c r="B803" s="17">
        <v>45736</v>
      </c>
      <c r="C803" s="2" t="s">
        <v>19</v>
      </c>
      <c r="D803" s="2" t="s">
        <v>25</v>
      </c>
      <c r="E803" s="2" t="s">
        <v>149</v>
      </c>
      <c r="F803" s="2" t="s">
        <v>156</v>
      </c>
      <c r="G803" s="2" t="s">
        <v>210</v>
      </c>
      <c r="H803" s="2" t="s">
        <v>152</v>
      </c>
      <c r="I803" s="2" t="s">
        <v>153</v>
      </c>
      <c r="J803" s="17">
        <v>45738</v>
      </c>
      <c r="K803" s="17">
        <v>45753</v>
      </c>
      <c r="L803" s="17"/>
      <c r="M803" s="17">
        <v>45773</v>
      </c>
      <c r="N803" s="18">
        <v>986.39</v>
      </c>
    </row>
    <row r="804" spans="1:14" ht="15" customHeight="1" x14ac:dyDescent="0.25">
      <c r="A804" s="2" t="s">
        <v>954</v>
      </c>
      <c r="B804" s="17">
        <v>45693</v>
      </c>
      <c r="C804" s="2" t="s">
        <v>19</v>
      </c>
      <c r="D804" s="2" t="s">
        <v>27</v>
      </c>
      <c r="E804" s="2" t="s">
        <v>149</v>
      </c>
      <c r="F804" s="2" t="s">
        <v>161</v>
      </c>
      <c r="G804" s="2" t="s">
        <v>207</v>
      </c>
      <c r="H804" s="2" t="s">
        <v>152</v>
      </c>
      <c r="I804" s="2" t="s">
        <v>163</v>
      </c>
      <c r="J804" s="17"/>
      <c r="K804" s="17"/>
      <c r="L804" s="17"/>
      <c r="M804" s="17">
        <v>45701</v>
      </c>
      <c r="N804" s="18">
        <v>2960.38</v>
      </c>
    </row>
    <row r="805" spans="1:14" ht="15" customHeight="1" x14ac:dyDescent="0.25">
      <c r="A805" s="2" t="s">
        <v>955</v>
      </c>
      <c r="B805" s="17">
        <v>45940</v>
      </c>
      <c r="C805" s="2" t="s">
        <v>20</v>
      </c>
      <c r="D805" s="2" t="s">
        <v>26</v>
      </c>
      <c r="E805" s="2" t="s">
        <v>155</v>
      </c>
      <c r="F805" s="2" t="s">
        <v>161</v>
      </c>
      <c r="G805" s="2" t="s">
        <v>189</v>
      </c>
      <c r="H805" s="2" t="s">
        <v>152</v>
      </c>
      <c r="I805" s="2" t="s">
        <v>153</v>
      </c>
      <c r="J805" s="17">
        <v>45943</v>
      </c>
      <c r="K805" s="17"/>
      <c r="L805" s="17"/>
      <c r="M805" s="17">
        <v>45949</v>
      </c>
      <c r="N805" s="18">
        <v>1224.02</v>
      </c>
    </row>
    <row r="806" spans="1:14" ht="15" customHeight="1" x14ac:dyDescent="0.25">
      <c r="A806" s="2" t="s">
        <v>956</v>
      </c>
      <c r="B806" s="17">
        <v>45914</v>
      </c>
      <c r="C806" s="2" t="s">
        <v>22</v>
      </c>
      <c r="D806" s="2" t="s">
        <v>25</v>
      </c>
      <c r="E806" s="2" t="s">
        <v>160</v>
      </c>
      <c r="F806" s="2" t="s">
        <v>156</v>
      </c>
      <c r="G806" s="2" t="s">
        <v>151</v>
      </c>
      <c r="H806" s="2" t="s">
        <v>2</v>
      </c>
      <c r="I806" s="2" t="s">
        <v>153</v>
      </c>
      <c r="J806" s="17">
        <v>45917</v>
      </c>
      <c r="K806" s="17">
        <v>45932</v>
      </c>
      <c r="L806" s="17">
        <v>45962</v>
      </c>
      <c r="M806" s="17"/>
      <c r="N806" s="18">
        <v>549.32000000000005</v>
      </c>
    </row>
    <row r="807" spans="1:14" ht="15" customHeight="1" x14ac:dyDescent="0.25">
      <c r="A807" s="2" t="s">
        <v>957</v>
      </c>
      <c r="B807" s="17">
        <v>45827</v>
      </c>
      <c r="C807" s="2" t="s">
        <v>18</v>
      </c>
      <c r="D807" s="2" t="s">
        <v>25</v>
      </c>
      <c r="E807" s="2" t="s">
        <v>149</v>
      </c>
      <c r="F807" s="2" t="s">
        <v>161</v>
      </c>
      <c r="G807" s="2" t="s">
        <v>157</v>
      </c>
      <c r="H807" s="2" t="s">
        <v>152</v>
      </c>
      <c r="I807" s="2" t="s">
        <v>153</v>
      </c>
      <c r="J807" s="17">
        <v>45834</v>
      </c>
      <c r="K807" s="17">
        <v>45844</v>
      </c>
      <c r="L807" s="17"/>
      <c r="M807" s="17">
        <v>45870</v>
      </c>
      <c r="N807" s="18">
        <v>2852.26</v>
      </c>
    </row>
    <row r="808" spans="1:14" ht="15" customHeight="1" x14ac:dyDescent="0.25">
      <c r="A808" s="2" t="s">
        <v>958</v>
      </c>
      <c r="B808" s="17">
        <v>45868</v>
      </c>
      <c r="C808" s="2" t="s">
        <v>19</v>
      </c>
      <c r="D808" s="2" t="s">
        <v>27</v>
      </c>
      <c r="E808" s="2" t="s">
        <v>155</v>
      </c>
      <c r="F808" s="2" t="s">
        <v>156</v>
      </c>
      <c r="G808" s="2" t="s">
        <v>207</v>
      </c>
      <c r="H808" s="2" t="s">
        <v>152</v>
      </c>
      <c r="I808" s="2" t="s">
        <v>163</v>
      </c>
      <c r="J808" s="17"/>
      <c r="K808" s="17"/>
      <c r="L808" s="17"/>
      <c r="M808" s="17">
        <v>45874</v>
      </c>
      <c r="N808" s="18">
        <v>558.94000000000005</v>
      </c>
    </row>
    <row r="809" spans="1:14" ht="15" customHeight="1" x14ac:dyDescent="0.25">
      <c r="A809" s="2" t="s">
        <v>959</v>
      </c>
      <c r="B809" s="17">
        <v>45939</v>
      </c>
      <c r="C809" s="2" t="s">
        <v>21</v>
      </c>
      <c r="D809" s="2" t="s">
        <v>26</v>
      </c>
      <c r="E809" s="2" t="s">
        <v>149</v>
      </c>
      <c r="F809" s="2" t="s">
        <v>156</v>
      </c>
      <c r="G809" s="2" t="s">
        <v>183</v>
      </c>
      <c r="H809" s="2" t="s">
        <v>152</v>
      </c>
      <c r="I809" s="2" t="s">
        <v>163</v>
      </c>
      <c r="J809" s="17"/>
      <c r="K809" s="17"/>
      <c r="L809" s="17"/>
      <c r="M809" s="17">
        <v>45941</v>
      </c>
      <c r="N809" s="18">
        <v>629.52</v>
      </c>
    </row>
    <row r="810" spans="1:14" ht="15" customHeight="1" x14ac:dyDescent="0.25">
      <c r="A810" s="2" t="s">
        <v>960</v>
      </c>
      <c r="B810" s="17">
        <v>45839</v>
      </c>
      <c r="C810" s="2" t="s">
        <v>22</v>
      </c>
      <c r="D810" s="2" t="s">
        <v>24</v>
      </c>
      <c r="E810" s="2" t="s">
        <v>186</v>
      </c>
      <c r="F810" s="2" t="s">
        <v>156</v>
      </c>
      <c r="G810" s="2" t="s">
        <v>170</v>
      </c>
      <c r="H810" s="2" t="s">
        <v>152</v>
      </c>
      <c r="I810" s="2" t="s">
        <v>163</v>
      </c>
      <c r="J810" s="17"/>
      <c r="K810" s="17"/>
      <c r="L810" s="17"/>
      <c r="M810" s="17">
        <v>45858</v>
      </c>
      <c r="N810" s="18">
        <v>836.51</v>
      </c>
    </row>
    <row r="811" spans="1:14" ht="15" customHeight="1" x14ac:dyDescent="0.25">
      <c r="A811" s="2" t="s">
        <v>961</v>
      </c>
      <c r="B811" s="17">
        <v>45763</v>
      </c>
      <c r="C811" s="2" t="s">
        <v>19</v>
      </c>
      <c r="D811" s="2" t="s">
        <v>28</v>
      </c>
      <c r="E811" s="2" t="s">
        <v>186</v>
      </c>
      <c r="F811" s="2" t="s">
        <v>156</v>
      </c>
      <c r="G811" s="2" t="s">
        <v>207</v>
      </c>
      <c r="H811" s="2" t="s">
        <v>152</v>
      </c>
      <c r="I811" s="2" t="s">
        <v>163</v>
      </c>
      <c r="J811" s="17"/>
      <c r="K811" s="17"/>
      <c r="L811" s="17"/>
      <c r="M811" s="17">
        <v>45783</v>
      </c>
      <c r="N811" s="18">
        <v>631</v>
      </c>
    </row>
    <row r="812" spans="1:14" ht="15" customHeight="1" x14ac:dyDescent="0.25">
      <c r="A812" s="2" t="s">
        <v>962</v>
      </c>
      <c r="B812" s="17">
        <v>45959</v>
      </c>
      <c r="C812" s="2" t="s">
        <v>19</v>
      </c>
      <c r="D812" s="2" t="s">
        <v>27</v>
      </c>
      <c r="E812" s="2" t="s">
        <v>155</v>
      </c>
      <c r="F812" s="2" t="s">
        <v>150</v>
      </c>
      <c r="G812" s="2" t="s">
        <v>179</v>
      </c>
      <c r="H812" s="2" t="s">
        <v>152</v>
      </c>
      <c r="I812" s="2" t="s">
        <v>153</v>
      </c>
      <c r="J812" s="17">
        <v>45969</v>
      </c>
      <c r="K812" s="17"/>
      <c r="L812" s="17"/>
      <c r="M812" s="17">
        <v>45983</v>
      </c>
      <c r="N812" s="18">
        <v>5611.37</v>
      </c>
    </row>
    <row r="813" spans="1:14" ht="15" customHeight="1" x14ac:dyDescent="0.25">
      <c r="A813" s="2" t="s">
        <v>963</v>
      </c>
      <c r="B813" s="17">
        <v>45675</v>
      </c>
      <c r="C813" s="2" t="s">
        <v>20</v>
      </c>
      <c r="D813" s="2" t="s">
        <v>24</v>
      </c>
      <c r="E813" s="2" t="s">
        <v>149</v>
      </c>
      <c r="F813" s="2" t="s">
        <v>156</v>
      </c>
      <c r="G813" s="2" t="s">
        <v>189</v>
      </c>
      <c r="H813" s="2" t="s">
        <v>152</v>
      </c>
      <c r="I813" s="2" t="s">
        <v>163</v>
      </c>
      <c r="J813" s="17"/>
      <c r="K813" s="17"/>
      <c r="L813" s="17"/>
      <c r="M813" s="17">
        <v>45691</v>
      </c>
      <c r="N813" s="18">
        <v>976.37</v>
      </c>
    </row>
    <row r="814" spans="1:14" ht="15" customHeight="1" x14ac:dyDescent="0.25">
      <c r="A814" s="2" t="s">
        <v>964</v>
      </c>
      <c r="B814" s="17">
        <v>45890</v>
      </c>
      <c r="C814" s="2" t="s">
        <v>18</v>
      </c>
      <c r="D814" s="2" t="s">
        <v>25</v>
      </c>
      <c r="E814" s="2" t="s">
        <v>186</v>
      </c>
      <c r="F814" s="2" t="s">
        <v>156</v>
      </c>
      <c r="G814" s="2" t="s">
        <v>201</v>
      </c>
      <c r="H814" s="2" t="s">
        <v>152</v>
      </c>
      <c r="I814" s="2" t="s">
        <v>153</v>
      </c>
      <c r="J814" s="17">
        <v>45893</v>
      </c>
      <c r="K814" s="17">
        <v>45906</v>
      </c>
      <c r="L814" s="17"/>
      <c r="M814" s="17">
        <v>45939</v>
      </c>
      <c r="N814" s="18">
        <v>894.78</v>
      </c>
    </row>
    <row r="815" spans="1:14" ht="15" customHeight="1" x14ac:dyDescent="0.25">
      <c r="A815" s="2" t="s">
        <v>965</v>
      </c>
      <c r="B815" s="17">
        <v>45817</v>
      </c>
      <c r="C815" s="2" t="s">
        <v>20</v>
      </c>
      <c r="D815" s="2" t="s">
        <v>28</v>
      </c>
      <c r="E815" s="2" t="s">
        <v>149</v>
      </c>
      <c r="F815" s="2" t="s">
        <v>150</v>
      </c>
      <c r="G815" s="2" t="s">
        <v>167</v>
      </c>
      <c r="H815" s="2" t="s">
        <v>152</v>
      </c>
      <c r="I815" s="2" t="s">
        <v>163</v>
      </c>
      <c r="J815" s="17"/>
      <c r="K815" s="17"/>
      <c r="L815" s="17"/>
      <c r="M815" s="17">
        <v>45831</v>
      </c>
      <c r="N815" s="18">
        <v>7504.99</v>
      </c>
    </row>
    <row r="816" spans="1:14" ht="15" customHeight="1" x14ac:dyDescent="0.25">
      <c r="A816" s="2" t="s">
        <v>966</v>
      </c>
      <c r="B816" s="17">
        <v>45744</v>
      </c>
      <c r="C816" s="2" t="s">
        <v>21</v>
      </c>
      <c r="D816" s="2" t="s">
        <v>26</v>
      </c>
      <c r="E816" s="2" t="s">
        <v>149</v>
      </c>
      <c r="F816" s="2" t="s">
        <v>156</v>
      </c>
      <c r="G816" s="2" t="s">
        <v>183</v>
      </c>
      <c r="H816" s="2" t="s">
        <v>152</v>
      </c>
      <c r="I816" s="2" t="s">
        <v>153</v>
      </c>
      <c r="J816" s="17">
        <v>45748</v>
      </c>
      <c r="K816" s="17"/>
      <c r="L816" s="17"/>
      <c r="M816" s="17">
        <v>45770</v>
      </c>
      <c r="N816" s="18">
        <v>1096.56</v>
      </c>
    </row>
    <row r="817" spans="1:14" ht="15" customHeight="1" x14ac:dyDescent="0.25">
      <c r="A817" s="2" t="s">
        <v>967</v>
      </c>
      <c r="B817" s="17">
        <v>45931</v>
      </c>
      <c r="C817" s="2" t="s">
        <v>22</v>
      </c>
      <c r="D817" s="2" t="s">
        <v>24</v>
      </c>
      <c r="E817" s="2" t="s">
        <v>149</v>
      </c>
      <c r="F817" s="2" t="s">
        <v>156</v>
      </c>
      <c r="G817" s="2" t="s">
        <v>151</v>
      </c>
      <c r="H817" s="2" t="s">
        <v>152</v>
      </c>
      <c r="I817" s="2" t="s">
        <v>163</v>
      </c>
      <c r="J817" s="17"/>
      <c r="K817" s="17"/>
      <c r="L817" s="17"/>
      <c r="M817" s="17">
        <v>45942</v>
      </c>
      <c r="N817" s="18">
        <v>904.9</v>
      </c>
    </row>
    <row r="818" spans="1:14" ht="15" customHeight="1" x14ac:dyDescent="0.25">
      <c r="A818" s="2" t="s">
        <v>968</v>
      </c>
      <c r="B818" s="17">
        <v>45941</v>
      </c>
      <c r="C818" s="2" t="s">
        <v>22</v>
      </c>
      <c r="D818" s="2" t="s">
        <v>25</v>
      </c>
      <c r="E818" s="2" t="s">
        <v>149</v>
      </c>
      <c r="F818" s="2" t="s">
        <v>150</v>
      </c>
      <c r="G818" s="2" t="s">
        <v>165</v>
      </c>
      <c r="H818" s="2" t="s">
        <v>152</v>
      </c>
      <c r="I818" s="2" t="s">
        <v>163</v>
      </c>
      <c r="J818" s="17"/>
      <c r="K818" s="17"/>
      <c r="L818" s="17"/>
      <c r="M818" s="17">
        <v>45955</v>
      </c>
      <c r="N818" s="18">
        <v>10447.99</v>
      </c>
    </row>
    <row r="819" spans="1:14" ht="15" customHeight="1" x14ac:dyDescent="0.25">
      <c r="A819" s="2" t="s">
        <v>969</v>
      </c>
      <c r="B819" s="17">
        <v>45900</v>
      </c>
      <c r="C819" s="2" t="s">
        <v>21</v>
      </c>
      <c r="D819" s="2" t="s">
        <v>24</v>
      </c>
      <c r="E819" s="2" t="s">
        <v>149</v>
      </c>
      <c r="F819" s="2" t="s">
        <v>161</v>
      </c>
      <c r="G819" s="2" t="s">
        <v>176</v>
      </c>
      <c r="H819" s="2" t="s">
        <v>152</v>
      </c>
      <c r="I819" s="2" t="s">
        <v>153</v>
      </c>
      <c r="J819" s="17">
        <v>45901</v>
      </c>
      <c r="K819" s="17"/>
      <c r="L819" s="17"/>
      <c r="M819" s="17">
        <v>45911</v>
      </c>
      <c r="N819" s="18">
        <v>2663.05</v>
      </c>
    </row>
    <row r="820" spans="1:14" ht="15" customHeight="1" x14ac:dyDescent="0.25">
      <c r="A820" s="2" t="s">
        <v>970</v>
      </c>
      <c r="B820" s="17">
        <v>45687</v>
      </c>
      <c r="C820" s="2" t="s">
        <v>21</v>
      </c>
      <c r="D820" s="2" t="s">
        <v>27</v>
      </c>
      <c r="E820" s="2" t="s">
        <v>149</v>
      </c>
      <c r="F820" s="2" t="s">
        <v>156</v>
      </c>
      <c r="G820" s="2" t="s">
        <v>162</v>
      </c>
      <c r="H820" s="2" t="s">
        <v>2</v>
      </c>
      <c r="I820" s="2" t="s">
        <v>153</v>
      </c>
      <c r="J820" s="17">
        <v>45694</v>
      </c>
      <c r="K820" s="17">
        <v>45697</v>
      </c>
      <c r="L820" s="17">
        <v>45721</v>
      </c>
      <c r="M820" s="17"/>
      <c r="N820" s="18">
        <v>910.5</v>
      </c>
    </row>
    <row r="821" spans="1:14" ht="15" customHeight="1" x14ac:dyDescent="0.25">
      <c r="A821" s="2" t="s">
        <v>971</v>
      </c>
      <c r="B821" s="17">
        <v>45750</v>
      </c>
      <c r="C821" s="2" t="s">
        <v>19</v>
      </c>
      <c r="D821" s="2" t="s">
        <v>24</v>
      </c>
      <c r="E821" s="2" t="s">
        <v>160</v>
      </c>
      <c r="F821" s="2" t="s">
        <v>156</v>
      </c>
      <c r="G821" s="2" t="s">
        <v>207</v>
      </c>
      <c r="H821" s="2" t="s">
        <v>152</v>
      </c>
      <c r="I821" s="2" t="s">
        <v>153</v>
      </c>
      <c r="J821" s="17">
        <v>45757</v>
      </c>
      <c r="K821" s="17">
        <v>45770</v>
      </c>
      <c r="L821" s="17"/>
      <c r="M821" s="17">
        <v>45792</v>
      </c>
      <c r="N821" s="18">
        <v>618.32000000000005</v>
      </c>
    </row>
    <row r="822" spans="1:14" ht="15" customHeight="1" x14ac:dyDescent="0.25">
      <c r="A822" s="2" t="s">
        <v>972</v>
      </c>
      <c r="B822" s="17">
        <v>45706</v>
      </c>
      <c r="C822" s="2" t="s">
        <v>20</v>
      </c>
      <c r="D822" s="2" t="s">
        <v>24</v>
      </c>
      <c r="E822" s="2" t="s">
        <v>149</v>
      </c>
      <c r="F822" s="2" t="s">
        <v>150</v>
      </c>
      <c r="G822" s="2" t="s">
        <v>192</v>
      </c>
      <c r="H822" s="2" t="s">
        <v>152</v>
      </c>
      <c r="I822" s="2" t="s">
        <v>153</v>
      </c>
      <c r="J822" s="17">
        <v>45715</v>
      </c>
      <c r="K822" s="17"/>
      <c r="L822" s="17"/>
      <c r="M822" s="17">
        <v>45731</v>
      </c>
      <c r="N822" s="18">
        <v>11122.14</v>
      </c>
    </row>
    <row r="823" spans="1:14" ht="15" customHeight="1" x14ac:dyDescent="0.25">
      <c r="A823" s="2" t="s">
        <v>973</v>
      </c>
      <c r="B823" s="17">
        <v>45999</v>
      </c>
      <c r="C823" s="2" t="s">
        <v>19</v>
      </c>
      <c r="D823" s="2" t="s">
        <v>24</v>
      </c>
      <c r="E823" s="2" t="s">
        <v>186</v>
      </c>
      <c r="F823" s="2" t="s">
        <v>161</v>
      </c>
      <c r="G823" s="2" t="s">
        <v>210</v>
      </c>
      <c r="H823" s="2" t="s">
        <v>190</v>
      </c>
      <c r="I823" s="2" t="s">
        <v>163</v>
      </c>
      <c r="J823" s="17"/>
      <c r="K823" s="17"/>
      <c r="L823" s="17"/>
      <c r="M823" s="17"/>
      <c r="N823" s="18">
        <v>1674.85</v>
      </c>
    </row>
    <row r="824" spans="1:14" ht="15" customHeight="1" x14ac:dyDescent="0.25">
      <c r="A824" s="2" t="s">
        <v>65</v>
      </c>
      <c r="B824" s="17">
        <v>45839</v>
      </c>
      <c r="C824" s="2" t="s">
        <v>19</v>
      </c>
      <c r="D824" s="2" t="s">
        <v>28</v>
      </c>
      <c r="E824" s="2" t="s">
        <v>155</v>
      </c>
      <c r="F824" s="2" t="s">
        <v>156</v>
      </c>
      <c r="G824" s="2" t="s">
        <v>265</v>
      </c>
      <c r="H824" s="2" t="s">
        <v>152</v>
      </c>
      <c r="I824" s="2" t="s">
        <v>153</v>
      </c>
      <c r="J824" s="17">
        <v>45845</v>
      </c>
      <c r="K824" s="17"/>
      <c r="L824" s="17"/>
      <c r="M824" s="17">
        <v>45867</v>
      </c>
      <c r="N824" s="18">
        <v>440.53</v>
      </c>
    </row>
    <row r="825" spans="1:14" ht="15" customHeight="1" x14ac:dyDescent="0.25">
      <c r="A825" s="2" t="s">
        <v>974</v>
      </c>
      <c r="B825" s="17">
        <v>45698</v>
      </c>
      <c r="C825" s="2" t="s">
        <v>22</v>
      </c>
      <c r="D825" s="2" t="s">
        <v>27</v>
      </c>
      <c r="E825" s="2" t="s">
        <v>186</v>
      </c>
      <c r="F825" s="2" t="s">
        <v>156</v>
      </c>
      <c r="G825" s="2" t="s">
        <v>165</v>
      </c>
      <c r="H825" s="2" t="s">
        <v>152</v>
      </c>
      <c r="I825" s="2" t="s">
        <v>153</v>
      </c>
      <c r="J825" s="17">
        <v>45703</v>
      </c>
      <c r="K825" s="17"/>
      <c r="L825" s="17"/>
      <c r="M825" s="17">
        <v>45709</v>
      </c>
      <c r="N825" s="18">
        <v>708.3</v>
      </c>
    </row>
    <row r="826" spans="1:14" ht="15" customHeight="1" x14ac:dyDescent="0.25">
      <c r="A826" s="2" t="s">
        <v>975</v>
      </c>
      <c r="B826" s="17">
        <v>45659</v>
      </c>
      <c r="C826" s="2" t="s">
        <v>20</v>
      </c>
      <c r="D826" s="2" t="s">
        <v>26</v>
      </c>
      <c r="E826" s="2" t="s">
        <v>149</v>
      </c>
      <c r="F826" s="2" t="s">
        <v>161</v>
      </c>
      <c r="G826" s="2" t="s">
        <v>192</v>
      </c>
      <c r="H826" s="2" t="s">
        <v>152</v>
      </c>
      <c r="I826" s="2" t="s">
        <v>153</v>
      </c>
      <c r="J826" s="17">
        <v>45667</v>
      </c>
      <c r="K826" s="17">
        <v>45682</v>
      </c>
      <c r="L826" s="17"/>
      <c r="M826" s="17">
        <v>45703</v>
      </c>
      <c r="N826" s="18">
        <v>2916.68</v>
      </c>
    </row>
    <row r="827" spans="1:14" ht="15" customHeight="1" x14ac:dyDescent="0.25">
      <c r="A827" s="2" t="s">
        <v>976</v>
      </c>
      <c r="B827" s="17">
        <v>45947</v>
      </c>
      <c r="C827" s="2" t="s">
        <v>20</v>
      </c>
      <c r="D827" s="2" t="s">
        <v>27</v>
      </c>
      <c r="E827" s="2" t="s">
        <v>149</v>
      </c>
      <c r="F827" s="2" t="s">
        <v>161</v>
      </c>
      <c r="G827" s="2" t="s">
        <v>192</v>
      </c>
      <c r="H827" s="2" t="s">
        <v>152</v>
      </c>
      <c r="I827" s="2" t="s">
        <v>153</v>
      </c>
      <c r="J827" s="17">
        <v>45949</v>
      </c>
      <c r="K827" s="17">
        <v>45952</v>
      </c>
      <c r="L827" s="17"/>
      <c r="M827" s="17">
        <v>45961</v>
      </c>
      <c r="N827" s="18">
        <v>3278.57</v>
      </c>
    </row>
    <row r="828" spans="1:14" ht="15" customHeight="1" x14ac:dyDescent="0.25">
      <c r="A828" s="2" t="s">
        <v>977</v>
      </c>
      <c r="B828" s="17">
        <v>45672</v>
      </c>
      <c r="C828" s="2" t="s">
        <v>21</v>
      </c>
      <c r="D828" s="2" t="s">
        <v>26</v>
      </c>
      <c r="E828" s="2" t="s">
        <v>155</v>
      </c>
      <c r="F828" s="2" t="s">
        <v>150</v>
      </c>
      <c r="G828" s="2" t="s">
        <v>162</v>
      </c>
      <c r="H828" s="2" t="s">
        <v>152</v>
      </c>
      <c r="I828" s="2" t="s">
        <v>153</v>
      </c>
      <c r="J828" s="17">
        <v>45676</v>
      </c>
      <c r="K828" s="17">
        <v>45681</v>
      </c>
      <c r="L828" s="17"/>
      <c r="M828" s="17">
        <v>45698</v>
      </c>
      <c r="N828" s="18">
        <v>3980.66</v>
      </c>
    </row>
    <row r="829" spans="1:14" ht="15" customHeight="1" x14ac:dyDescent="0.25">
      <c r="A829" s="2" t="s">
        <v>978</v>
      </c>
      <c r="B829" s="17">
        <v>45894</v>
      </c>
      <c r="C829" s="2" t="s">
        <v>19</v>
      </c>
      <c r="D829" s="2" t="s">
        <v>28</v>
      </c>
      <c r="E829" s="2" t="s">
        <v>149</v>
      </c>
      <c r="F829" s="2" t="s">
        <v>161</v>
      </c>
      <c r="G829" s="2" t="s">
        <v>210</v>
      </c>
      <c r="H829" s="2" t="s">
        <v>152</v>
      </c>
      <c r="I829" s="2" t="s">
        <v>163</v>
      </c>
      <c r="J829" s="17"/>
      <c r="K829" s="17"/>
      <c r="L829" s="17"/>
      <c r="M829" s="17">
        <v>45906</v>
      </c>
      <c r="N829" s="18">
        <v>3113.99</v>
      </c>
    </row>
    <row r="830" spans="1:14" ht="15" customHeight="1" x14ac:dyDescent="0.25">
      <c r="A830" s="2" t="s">
        <v>979</v>
      </c>
      <c r="B830" s="17">
        <v>45804</v>
      </c>
      <c r="C830" s="2" t="s">
        <v>22</v>
      </c>
      <c r="D830" s="2" t="s">
        <v>28</v>
      </c>
      <c r="E830" s="2" t="s">
        <v>155</v>
      </c>
      <c r="F830" s="2" t="s">
        <v>161</v>
      </c>
      <c r="G830" s="2" t="s">
        <v>165</v>
      </c>
      <c r="H830" s="2" t="s">
        <v>152</v>
      </c>
      <c r="I830" s="2" t="s">
        <v>163</v>
      </c>
      <c r="J830" s="17"/>
      <c r="K830" s="17"/>
      <c r="L830" s="17"/>
      <c r="M830" s="17">
        <v>45820</v>
      </c>
      <c r="N830" s="18">
        <v>2222.37</v>
      </c>
    </row>
    <row r="831" spans="1:14" ht="15" customHeight="1" x14ac:dyDescent="0.25">
      <c r="A831" s="2" t="s">
        <v>980</v>
      </c>
      <c r="B831" s="17">
        <v>45833</v>
      </c>
      <c r="C831" s="2" t="s">
        <v>18</v>
      </c>
      <c r="D831" s="2" t="s">
        <v>26</v>
      </c>
      <c r="E831" s="2" t="s">
        <v>186</v>
      </c>
      <c r="F831" s="2" t="s">
        <v>161</v>
      </c>
      <c r="G831" s="2" t="s">
        <v>251</v>
      </c>
      <c r="H831" s="2" t="s">
        <v>152</v>
      </c>
      <c r="I831" s="2" t="s">
        <v>153</v>
      </c>
      <c r="J831" s="17">
        <v>45838</v>
      </c>
      <c r="K831" s="17">
        <v>45845</v>
      </c>
      <c r="L831" s="17"/>
      <c r="M831" s="17">
        <v>45865</v>
      </c>
      <c r="N831" s="18">
        <v>2379.9699999999998</v>
      </c>
    </row>
    <row r="832" spans="1:14" ht="15" customHeight="1" x14ac:dyDescent="0.25">
      <c r="A832" s="2" t="s">
        <v>981</v>
      </c>
      <c r="B832" s="17">
        <v>45681</v>
      </c>
      <c r="C832" s="2" t="s">
        <v>20</v>
      </c>
      <c r="D832" s="2" t="s">
        <v>24</v>
      </c>
      <c r="E832" s="2" t="s">
        <v>149</v>
      </c>
      <c r="F832" s="2" t="s">
        <v>156</v>
      </c>
      <c r="G832" s="2" t="s">
        <v>167</v>
      </c>
      <c r="H832" s="2" t="s">
        <v>152</v>
      </c>
      <c r="I832" s="2" t="s">
        <v>153</v>
      </c>
      <c r="J832" s="17">
        <v>45686</v>
      </c>
      <c r="K832" s="17"/>
      <c r="L832" s="17"/>
      <c r="M832" s="17">
        <v>45693</v>
      </c>
      <c r="N832" s="18">
        <v>940.44</v>
      </c>
    </row>
    <row r="833" spans="1:14" ht="15" customHeight="1" x14ac:dyDescent="0.25">
      <c r="A833" s="2" t="s">
        <v>66</v>
      </c>
      <c r="B833" s="17">
        <v>45837</v>
      </c>
      <c r="C833" s="2" t="s">
        <v>22</v>
      </c>
      <c r="D833" s="2" t="s">
        <v>24</v>
      </c>
      <c r="E833" s="2" t="s">
        <v>149</v>
      </c>
      <c r="F833" s="2" t="s">
        <v>150</v>
      </c>
      <c r="G833" s="2" t="s">
        <v>265</v>
      </c>
      <c r="H833" s="2" t="s">
        <v>152</v>
      </c>
      <c r="I833" s="2" t="s">
        <v>163</v>
      </c>
      <c r="J833" s="17"/>
      <c r="K833" s="17"/>
      <c r="L833" s="17"/>
      <c r="M833" s="17">
        <v>45849</v>
      </c>
      <c r="N833" s="18">
        <v>9399.91</v>
      </c>
    </row>
    <row r="834" spans="1:14" ht="15" customHeight="1" x14ac:dyDescent="0.25">
      <c r="A834" s="2" t="s">
        <v>982</v>
      </c>
      <c r="B834" s="17">
        <v>45814</v>
      </c>
      <c r="C834" s="2" t="s">
        <v>18</v>
      </c>
      <c r="D834" s="2" t="s">
        <v>24</v>
      </c>
      <c r="E834" s="2" t="s">
        <v>186</v>
      </c>
      <c r="F834" s="2" t="s">
        <v>156</v>
      </c>
      <c r="G834" s="2" t="s">
        <v>157</v>
      </c>
      <c r="H834" s="2" t="s">
        <v>152</v>
      </c>
      <c r="I834" s="2" t="s">
        <v>153</v>
      </c>
      <c r="J834" s="17">
        <v>45820</v>
      </c>
      <c r="K834" s="17"/>
      <c r="L834" s="17"/>
      <c r="M834" s="17">
        <v>45825</v>
      </c>
      <c r="N834" s="18">
        <v>726.4</v>
      </c>
    </row>
    <row r="835" spans="1:14" ht="15" customHeight="1" x14ac:dyDescent="0.25">
      <c r="A835" s="2" t="s">
        <v>59</v>
      </c>
      <c r="B835" s="17">
        <v>45765</v>
      </c>
      <c r="C835" s="2" t="s">
        <v>20</v>
      </c>
      <c r="E835" s="2" t="s">
        <v>149</v>
      </c>
      <c r="F835" s="2" t="s">
        <v>150</v>
      </c>
      <c r="G835" s="2" t="s">
        <v>167</v>
      </c>
      <c r="H835" s="2" t="s">
        <v>152</v>
      </c>
      <c r="I835" s="2" t="s">
        <v>163</v>
      </c>
      <c r="J835" s="17"/>
      <c r="K835" s="17"/>
      <c r="L835" s="17"/>
      <c r="M835" s="17">
        <v>45772</v>
      </c>
      <c r="N835" s="18">
        <v>7486.4</v>
      </c>
    </row>
    <row r="836" spans="1:14" ht="15" customHeight="1" x14ac:dyDescent="0.25">
      <c r="A836" s="2" t="s">
        <v>983</v>
      </c>
      <c r="B836" s="17">
        <v>45813</v>
      </c>
      <c r="C836" s="2" t="s">
        <v>2965</v>
      </c>
      <c r="D836" s="2" t="s">
        <v>25</v>
      </c>
      <c r="E836" s="2" t="s">
        <v>155</v>
      </c>
      <c r="F836" s="2" t="s">
        <v>161</v>
      </c>
      <c r="G836" s="2" t="s">
        <v>189</v>
      </c>
      <c r="H836" s="2" t="s">
        <v>152</v>
      </c>
      <c r="I836" s="2" t="s">
        <v>163</v>
      </c>
      <c r="J836" s="17"/>
      <c r="K836" s="17"/>
      <c r="L836" s="17"/>
      <c r="M836" s="17">
        <v>45825</v>
      </c>
      <c r="N836" s="18">
        <v>1412.78</v>
      </c>
    </row>
    <row r="837" spans="1:14" ht="15" customHeight="1" x14ac:dyDescent="0.25">
      <c r="A837" s="2" t="s">
        <v>984</v>
      </c>
      <c r="B837" s="17">
        <v>45660</v>
      </c>
      <c r="C837" s="2" t="s">
        <v>21</v>
      </c>
      <c r="D837" s="2" t="s">
        <v>25</v>
      </c>
      <c r="E837" s="2" t="s">
        <v>149</v>
      </c>
      <c r="F837" s="2" t="s">
        <v>156</v>
      </c>
      <c r="G837" s="2" t="s">
        <v>183</v>
      </c>
      <c r="H837" s="2" t="s">
        <v>152</v>
      </c>
      <c r="I837" s="2" t="s">
        <v>153</v>
      </c>
      <c r="J837" s="17">
        <v>45665</v>
      </c>
      <c r="K837" s="17"/>
      <c r="L837" s="17"/>
      <c r="M837" s="17">
        <v>45690</v>
      </c>
      <c r="N837" s="18">
        <v>1104.29</v>
      </c>
    </row>
    <row r="838" spans="1:14" ht="15" customHeight="1" x14ac:dyDescent="0.25">
      <c r="A838" s="2" t="s">
        <v>985</v>
      </c>
      <c r="B838" s="17">
        <v>45861</v>
      </c>
      <c r="C838" s="2" t="s">
        <v>20</v>
      </c>
      <c r="D838" s="2" t="s">
        <v>26</v>
      </c>
      <c r="E838" s="2" t="s">
        <v>155</v>
      </c>
      <c r="F838" s="2" t="s">
        <v>156</v>
      </c>
      <c r="G838" s="2" t="s">
        <v>192</v>
      </c>
      <c r="H838" s="2" t="s">
        <v>152</v>
      </c>
      <c r="I838" s="2" t="s">
        <v>163</v>
      </c>
      <c r="J838" s="17"/>
      <c r="K838" s="17"/>
      <c r="L838" s="17"/>
      <c r="M838" s="17">
        <v>45873</v>
      </c>
      <c r="N838" s="18">
        <v>574.80999999999995</v>
      </c>
    </row>
    <row r="839" spans="1:14" ht="15" customHeight="1" x14ac:dyDescent="0.25">
      <c r="A839" s="2" t="s">
        <v>986</v>
      </c>
      <c r="B839" s="17">
        <v>45763</v>
      </c>
      <c r="C839" s="2" t="s">
        <v>21</v>
      </c>
      <c r="D839" s="2" t="s">
        <v>25</v>
      </c>
      <c r="E839" s="2" t="s">
        <v>186</v>
      </c>
      <c r="F839" s="2" t="s">
        <v>161</v>
      </c>
      <c r="G839" s="2" t="s">
        <v>176</v>
      </c>
      <c r="H839" s="2" t="s">
        <v>2</v>
      </c>
      <c r="I839" s="2" t="s">
        <v>153</v>
      </c>
      <c r="J839" s="17">
        <v>45769</v>
      </c>
      <c r="K839" s="17">
        <v>45781</v>
      </c>
      <c r="L839" s="17">
        <v>45807</v>
      </c>
      <c r="M839" s="17"/>
      <c r="N839" s="18">
        <v>2405.5</v>
      </c>
    </row>
    <row r="840" spans="1:14" ht="15" customHeight="1" x14ac:dyDescent="0.25">
      <c r="A840" s="2" t="s">
        <v>987</v>
      </c>
      <c r="B840" s="17">
        <v>45661</v>
      </c>
      <c r="C840" s="2" t="s">
        <v>21</v>
      </c>
      <c r="D840" s="2" t="s">
        <v>28</v>
      </c>
      <c r="E840" s="2" t="s">
        <v>160</v>
      </c>
      <c r="F840" s="2" t="s">
        <v>150</v>
      </c>
      <c r="G840" s="2" t="s">
        <v>183</v>
      </c>
      <c r="H840" s="2" t="s">
        <v>152</v>
      </c>
      <c r="I840" s="2" t="s">
        <v>163</v>
      </c>
      <c r="J840" s="17"/>
      <c r="K840" s="17"/>
      <c r="L840" s="17"/>
      <c r="M840" s="17">
        <v>45669</v>
      </c>
      <c r="N840" s="18">
        <v>7432.92</v>
      </c>
    </row>
    <row r="841" spans="1:14" ht="15" customHeight="1" x14ac:dyDescent="0.25">
      <c r="A841" s="2" t="s">
        <v>988</v>
      </c>
      <c r="B841" s="17">
        <v>45695</v>
      </c>
      <c r="C841" s="2" t="s">
        <v>19</v>
      </c>
      <c r="D841" s="2" t="s">
        <v>24</v>
      </c>
      <c r="E841" s="2" t="s">
        <v>149</v>
      </c>
      <c r="F841" s="2" t="s">
        <v>161</v>
      </c>
      <c r="G841" s="2" t="s">
        <v>210</v>
      </c>
      <c r="H841" s="2" t="s">
        <v>152</v>
      </c>
      <c r="I841" s="2" t="s">
        <v>163</v>
      </c>
      <c r="J841" s="17"/>
      <c r="K841" s="17"/>
      <c r="L841" s="17"/>
      <c r="M841" s="17">
        <v>45710</v>
      </c>
      <c r="N841" s="18">
        <v>2707.72</v>
      </c>
    </row>
    <row r="842" spans="1:14" ht="15" customHeight="1" x14ac:dyDescent="0.25">
      <c r="A842" s="2" t="s">
        <v>989</v>
      </c>
      <c r="B842" s="17">
        <v>45834</v>
      </c>
      <c r="C842" s="2" t="s">
        <v>2965</v>
      </c>
      <c r="D842" s="2" t="s">
        <v>28</v>
      </c>
      <c r="E842" s="2" t="s">
        <v>149</v>
      </c>
      <c r="F842" s="2" t="s">
        <v>161</v>
      </c>
      <c r="G842" s="2" t="s">
        <v>167</v>
      </c>
      <c r="H842" s="2" t="s">
        <v>152</v>
      </c>
      <c r="I842" s="2" t="s">
        <v>153</v>
      </c>
      <c r="J842" s="17">
        <v>45837</v>
      </c>
      <c r="K842" s="17"/>
      <c r="L842" s="17"/>
      <c r="M842" s="17">
        <v>45859</v>
      </c>
      <c r="N842" s="18">
        <v>2374.4</v>
      </c>
    </row>
    <row r="843" spans="1:14" ht="15" customHeight="1" x14ac:dyDescent="0.25">
      <c r="A843" s="2" t="s">
        <v>990</v>
      </c>
      <c r="B843" s="17">
        <v>45969</v>
      </c>
      <c r="C843" s="2" t="s">
        <v>22</v>
      </c>
      <c r="D843" s="2" t="s">
        <v>25</v>
      </c>
      <c r="E843" s="2" t="s">
        <v>155</v>
      </c>
      <c r="F843" s="2" t="s">
        <v>161</v>
      </c>
      <c r="G843" s="2" t="s">
        <v>170</v>
      </c>
      <c r="H843" s="2" t="s">
        <v>2</v>
      </c>
      <c r="I843" s="2" t="s">
        <v>153</v>
      </c>
      <c r="J843" s="17">
        <v>45977</v>
      </c>
      <c r="K843" s="17">
        <v>45991</v>
      </c>
      <c r="L843" s="17">
        <v>46013</v>
      </c>
      <c r="M843" s="17"/>
      <c r="N843" s="18">
        <v>1895.23</v>
      </c>
    </row>
    <row r="844" spans="1:14" ht="15" customHeight="1" x14ac:dyDescent="0.25">
      <c r="A844" s="2" t="s">
        <v>991</v>
      </c>
      <c r="B844" s="17">
        <v>46018</v>
      </c>
      <c r="C844" s="2" t="s">
        <v>22</v>
      </c>
      <c r="D844" s="2" t="s">
        <v>25</v>
      </c>
      <c r="E844" s="2" t="s">
        <v>186</v>
      </c>
      <c r="F844" s="2" t="s">
        <v>156</v>
      </c>
      <c r="G844" s="2" t="s">
        <v>165</v>
      </c>
      <c r="H844" s="2" t="s">
        <v>158</v>
      </c>
      <c r="I844" s="2" t="s">
        <v>153</v>
      </c>
      <c r="J844" s="17">
        <v>46022</v>
      </c>
      <c r="K844" s="17">
        <v>46033</v>
      </c>
      <c r="L844" s="17"/>
      <c r="M844" s="17"/>
      <c r="N844" s="18">
        <v>734.42</v>
      </c>
    </row>
    <row r="845" spans="1:14" ht="15" customHeight="1" x14ac:dyDescent="0.25">
      <c r="A845" s="2" t="s">
        <v>992</v>
      </c>
      <c r="B845" s="17">
        <v>45977</v>
      </c>
      <c r="C845" s="2" t="s">
        <v>20</v>
      </c>
      <c r="D845" s="2" t="s">
        <v>27</v>
      </c>
      <c r="E845" s="2" t="s">
        <v>149</v>
      </c>
      <c r="F845" s="2" t="s">
        <v>156</v>
      </c>
      <c r="G845" s="2" t="s">
        <v>192</v>
      </c>
      <c r="H845" s="2" t="s">
        <v>2</v>
      </c>
      <c r="I845" s="2" t="s">
        <v>153</v>
      </c>
      <c r="J845" s="17">
        <v>45978</v>
      </c>
      <c r="K845" s="17">
        <v>45984</v>
      </c>
      <c r="L845" s="17">
        <v>46012</v>
      </c>
      <c r="M845" s="17"/>
      <c r="N845" s="18">
        <v>877.11</v>
      </c>
    </row>
    <row r="846" spans="1:14" ht="15" customHeight="1" x14ac:dyDescent="0.25">
      <c r="A846" s="2" t="s">
        <v>993</v>
      </c>
      <c r="B846" s="17">
        <v>45800</v>
      </c>
      <c r="C846" s="2" t="s">
        <v>22</v>
      </c>
      <c r="D846" s="2" t="s">
        <v>28</v>
      </c>
      <c r="E846" s="2" t="s">
        <v>160</v>
      </c>
      <c r="F846" s="2" t="s">
        <v>156</v>
      </c>
      <c r="G846" s="2" t="s">
        <v>165</v>
      </c>
      <c r="H846" s="2" t="s">
        <v>152</v>
      </c>
      <c r="I846" s="2" t="s">
        <v>153</v>
      </c>
      <c r="J846" s="17">
        <v>45801</v>
      </c>
      <c r="K846" s="17">
        <v>45813</v>
      </c>
      <c r="L846" s="17"/>
      <c r="M846" s="17">
        <v>45839</v>
      </c>
      <c r="N846" s="18">
        <v>673.19</v>
      </c>
    </row>
    <row r="847" spans="1:14" ht="15" customHeight="1" x14ac:dyDescent="0.25">
      <c r="A847" s="2" t="s">
        <v>994</v>
      </c>
      <c r="B847" s="17">
        <v>45804</v>
      </c>
      <c r="C847" s="2" t="s">
        <v>20</v>
      </c>
      <c r="D847" s="2" t="s">
        <v>24</v>
      </c>
      <c r="E847" s="2" t="s">
        <v>186</v>
      </c>
      <c r="F847" s="2" t="s">
        <v>156</v>
      </c>
      <c r="G847" s="2" t="s">
        <v>189</v>
      </c>
      <c r="H847" s="2" t="s">
        <v>152</v>
      </c>
      <c r="I847" s="2" t="s">
        <v>153</v>
      </c>
      <c r="J847" s="17">
        <v>45809</v>
      </c>
      <c r="K847" s="17"/>
      <c r="L847" s="17"/>
      <c r="M847" s="17">
        <v>45828</v>
      </c>
      <c r="N847" s="18">
        <v>895.38</v>
      </c>
    </row>
    <row r="848" spans="1:14" ht="15" customHeight="1" x14ac:dyDescent="0.25">
      <c r="A848" s="2" t="s">
        <v>995</v>
      </c>
      <c r="B848" s="17">
        <v>45754</v>
      </c>
      <c r="C848" s="2" t="s">
        <v>20</v>
      </c>
      <c r="D848" s="2" t="s">
        <v>28</v>
      </c>
      <c r="E848" s="2" t="s">
        <v>155</v>
      </c>
      <c r="F848" s="2" t="s">
        <v>161</v>
      </c>
      <c r="G848" s="2" t="s">
        <v>189</v>
      </c>
      <c r="H848" s="2" t="s">
        <v>152</v>
      </c>
      <c r="I848" s="2" t="s">
        <v>153</v>
      </c>
      <c r="J848" s="17">
        <v>45758</v>
      </c>
      <c r="K848" s="17">
        <v>45770</v>
      </c>
      <c r="L848" s="17"/>
      <c r="M848" s="17">
        <v>45798</v>
      </c>
      <c r="N848" s="18">
        <v>1963.09</v>
      </c>
    </row>
    <row r="849" spans="1:14" ht="15" customHeight="1" x14ac:dyDescent="0.25">
      <c r="A849" s="2" t="s">
        <v>996</v>
      </c>
      <c r="B849" s="17">
        <v>46010</v>
      </c>
      <c r="C849" s="2" t="s">
        <v>20</v>
      </c>
      <c r="D849" s="2" t="s">
        <v>26</v>
      </c>
      <c r="E849" s="2" t="s">
        <v>149</v>
      </c>
      <c r="F849" s="2" t="s">
        <v>156</v>
      </c>
      <c r="G849" s="2" t="s">
        <v>189</v>
      </c>
      <c r="H849" s="2" t="s">
        <v>2</v>
      </c>
      <c r="I849" s="2" t="s">
        <v>153</v>
      </c>
      <c r="J849" s="17">
        <v>46011</v>
      </c>
      <c r="K849" s="17">
        <v>46023</v>
      </c>
      <c r="L849" s="17">
        <v>46048</v>
      </c>
      <c r="M849" s="17"/>
      <c r="N849" s="18">
        <v>724.86</v>
      </c>
    </row>
    <row r="850" spans="1:14" ht="15" customHeight="1" x14ac:dyDescent="0.25">
      <c r="A850" s="2" t="s">
        <v>997</v>
      </c>
      <c r="B850" s="17">
        <v>46017</v>
      </c>
      <c r="C850" s="2" t="s">
        <v>21</v>
      </c>
      <c r="D850" s="2" t="s">
        <v>28</v>
      </c>
      <c r="E850" s="2" t="s">
        <v>149</v>
      </c>
      <c r="F850" s="2" t="s">
        <v>150</v>
      </c>
      <c r="G850" s="2" t="s">
        <v>162</v>
      </c>
      <c r="H850" s="2" t="s">
        <v>158</v>
      </c>
      <c r="I850" s="2" t="s">
        <v>153</v>
      </c>
      <c r="J850" s="17">
        <v>46021</v>
      </c>
      <c r="K850" s="17">
        <v>46029</v>
      </c>
      <c r="L850" s="17"/>
      <c r="M850" s="17"/>
      <c r="N850" s="18">
        <v>10358.31</v>
      </c>
    </row>
    <row r="851" spans="1:14" ht="15" customHeight="1" x14ac:dyDescent="0.25">
      <c r="A851" s="2" t="s">
        <v>998</v>
      </c>
      <c r="B851" s="17">
        <v>45745</v>
      </c>
      <c r="C851" s="2" t="s">
        <v>22</v>
      </c>
      <c r="D851" s="2" t="s">
        <v>25</v>
      </c>
      <c r="E851" s="2" t="s">
        <v>149</v>
      </c>
      <c r="F851" s="2" t="s">
        <v>161</v>
      </c>
      <c r="G851" s="2" t="s">
        <v>151</v>
      </c>
      <c r="H851" s="2" t="s">
        <v>152</v>
      </c>
      <c r="I851" s="2" t="s">
        <v>153</v>
      </c>
      <c r="J851" s="17">
        <v>45754</v>
      </c>
      <c r="K851" s="17"/>
      <c r="L851" s="17"/>
      <c r="M851" s="17">
        <v>45768</v>
      </c>
      <c r="N851" s="18">
        <v>2402.4499999999998</v>
      </c>
    </row>
    <row r="852" spans="1:14" ht="15" customHeight="1" x14ac:dyDescent="0.25">
      <c r="A852" s="2" t="s">
        <v>999</v>
      </c>
      <c r="B852" s="17">
        <v>45932</v>
      </c>
      <c r="C852" s="2" t="s">
        <v>18</v>
      </c>
      <c r="D852" s="2" t="s">
        <v>24</v>
      </c>
      <c r="E852" s="2" t="s">
        <v>160</v>
      </c>
      <c r="F852" s="2" t="s">
        <v>150</v>
      </c>
      <c r="G852" s="2" t="s">
        <v>201</v>
      </c>
      <c r="H852" s="2" t="s">
        <v>152</v>
      </c>
      <c r="I852" s="2" t="s">
        <v>163</v>
      </c>
      <c r="J852" s="17"/>
      <c r="K852" s="17"/>
      <c r="L852" s="17"/>
      <c r="M852" s="17">
        <v>45941</v>
      </c>
      <c r="N852" s="18">
        <v>9526.5</v>
      </c>
    </row>
    <row r="853" spans="1:14" ht="15" customHeight="1" x14ac:dyDescent="0.25">
      <c r="A853" s="2" t="s">
        <v>1000</v>
      </c>
      <c r="B853" s="17">
        <v>45875</v>
      </c>
      <c r="C853" s="2" t="s">
        <v>22</v>
      </c>
      <c r="D853" s="2" t="s">
        <v>27</v>
      </c>
      <c r="E853" s="2" t="s">
        <v>149</v>
      </c>
      <c r="F853" s="2" t="s">
        <v>156</v>
      </c>
      <c r="G853" s="2" t="s">
        <v>151</v>
      </c>
      <c r="H853" s="2" t="s">
        <v>152</v>
      </c>
      <c r="I853" s="2" t="s">
        <v>163</v>
      </c>
      <c r="J853" s="17"/>
      <c r="K853" s="17"/>
      <c r="L853" s="17"/>
      <c r="M853" s="17">
        <v>45885</v>
      </c>
      <c r="N853" s="18">
        <v>797.12</v>
      </c>
    </row>
    <row r="854" spans="1:14" ht="15" customHeight="1" x14ac:dyDescent="0.25">
      <c r="A854" s="2" t="s">
        <v>1001</v>
      </c>
      <c r="B854" s="17">
        <v>45810</v>
      </c>
      <c r="C854" s="2" t="s">
        <v>19</v>
      </c>
      <c r="D854" s="2" t="s">
        <v>26</v>
      </c>
      <c r="E854" s="2" t="s">
        <v>160</v>
      </c>
      <c r="F854" s="2" t="s">
        <v>150</v>
      </c>
      <c r="G854" s="2" t="s">
        <v>179</v>
      </c>
      <c r="H854" s="2" t="s">
        <v>2</v>
      </c>
      <c r="I854" s="2" t="s">
        <v>153</v>
      </c>
      <c r="J854" s="17">
        <v>45820</v>
      </c>
      <c r="K854" s="17">
        <v>45827</v>
      </c>
      <c r="L854" s="17">
        <v>45843</v>
      </c>
      <c r="M854" s="17"/>
      <c r="N854" s="18">
        <v>9018.4699999999993</v>
      </c>
    </row>
    <row r="855" spans="1:14" ht="15" customHeight="1" x14ac:dyDescent="0.25">
      <c r="A855" s="2" t="s">
        <v>1002</v>
      </c>
      <c r="B855" s="17">
        <v>45799</v>
      </c>
      <c r="C855" s="2" t="s">
        <v>21</v>
      </c>
      <c r="D855" s="2" t="s">
        <v>24</v>
      </c>
      <c r="E855" s="2" t="s">
        <v>149</v>
      </c>
      <c r="F855" s="2" t="s">
        <v>156</v>
      </c>
      <c r="G855" s="2" t="s">
        <v>176</v>
      </c>
      <c r="H855" s="2" t="s">
        <v>152</v>
      </c>
      <c r="I855" s="2" t="s">
        <v>153</v>
      </c>
      <c r="J855" s="17">
        <v>45805</v>
      </c>
      <c r="K855" s="17">
        <v>45811</v>
      </c>
      <c r="L855" s="17"/>
      <c r="M855" s="17">
        <v>45831</v>
      </c>
      <c r="N855" s="18">
        <v>784.59</v>
      </c>
    </row>
    <row r="856" spans="1:14" ht="15" customHeight="1" x14ac:dyDescent="0.25">
      <c r="A856" s="2" t="s">
        <v>1003</v>
      </c>
      <c r="B856" s="17">
        <v>45806</v>
      </c>
      <c r="C856" s="2" t="s">
        <v>20</v>
      </c>
      <c r="D856" s="2" t="s">
        <v>27</v>
      </c>
      <c r="E856" s="2" t="s">
        <v>149</v>
      </c>
      <c r="F856" s="2" t="s">
        <v>161</v>
      </c>
      <c r="G856" s="2" t="s">
        <v>189</v>
      </c>
      <c r="H856" s="2" t="s">
        <v>152</v>
      </c>
      <c r="I856" s="2" t="s">
        <v>153</v>
      </c>
      <c r="J856" s="17">
        <v>45814</v>
      </c>
      <c r="K856" s="17"/>
      <c r="L856" s="17"/>
      <c r="M856" s="17">
        <v>45821</v>
      </c>
      <c r="N856" s="18">
        <v>1974.36</v>
      </c>
    </row>
    <row r="857" spans="1:14" ht="15" customHeight="1" x14ac:dyDescent="0.25">
      <c r="A857" s="2" t="s">
        <v>1004</v>
      </c>
      <c r="B857" s="17">
        <v>45953</v>
      </c>
      <c r="C857" s="2" t="s">
        <v>20</v>
      </c>
      <c r="D857" s="2" t="s">
        <v>28</v>
      </c>
      <c r="E857" s="2" t="s">
        <v>186</v>
      </c>
      <c r="F857" s="2" t="s">
        <v>156</v>
      </c>
      <c r="G857" s="2" t="s">
        <v>192</v>
      </c>
      <c r="H857" s="2" t="s">
        <v>152</v>
      </c>
      <c r="I857" s="2" t="s">
        <v>153</v>
      </c>
      <c r="J857" s="17">
        <v>45955</v>
      </c>
      <c r="K857" s="17">
        <v>45968</v>
      </c>
      <c r="L857" s="17"/>
      <c r="M857" s="17">
        <v>45989</v>
      </c>
      <c r="N857" s="18">
        <v>807.91</v>
      </c>
    </row>
    <row r="858" spans="1:14" ht="15" customHeight="1" x14ac:dyDescent="0.25">
      <c r="A858" s="2" t="s">
        <v>1005</v>
      </c>
      <c r="B858" s="17">
        <v>45777</v>
      </c>
      <c r="C858" s="2" t="s">
        <v>18</v>
      </c>
      <c r="D858" s="2" t="s">
        <v>24</v>
      </c>
      <c r="E858" s="2" t="s">
        <v>186</v>
      </c>
      <c r="F858" s="2" t="s">
        <v>156</v>
      </c>
      <c r="G858" s="2" t="s">
        <v>201</v>
      </c>
      <c r="H858" s="2" t="s">
        <v>152</v>
      </c>
      <c r="I858" s="2" t="s">
        <v>153</v>
      </c>
      <c r="J858" s="17">
        <v>45786</v>
      </c>
      <c r="K858" s="17">
        <v>45793</v>
      </c>
      <c r="L858" s="17"/>
      <c r="M858" s="17">
        <v>45812</v>
      </c>
      <c r="N858" s="18">
        <v>811.29</v>
      </c>
    </row>
    <row r="859" spans="1:14" ht="15" customHeight="1" x14ac:dyDescent="0.25">
      <c r="A859" s="2" t="s">
        <v>1006</v>
      </c>
      <c r="B859" s="17">
        <v>45953</v>
      </c>
      <c r="C859" s="2" t="s">
        <v>22</v>
      </c>
      <c r="D859" s="2" t="s">
        <v>25</v>
      </c>
      <c r="E859" s="2" t="s">
        <v>186</v>
      </c>
      <c r="F859" s="2" t="s">
        <v>161</v>
      </c>
      <c r="G859" s="2" t="s">
        <v>170</v>
      </c>
      <c r="H859" s="2" t="s">
        <v>152</v>
      </c>
      <c r="I859" s="2" t="s">
        <v>153</v>
      </c>
      <c r="J859" s="17">
        <v>45963</v>
      </c>
      <c r="K859" s="17"/>
      <c r="L859" s="17"/>
      <c r="M859" s="17">
        <v>45975</v>
      </c>
      <c r="N859" s="18">
        <v>1856.53</v>
      </c>
    </row>
    <row r="860" spans="1:14" ht="15" customHeight="1" x14ac:dyDescent="0.25">
      <c r="A860" s="2" t="s">
        <v>1007</v>
      </c>
      <c r="B860" s="17">
        <v>46011</v>
      </c>
      <c r="C860" s="2" t="s">
        <v>19</v>
      </c>
      <c r="D860" s="2" t="s">
        <v>24</v>
      </c>
      <c r="E860" s="2" t="s">
        <v>149</v>
      </c>
      <c r="F860" s="2" t="s">
        <v>156</v>
      </c>
      <c r="G860" s="2" t="s">
        <v>179</v>
      </c>
      <c r="H860" s="2" t="s">
        <v>15</v>
      </c>
      <c r="I860" s="2" t="s">
        <v>153</v>
      </c>
      <c r="J860" s="17">
        <v>46019</v>
      </c>
      <c r="K860" s="17"/>
      <c r="L860" s="17"/>
      <c r="M860" s="17"/>
      <c r="N860" s="18">
        <v>754.12</v>
      </c>
    </row>
    <row r="861" spans="1:14" ht="15" customHeight="1" x14ac:dyDescent="0.25">
      <c r="A861" s="2" t="s">
        <v>1008</v>
      </c>
      <c r="B861" s="17">
        <v>45795</v>
      </c>
      <c r="C861" s="2" t="s">
        <v>19</v>
      </c>
      <c r="D861" s="2" t="s">
        <v>24</v>
      </c>
      <c r="E861" s="2" t="s">
        <v>160</v>
      </c>
      <c r="F861" s="2" t="s">
        <v>156</v>
      </c>
      <c r="G861" s="2" t="s">
        <v>210</v>
      </c>
      <c r="H861" s="2" t="s">
        <v>152</v>
      </c>
      <c r="I861" s="2" t="s">
        <v>153</v>
      </c>
      <c r="J861" s="17">
        <v>45797</v>
      </c>
      <c r="K861" s="17">
        <v>45803</v>
      </c>
      <c r="L861" s="17"/>
      <c r="M861" s="17">
        <v>45836</v>
      </c>
      <c r="N861" s="18">
        <v>546.08000000000004</v>
      </c>
    </row>
    <row r="862" spans="1:14" ht="15" customHeight="1" x14ac:dyDescent="0.25">
      <c r="A862" s="2" t="s">
        <v>1009</v>
      </c>
      <c r="B862" s="17">
        <v>45865</v>
      </c>
      <c r="C862" s="2" t="s">
        <v>20</v>
      </c>
      <c r="D862" s="2" t="s">
        <v>26</v>
      </c>
      <c r="E862" s="2" t="s">
        <v>149</v>
      </c>
      <c r="F862" s="2" t="s">
        <v>156</v>
      </c>
      <c r="G862" s="2" t="s">
        <v>192</v>
      </c>
      <c r="H862" s="2" t="s">
        <v>152</v>
      </c>
      <c r="I862" s="2" t="s">
        <v>153</v>
      </c>
      <c r="J862" s="17">
        <v>45869</v>
      </c>
      <c r="K862" s="17"/>
      <c r="L862" s="17"/>
      <c r="M862" s="17">
        <v>45894</v>
      </c>
      <c r="N862" s="18">
        <v>1060.21</v>
      </c>
    </row>
    <row r="863" spans="1:14" ht="15" customHeight="1" x14ac:dyDescent="0.25">
      <c r="A863" s="2" t="s">
        <v>1010</v>
      </c>
      <c r="B863" s="17">
        <v>45875</v>
      </c>
      <c r="C863" s="2" t="s">
        <v>21</v>
      </c>
      <c r="D863" s="2" t="s">
        <v>28</v>
      </c>
      <c r="E863" s="2" t="s">
        <v>155</v>
      </c>
      <c r="F863" s="2" t="s">
        <v>150</v>
      </c>
      <c r="G863" s="2" t="s">
        <v>176</v>
      </c>
      <c r="H863" s="2" t="s">
        <v>152</v>
      </c>
      <c r="I863" s="2" t="s">
        <v>153</v>
      </c>
      <c r="J863" s="17">
        <v>45877</v>
      </c>
      <c r="K863" s="17"/>
      <c r="L863" s="17"/>
      <c r="M863" s="17">
        <v>45893</v>
      </c>
      <c r="N863" s="18">
        <v>6240.36</v>
      </c>
    </row>
    <row r="864" spans="1:14" ht="15" customHeight="1" x14ac:dyDescent="0.25">
      <c r="A864" s="2" t="s">
        <v>1011</v>
      </c>
      <c r="B864" s="17">
        <v>45859</v>
      </c>
      <c r="C864" s="2" t="s">
        <v>22</v>
      </c>
      <c r="D864" s="2" t="s">
        <v>28</v>
      </c>
      <c r="E864" s="2" t="s">
        <v>155</v>
      </c>
      <c r="F864" s="2" t="s">
        <v>156</v>
      </c>
      <c r="G864" s="2" t="s">
        <v>165</v>
      </c>
      <c r="H864" s="2" t="s">
        <v>152</v>
      </c>
      <c r="I864" s="2" t="s">
        <v>163</v>
      </c>
      <c r="J864" s="17"/>
      <c r="K864" s="17"/>
      <c r="L864" s="17"/>
      <c r="M864" s="17">
        <v>45879</v>
      </c>
      <c r="N864" s="18">
        <v>425.57</v>
      </c>
    </row>
    <row r="865" spans="1:14" ht="15" customHeight="1" x14ac:dyDescent="0.25">
      <c r="A865" s="2" t="s">
        <v>1012</v>
      </c>
      <c r="B865" s="17">
        <v>45663</v>
      </c>
      <c r="C865" s="2" t="s">
        <v>20</v>
      </c>
      <c r="D865" s="2" t="s">
        <v>25</v>
      </c>
      <c r="E865" s="2" t="s">
        <v>160</v>
      </c>
      <c r="F865" s="2" t="s">
        <v>150</v>
      </c>
      <c r="G865" s="2" t="s">
        <v>189</v>
      </c>
      <c r="H865" s="2" t="s">
        <v>152</v>
      </c>
      <c r="I865" s="2" t="s">
        <v>153</v>
      </c>
      <c r="J865" s="17">
        <v>45665</v>
      </c>
      <c r="K865" s="17"/>
      <c r="L865" s="17"/>
      <c r="M865" s="17">
        <v>45681</v>
      </c>
      <c r="N865" s="18">
        <v>6714</v>
      </c>
    </row>
    <row r="866" spans="1:14" ht="15" customHeight="1" x14ac:dyDescent="0.25">
      <c r="A866" s="2" t="s">
        <v>1013</v>
      </c>
      <c r="B866" s="17">
        <v>45775</v>
      </c>
      <c r="C866" s="2" t="s">
        <v>22</v>
      </c>
      <c r="D866" s="2" t="s">
        <v>25</v>
      </c>
      <c r="E866" s="2" t="s">
        <v>155</v>
      </c>
      <c r="F866" s="2" t="s">
        <v>156</v>
      </c>
      <c r="G866" s="2" t="s">
        <v>170</v>
      </c>
      <c r="H866" s="2" t="s">
        <v>152</v>
      </c>
      <c r="I866" s="2" t="s">
        <v>153</v>
      </c>
      <c r="J866" s="17">
        <v>45784</v>
      </c>
      <c r="K866" s="17">
        <v>45796</v>
      </c>
      <c r="L866" s="17"/>
      <c r="M866" s="17">
        <v>45826</v>
      </c>
      <c r="N866" s="18">
        <v>513.39</v>
      </c>
    </row>
    <row r="867" spans="1:14" ht="15" customHeight="1" x14ac:dyDescent="0.25">
      <c r="A867" s="2" t="s">
        <v>1014</v>
      </c>
      <c r="B867" s="17">
        <v>45789</v>
      </c>
      <c r="C867" s="2" t="s">
        <v>20</v>
      </c>
      <c r="D867" s="2" t="s">
        <v>24</v>
      </c>
      <c r="E867" s="2" t="s">
        <v>186</v>
      </c>
      <c r="F867" s="2" t="s">
        <v>156</v>
      </c>
      <c r="G867" s="2" t="s">
        <v>189</v>
      </c>
      <c r="H867" s="2" t="s">
        <v>152</v>
      </c>
      <c r="I867" s="2" t="s">
        <v>163</v>
      </c>
      <c r="J867" s="17"/>
      <c r="K867" s="17"/>
      <c r="L867" s="17"/>
      <c r="M867" s="17">
        <v>45800</v>
      </c>
      <c r="N867" s="18">
        <v>895.49</v>
      </c>
    </row>
    <row r="868" spans="1:14" ht="15" customHeight="1" x14ac:dyDescent="0.25">
      <c r="A868" s="2" t="s">
        <v>1015</v>
      </c>
      <c r="B868" s="17">
        <v>45671</v>
      </c>
      <c r="C868" s="2" t="s">
        <v>21</v>
      </c>
      <c r="D868" s="2" t="s">
        <v>25</v>
      </c>
      <c r="E868" s="2" t="s">
        <v>149</v>
      </c>
      <c r="F868" s="2" t="s">
        <v>161</v>
      </c>
      <c r="G868" s="2" t="s">
        <v>176</v>
      </c>
      <c r="H868" s="2" t="s">
        <v>152</v>
      </c>
      <c r="I868" s="2" t="s">
        <v>153</v>
      </c>
      <c r="J868" s="17">
        <v>45681</v>
      </c>
      <c r="K868" s="17">
        <v>45696</v>
      </c>
      <c r="L868" s="17"/>
      <c r="M868" s="17">
        <v>45704</v>
      </c>
      <c r="N868" s="18">
        <v>1858.6</v>
      </c>
    </row>
    <row r="869" spans="1:14" ht="15" customHeight="1" x14ac:dyDescent="0.25">
      <c r="A869" s="2" t="s">
        <v>1016</v>
      </c>
      <c r="B869" s="17">
        <v>45741</v>
      </c>
      <c r="C869" s="2" t="s">
        <v>20</v>
      </c>
      <c r="D869" s="2" t="s">
        <v>25</v>
      </c>
      <c r="E869" s="2" t="s">
        <v>149</v>
      </c>
      <c r="F869" s="2" t="s">
        <v>156</v>
      </c>
      <c r="G869" s="2" t="s">
        <v>192</v>
      </c>
      <c r="H869" s="2" t="s">
        <v>2</v>
      </c>
      <c r="I869" s="2" t="s">
        <v>153</v>
      </c>
      <c r="J869" s="17">
        <v>45747</v>
      </c>
      <c r="K869" s="17">
        <v>45755</v>
      </c>
      <c r="L869" s="17">
        <v>45773</v>
      </c>
      <c r="M869" s="17"/>
      <c r="N869" s="18">
        <v>1082.3800000000001</v>
      </c>
    </row>
    <row r="870" spans="1:14" ht="15" customHeight="1" x14ac:dyDescent="0.25">
      <c r="A870" s="2" t="s">
        <v>1017</v>
      </c>
      <c r="B870" s="17">
        <v>45944</v>
      </c>
      <c r="C870" s="2" t="s">
        <v>18</v>
      </c>
      <c r="D870" s="2" t="s">
        <v>24</v>
      </c>
      <c r="E870" s="2" t="s">
        <v>160</v>
      </c>
      <c r="F870" s="2" t="s">
        <v>161</v>
      </c>
      <c r="G870" s="2" t="s">
        <v>201</v>
      </c>
      <c r="H870" s="2" t="s">
        <v>152</v>
      </c>
      <c r="I870" s="2" t="s">
        <v>163</v>
      </c>
      <c r="J870" s="17"/>
      <c r="K870" s="17"/>
      <c r="L870" s="17"/>
      <c r="M870" s="17">
        <v>45956</v>
      </c>
      <c r="N870" s="18">
        <v>1800.3</v>
      </c>
    </row>
    <row r="871" spans="1:14" ht="15" customHeight="1" x14ac:dyDescent="0.25">
      <c r="A871" s="2" t="s">
        <v>1018</v>
      </c>
      <c r="B871" s="17">
        <v>45716</v>
      </c>
      <c r="C871" s="2" t="s">
        <v>20</v>
      </c>
      <c r="D871" s="2" t="s">
        <v>28</v>
      </c>
      <c r="E871" s="2" t="s">
        <v>149</v>
      </c>
      <c r="F871" s="2" t="s">
        <v>156</v>
      </c>
      <c r="G871" s="2" t="s">
        <v>189</v>
      </c>
      <c r="H871" s="2" t="s">
        <v>152</v>
      </c>
      <c r="I871" s="2" t="s">
        <v>153</v>
      </c>
      <c r="J871" s="17">
        <v>45724</v>
      </c>
      <c r="K871" s="17">
        <v>45733</v>
      </c>
      <c r="L871" s="17"/>
      <c r="M871" s="17">
        <v>45748</v>
      </c>
      <c r="N871" s="18">
        <v>1092.78</v>
      </c>
    </row>
    <row r="872" spans="1:14" ht="15" customHeight="1" x14ac:dyDescent="0.25">
      <c r="A872" s="2" t="s">
        <v>1019</v>
      </c>
      <c r="B872" s="17">
        <v>45814</v>
      </c>
      <c r="C872" s="2" t="s">
        <v>22</v>
      </c>
      <c r="D872" s="2" t="s">
        <v>28</v>
      </c>
      <c r="E872" s="2" t="s">
        <v>149</v>
      </c>
      <c r="F872" s="2" t="s">
        <v>156</v>
      </c>
      <c r="G872" s="2" t="s">
        <v>170</v>
      </c>
      <c r="H872" s="2" t="s">
        <v>152</v>
      </c>
      <c r="I872" s="2" t="s">
        <v>163</v>
      </c>
      <c r="J872" s="17"/>
      <c r="K872" s="17"/>
      <c r="L872" s="17"/>
      <c r="M872" s="17">
        <v>45833</v>
      </c>
      <c r="N872" s="18">
        <v>973.04</v>
      </c>
    </row>
    <row r="873" spans="1:14" ht="15" customHeight="1" x14ac:dyDescent="0.25">
      <c r="A873" s="2" t="s">
        <v>1020</v>
      </c>
      <c r="B873" s="17">
        <v>45707</v>
      </c>
      <c r="C873" s="2" t="s">
        <v>22</v>
      </c>
      <c r="D873" s="2" t="s">
        <v>24</v>
      </c>
      <c r="E873" s="2" t="s">
        <v>160</v>
      </c>
      <c r="F873" s="2" t="s">
        <v>156</v>
      </c>
      <c r="G873" s="2" t="s">
        <v>165</v>
      </c>
      <c r="H873" s="2" t="s">
        <v>152</v>
      </c>
      <c r="I873" s="2" t="s">
        <v>163</v>
      </c>
      <c r="J873" s="17"/>
      <c r="K873" s="17"/>
      <c r="L873" s="17"/>
      <c r="M873" s="17">
        <v>45713</v>
      </c>
      <c r="N873" s="18">
        <v>704.92</v>
      </c>
    </row>
    <row r="874" spans="1:14" ht="15" customHeight="1" x14ac:dyDescent="0.25">
      <c r="A874" s="2" t="s">
        <v>1021</v>
      </c>
      <c r="B874" s="17">
        <v>45670</v>
      </c>
      <c r="C874" s="2" t="s">
        <v>20</v>
      </c>
      <c r="D874" s="2" t="s">
        <v>25</v>
      </c>
      <c r="E874" s="2" t="s">
        <v>155</v>
      </c>
      <c r="F874" s="2" t="s">
        <v>161</v>
      </c>
      <c r="G874" s="2" t="s">
        <v>189</v>
      </c>
      <c r="H874" s="2" t="s">
        <v>2</v>
      </c>
      <c r="I874" s="2" t="s">
        <v>153</v>
      </c>
      <c r="J874" s="17">
        <v>45680</v>
      </c>
      <c r="K874" s="17">
        <v>45683</v>
      </c>
      <c r="L874" s="17">
        <v>45701</v>
      </c>
      <c r="M874" s="17"/>
      <c r="N874" s="18">
        <v>2070.85</v>
      </c>
    </row>
    <row r="875" spans="1:14" ht="15" customHeight="1" x14ac:dyDescent="0.25">
      <c r="A875" s="2" t="s">
        <v>60</v>
      </c>
      <c r="B875" s="17">
        <v>45720</v>
      </c>
      <c r="C875" s="2" t="s">
        <v>20</v>
      </c>
      <c r="E875" s="2" t="s">
        <v>160</v>
      </c>
      <c r="F875" s="2" t="s">
        <v>156</v>
      </c>
      <c r="G875" s="2" t="s">
        <v>189</v>
      </c>
      <c r="H875" s="2" t="s">
        <v>152</v>
      </c>
      <c r="I875" s="2" t="s">
        <v>163</v>
      </c>
      <c r="J875" s="17"/>
      <c r="K875" s="17"/>
      <c r="L875" s="17"/>
      <c r="M875" s="17">
        <v>45731</v>
      </c>
      <c r="N875" s="18">
        <v>772.32</v>
      </c>
    </row>
    <row r="876" spans="1:14" ht="15" customHeight="1" x14ac:dyDescent="0.25">
      <c r="A876" s="2" t="s">
        <v>1022</v>
      </c>
      <c r="B876" s="17">
        <v>45723</v>
      </c>
      <c r="C876" s="2" t="s">
        <v>22</v>
      </c>
      <c r="D876" s="2" t="s">
        <v>28</v>
      </c>
      <c r="E876" s="2" t="s">
        <v>160</v>
      </c>
      <c r="F876" s="2" t="s">
        <v>161</v>
      </c>
      <c r="G876" s="2" t="s">
        <v>165</v>
      </c>
      <c r="H876" s="2" t="s">
        <v>152</v>
      </c>
      <c r="I876" s="2" t="s">
        <v>153</v>
      </c>
      <c r="J876" s="17">
        <v>45733</v>
      </c>
      <c r="K876" s="17">
        <v>45748</v>
      </c>
      <c r="L876" s="17"/>
      <c r="M876" s="17">
        <v>45777</v>
      </c>
      <c r="N876" s="18">
        <v>2456.79</v>
      </c>
    </row>
    <row r="877" spans="1:14" ht="15" customHeight="1" x14ac:dyDescent="0.25">
      <c r="A877" s="2" t="s">
        <v>1023</v>
      </c>
      <c r="B877" s="17">
        <v>45703</v>
      </c>
      <c r="C877" s="2" t="s">
        <v>22</v>
      </c>
      <c r="D877" s="2" t="s">
        <v>25</v>
      </c>
      <c r="E877" s="2" t="s">
        <v>155</v>
      </c>
      <c r="F877" s="2" t="s">
        <v>156</v>
      </c>
      <c r="G877" s="2" t="s">
        <v>170</v>
      </c>
      <c r="H877" s="2" t="s">
        <v>152</v>
      </c>
      <c r="I877" s="2" t="s">
        <v>153</v>
      </c>
      <c r="J877" s="17">
        <v>45707</v>
      </c>
      <c r="K877" s="17">
        <v>45712</v>
      </c>
      <c r="L877" s="17"/>
      <c r="M877" s="17">
        <v>45746</v>
      </c>
      <c r="N877" s="18">
        <v>401.66</v>
      </c>
    </row>
    <row r="878" spans="1:14" ht="15" customHeight="1" x14ac:dyDescent="0.25">
      <c r="A878" s="2" t="s">
        <v>1024</v>
      </c>
      <c r="B878" s="17">
        <v>46010</v>
      </c>
      <c r="C878" s="2" t="s">
        <v>19</v>
      </c>
      <c r="D878" s="2" t="s">
        <v>27</v>
      </c>
      <c r="E878" s="2" t="s">
        <v>155</v>
      </c>
      <c r="F878" s="2" t="s">
        <v>156</v>
      </c>
      <c r="G878" s="2" t="s">
        <v>207</v>
      </c>
      <c r="H878" s="2" t="s">
        <v>2</v>
      </c>
      <c r="I878" s="2" t="s">
        <v>153</v>
      </c>
      <c r="J878" s="17">
        <v>46015</v>
      </c>
      <c r="K878" s="17">
        <v>46023</v>
      </c>
      <c r="L878" s="17">
        <v>46035</v>
      </c>
      <c r="M878" s="17"/>
      <c r="N878" s="18">
        <v>616.03</v>
      </c>
    </row>
    <row r="879" spans="1:14" ht="15" customHeight="1" x14ac:dyDescent="0.25">
      <c r="A879" s="2" t="s">
        <v>1025</v>
      </c>
      <c r="B879" s="17">
        <v>46009</v>
      </c>
      <c r="C879" s="2" t="s">
        <v>18</v>
      </c>
      <c r="D879" s="2" t="s">
        <v>25</v>
      </c>
      <c r="E879" s="2" t="s">
        <v>149</v>
      </c>
      <c r="F879" s="2" t="s">
        <v>156</v>
      </c>
      <c r="G879" s="2" t="s">
        <v>251</v>
      </c>
      <c r="H879" s="2" t="s">
        <v>190</v>
      </c>
      <c r="I879" s="2" t="s">
        <v>163</v>
      </c>
      <c r="J879" s="17"/>
      <c r="K879" s="17"/>
      <c r="L879" s="17"/>
      <c r="M879" s="17"/>
      <c r="N879" s="18">
        <v>588.42999999999995</v>
      </c>
    </row>
    <row r="880" spans="1:14" ht="15" customHeight="1" x14ac:dyDescent="0.25">
      <c r="A880" s="2" t="s">
        <v>1026</v>
      </c>
      <c r="B880" s="17">
        <v>45757</v>
      </c>
      <c r="C880" s="2" t="s">
        <v>22</v>
      </c>
      <c r="D880" s="2" t="s">
        <v>28</v>
      </c>
      <c r="E880" s="2" t="s">
        <v>149</v>
      </c>
      <c r="F880" s="2" t="s">
        <v>156</v>
      </c>
      <c r="G880" s="2" t="s">
        <v>151</v>
      </c>
      <c r="H880" s="2" t="s">
        <v>152</v>
      </c>
      <c r="I880" s="2" t="s">
        <v>153</v>
      </c>
      <c r="J880" s="17">
        <v>45762</v>
      </c>
      <c r="K880" s="17">
        <v>45769</v>
      </c>
      <c r="L880" s="17"/>
      <c r="M880" s="17">
        <v>45776</v>
      </c>
      <c r="N880" s="18">
        <v>636.63</v>
      </c>
    </row>
    <row r="881" spans="1:14" ht="15" customHeight="1" x14ac:dyDescent="0.25">
      <c r="A881" s="2" t="s">
        <v>1027</v>
      </c>
      <c r="B881" s="17">
        <v>45711</v>
      </c>
      <c r="C881" s="2" t="s">
        <v>21</v>
      </c>
      <c r="D881" s="2" t="s">
        <v>25</v>
      </c>
      <c r="E881" s="2" t="s">
        <v>160</v>
      </c>
      <c r="F881" s="2" t="s">
        <v>150</v>
      </c>
      <c r="G881" s="2" t="s">
        <v>162</v>
      </c>
      <c r="H881" s="2" t="s">
        <v>152</v>
      </c>
      <c r="I881" s="2" t="s">
        <v>153</v>
      </c>
      <c r="J881" s="17">
        <v>45718</v>
      </c>
      <c r="K881" s="17"/>
      <c r="L881" s="17"/>
      <c r="M881" s="17">
        <v>45732</v>
      </c>
      <c r="N881" s="18">
        <v>6395.33</v>
      </c>
    </row>
    <row r="882" spans="1:14" ht="15" customHeight="1" x14ac:dyDescent="0.25">
      <c r="A882" s="2" t="s">
        <v>1028</v>
      </c>
      <c r="B882" s="17">
        <v>45876</v>
      </c>
      <c r="C882" s="2" t="s">
        <v>19</v>
      </c>
      <c r="D882" s="2" t="s">
        <v>27</v>
      </c>
      <c r="E882" s="2" t="s">
        <v>160</v>
      </c>
      <c r="F882" s="2" t="s">
        <v>156</v>
      </c>
      <c r="G882" s="2" t="s">
        <v>207</v>
      </c>
      <c r="H882" s="2" t="s">
        <v>152</v>
      </c>
      <c r="I882" s="2" t="s">
        <v>153</v>
      </c>
      <c r="J882" s="17">
        <v>45879</v>
      </c>
      <c r="K882" s="17">
        <v>45894</v>
      </c>
      <c r="L882" s="17"/>
      <c r="M882" s="17">
        <v>45919</v>
      </c>
      <c r="N882" s="18">
        <v>814.31</v>
      </c>
    </row>
    <row r="883" spans="1:14" ht="15" customHeight="1" x14ac:dyDescent="0.25">
      <c r="A883" s="2" t="s">
        <v>1029</v>
      </c>
      <c r="B883" s="17">
        <v>45710</v>
      </c>
      <c r="C883" s="2" t="s">
        <v>22</v>
      </c>
      <c r="D883" s="2" t="s">
        <v>26</v>
      </c>
      <c r="E883" s="2" t="s">
        <v>160</v>
      </c>
      <c r="F883" s="2" t="s">
        <v>150</v>
      </c>
      <c r="G883" s="2" t="s">
        <v>165</v>
      </c>
      <c r="H883" s="2" t="s">
        <v>2</v>
      </c>
      <c r="I883" s="2" t="s">
        <v>153</v>
      </c>
      <c r="J883" s="17">
        <v>45711</v>
      </c>
      <c r="K883" s="17">
        <v>45722</v>
      </c>
      <c r="L883" s="17">
        <v>45735</v>
      </c>
      <c r="M883" s="17"/>
      <c r="N883" s="18">
        <v>8730.02</v>
      </c>
    </row>
    <row r="884" spans="1:14" ht="15" customHeight="1" x14ac:dyDescent="0.25">
      <c r="A884" s="2" t="s">
        <v>1030</v>
      </c>
      <c r="B884" s="17">
        <v>45902</v>
      </c>
      <c r="C884" s="2" t="s">
        <v>21</v>
      </c>
      <c r="D884" s="2" t="s">
        <v>28</v>
      </c>
      <c r="E884" s="2" t="s">
        <v>149</v>
      </c>
      <c r="F884" s="2" t="s">
        <v>156</v>
      </c>
      <c r="G884" s="2" t="s">
        <v>162</v>
      </c>
      <c r="H884" s="2" t="s">
        <v>152</v>
      </c>
      <c r="I884" s="2" t="s">
        <v>153</v>
      </c>
      <c r="J884" s="17">
        <v>45905</v>
      </c>
      <c r="K884" s="17">
        <v>45913</v>
      </c>
      <c r="L884" s="17"/>
      <c r="M884" s="17">
        <v>45924</v>
      </c>
      <c r="N884" s="18">
        <v>621.94000000000005</v>
      </c>
    </row>
    <row r="885" spans="1:14" ht="15" customHeight="1" x14ac:dyDescent="0.25">
      <c r="A885" s="2" t="s">
        <v>1031</v>
      </c>
      <c r="B885" s="17">
        <v>45859</v>
      </c>
      <c r="C885" s="2" t="s">
        <v>21</v>
      </c>
      <c r="D885" s="2" t="s">
        <v>24</v>
      </c>
      <c r="E885" s="2" t="s">
        <v>186</v>
      </c>
      <c r="F885" s="2" t="s">
        <v>161</v>
      </c>
      <c r="G885" s="2" t="s">
        <v>183</v>
      </c>
      <c r="H885" s="2" t="s">
        <v>152</v>
      </c>
      <c r="I885" s="2" t="s">
        <v>153</v>
      </c>
      <c r="J885" s="17">
        <v>45860</v>
      </c>
      <c r="K885" s="17"/>
      <c r="L885" s="17"/>
      <c r="M885" s="17">
        <v>45878</v>
      </c>
      <c r="N885" s="18">
        <v>1740.43</v>
      </c>
    </row>
    <row r="886" spans="1:14" ht="15" customHeight="1" x14ac:dyDescent="0.25">
      <c r="A886" s="2" t="s">
        <v>1032</v>
      </c>
      <c r="B886" s="17">
        <v>45849</v>
      </c>
      <c r="C886" s="2" t="s">
        <v>19</v>
      </c>
      <c r="D886" s="2" t="s">
        <v>24</v>
      </c>
      <c r="E886" s="2" t="s">
        <v>155</v>
      </c>
      <c r="F886" s="2" t="s">
        <v>161</v>
      </c>
      <c r="G886" s="2" t="s">
        <v>210</v>
      </c>
      <c r="H886" s="2" t="s">
        <v>152</v>
      </c>
      <c r="I886" s="2" t="s">
        <v>153</v>
      </c>
      <c r="J886" s="17">
        <v>45859</v>
      </c>
      <c r="K886" s="17"/>
      <c r="L886" s="17"/>
      <c r="M886" s="17">
        <v>45881</v>
      </c>
      <c r="N886" s="18">
        <v>1714.59</v>
      </c>
    </row>
    <row r="887" spans="1:14" ht="15" customHeight="1" x14ac:dyDescent="0.25">
      <c r="A887" s="2" t="s">
        <v>1033</v>
      </c>
      <c r="B887" s="17">
        <v>45777</v>
      </c>
      <c r="C887" s="2" t="s">
        <v>20</v>
      </c>
      <c r="D887" s="2" t="s">
        <v>24</v>
      </c>
      <c r="E887" s="2" t="s">
        <v>149</v>
      </c>
      <c r="F887" s="2" t="s">
        <v>156</v>
      </c>
      <c r="G887" s="2" t="s">
        <v>189</v>
      </c>
      <c r="H887" s="2" t="s">
        <v>152</v>
      </c>
      <c r="I887" s="2" t="s">
        <v>163</v>
      </c>
      <c r="J887" s="17"/>
      <c r="K887" s="17"/>
      <c r="L887" s="17"/>
      <c r="M887" s="17">
        <v>45797</v>
      </c>
      <c r="N887" s="18">
        <v>869.74</v>
      </c>
    </row>
    <row r="888" spans="1:14" ht="15" customHeight="1" x14ac:dyDescent="0.25">
      <c r="A888" s="2" t="s">
        <v>1034</v>
      </c>
      <c r="B888" s="17">
        <v>45680</v>
      </c>
      <c r="C888" s="2" t="s">
        <v>22</v>
      </c>
      <c r="D888" s="2" t="s">
        <v>25</v>
      </c>
      <c r="E888" s="2" t="s">
        <v>149</v>
      </c>
      <c r="F888" s="2" t="s">
        <v>150</v>
      </c>
      <c r="G888" s="2" t="s">
        <v>170</v>
      </c>
      <c r="H888" s="2" t="s">
        <v>152</v>
      </c>
      <c r="I888" s="2" t="s">
        <v>153</v>
      </c>
      <c r="J888" s="17">
        <v>45687</v>
      </c>
      <c r="K888" s="17"/>
      <c r="L888" s="17"/>
      <c r="M888" s="17">
        <v>45711</v>
      </c>
      <c r="N888" s="18">
        <v>8779.9500000000007</v>
      </c>
    </row>
    <row r="889" spans="1:14" ht="15" customHeight="1" x14ac:dyDescent="0.25">
      <c r="A889" s="2" t="s">
        <v>1035</v>
      </c>
      <c r="B889" s="17">
        <v>45732</v>
      </c>
      <c r="C889" s="2" t="s">
        <v>19</v>
      </c>
      <c r="D889" s="2" t="s">
        <v>27</v>
      </c>
      <c r="E889" s="2" t="s">
        <v>186</v>
      </c>
      <c r="F889" s="2" t="s">
        <v>150</v>
      </c>
      <c r="G889" s="2" t="s">
        <v>207</v>
      </c>
      <c r="H889" s="2" t="s">
        <v>152</v>
      </c>
      <c r="I889" s="2" t="s">
        <v>163</v>
      </c>
      <c r="J889" s="17"/>
      <c r="K889" s="17"/>
      <c r="L889" s="17"/>
      <c r="M889" s="17">
        <v>45752</v>
      </c>
      <c r="N889" s="18">
        <v>7244.06</v>
      </c>
    </row>
    <row r="890" spans="1:14" ht="15" customHeight="1" x14ac:dyDescent="0.25">
      <c r="A890" s="2" t="s">
        <v>1036</v>
      </c>
      <c r="B890" s="17">
        <v>45724</v>
      </c>
      <c r="C890" s="2" t="s">
        <v>21</v>
      </c>
      <c r="D890" s="2" t="s">
        <v>28</v>
      </c>
      <c r="E890" s="2" t="s">
        <v>186</v>
      </c>
      <c r="F890" s="2" t="s">
        <v>156</v>
      </c>
      <c r="G890" s="2" t="s">
        <v>176</v>
      </c>
      <c r="H890" s="2" t="s">
        <v>152</v>
      </c>
      <c r="I890" s="2" t="s">
        <v>153</v>
      </c>
      <c r="J890" s="17">
        <v>45728</v>
      </c>
      <c r="K890" s="17"/>
      <c r="L890" s="17"/>
      <c r="M890" s="17">
        <v>45746</v>
      </c>
      <c r="N890" s="18">
        <v>515.35</v>
      </c>
    </row>
    <row r="891" spans="1:14" ht="15" customHeight="1" x14ac:dyDescent="0.25">
      <c r="A891" s="2" t="s">
        <v>74</v>
      </c>
      <c r="B891" s="17">
        <v>45933</v>
      </c>
      <c r="C891" s="2" t="s">
        <v>22</v>
      </c>
      <c r="D891" s="2" t="s">
        <v>24</v>
      </c>
      <c r="E891" s="2" t="s">
        <v>149</v>
      </c>
      <c r="F891" s="2" t="s">
        <v>156</v>
      </c>
      <c r="G891" s="2" t="s">
        <v>170</v>
      </c>
      <c r="H891" s="2" t="s">
        <v>152</v>
      </c>
      <c r="I891" s="2" t="s">
        <v>153</v>
      </c>
      <c r="J891" s="17">
        <v>45939</v>
      </c>
      <c r="K891" s="17">
        <v>45942</v>
      </c>
      <c r="L891" s="17"/>
      <c r="M891" s="17">
        <v>45958</v>
      </c>
      <c r="N891" s="18" t="s">
        <v>2970</v>
      </c>
    </row>
    <row r="892" spans="1:14" ht="15" customHeight="1" x14ac:dyDescent="0.25">
      <c r="A892" s="2" t="s">
        <v>1037</v>
      </c>
      <c r="B892" s="17">
        <v>45803</v>
      </c>
      <c r="C892" s="2" t="s">
        <v>20</v>
      </c>
      <c r="D892" s="2" t="s">
        <v>26</v>
      </c>
      <c r="E892" s="2" t="s">
        <v>186</v>
      </c>
      <c r="F892" s="2" t="s">
        <v>161</v>
      </c>
      <c r="G892" s="2" t="s">
        <v>167</v>
      </c>
      <c r="H892" s="2" t="s">
        <v>152</v>
      </c>
      <c r="I892" s="2" t="s">
        <v>163</v>
      </c>
      <c r="J892" s="17"/>
      <c r="K892" s="17"/>
      <c r="L892" s="17"/>
      <c r="M892" s="17">
        <v>45818</v>
      </c>
      <c r="N892" s="18">
        <v>2612.9499999999998</v>
      </c>
    </row>
    <row r="893" spans="1:14" ht="15" customHeight="1" x14ac:dyDescent="0.25">
      <c r="A893" s="2" t="s">
        <v>1038</v>
      </c>
      <c r="B893" s="17">
        <v>45836</v>
      </c>
      <c r="C893" s="2" t="s">
        <v>20</v>
      </c>
      <c r="D893" s="2" t="s">
        <v>26</v>
      </c>
      <c r="E893" s="2" t="s">
        <v>155</v>
      </c>
      <c r="F893" s="2" t="s">
        <v>156</v>
      </c>
      <c r="G893" s="2" t="s">
        <v>192</v>
      </c>
      <c r="H893" s="2" t="s">
        <v>152</v>
      </c>
      <c r="I893" s="2" t="s">
        <v>153</v>
      </c>
      <c r="J893" s="17">
        <v>45838</v>
      </c>
      <c r="K893" s="17"/>
      <c r="L893" s="17"/>
      <c r="M893" s="17">
        <v>45851</v>
      </c>
      <c r="N893" s="18">
        <v>658.28</v>
      </c>
    </row>
    <row r="894" spans="1:14" ht="15" customHeight="1" x14ac:dyDescent="0.25">
      <c r="A894" s="2" t="s">
        <v>1039</v>
      </c>
      <c r="B894" s="17">
        <v>45751</v>
      </c>
      <c r="C894" s="2" t="s">
        <v>20</v>
      </c>
      <c r="D894" s="2" t="s">
        <v>27</v>
      </c>
      <c r="E894" s="2" t="s">
        <v>160</v>
      </c>
      <c r="F894" s="2" t="s">
        <v>156</v>
      </c>
      <c r="G894" s="2" t="s">
        <v>167</v>
      </c>
      <c r="H894" s="2" t="s">
        <v>152</v>
      </c>
      <c r="I894" s="2" t="s">
        <v>153</v>
      </c>
      <c r="J894" s="17">
        <v>45760</v>
      </c>
      <c r="K894" s="17">
        <v>45774</v>
      </c>
      <c r="L894" s="17"/>
      <c r="M894" s="17">
        <v>45797</v>
      </c>
      <c r="N894" s="18">
        <v>871.27</v>
      </c>
    </row>
    <row r="895" spans="1:14" ht="15" customHeight="1" x14ac:dyDescent="0.25">
      <c r="A895" s="2" t="s">
        <v>1040</v>
      </c>
      <c r="B895" s="17">
        <v>45930</v>
      </c>
      <c r="C895" s="2" t="s">
        <v>21</v>
      </c>
      <c r="D895" s="2" t="s">
        <v>26</v>
      </c>
      <c r="E895" s="2" t="s">
        <v>160</v>
      </c>
      <c r="F895" s="2" t="s">
        <v>156</v>
      </c>
      <c r="G895" s="2" t="s">
        <v>176</v>
      </c>
      <c r="H895" s="2" t="s">
        <v>152</v>
      </c>
      <c r="I895" s="2" t="s">
        <v>153</v>
      </c>
      <c r="J895" s="17">
        <v>45940</v>
      </c>
      <c r="K895" s="17">
        <v>45953</v>
      </c>
      <c r="L895" s="17"/>
      <c r="M895" s="17">
        <v>45959</v>
      </c>
      <c r="N895" s="18">
        <v>990.36</v>
      </c>
    </row>
    <row r="896" spans="1:14" ht="15" customHeight="1" x14ac:dyDescent="0.25">
      <c r="A896" s="2" t="s">
        <v>1041</v>
      </c>
      <c r="B896" s="17">
        <v>45920</v>
      </c>
      <c r="C896" s="2" t="s">
        <v>22</v>
      </c>
      <c r="D896" s="2" t="s">
        <v>25</v>
      </c>
      <c r="E896" s="2" t="s">
        <v>149</v>
      </c>
      <c r="F896" s="2" t="s">
        <v>156</v>
      </c>
      <c r="G896" s="2" t="s">
        <v>170</v>
      </c>
      <c r="H896" s="2" t="s">
        <v>2</v>
      </c>
      <c r="I896" s="2" t="s">
        <v>153</v>
      </c>
      <c r="J896" s="17">
        <v>45929</v>
      </c>
      <c r="K896" s="17">
        <v>45944</v>
      </c>
      <c r="L896" s="17">
        <v>45971</v>
      </c>
      <c r="M896" s="17"/>
      <c r="N896" s="18">
        <v>657.03</v>
      </c>
    </row>
    <row r="897" spans="1:14" ht="15" customHeight="1" x14ac:dyDescent="0.25">
      <c r="A897" s="2" t="s">
        <v>1042</v>
      </c>
      <c r="B897" s="17">
        <v>45918</v>
      </c>
      <c r="C897" s="2" t="s">
        <v>22</v>
      </c>
      <c r="D897" s="2" t="s">
        <v>25</v>
      </c>
      <c r="E897" s="2" t="s">
        <v>186</v>
      </c>
      <c r="F897" s="2" t="s">
        <v>156</v>
      </c>
      <c r="G897" s="2" t="s">
        <v>151</v>
      </c>
      <c r="H897" s="2" t="s">
        <v>152</v>
      </c>
      <c r="I897" s="2" t="s">
        <v>153</v>
      </c>
      <c r="J897" s="17">
        <v>45919</v>
      </c>
      <c r="K897" s="17">
        <v>45933</v>
      </c>
      <c r="L897" s="17"/>
      <c r="M897" s="17">
        <v>45948</v>
      </c>
      <c r="N897" s="18">
        <v>713.84</v>
      </c>
    </row>
    <row r="898" spans="1:14" ht="15" customHeight="1" x14ac:dyDescent="0.25">
      <c r="A898" s="2" t="s">
        <v>1043</v>
      </c>
      <c r="B898" s="17">
        <v>45798</v>
      </c>
      <c r="C898" s="2" t="s">
        <v>20</v>
      </c>
      <c r="D898" s="2" t="s">
        <v>25</v>
      </c>
      <c r="E898" s="2" t="s">
        <v>149</v>
      </c>
      <c r="F898" s="2" t="s">
        <v>156</v>
      </c>
      <c r="G898" s="2" t="s">
        <v>167</v>
      </c>
      <c r="H898" s="2" t="s">
        <v>152</v>
      </c>
      <c r="I898" s="2" t="s">
        <v>163</v>
      </c>
      <c r="J898" s="17"/>
      <c r="K898" s="17"/>
      <c r="L898" s="17"/>
      <c r="M898" s="17">
        <v>45808</v>
      </c>
      <c r="N898" s="18">
        <v>831.47</v>
      </c>
    </row>
    <row r="899" spans="1:14" ht="15" customHeight="1" x14ac:dyDescent="0.25">
      <c r="A899" s="2" t="s">
        <v>1044</v>
      </c>
      <c r="B899" s="17">
        <v>45971</v>
      </c>
      <c r="C899" s="2" t="s">
        <v>19</v>
      </c>
      <c r="D899" s="2" t="s">
        <v>25</v>
      </c>
      <c r="E899" s="2" t="s">
        <v>155</v>
      </c>
      <c r="F899" s="2" t="s">
        <v>156</v>
      </c>
      <c r="G899" s="2" t="s">
        <v>179</v>
      </c>
      <c r="H899" s="2" t="s">
        <v>2</v>
      </c>
      <c r="I899" s="2" t="s">
        <v>153</v>
      </c>
      <c r="J899" s="17">
        <v>45977</v>
      </c>
      <c r="K899" s="17">
        <v>45987</v>
      </c>
      <c r="L899" s="17">
        <v>46017</v>
      </c>
      <c r="M899" s="17"/>
      <c r="N899" s="18">
        <v>400.96</v>
      </c>
    </row>
    <row r="900" spans="1:14" ht="15" customHeight="1" x14ac:dyDescent="0.25">
      <c r="A900" s="2" t="s">
        <v>1045</v>
      </c>
      <c r="B900" s="17">
        <v>45913</v>
      </c>
      <c r="C900" s="2" t="s">
        <v>22</v>
      </c>
      <c r="D900" s="2" t="s">
        <v>24</v>
      </c>
      <c r="E900" s="2" t="s">
        <v>160</v>
      </c>
      <c r="F900" s="2" t="s">
        <v>156</v>
      </c>
      <c r="G900" s="2" t="s">
        <v>165</v>
      </c>
      <c r="H900" s="2" t="s">
        <v>2</v>
      </c>
      <c r="I900" s="2" t="s">
        <v>153</v>
      </c>
      <c r="J900" s="17">
        <v>45915</v>
      </c>
      <c r="K900" s="17">
        <v>45916</v>
      </c>
      <c r="L900" s="17">
        <v>45921</v>
      </c>
      <c r="M900" s="17"/>
      <c r="N900" s="18">
        <v>1007.58</v>
      </c>
    </row>
    <row r="901" spans="1:14" ht="15" customHeight="1" x14ac:dyDescent="0.25">
      <c r="A901" s="2" t="s">
        <v>1046</v>
      </c>
      <c r="B901" s="17">
        <v>45692</v>
      </c>
      <c r="C901" s="2" t="s">
        <v>21</v>
      </c>
      <c r="D901" s="2" t="s">
        <v>25</v>
      </c>
      <c r="E901" s="2" t="s">
        <v>186</v>
      </c>
      <c r="F901" s="2" t="s">
        <v>156</v>
      </c>
      <c r="G901" s="2" t="s">
        <v>162</v>
      </c>
      <c r="H901" s="2" t="s">
        <v>152</v>
      </c>
      <c r="I901" s="2" t="s">
        <v>153</v>
      </c>
      <c r="J901" s="17">
        <v>45693</v>
      </c>
      <c r="K901" s="17"/>
      <c r="L901" s="17"/>
      <c r="M901" s="17">
        <v>45711</v>
      </c>
      <c r="N901" s="18">
        <v>712.16</v>
      </c>
    </row>
    <row r="902" spans="1:14" ht="15" customHeight="1" x14ac:dyDescent="0.25">
      <c r="A902" s="2" t="s">
        <v>1047</v>
      </c>
      <c r="B902" s="17">
        <v>45756</v>
      </c>
      <c r="C902" s="2" t="s">
        <v>22</v>
      </c>
      <c r="D902" s="2" t="s">
        <v>28</v>
      </c>
      <c r="E902" s="2" t="s">
        <v>149</v>
      </c>
      <c r="F902" s="2" t="s">
        <v>161</v>
      </c>
      <c r="G902" s="2" t="s">
        <v>165</v>
      </c>
      <c r="H902" s="2" t="s">
        <v>2</v>
      </c>
      <c r="I902" s="2" t="s">
        <v>153</v>
      </c>
      <c r="J902" s="17">
        <v>45757</v>
      </c>
      <c r="K902" s="17">
        <v>45764</v>
      </c>
      <c r="L902" s="17">
        <v>45771</v>
      </c>
      <c r="M902" s="17"/>
      <c r="N902" s="18">
        <v>2369.08</v>
      </c>
    </row>
    <row r="903" spans="1:14" ht="15" customHeight="1" x14ac:dyDescent="0.25">
      <c r="A903" s="2" t="s">
        <v>1048</v>
      </c>
      <c r="B903" s="17">
        <v>45993</v>
      </c>
      <c r="C903" s="2" t="s">
        <v>18</v>
      </c>
      <c r="D903" s="2" t="s">
        <v>27</v>
      </c>
      <c r="E903" s="2" t="s">
        <v>186</v>
      </c>
      <c r="F903" s="2" t="s">
        <v>156</v>
      </c>
      <c r="G903" s="2" t="s">
        <v>201</v>
      </c>
      <c r="H903" s="2" t="s">
        <v>2</v>
      </c>
      <c r="I903" s="2" t="s">
        <v>153</v>
      </c>
      <c r="J903" s="17">
        <v>45997</v>
      </c>
      <c r="K903" s="17">
        <v>46011</v>
      </c>
      <c r="L903" s="17">
        <v>46021</v>
      </c>
      <c r="M903" s="17"/>
      <c r="N903" s="18">
        <v>709.55</v>
      </c>
    </row>
    <row r="904" spans="1:14" ht="15" customHeight="1" x14ac:dyDescent="0.25">
      <c r="A904" s="2" t="s">
        <v>1049</v>
      </c>
      <c r="B904" s="17">
        <v>45846</v>
      </c>
      <c r="C904" s="2" t="s">
        <v>21</v>
      </c>
      <c r="D904" s="2" t="s">
        <v>25</v>
      </c>
      <c r="E904" s="2" t="s">
        <v>186</v>
      </c>
      <c r="F904" s="2" t="s">
        <v>156</v>
      </c>
      <c r="G904" s="2" t="s">
        <v>176</v>
      </c>
      <c r="H904" s="2" t="s">
        <v>2</v>
      </c>
      <c r="I904" s="2" t="s">
        <v>153</v>
      </c>
      <c r="J904" s="17">
        <v>45850</v>
      </c>
      <c r="K904" s="17">
        <v>45864</v>
      </c>
      <c r="L904" s="17">
        <v>45877</v>
      </c>
      <c r="M904" s="17"/>
      <c r="N904" s="18">
        <v>656.84</v>
      </c>
    </row>
    <row r="905" spans="1:14" ht="15" customHeight="1" x14ac:dyDescent="0.25">
      <c r="A905" s="2" t="s">
        <v>1050</v>
      </c>
      <c r="B905" s="17">
        <v>45949</v>
      </c>
      <c r="C905" s="2" t="s">
        <v>18</v>
      </c>
      <c r="D905" s="2" t="s">
        <v>26</v>
      </c>
      <c r="E905" s="2" t="s">
        <v>149</v>
      </c>
      <c r="F905" s="2" t="s">
        <v>161</v>
      </c>
      <c r="G905" s="2" t="s">
        <v>201</v>
      </c>
      <c r="H905" s="2" t="s">
        <v>152</v>
      </c>
      <c r="I905" s="2" t="s">
        <v>153</v>
      </c>
      <c r="J905" s="17">
        <v>45958</v>
      </c>
      <c r="K905" s="17">
        <v>45973</v>
      </c>
      <c r="L905" s="17"/>
      <c r="M905" s="17">
        <v>45996</v>
      </c>
      <c r="N905" s="18">
        <v>2366.86</v>
      </c>
    </row>
    <row r="906" spans="1:14" ht="15" customHeight="1" x14ac:dyDescent="0.25">
      <c r="A906" s="2" t="s">
        <v>1051</v>
      </c>
      <c r="B906" s="17">
        <v>46020</v>
      </c>
      <c r="C906" s="2" t="s">
        <v>20</v>
      </c>
      <c r="D906" s="2" t="s">
        <v>26</v>
      </c>
      <c r="E906" s="2" t="s">
        <v>149</v>
      </c>
      <c r="F906" s="2" t="s">
        <v>161</v>
      </c>
      <c r="G906" s="2" t="s">
        <v>189</v>
      </c>
      <c r="H906" s="2" t="s">
        <v>158</v>
      </c>
      <c r="I906" s="2" t="s">
        <v>153</v>
      </c>
      <c r="J906" s="17">
        <v>46022</v>
      </c>
      <c r="K906" s="17">
        <v>46036</v>
      </c>
      <c r="L906" s="17"/>
      <c r="M906" s="17"/>
      <c r="N906" s="18">
        <v>2331.19</v>
      </c>
    </row>
    <row r="907" spans="1:14" ht="15" customHeight="1" x14ac:dyDescent="0.25">
      <c r="A907" s="2" t="s">
        <v>1052</v>
      </c>
      <c r="B907" s="17">
        <v>45736</v>
      </c>
      <c r="C907" s="2" t="s">
        <v>2963</v>
      </c>
      <c r="D907" s="2" t="s">
        <v>25</v>
      </c>
      <c r="E907" s="2" t="s">
        <v>186</v>
      </c>
      <c r="F907" s="2" t="s">
        <v>161</v>
      </c>
      <c r="G907" s="2" t="s">
        <v>192</v>
      </c>
      <c r="H907" s="2" t="s">
        <v>152</v>
      </c>
      <c r="I907" s="2" t="s">
        <v>163</v>
      </c>
      <c r="J907" s="17"/>
      <c r="K907" s="17"/>
      <c r="L907" s="17"/>
      <c r="M907" s="17">
        <v>45751</v>
      </c>
      <c r="N907" s="18">
        <v>2156.79</v>
      </c>
    </row>
    <row r="908" spans="1:14" ht="15" customHeight="1" x14ac:dyDescent="0.25">
      <c r="A908" s="2" t="s">
        <v>1053</v>
      </c>
      <c r="B908" s="17">
        <v>45755</v>
      </c>
      <c r="C908" s="2" t="s">
        <v>20</v>
      </c>
      <c r="D908" s="2" t="s">
        <v>28</v>
      </c>
      <c r="E908" s="2" t="s">
        <v>186</v>
      </c>
      <c r="F908" s="2" t="s">
        <v>156</v>
      </c>
      <c r="G908" s="2" t="s">
        <v>192</v>
      </c>
      <c r="H908" s="2" t="s">
        <v>2</v>
      </c>
      <c r="I908" s="2" t="s">
        <v>153</v>
      </c>
      <c r="J908" s="17">
        <v>45763</v>
      </c>
      <c r="K908" s="17">
        <v>45777</v>
      </c>
      <c r="L908" s="17">
        <v>45781</v>
      </c>
      <c r="M908" s="17"/>
      <c r="N908" s="18">
        <v>813.27</v>
      </c>
    </row>
    <row r="909" spans="1:14" ht="15" customHeight="1" x14ac:dyDescent="0.25">
      <c r="A909" s="2" t="s">
        <v>1054</v>
      </c>
      <c r="B909" s="17">
        <v>45772</v>
      </c>
      <c r="C909" s="2" t="s">
        <v>22</v>
      </c>
      <c r="D909" s="2" t="s">
        <v>28</v>
      </c>
      <c r="E909" s="2" t="s">
        <v>186</v>
      </c>
      <c r="F909" s="2" t="s">
        <v>156</v>
      </c>
      <c r="G909" s="2" t="s">
        <v>151</v>
      </c>
      <c r="H909" s="2" t="s">
        <v>152</v>
      </c>
      <c r="I909" s="2" t="s">
        <v>153</v>
      </c>
      <c r="J909" s="17">
        <v>45779</v>
      </c>
      <c r="K909" s="17"/>
      <c r="L909" s="17"/>
      <c r="M909" s="17">
        <v>45789</v>
      </c>
      <c r="N909" s="18">
        <v>693.51</v>
      </c>
    </row>
    <row r="910" spans="1:14" ht="15" customHeight="1" x14ac:dyDescent="0.25">
      <c r="A910" s="2" t="s">
        <v>1055</v>
      </c>
      <c r="B910" s="17">
        <v>45732</v>
      </c>
      <c r="C910" s="2" t="s">
        <v>19</v>
      </c>
      <c r="D910" s="2" t="s">
        <v>25</v>
      </c>
      <c r="E910" s="2" t="s">
        <v>160</v>
      </c>
      <c r="F910" s="2" t="s">
        <v>161</v>
      </c>
      <c r="G910" s="2" t="s">
        <v>179</v>
      </c>
      <c r="H910" s="2" t="s">
        <v>152</v>
      </c>
      <c r="I910" s="2" t="s">
        <v>153</v>
      </c>
      <c r="J910" s="17">
        <v>45739</v>
      </c>
      <c r="K910" s="17">
        <v>45744</v>
      </c>
      <c r="L910" s="17"/>
      <c r="M910" s="17">
        <v>45755</v>
      </c>
      <c r="N910" s="18">
        <v>2633.42</v>
      </c>
    </row>
    <row r="911" spans="1:14" ht="15" customHeight="1" x14ac:dyDescent="0.25">
      <c r="A911" s="2" t="s">
        <v>1056</v>
      </c>
      <c r="B911" s="17">
        <v>46002</v>
      </c>
      <c r="C911" s="2" t="s">
        <v>18</v>
      </c>
      <c r="D911" s="2" t="s">
        <v>25</v>
      </c>
      <c r="E911" s="2" t="s">
        <v>149</v>
      </c>
      <c r="F911" s="2" t="s">
        <v>161</v>
      </c>
      <c r="G911" s="2" t="s">
        <v>157</v>
      </c>
      <c r="H911" s="2" t="s">
        <v>2</v>
      </c>
      <c r="I911" s="2" t="s">
        <v>153</v>
      </c>
      <c r="J911" s="17">
        <v>46006</v>
      </c>
      <c r="K911" s="17">
        <v>46015</v>
      </c>
      <c r="L911" s="17">
        <v>46027</v>
      </c>
      <c r="M911" s="17"/>
      <c r="N911" s="18">
        <v>2585.65</v>
      </c>
    </row>
    <row r="912" spans="1:14" ht="15" customHeight="1" x14ac:dyDescent="0.25">
      <c r="A912" s="2" t="s">
        <v>1057</v>
      </c>
      <c r="B912" s="17">
        <v>45767</v>
      </c>
      <c r="C912" s="2" t="s">
        <v>20</v>
      </c>
      <c r="D912" s="2" t="s">
        <v>28</v>
      </c>
      <c r="E912" s="2" t="s">
        <v>186</v>
      </c>
      <c r="F912" s="2" t="s">
        <v>156</v>
      </c>
      <c r="G912" s="2" t="s">
        <v>167</v>
      </c>
      <c r="H912" s="2" t="s">
        <v>152</v>
      </c>
      <c r="I912" s="2" t="s">
        <v>153</v>
      </c>
      <c r="J912" s="17">
        <v>45770</v>
      </c>
      <c r="K912" s="17"/>
      <c r="L912" s="17"/>
      <c r="M912" s="17">
        <v>45779</v>
      </c>
      <c r="N912" s="18">
        <v>710.22</v>
      </c>
    </row>
    <row r="913" spans="1:14" ht="15" customHeight="1" x14ac:dyDescent="0.25">
      <c r="A913" s="2" t="s">
        <v>1058</v>
      </c>
      <c r="B913" s="17">
        <v>45784</v>
      </c>
      <c r="C913" s="2" t="s">
        <v>22</v>
      </c>
      <c r="D913" s="2" t="s">
        <v>27</v>
      </c>
      <c r="E913" s="2" t="s">
        <v>186</v>
      </c>
      <c r="F913" s="2" t="s">
        <v>150</v>
      </c>
      <c r="G913" s="2" t="s">
        <v>151</v>
      </c>
      <c r="H913" s="2" t="s">
        <v>152</v>
      </c>
      <c r="I913" s="2" t="s">
        <v>153</v>
      </c>
      <c r="J913" s="17">
        <v>45790</v>
      </c>
      <c r="K913" s="17"/>
      <c r="L913" s="17"/>
      <c r="M913" s="17">
        <v>45807</v>
      </c>
      <c r="N913" s="18">
        <v>6950.54</v>
      </c>
    </row>
    <row r="914" spans="1:14" ht="15" customHeight="1" x14ac:dyDescent="0.25">
      <c r="A914" s="2" t="s">
        <v>1059</v>
      </c>
      <c r="B914" s="17">
        <v>45818</v>
      </c>
      <c r="C914" s="2" t="s">
        <v>21</v>
      </c>
      <c r="D914" s="2" t="s">
        <v>25</v>
      </c>
      <c r="E914" s="2" t="s">
        <v>149</v>
      </c>
      <c r="F914" s="2" t="s">
        <v>161</v>
      </c>
      <c r="G914" s="2" t="s">
        <v>176</v>
      </c>
      <c r="H914" s="2" t="s">
        <v>2</v>
      </c>
      <c r="I914" s="2" t="s">
        <v>153</v>
      </c>
      <c r="J914" s="17">
        <v>45819</v>
      </c>
      <c r="K914" s="17">
        <v>45824</v>
      </c>
      <c r="L914" s="17">
        <v>45838</v>
      </c>
      <c r="M914" s="17"/>
      <c r="N914" s="18">
        <v>3011.2</v>
      </c>
    </row>
    <row r="915" spans="1:14" ht="15" customHeight="1" x14ac:dyDescent="0.25">
      <c r="A915" s="2" t="s">
        <v>1060</v>
      </c>
      <c r="B915" s="17">
        <v>45782</v>
      </c>
      <c r="C915" s="2" t="s">
        <v>22</v>
      </c>
      <c r="D915" s="2" t="s">
        <v>24</v>
      </c>
      <c r="E915" s="2" t="s">
        <v>149</v>
      </c>
      <c r="F915" s="2" t="s">
        <v>156</v>
      </c>
      <c r="G915" s="2" t="s">
        <v>170</v>
      </c>
      <c r="H915" s="2" t="s">
        <v>152</v>
      </c>
      <c r="I915" s="2" t="s">
        <v>163</v>
      </c>
      <c r="J915" s="17"/>
      <c r="K915" s="17"/>
      <c r="L915" s="17"/>
      <c r="M915" s="17">
        <v>45787</v>
      </c>
      <c r="N915" s="18">
        <v>1089.0899999999999</v>
      </c>
    </row>
    <row r="916" spans="1:14" ht="15" customHeight="1" x14ac:dyDescent="0.25">
      <c r="A916" s="2" t="s">
        <v>1061</v>
      </c>
      <c r="B916" s="17">
        <v>45699</v>
      </c>
      <c r="C916" s="2" t="s">
        <v>22</v>
      </c>
      <c r="D916" s="2" t="s">
        <v>25</v>
      </c>
      <c r="E916" s="2" t="s">
        <v>160</v>
      </c>
      <c r="F916" s="2" t="s">
        <v>156</v>
      </c>
      <c r="G916" s="2" t="s">
        <v>151</v>
      </c>
      <c r="H916" s="2" t="s">
        <v>152</v>
      </c>
      <c r="I916" s="2" t="s">
        <v>153</v>
      </c>
      <c r="J916" s="17">
        <v>45702</v>
      </c>
      <c r="K916" s="17"/>
      <c r="L916" s="17"/>
      <c r="M916" s="17">
        <v>45727</v>
      </c>
      <c r="N916" s="18">
        <v>950.41</v>
      </c>
    </row>
    <row r="917" spans="1:14" ht="15" customHeight="1" x14ac:dyDescent="0.25">
      <c r="A917" s="2" t="s">
        <v>1062</v>
      </c>
      <c r="B917" s="17">
        <v>45775</v>
      </c>
      <c r="C917" s="2" t="s">
        <v>21</v>
      </c>
      <c r="D917" s="2" t="s">
        <v>27</v>
      </c>
      <c r="E917" s="2" t="s">
        <v>186</v>
      </c>
      <c r="F917" s="2" t="s">
        <v>161</v>
      </c>
      <c r="G917" s="2" t="s">
        <v>176</v>
      </c>
      <c r="H917" s="2" t="s">
        <v>152</v>
      </c>
      <c r="I917" s="2" t="s">
        <v>163</v>
      </c>
      <c r="J917" s="17"/>
      <c r="K917" s="17"/>
      <c r="L917" s="17"/>
      <c r="M917" s="17">
        <v>45777</v>
      </c>
      <c r="N917" s="18">
        <v>2629.43</v>
      </c>
    </row>
    <row r="918" spans="1:14" ht="15" customHeight="1" x14ac:dyDescent="0.25">
      <c r="A918" s="2" t="s">
        <v>1063</v>
      </c>
      <c r="B918" s="17">
        <v>45739</v>
      </c>
      <c r="C918" s="2" t="s">
        <v>21</v>
      </c>
      <c r="D918" s="2" t="s">
        <v>25</v>
      </c>
      <c r="E918" s="2" t="s">
        <v>160</v>
      </c>
      <c r="F918" s="2" t="s">
        <v>156</v>
      </c>
      <c r="G918" s="2" t="s">
        <v>162</v>
      </c>
      <c r="H918" s="2" t="s">
        <v>152</v>
      </c>
      <c r="I918" s="2" t="s">
        <v>153</v>
      </c>
      <c r="J918" s="17">
        <v>45745</v>
      </c>
      <c r="K918" s="17">
        <v>45754</v>
      </c>
      <c r="L918" s="17"/>
      <c r="M918" s="17">
        <v>45778</v>
      </c>
      <c r="N918" s="18">
        <v>733.78</v>
      </c>
    </row>
    <row r="919" spans="1:14" ht="15" customHeight="1" x14ac:dyDescent="0.25">
      <c r="A919" s="2" t="s">
        <v>1064</v>
      </c>
      <c r="B919" s="17">
        <v>45710</v>
      </c>
      <c r="C919" s="2" t="s">
        <v>20</v>
      </c>
      <c r="D919" s="2" t="s">
        <v>28</v>
      </c>
      <c r="E919" s="2" t="s">
        <v>186</v>
      </c>
      <c r="F919" s="2" t="s">
        <v>161</v>
      </c>
      <c r="G919" s="2" t="s">
        <v>167</v>
      </c>
      <c r="H919" s="2" t="s">
        <v>152</v>
      </c>
      <c r="I919" s="2" t="s">
        <v>153</v>
      </c>
      <c r="J919" s="17">
        <v>45720</v>
      </c>
      <c r="K919" s="17">
        <v>45732</v>
      </c>
      <c r="L919" s="17"/>
      <c r="M919" s="17">
        <v>45751</v>
      </c>
      <c r="N919" s="18">
        <v>2812.27</v>
      </c>
    </row>
    <row r="920" spans="1:14" ht="15" customHeight="1" x14ac:dyDescent="0.25">
      <c r="A920" s="2" t="s">
        <v>1065</v>
      </c>
      <c r="B920" s="17">
        <v>45889</v>
      </c>
      <c r="C920" s="2" t="s">
        <v>20</v>
      </c>
      <c r="D920" s="2" t="s">
        <v>26</v>
      </c>
      <c r="E920" s="2" t="s">
        <v>149</v>
      </c>
      <c r="F920" s="2" t="s">
        <v>150</v>
      </c>
      <c r="G920" s="2" t="s">
        <v>189</v>
      </c>
      <c r="H920" s="2" t="s">
        <v>152</v>
      </c>
      <c r="I920" s="2" t="s">
        <v>163</v>
      </c>
      <c r="J920" s="17"/>
      <c r="K920" s="17"/>
      <c r="L920" s="17"/>
      <c r="M920" s="17">
        <v>45902</v>
      </c>
      <c r="N920" s="18">
        <v>10631.6</v>
      </c>
    </row>
    <row r="921" spans="1:14" ht="15" customHeight="1" x14ac:dyDescent="0.25">
      <c r="A921" s="2" t="s">
        <v>1066</v>
      </c>
      <c r="B921" s="17">
        <v>46016</v>
      </c>
      <c r="C921" s="2" t="s">
        <v>21</v>
      </c>
      <c r="D921" s="2" t="s">
        <v>26</v>
      </c>
      <c r="E921" s="2" t="s">
        <v>160</v>
      </c>
      <c r="F921" s="2" t="s">
        <v>161</v>
      </c>
      <c r="G921" s="2" t="s">
        <v>183</v>
      </c>
      <c r="H921" s="2" t="s">
        <v>190</v>
      </c>
      <c r="I921" s="2" t="s">
        <v>163</v>
      </c>
      <c r="J921" s="17"/>
      <c r="K921" s="17"/>
      <c r="L921" s="17"/>
      <c r="M921" s="17"/>
      <c r="N921" s="18">
        <v>3002.14</v>
      </c>
    </row>
    <row r="922" spans="1:14" ht="15" customHeight="1" x14ac:dyDescent="0.25">
      <c r="A922" s="2" t="s">
        <v>1067</v>
      </c>
      <c r="B922" s="17">
        <v>45800</v>
      </c>
      <c r="C922" s="2" t="s">
        <v>21</v>
      </c>
      <c r="D922" s="2" t="s">
        <v>26</v>
      </c>
      <c r="E922" s="2" t="s">
        <v>149</v>
      </c>
      <c r="F922" s="2" t="s">
        <v>161</v>
      </c>
      <c r="G922" s="2" t="s">
        <v>162</v>
      </c>
      <c r="H922" s="2" t="s">
        <v>152</v>
      </c>
      <c r="I922" s="2" t="s">
        <v>153</v>
      </c>
      <c r="J922" s="17">
        <v>45808</v>
      </c>
      <c r="K922" s="17"/>
      <c r="L922" s="17"/>
      <c r="M922" s="17">
        <v>45813</v>
      </c>
      <c r="N922" s="18">
        <v>3054.52</v>
      </c>
    </row>
    <row r="923" spans="1:14" ht="15" customHeight="1" x14ac:dyDescent="0.25">
      <c r="A923" s="2" t="s">
        <v>1068</v>
      </c>
      <c r="B923" s="17">
        <v>45884</v>
      </c>
      <c r="C923" s="2" t="s">
        <v>19</v>
      </c>
      <c r="D923" s="2" t="s">
        <v>25</v>
      </c>
      <c r="E923" s="2" t="s">
        <v>160</v>
      </c>
      <c r="F923" s="2" t="s">
        <v>156</v>
      </c>
      <c r="G923" s="2" t="s">
        <v>207</v>
      </c>
      <c r="H923" s="2" t="s">
        <v>152</v>
      </c>
      <c r="I923" s="2" t="s">
        <v>163</v>
      </c>
      <c r="J923" s="17"/>
      <c r="K923" s="17"/>
      <c r="L923" s="17"/>
      <c r="M923" s="17">
        <v>45892</v>
      </c>
      <c r="N923" s="18">
        <v>815.45</v>
      </c>
    </row>
    <row r="924" spans="1:14" ht="15" customHeight="1" x14ac:dyDescent="0.25">
      <c r="A924" s="2" t="s">
        <v>1069</v>
      </c>
      <c r="B924" s="17">
        <v>45880</v>
      </c>
      <c r="C924" s="2" t="s">
        <v>22</v>
      </c>
      <c r="D924" s="2" t="s">
        <v>24</v>
      </c>
      <c r="E924" s="2" t="s">
        <v>160</v>
      </c>
      <c r="F924" s="2" t="s">
        <v>161</v>
      </c>
      <c r="G924" s="2" t="s">
        <v>165</v>
      </c>
      <c r="H924" s="2" t="s">
        <v>152</v>
      </c>
      <c r="I924" s="2" t="s">
        <v>163</v>
      </c>
      <c r="J924" s="17"/>
      <c r="K924" s="17"/>
      <c r="L924" s="17"/>
      <c r="M924" s="17">
        <v>45900</v>
      </c>
      <c r="N924" s="18">
        <v>2670.2</v>
      </c>
    </row>
    <row r="925" spans="1:14" ht="15" customHeight="1" x14ac:dyDescent="0.25">
      <c r="A925" s="2" t="s">
        <v>1070</v>
      </c>
      <c r="B925" s="17">
        <v>45913</v>
      </c>
      <c r="C925" s="2" t="s">
        <v>21</v>
      </c>
      <c r="D925" s="2" t="s">
        <v>28</v>
      </c>
      <c r="E925" s="2" t="s">
        <v>155</v>
      </c>
      <c r="F925" s="2" t="s">
        <v>156</v>
      </c>
      <c r="G925" s="2" t="s">
        <v>162</v>
      </c>
      <c r="H925" s="2" t="s">
        <v>2</v>
      </c>
      <c r="I925" s="2" t="s">
        <v>153</v>
      </c>
      <c r="J925" s="17">
        <v>45919</v>
      </c>
      <c r="K925" s="17">
        <v>45921</v>
      </c>
      <c r="L925" s="17">
        <v>45945</v>
      </c>
      <c r="M925" s="17"/>
      <c r="N925" s="18">
        <v>406.29</v>
      </c>
    </row>
    <row r="926" spans="1:14" ht="15" customHeight="1" x14ac:dyDescent="0.25">
      <c r="A926" s="2" t="s">
        <v>1071</v>
      </c>
      <c r="B926" s="17">
        <v>45961</v>
      </c>
      <c r="C926" s="2" t="s">
        <v>18</v>
      </c>
      <c r="D926" s="2" t="s">
        <v>28</v>
      </c>
      <c r="E926" s="2" t="s">
        <v>155</v>
      </c>
      <c r="F926" s="2" t="s">
        <v>161</v>
      </c>
      <c r="G926" s="2" t="s">
        <v>201</v>
      </c>
      <c r="H926" s="2" t="s">
        <v>152</v>
      </c>
      <c r="I926" s="2" t="s">
        <v>153</v>
      </c>
      <c r="J926" s="17">
        <v>45968</v>
      </c>
      <c r="K926" s="17">
        <v>45978</v>
      </c>
      <c r="L926" s="17"/>
      <c r="M926" s="17">
        <v>46007</v>
      </c>
      <c r="N926" s="18">
        <v>1778.54</v>
      </c>
    </row>
    <row r="927" spans="1:14" ht="15" customHeight="1" x14ac:dyDescent="0.25">
      <c r="A927" s="2" t="s">
        <v>1072</v>
      </c>
      <c r="B927" s="17">
        <v>45679</v>
      </c>
      <c r="C927" s="2" t="s">
        <v>21</v>
      </c>
      <c r="D927" s="2" t="s">
        <v>26</v>
      </c>
      <c r="E927" s="2" t="s">
        <v>186</v>
      </c>
      <c r="F927" s="2" t="s">
        <v>156</v>
      </c>
      <c r="G927" s="2" t="s">
        <v>162</v>
      </c>
      <c r="H927" s="2" t="s">
        <v>152</v>
      </c>
      <c r="I927" s="2" t="s">
        <v>153</v>
      </c>
      <c r="J927" s="17">
        <v>45685</v>
      </c>
      <c r="K927" s="17">
        <v>45697</v>
      </c>
      <c r="L927" s="17"/>
      <c r="M927" s="17">
        <v>45705</v>
      </c>
      <c r="N927" s="18">
        <v>888.29</v>
      </c>
    </row>
    <row r="928" spans="1:14" ht="15" customHeight="1" x14ac:dyDescent="0.25">
      <c r="A928" s="2" t="s">
        <v>1073</v>
      </c>
      <c r="B928" s="17">
        <v>45906</v>
      </c>
      <c r="C928" s="2" t="s">
        <v>21</v>
      </c>
      <c r="D928" s="2" t="s">
        <v>24</v>
      </c>
      <c r="E928" s="2" t="s">
        <v>149</v>
      </c>
      <c r="F928" s="2" t="s">
        <v>156</v>
      </c>
      <c r="G928" s="2" t="s">
        <v>183</v>
      </c>
      <c r="H928" s="2" t="s">
        <v>152</v>
      </c>
      <c r="I928" s="2" t="s">
        <v>163</v>
      </c>
      <c r="J928" s="17"/>
      <c r="K928" s="17"/>
      <c r="L928" s="17"/>
      <c r="M928" s="17">
        <v>45916</v>
      </c>
      <c r="N928" s="18">
        <v>962.14</v>
      </c>
    </row>
    <row r="929" spans="1:14" ht="15" customHeight="1" x14ac:dyDescent="0.25">
      <c r="A929" s="2" t="s">
        <v>1074</v>
      </c>
      <c r="B929" s="17">
        <v>45879</v>
      </c>
      <c r="C929" s="2" t="s">
        <v>20</v>
      </c>
      <c r="D929" s="2" t="s">
        <v>25</v>
      </c>
      <c r="E929" s="2" t="s">
        <v>149</v>
      </c>
      <c r="F929" s="2" t="s">
        <v>156</v>
      </c>
      <c r="G929" s="2" t="s">
        <v>192</v>
      </c>
      <c r="H929" s="2" t="s">
        <v>152</v>
      </c>
      <c r="I929" s="2" t="s">
        <v>153</v>
      </c>
      <c r="J929" s="17">
        <v>45881</v>
      </c>
      <c r="K929" s="17">
        <v>45896</v>
      </c>
      <c r="L929" s="17"/>
      <c r="M929" s="17">
        <v>45908</v>
      </c>
      <c r="N929" s="18">
        <v>875.48</v>
      </c>
    </row>
    <row r="930" spans="1:14" ht="15" customHeight="1" x14ac:dyDescent="0.25">
      <c r="A930" s="2" t="s">
        <v>1075</v>
      </c>
      <c r="B930" s="17">
        <v>45750</v>
      </c>
      <c r="C930" s="2" t="s">
        <v>22</v>
      </c>
      <c r="D930" s="2" t="s">
        <v>24</v>
      </c>
      <c r="E930" s="2" t="s">
        <v>155</v>
      </c>
      <c r="F930" s="2" t="s">
        <v>150</v>
      </c>
      <c r="G930" s="2" t="s">
        <v>170</v>
      </c>
      <c r="H930" s="2" t="s">
        <v>152</v>
      </c>
      <c r="I930" s="2" t="s">
        <v>153</v>
      </c>
      <c r="J930" s="17">
        <v>45754</v>
      </c>
      <c r="K930" s="17">
        <v>45764</v>
      </c>
      <c r="L930" s="17"/>
      <c r="M930" s="17">
        <v>45798</v>
      </c>
      <c r="N930" s="18">
        <v>6776.08</v>
      </c>
    </row>
    <row r="931" spans="1:14" ht="15" customHeight="1" x14ac:dyDescent="0.25">
      <c r="A931" s="2" t="s">
        <v>1076</v>
      </c>
      <c r="B931" s="17">
        <v>45814</v>
      </c>
      <c r="C931" s="2" t="s">
        <v>19</v>
      </c>
      <c r="D931" s="2" t="s">
        <v>28</v>
      </c>
      <c r="E931" s="2" t="s">
        <v>160</v>
      </c>
      <c r="F931" s="2" t="s">
        <v>156</v>
      </c>
      <c r="G931" s="2" t="s">
        <v>207</v>
      </c>
      <c r="H931" s="2" t="s">
        <v>152</v>
      </c>
      <c r="I931" s="2" t="s">
        <v>163</v>
      </c>
      <c r="J931" s="17"/>
      <c r="K931" s="17"/>
      <c r="L931" s="17"/>
      <c r="M931" s="17">
        <v>45830</v>
      </c>
      <c r="N931" s="18">
        <v>974.67</v>
      </c>
    </row>
    <row r="932" spans="1:14" ht="15" customHeight="1" x14ac:dyDescent="0.25">
      <c r="A932" s="2" t="s">
        <v>1077</v>
      </c>
      <c r="B932" s="17">
        <v>45803</v>
      </c>
      <c r="C932" s="2" t="s">
        <v>20</v>
      </c>
      <c r="D932" s="2" t="s">
        <v>26</v>
      </c>
      <c r="E932" s="2" t="s">
        <v>186</v>
      </c>
      <c r="F932" s="2" t="s">
        <v>156</v>
      </c>
      <c r="G932" s="2" t="s">
        <v>189</v>
      </c>
      <c r="H932" s="2" t="s">
        <v>152</v>
      </c>
      <c r="I932" s="2" t="s">
        <v>153</v>
      </c>
      <c r="J932" s="17">
        <v>45810</v>
      </c>
      <c r="K932" s="17">
        <v>45821</v>
      </c>
      <c r="L932" s="17"/>
      <c r="M932" s="17">
        <v>45828</v>
      </c>
      <c r="N932" s="18">
        <v>771.63</v>
      </c>
    </row>
    <row r="933" spans="1:14" ht="15" customHeight="1" x14ac:dyDescent="0.25">
      <c r="A933" s="2" t="s">
        <v>1078</v>
      </c>
      <c r="B933" s="17">
        <v>45829</v>
      </c>
      <c r="C933" s="2" t="s">
        <v>20</v>
      </c>
      <c r="D933" s="2" t="s">
        <v>24</v>
      </c>
      <c r="E933" s="2" t="s">
        <v>155</v>
      </c>
      <c r="F933" s="2" t="s">
        <v>161</v>
      </c>
      <c r="G933" s="2" t="s">
        <v>192</v>
      </c>
      <c r="H933" s="2" t="s">
        <v>152</v>
      </c>
      <c r="I933" s="2" t="s">
        <v>163</v>
      </c>
      <c r="J933" s="17"/>
      <c r="K933" s="17"/>
      <c r="L933" s="17"/>
      <c r="M933" s="17">
        <v>45847</v>
      </c>
      <c r="N933" s="18">
        <v>2201.1</v>
      </c>
    </row>
    <row r="934" spans="1:14" ht="15" customHeight="1" x14ac:dyDescent="0.25">
      <c r="A934" s="2" t="s">
        <v>1079</v>
      </c>
      <c r="B934" s="17">
        <v>45869</v>
      </c>
      <c r="C934" s="2" t="s">
        <v>18</v>
      </c>
      <c r="D934" s="2" t="s">
        <v>26</v>
      </c>
      <c r="E934" s="2" t="s">
        <v>186</v>
      </c>
      <c r="F934" s="2" t="s">
        <v>161</v>
      </c>
      <c r="G934" s="2" t="s">
        <v>157</v>
      </c>
      <c r="H934" s="2" t="s">
        <v>152</v>
      </c>
      <c r="I934" s="2" t="s">
        <v>153</v>
      </c>
      <c r="J934" s="17">
        <v>45874</v>
      </c>
      <c r="K934" s="17">
        <v>45885</v>
      </c>
      <c r="L934" s="17"/>
      <c r="M934" s="17">
        <v>45896</v>
      </c>
      <c r="N934" s="18">
        <v>2154.96</v>
      </c>
    </row>
    <row r="935" spans="1:14" ht="15" customHeight="1" x14ac:dyDescent="0.25">
      <c r="A935" s="2" t="s">
        <v>1080</v>
      </c>
      <c r="B935" s="17">
        <v>45878</v>
      </c>
      <c r="C935" s="2" t="s">
        <v>20</v>
      </c>
      <c r="D935" s="2" t="s">
        <v>24</v>
      </c>
      <c r="E935" s="2" t="s">
        <v>149</v>
      </c>
      <c r="F935" s="2" t="s">
        <v>150</v>
      </c>
      <c r="G935" s="2" t="s">
        <v>192</v>
      </c>
      <c r="H935" s="2" t="s">
        <v>152</v>
      </c>
      <c r="I935" s="2" t="s">
        <v>153</v>
      </c>
      <c r="J935" s="17">
        <v>45883</v>
      </c>
      <c r="K935" s="17">
        <v>45895</v>
      </c>
      <c r="L935" s="17"/>
      <c r="M935" s="17">
        <v>45916</v>
      </c>
      <c r="N935" s="18">
        <v>5885.69</v>
      </c>
    </row>
    <row r="936" spans="1:14" ht="15" customHeight="1" x14ac:dyDescent="0.25">
      <c r="A936" s="2" t="s">
        <v>50</v>
      </c>
      <c r="B936" s="17">
        <v>45928</v>
      </c>
      <c r="C936" s="2" t="s">
        <v>19</v>
      </c>
      <c r="D936" s="2" t="s">
        <v>27</v>
      </c>
      <c r="E936" s="2" t="s">
        <v>149</v>
      </c>
      <c r="F936" s="2" t="s">
        <v>161</v>
      </c>
      <c r="G936" s="2" t="s">
        <v>210</v>
      </c>
      <c r="H936" s="2" t="s">
        <v>2</v>
      </c>
      <c r="I936" s="2" t="s">
        <v>153</v>
      </c>
      <c r="J936" s="17">
        <v>45933</v>
      </c>
      <c r="K936" s="17">
        <v>45945</v>
      </c>
      <c r="L936" s="17">
        <v>45969</v>
      </c>
      <c r="M936" s="17"/>
      <c r="N936" s="18">
        <v>2002.83</v>
      </c>
    </row>
    <row r="937" spans="1:14" ht="15" customHeight="1" x14ac:dyDescent="0.25">
      <c r="A937" s="2" t="s">
        <v>1081</v>
      </c>
      <c r="B937" s="17">
        <v>45898</v>
      </c>
      <c r="C937" s="2" t="s">
        <v>20</v>
      </c>
      <c r="D937" s="2" t="s">
        <v>28</v>
      </c>
      <c r="E937" s="2" t="s">
        <v>160</v>
      </c>
      <c r="F937" s="2" t="s">
        <v>161</v>
      </c>
      <c r="G937" s="2" t="s">
        <v>167</v>
      </c>
      <c r="H937" s="2" t="s">
        <v>2</v>
      </c>
      <c r="I937" s="2" t="s">
        <v>153</v>
      </c>
      <c r="J937" s="17">
        <v>45901</v>
      </c>
      <c r="K937" s="17">
        <v>45904</v>
      </c>
      <c r="L937" s="17">
        <v>45910</v>
      </c>
      <c r="M937" s="17"/>
      <c r="N937" s="18">
        <v>3068.21</v>
      </c>
    </row>
    <row r="938" spans="1:14" ht="15" customHeight="1" x14ac:dyDescent="0.25">
      <c r="A938" s="2" t="s">
        <v>1082</v>
      </c>
      <c r="B938" s="17">
        <v>45861</v>
      </c>
      <c r="C938" s="2" t="s">
        <v>20</v>
      </c>
      <c r="D938" s="2" t="s">
        <v>26</v>
      </c>
      <c r="E938" s="2" t="s">
        <v>149</v>
      </c>
      <c r="F938" s="2" t="s">
        <v>156</v>
      </c>
      <c r="G938" s="2" t="s">
        <v>189</v>
      </c>
      <c r="H938" s="2" t="s">
        <v>152</v>
      </c>
      <c r="I938" s="2" t="s">
        <v>163</v>
      </c>
      <c r="J938" s="17"/>
      <c r="K938" s="17"/>
      <c r="L938" s="17"/>
      <c r="M938" s="17">
        <v>45867</v>
      </c>
      <c r="N938" s="18">
        <v>826.7</v>
      </c>
    </row>
    <row r="939" spans="1:14" ht="15" customHeight="1" x14ac:dyDescent="0.25">
      <c r="A939" s="2" t="s">
        <v>1083</v>
      </c>
      <c r="B939" s="17">
        <v>45987</v>
      </c>
      <c r="C939" s="2" t="s">
        <v>18</v>
      </c>
      <c r="D939" s="2" t="s">
        <v>26</v>
      </c>
      <c r="E939" s="2" t="s">
        <v>160</v>
      </c>
      <c r="F939" s="2" t="s">
        <v>156</v>
      </c>
      <c r="G939" s="2" t="s">
        <v>157</v>
      </c>
      <c r="H939" s="2" t="s">
        <v>2</v>
      </c>
      <c r="I939" s="2" t="s">
        <v>153</v>
      </c>
      <c r="J939" s="17">
        <v>45996</v>
      </c>
      <c r="K939" s="17">
        <v>46010</v>
      </c>
      <c r="L939" s="17">
        <v>46025</v>
      </c>
      <c r="M939" s="17"/>
      <c r="N939" s="18">
        <v>557.49</v>
      </c>
    </row>
    <row r="940" spans="1:14" ht="15" customHeight="1" x14ac:dyDescent="0.25">
      <c r="A940" s="2" t="s">
        <v>1084</v>
      </c>
      <c r="B940" s="17">
        <v>45904</v>
      </c>
      <c r="C940" s="2" t="s">
        <v>20</v>
      </c>
      <c r="D940" s="2" t="s">
        <v>25</v>
      </c>
      <c r="E940" s="2" t="s">
        <v>160</v>
      </c>
      <c r="F940" s="2" t="s">
        <v>156</v>
      </c>
      <c r="G940" s="2" t="s">
        <v>167</v>
      </c>
      <c r="H940" s="2" t="s">
        <v>152</v>
      </c>
      <c r="I940" s="2" t="s">
        <v>153</v>
      </c>
      <c r="J940" s="17">
        <v>45905</v>
      </c>
      <c r="K940" s="17">
        <v>45919</v>
      </c>
      <c r="L940" s="17"/>
      <c r="M940" s="17">
        <v>45938</v>
      </c>
      <c r="N940" s="18">
        <v>988.5</v>
      </c>
    </row>
    <row r="941" spans="1:14" ht="15" customHeight="1" x14ac:dyDescent="0.25">
      <c r="A941" s="2" t="s">
        <v>1085</v>
      </c>
      <c r="B941" s="17">
        <v>45711</v>
      </c>
      <c r="C941" s="2" t="s">
        <v>20</v>
      </c>
      <c r="D941" s="2" t="s">
        <v>26</v>
      </c>
      <c r="E941" s="2" t="s">
        <v>155</v>
      </c>
      <c r="F941" s="2" t="s">
        <v>156</v>
      </c>
      <c r="G941" s="2" t="s">
        <v>189</v>
      </c>
      <c r="H941" s="2" t="s">
        <v>152</v>
      </c>
      <c r="I941" s="2" t="s">
        <v>153</v>
      </c>
      <c r="J941" s="17">
        <v>45719</v>
      </c>
      <c r="K941" s="17">
        <v>45733</v>
      </c>
      <c r="L941" s="17"/>
      <c r="M941" s="17">
        <v>45751</v>
      </c>
      <c r="N941" s="18">
        <v>461.23</v>
      </c>
    </row>
    <row r="942" spans="1:14" ht="15" customHeight="1" x14ac:dyDescent="0.25">
      <c r="A942" s="2" t="s">
        <v>1086</v>
      </c>
      <c r="B942" s="17">
        <v>45995</v>
      </c>
      <c r="C942" s="2" t="s">
        <v>21</v>
      </c>
      <c r="D942" s="2" t="s">
        <v>28</v>
      </c>
      <c r="E942" s="2" t="s">
        <v>160</v>
      </c>
      <c r="F942" s="2" t="s">
        <v>156</v>
      </c>
      <c r="G942" s="2" t="s">
        <v>183</v>
      </c>
      <c r="H942" s="2" t="s">
        <v>2</v>
      </c>
      <c r="I942" s="2" t="s">
        <v>153</v>
      </c>
      <c r="J942" s="17">
        <v>46001</v>
      </c>
      <c r="K942" s="17">
        <v>46003</v>
      </c>
      <c r="L942" s="17">
        <v>46023</v>
      </c>
      <c r="M942" s="17"/>
      <c r="N942" s="18">
        <v>1038.5999999999999</v>
      </c>
    </row>
    <row r="943" spans="1:14" ht="15" customHeight="1" x14ac:dyDescent="0.25">
      <c r="A943" s="2" t="s">
        <v>1087</v>
      </c>
      <c r="B943" s="17">
        <v>45907</v>
      </c>
      <c r="C943" s="2" t="s">
        <v>20</v>
      </c>
      <c r="D943" s="2" t="s">
        <v>24</v>
      </c>
      <c r="E943" s="2" t="s">
        <v>155</v>
      </c>
      <c r="F943" s="2" t="s">
        <v>161</v>
      </c>
      <c r="G943" s="2" t="s">
        <v>167</v>
      </c>
      <c r="H943" s="2" t="s">
        <v>152</v>
      </c>
      <c r="I943" s="2" t="s">
        <v>153</v>
      </c>
      <c r="J943" s="17">
        <v>45915</v>
      </c>
      <c r="K943" s="17">
        <v>45923</v>
      </c>
      <c r="L943" s="17"/>
      <c r="M943" s="17">
        <v>45957</v>
      </c>
      <c r="N943" s="18">
        <v>1822.68</v>
      </c>
    </row>
    <row r="944" spans="1:14" ht="15" customHeight="1" x14ac:dyDescent="0.25">
      <c r="A944" s="2" t="s">
        <v>1088</v>
      </c>
      <c r="B944" s="17">
        <v>45917</v>
      </c>
      <c r="C944" s="2" t="s">
        <v>20</v>
      </c>
      <c r="D944" s="2" t="s">
        <v>24</v>
      </c>
      <c r="E944" s="2" t="s">
        <v>149</v>
      </c>
      <c r="F944" s="2" t="s">
        <v>161</v>
      </c>
      <c r="G944" s="2" t="s">
        <v>192</v>
      </c>
      <c r="H944" s="2" t="s">
        <v>152</v>
      </c>
      <c r="I944" s="2" t="s">
        <v>153</v>
      </c>
      <c r="J944" s="17">
        <v>45920</v>
      </c>
      <c r="K944" s="17">
        <v>45922</v>
      </c>
      <c r="L944" s="17"/>
      <c r="M944" s="17">
        <v>45936</v>
      </c>
      <c r="N944" s="18">
        <v>2016.72</v>
      </c>
    </row>
    <row r="945" spans="1:14" ht="15" customHeight="1" x14ac:dyDescent="0.25">
      <c r="A945" s="2" t="s">
        <v>1089</v>
      </c>
      <c r="B945" s="17">
        <v>45786</v>
      </c>
      <c r="C945" s="2" t="s">
        <v>20</v>
      </c>
      <c r="D945" s="2" t="s">
        <v>24</v>
      </c>
      <c r="E945" s="2" t="s">
        <v>155</v>
      </c>
      <c r="F945" s="2" t="s">
        <v>156</v>
      </c>
      <c r="G945" s="2" t="s">
        <v>189</v>
      </c>
      <c r="H945" s="2" t="s">
        <v>152</v>
      </c>
      <c r="I945" s="2" t="s">
        <v>163</v>
      </c>
      <c r="J945" s="17"/>
      <c r="K945" s="17"/>
      <c r="L945" s="17"/>
      <c r="M945" s="17">
        <v>45795</v>
      </c>
      <c r="N945" s="18">
        <v>426.11</v>
      </c>
    </row>
    <row r="946" spans="1:14" ht="15" customHeight="1" x14ac:dyDescent="0.25">
      <c r="A946" s="2" t="s">
        <v>1090</v>
      </c>
      <c r="B946" s="17">
        <v>45713</v>
      </c>
      <c r="C946" s="2" t="s">
        <v>21</v>
      </c>
      <c r="D946" s="2" t="s">
        <v>28</v>
      </c>
      <c r="E946" s="2" t="s">
        <v>160</v>
      </c>
      <c r="F946" s="2" t="s">
        <v>156</v>
      </c>
      <c r="G946" s="2" t="s">
        <v>176</v>
      </c>
      <c r="H946" s="2" t="s">
        <v>152</v>
      </c>
      <c r="I946" s="2" t="s">
        <v>163</v>
      </c>
      <c r="J946" s="17"/>
      <c r="K946" s="17"/>
      <c r="L946" s="17"/>
      <c r="M946" s="17">
        <v>45720</v>
      </c>
      <c r="N946" s="18">
        <v>555.97</v>
      </c>
    </row>
    <row r="947" spans="1:14" ht="15" customHeight="1" x14ac:dyDescent="0.25">
      <c r="A947" s="2" t="s">
        <v>1091</v>
      </c>
      <c r="B947" s="17">
        <v>45846</v>
      </c>
      <c r="C947" s="2" t="s">
        <v>19</v>
      </c>
      <c r="D947" s="2" t="s">
        <v>28</v>
      </c>
      <c r="E947" s="2" t="s">
        <v>155</v>
      </c>
      <c r="F947" s="2" t="s">
        <v>161</v>
      </c>
      <c r="G947" s="2" t="s">
        <v>179</v>
      </c>
      <c r="H947" s="2" t="s">
        <v>152</v>
      </c>
      <c r="I947" s="2" t="s">
        <v>163</v>
      </c>
      <c r="J947" s="17"/>
      <c r="K947" s="17"/>
      <c r="L947" s="17"/>
      <c r="M947" s="17">
        <v>45848</v>
      </c>
      <c r="N947" s="18">
        <v>1744.27</v>
      </c>
    </row>
    <row r="948" spans="1:14" ht="15" customHeight="1" x14ac:dyDescent="0.25">
      <c r="A948" s="2" t="s">
        <v>67</v>
      </c>
      <c r="B948" s="17">
        <v>45885</v>
      </c>
      <c r="C948" s="2" t="s">
        <v>22</v>
      </c>
      <c r="D948" s="2" t="s">
        <v>28</v>
      </c>
      <c r="E948" s="2" t="s">
        <v>149</v>
      </c>
      <c r="F948" s="2" t="s">
        <v>156</v>
      </c>
      <c r="G948" s="2" t="s">
        <v>265</v>
      </c>
      <c r="H948" s="2" t="s">
        <v>152</v>
      </c>
      <c r="I948" s="2" t="s">
        <v>153</v>
      </c>
      <c r="J948" s="17">
        <v>45886</v>
      </c>
      <c r="K948" s="17">
        <v>45888</v>
      </c>
      <c r="L948" s="17"/>
      <c r="M948" s="17">
        <v>45896</v>
      </c>
      <c r="N948" s="18">
        <v>865.49</v>
      </c>
    </row>
    <row r="949" spans="1:14" ht="15" customHeight="1" x14ac:dyDescent="0.25">
      <c r="A949" s="2" t="s">
        <v>1092</v>
      </c>
      <c r="B949" s="17">
        <v>45677</v>
      </c>
      <c r="C949" s="2" t="s">
        <v>19</v>
      </c>
      <c r="D949" s="2" t="s">
        <v>25</v>
      </c>
      <c r="E949" s="2" t="s">
        <v>160</v>
      </c>
      <c r="F949" s="2" t="s">
        <v>156</v>
      </c>
      <c r="G949" s="2" t="s">
        <v>210</v>
      </c>
      <c r="H949" s="2" t="s">
        <v>2</v>
      </c>
      <c r="I949" s="2" t="s">
        <v>153</v>
      </c>
      <c r="J949" s="17">
        <v>45685</v>
      </c>
      <c r="K949" s="17">
        <v>45696</v>
      </c>
      <c r="L949" s="17">
        <v>45707</v>
      </c>
      <c r="M949" s="17"/>
      <c r="N949" s="18">
        <v>988.22</v>
      </c>
    </row>
    <row r="950" spans="1:14" ht="15" customHeight="1" x14ac:dyDescent="0.25">
      <c r="A950" s="2" t="s">
        <v>1093</v>
      </c>
      <c r="B950" s="17">
        <v>45899</v>
      </c>
      <c r="C950" s="2" t="s">
        <v>19</v>
      </c>
      <c r="D950" s="2" t="s">
        <v>26</v>
      </c>
      <c r="E950" s="2" t="s">
        <v>155</v>
      </c>
      <c r="F950" s="2" t="s">
        <v>161</v>
      </c>
      <c r="G950" s="2" t="s">
        <v>179</v>
      </c>
      <c r="H950" s="2" t="s">
        <v>152</v>
      </c>
      <c r="I950" s="2" t="s">
        <v>153</v>
      </c>
      <c r="J950" s="17">
        <v>45903</v>
      </c>
      <c r="K950" s="17"/>
      <c r="L950" s="17"/>
      <c r="M950" s="17">
        <v>45916</v>
      </c>
      <c r="N950" s="18">
        <v>1329.35</v>
      </c>
    </row>
    <row r="951" spans="1:14" ht="15" customHeight="1" x14ac:dyDescent="0.25">
      <c r="A951" s="2" t="s">
        <v>1094</v>
      </c>
      <c r="B951" s="17">
        <v>45757</v>
      </c>
      <c r="C951" s="2" t="s">
        <v>19</v>
      </c>
      <c r="D951" s="2" t="s">
        <v>24</v>
      </c>
      <c r="E951" s="2" t="s">
        <v>160</v>
      </c>
      <c r="F951" s="2" t="s">
        <v>156</v>
      </c>
      <c r="G951" s="2" t="s">
        <v>207</v>
      </c>
      <c r="H951" s="2" t="s">
        <v>152</v>
      </c>
      <c r="I951" s="2" t="s">
        <v>153</v>
      </c>
      <c r="J951" s="17">
        <v>45761</v>
      </c>
      <c r="K951" s="17"/>
      <c r="L951" s="17"/>
      <c r="M951" s="17">
        <v>45778</v>
      </c>
      <c r="N951" s="18">
        <v>607.72</v>
      </c>
    </row>
    <row r="952" spans="1:14" ht="15" customHeight="1" x14ac:dyDescent="0.25">
      <c r="A952" s="2" t="s">
        <v>1095</v>
      </c>
      <c r="B952" s="17">
        <v>45990</v>
      </c>
      <c r="C952" s="2" t="s">
        <v>22</v>
      </c>
      <c r="D952" s="2" t="s">
        <v>27</v>
      </c>
      <c r="E952" s="2" t="s">
        <v>160</v>
      </c>
      <c r="F952" s="2" t="s">
        <v>150</v>
      </c>
      <c r="G952" s="2" t="s">
        <v>165</v>
      </c>
      <c r="H952" s="2" t="s">
        <v>152</v>
      </c>
      <c r="I952" s="2" t="s">
        <v>153</v>
      </c>
      <c r="J952" s="17">
        <v>45999</v>
      </c>
      <c r="K952" s="17">
        <v>46008</v>
      </c>
      <c r="L952" s="17"/>
      <c r="M952" s="17">
        <v>46042</v>
      </c>
      <c r="N952" s="18">
        <v>8857.61</v>
      </c>
    </row>
    <row r="953" spans="1:14" ht="15" customHeight="1" x14ac:dyDescent="0.25">
      <c r="A953" s="2" t="s">
        <v>1096</v>
      </c>
      <c r="B953" s="17">
        <v>45732</v>
      </c>
      <c r="C953" s="2" t="s">
        <v>20</v>
      </c>
      <c r="D953" s="2" t="s">
        <v>24</v>
      </c>
      <c r="E953" s="2" t="s">
        <v>149</v>
      </c>
      <c r="F953" s="2" t="s">
        <v>150</v>
      </c>
      <c r="G953" s="2" t="s">
        <v>167</v>
      </c>
      <c r="H953" s="2" t="s">
        <v>152</v>
      </c>
      <c r="I953" s="2" t="s">
        <v>163</v>
      </c>
      <c r="J953" s="17"/>
      <c r="K953" s="17"/>
      <c r="L953" s="17"/>
      <c r="M953" s="17">
        <v>45745</v>
      </c>
      <c r="N953" s="18">
        <v>11162.72</v>
      </c>
    </row>
    <row r="954" spans="1:14" ht="15" customHeight="1" x14ac:dyDescent="0.25">
      <c r="A954" s="2" t="s">
        <v>1097</v>
      </c>
      <c r="B954" s="17">
        <v>46019</v>
      </c>
      <c r="C954" s="2" t="s">
        <v>22</v>
      </c>
      <c r="D954" s="2" t="s">
        <v>27</v>
      </c>
      <c r="E954" s="2" t="s">
        <v>149</v>
      </c>
      <c r="F954" s="2" t="s">
        <v>156</v>
      </c>
      <c r="G954" s="2" t="s">
        <v>151</v>
      </c>
      <c r="H954" s="2" t="s">
        <v>15</v>
      </c>
      <c r="I954" s="2" t="s">
        <v>153</v>
      </c>
      <c r="J954" s="17">
        <v>46021</v>
      </c>
      <c r="K954" s="17"/>
      <c r="L954" s="17"/>
      <c r="M954" s="17"/>
      <c r="N954" s="18">
        <v>809.4</v>
      </c>
    </row>
    <row r="955" spans="1:14" ht="15" customHeight="1" x14ac:dyDescent="0.25">
      <c r="A955" s="2" t="s">
        <v>1098</v>
      </c>
      <c r="B955" s="17">
        <v>45948</v>
      </c>
      <c r="C955" s="2" t="s">
        <v>20</v>
      </c>
      <c r="D955" s="2" t="s">
        <v>25</v>
      </c>
      <c r="E955" s="2" t="s">
        <v>160</v>
      </c>
      <c r="F955" s="2" t="s">
        <v>161</v>
      </c>
      <c r="G955" s="2" t="s">
        <v>167</v>
      </c>
      <c r="H955" s="2" t="s">
        <v>152</v>
      </c>
      <c r="I955" s="2" t="s">
        <v>163</v>
      </c>
      <c r="J955" s="17"/>
      <c r="K955" s="17"/>
      <c r="L955" s="17"/>
      <c r="M955" s="17">
        <v>45956</v>
      </c>
      <c r="N955" s="18">
        <v>2028.42</v>
      </c>
    </row>
    <row r="956" spans="1:14" ht="15" customHeight="1" x14ac:dyDescent="0.25">
      <c r="A956" s="2" t="s">
        <v>1099</v>
      </c>
      <c r="B956" s="17">
        <v>45871</v>
      </c>
      <c r="C956" s="2" t="s">
        <v>22</v>
      </c>
      <c r="D956" s="2" t="s">
        <v>24</v>
      </c>
      <c r="E956" s="2" t="s">
        <v>160</v>
      </c>
      <c r="F956" s="2" t="s">
        <v>156</v>
      </c>
      <c r="G956" s="2" t="s">
        <v>165</v>
      </c>
      <c r="H956" s="2" t="s">
        <v>152</v>
      </c>
      <c r="I956" s="2" t="s">
        <v>163</v>
      </c>
      <c r="J956" s="17"/>
      <c r="K956" s="17"/>
      <c r="L956" s="17"/>
      <c r="M956" s="17">
        <v>45874</v>
      </c>
      <c r="N956" s="18">
        <v>992.27</v>
      </c>
    </row>
    <row r="957" spans="1:14" ht="15" customHeight="1" x14ac:dyDescent="0.25">
      <c r="A957" s="2" t="s">
        <v>1100</v>
      </c>
      <c r="B957" s="17">
        <v>46006</v>
      </c>
      <c r="C957" s="2" t="s">
        <v>19</v>
      </c>
      <c r="D957" s="2" t="s">
        <v>25</v>
      </c>
      <c r="E957" s="2" t="s">
        <v>155</v>
      </c>
      <c r="F957" s="2" t="s">
        <v>161</v>
      </c>
      <c r="G957" s="2" t="s">
        <v>179</v>
      </c>
      <c r="H957" s="2" t="s">
        <v>15</v>
      </c>
      <c r="I957" s="2" t="s">
        <v>153</v>
      </c>
      <c r="J957" s="17">
        <v>46014</v>
      </c>
      <c r="K957" s="17"/>
      <c r="L957" s="17"/>
      <c r="M957" s="17"/>
      <c r="N957" s="18">
        <v>2191.21</v>
      </c>
    </row>
    <row r="958" spans="1:14" ht="15" customHeight="1" x14ac:dyDescent="0.25">
      <c r="A958" s="2" t="s">
        <v>1101</v>
      </c>
      <c r="B958" s="17">
        <v>45937</v>
      </c>
      <c r="C958" s="2" t="s">
        <v>22</v>
      </c>
      <c r="D958" s="2" t="s">
        <v>27</v>
      </c>
      <c r="E958" s="2" t="s">
        <v>186</v>
      </c>
      <c r="F958" s="2" t="s">
        <v>156</v>
      </c>
      <c r="G958" s="2" t="s">
        <v>170</v>
      </c>
      <c r="H958" s="2" t="s">
        <v>2</v>
      </c>
      <c r="I958" s="2" t="s">
        <v>153</v>
      </c>
      <c r="J958" s="17">
        <v>45938</v>
      </c>
      <c r="K958" s="17">
        <v>45940</v>
      </c>
      <c r="L958" s="17">
        <v>45967</v>
      </c>
      <c r="M958" s="17"/>
      <c r="N958" s="18">
        <v>476.64</v>
      </c>
    </row>
    <row r="959" spans="1:14" ht="15" customHeight="1" x14ac:dyDescent="0.25">
      <c r="A959" s="2" t="s">
        <v>1102</v>
      </c>
      <c r="B959" s="17">
        <v>45663</v>
      </c>
      <c r="C959" s="2" t="s">
        <v>22</v>
      </c>
      <c r="D959" s="2" t="s">
        <v>27</v>
      </c>
      <c r="E959" s="2" t="s">
        <v>155</v>
      </c>
      <c r="F959" s="2" t="s">
        <v>156</v>
      </c>
      <c r="G959" s="2" t="s">
        <v>170</v>
      </c>
      <c r="H959" s="2" t="s">
        <v>2</v>
      </c>
      <c r="I959" s="2" t="s">
        <v>153</v>
      </c>
      <c r="J959" s="17">
        <v>45665</v>
      </c>
      <c r="K959" s="17">
        <v>45676</v>
      </c>
      <c r="L959" s="17">
        <v>45703</v>
      </c>
      <c r="M959" s="17"/>
      <c r="N959" s="18">
        <v>606.86</v>
      </c>
    </row>
    <row r="960" spans="1:14" ht="15" customHeight="1" x14ac:dyDescent="0.25">
      <c r="A960" s="2" t="s">
        <v>1103</v>
      </c>
      <c r="B960" s="17">
        <v>46000</v>
      </c>
      <c r="C960" s="2" t="s">
        <v>21</v>
      </c>
      <c r="D960" s="2" t="s">
        <v>28</v>
      </c>
      <c r="E960" s="2" t="s">
        <v>149</v>
      </c>
      <c r="F960" s="2" t="s">
        <v>156</v>
      </c>
      <c r="G960" s="2" t="s">
        <v>162</v>
      </c>
      <c r="H960" s="2" t="s">
        <v>2</v>
      </c>
      <c r="I960" s="2" t="s">
        <v>153</v>
      </c>
      <c r="J960" s="17">
        <v>46005</v>
      </c>
      <c r="K960" s="17">
        <v>46009</v>
      </c>
      <c r="L960" s="17">
        <v>46028</v>
      </c>
      <c r="M960" s="17"/>
      <c r="N960" s="18">
        <v>742.89</v>
      </c>
    </row>
    <row r="961" spans="1:14" ht="15" customHeight="1" x14ac:dyDescent="0.25">
      <c r="A961" s="2" t="s">
        <v>1104</v>
      </c>
      <c r="B961" s="17">
        <v>45799</v>
      </c>
      <c r="C961" s="2" t="s">
        <v>19</v>
      </c>
      <c r="D961" s="2" t="s">
        <v>25</v>
      </c>
      <c r="E961" s="2" t="s">
        <v>149</v>
      </c>
      <c r="F961" s="2" t="s">
        <v>161</v>
      </c>
      <c r="G961" s="2" t="s">
        <v>210</v>
      </c>
      <c r="H961" s="2" t="s">
        <v>152</v>
      </c>
      <c r="I961" s="2" t="s">
        <v>153</v>
      </c>
      <c r="J961" s="17">
        <v>45805</v>
      </c>
      <c r="K961" s="17"/>
      <c r="L961" s="17"/>
      <c r="M961" s="17">
        <v>45826</v>
      </c>
      <c r="N961" s="18">
        <v>2921.12</v>
      </c>
    </row>
    <row r="962" spans="1:14" ht="15" customHeight="1" x14ac:dyDescent="0.25">
      <c r="A962" s="2" t="s">
        <v>75</v>
      </c>
      <c r="B962" s="17">
        <v>45673</v>
      </c>
      <c r="C962" s="2" t="s">
        <v>20</v>
      </c>
      <c r="D962" s="2" t="s">
        <v>25</v>
      </c>
      <c r="E962" s="2" t="s">
        <v>149</v>
      </c>
      <c r="F962" s="2" t="s">
        <v>156</v>
      </c>
      <c r="G962" s="2" t="s">
        <v>192</v>
      </c>
      <c r="H962" s="2" t="s">
        <v>152</v>
      </c>
      <c r="I962" s="2" t="s">
        <v>153</v>
      </c>
      <c r="J962" s="17">
        <v>45675</v>
      </c>
      <c r="K962" s="17"/>
      <c r="L962" s="17"/>
      <c r="M962" s="17">
        <v>45693</v>
      </c>
      <c r="N962" s="18" t="s">
        <v>2971</v>
      </c>
    </row>
    <row r="963" spans="1:14" ht="15" customHeight="1" x14ac:dyDescent="0.25">
      <c r="A963" s="2" t="s">
        <v>1105</v>
      </c>
      <c r="B963" s="17">
        <v>45954</v>
      </c>
      <c r="C963" s="2" t="s">
        <v>18</v>
      </c>
      <c r="D963" s="2" t="s">
        <v>28</v>
      </c>
      <c r="E963" s="2" t="s">
        <v>160</v>
      </c>
      <c r="F963" s="2" t="s">
        <v>161</v>
      </c>
      <c r="G963" s="2" t="s">
        <v>201</v>
      </c>
      <c r="H963" s="2" t="s">
        <v>152</v>
      </c>
      <c r="I963" s="2" t="s">
        <v>153</v>
      </c>
      <c r="J963" s="17">
        <v>45955</v>
      </c>
      <c r="K963" s="17">
        <v>45962</v>
      </c>
      <c r="L963" s="17"/>
      <c r="M963" s="17">
        <v>45989</v>
      </c>
      <c r="N963" s="18">
        <v>1834.77</v>
      </c>
    </row>
    <row r="964" spans="1:14" ht="15" customHeight="1" x14ac:dyDescent="0.25">
      <c r="A964" s="2" t="s">
        <v>1106</v>
      </c>
      <c r="B964" s="17">
        <v>45978</v>
      </c>
      <c r="C964" s="2" t="s">
        <v>22</v>
      </c>
      <c r="D964" s="2" t="s">
        <v>28</v>
      </c>
      <c r="E964" s="2" t="s">
        <v>149</v>
      </c>
      <c r="F964" s="2" t="s">
        <v>150</v>
      </c>
      <c r="G964" s="2" t="s">
        <v>165</v>
      </c>
      <c r="H964" s="2" t="s">
        <v>152</v>
      </c>
      <c r="I964" s="2" t="s">
        <v>163</v>
      </c>
      <c r="J964" s="17"/>
      <c r="K964" s="17"/>
      <c r="L964" s="17"/>
      <c r="M964" s="17">
        <v>45988</v>
      </c>
      <c r="N964" s="18">
        <v>7000.23</v>
      </c>
    </row>
    <row r="965" spans="1:14" ht="15" customHeight="1" x14ac:dyDescent="0.25">
      <c r="A965" s="2" t="s">
        <v>1107</v>
      </c>
      <c r="B965" s="17">
        <v>45944</v>
      </c>
      <c r="C965" s="2" t="s">
        <v>20</v>
      </c>
      <c r="D965" s="2" t="s">
        <v>24</v>
      </c>
      <c r="E965" s="2" t="s">
        <v>186</v>
      </c>
      <c r="F965" s="2" t="s">
        <v>156</v>
      </c>
      <c r="G965" s="2" t="s">
        <v>192</v>
      </c>
      <c r="H965" s="2" t="s">
        <v>152</v>
      </c>
      <c r="I965" s="2" t="s">
        <v>153</v>
      </c>
      <c r="J965" s="17">
        <v>45949</v>
      </c>
      <c r="K965" s="17"/>
      <c r="L965" s="17"/>
      <c r="M965" s="17">
        <v>45965</v>
      </c>
      <c r="N965" s="18">
        <v>543.04999999999995</v>
      </c>
    </row>
    <row r="966" spans="1:14" ht="15" customHeight="1" x14ac:dyDescent="0.25">
      <c r="A966" s="2" t="s">
        <v>1108</v>
      </c>
      <c r="B966" s="17">
        <v>45710</v>
      </c>
      <c r="C966" s="2" t="s">
        <v>20</v>
      </c>
      <c r="D966" s="2" t="s">
        <v>25</v>
      </c>
      <c r="E966" s="2" t="s">
        <v>149</v>
      </c>
      <c r="F966" s="2" t="s">
        <v>161</v>
      </c>
      <c r="G966" s="2" t="s">
        <v>192</v>
      </c>
      <c r="H966" s="2" t="s">
        <v>152</v>
      </c>
      <c r="I966" s="2" t="s">
        <v>153</v>
      </c>
      <c r="J966" s="17">
        <v>45716</v>
      </c>
      <c r="K966" s="17">
        <v>45728</v>
      </c>
      <c r="L966" s="17"/>
      <c r="M966" s="17">
        <v>45743</v>
      </c>
      <c r="N966" s="18">
        <v>2044.27</v>
      </c>
    </row>
    <row r="967" spans="1:14" ht="15" customHeight="1" x14ac:dyDescent="0.25">
      <c r="A967" s="2" t="s">
        <v>1109</v>
      </c>
      <c r="B967" s="17">
        <v>45817</v>
      </c>
      <c r="C967" s="2" t="s">
        <v>18</v>
      </c>
      <c r="D967" s="2" t="s">
        <v>25</v>
      </c>
      <c r="E967" s="2" t="s">
        <v>149</v>
      </c>
      <c r="F967" s="2" t="s">
        <v>156</v>
      </c>
      <c r="G967" s="2" t="s">
        <v>157</v>
      </c>
      <c r="H967" s="2" t="s">
        <v>2</v>
      </c>
      <c r="I967" s="2" t="s">
        <v>153</v>
      </c>
      <c r="J967" s="17">
        <v>45822</v>
      </c>
      <c r="K967" s="17">
        <v>45836</v>
      </c>
      <c r="L967" s="17">
        <v>45839</v>
      </c>
      <c r="M967" s="17"/>
      <c r="N967" s="18">
        <v>1021.18</v>
      </c>
    </row>
    <row r="968" spans="1:14" ht="15" customHeight="1" x14ac:dyDescent="0.25">
      <c r="A968" s="2" t="s">
        <v>1110</v>
      </c>
      <c r="B968" s="17">
        <v>45870</v>
      </c>
      <c r="C968" s="2" t="s">
        <v>21</v>
      </c>
      <c r="D968" s="2" t="s">
        <v>26</v>
      </c>
      <c r="E968" s="2" t="s">
        <v>160</v>
      </c>
      <c r="F968" s="2" t="s">
        <v>161</v>
      </c>
      <c r="G968" s="2" t="s">
        <v>183</v>
      </c>
      <c r="H968" s="2" t="s">
        <v>152</v>
      </c>
      <c r="I968" s="2" t="s">
        <v>163</v>
      </c>
      <c r="J968" s="17"/>
      <c r="K968" s="17"/>
      <c r="L968" s="17"/>
      <c r="M968" s="17">
        <v>45879</v>
      </c>
      <c r="N968" s="18">
        <v>2307.48</v>
      </c>
    </row>
    <row r="969" spans="1:14" ht="15" customHeight="1" x14ac:dyDescent="0.25">
      <c r="A969" s="2" t="s">
        <v>1111</v>
      </c>
      <c r="B969" s="17">
        <v>45970</v>
      </c>
      <c r="C969" s="2" t="s">
        <v>20</v>
      </c>
      <c r="D969" s="2" t="s">
        <v>28</v>
      </c>
      <c r="E969" s="2" t="s">
        <v>155</v>
      </c>
      <c r="F969" s="2" t="s">
        <v>150</v>
      </c>
      <c r="G969" s="2" t="s">
        <v>189</v>
      </c>
      <c r="H969" s="2" t="s">
        <v>152</v>
      </c>
      <c r="I969" s="2" t="s">
        <v>153</v>
      </c>
      <c r="J969" s="17">
        <v>45976</v>
      </c>
      <c r="K969" s="17"/>
      <c r="L969" s="17"/>
      <c r="M969" s="17">
        <v>45983</v>
      </c>
      <c r="N969" s="18">
        <v>4896.0200000000004</v>
      </c>
    </row>
    <row r="970" spans="1:14" ht="15" customHeight="1" x14ac:dyDescent="0.25">
      <c r="A970" s="2" t="s">
        <v>1112</v>
      </c>
      <c r="B970" s="17">
        <v>45931</v>
      </c>
      <c r="C970" s="2" t="s">
        <v>20</v>
      </c>
      <c r="D970" s="2" t="s">
        <v>25</v>
      </c>
      <c r="E970" s="2" t="s">
        <v>186</v>
      </c>
      <c r="F970" s="2" t="s">
        <v>161</v>
      </c>
      <c r="G970" s="2" t="s">
        <v>192</v>
      </c>
      <c r="H970" s="2" t="s">
        <v>152</v>
      </c>
      <c r="I970" s="2" t="s">
        <v>153</v>
      </c>
      <c r="J970" s="17">
        <v>45935</v>
      </c>
      <c r="K970" s="17">
        <v>45949</v>
      </c>
      <c r="L970" s="17"/>
      <c r="M970" s="17">
        <v>45957</v>
      </c>
      <c r="N970" s="18">
        <v>2064.21</v>
      </c>
    </row>
    <row r="971" spans="1:14" ht="15" customHeight="1" x14ac:dyDescent="0.25">
      <c r="A971" s="2" t="s">
        <v>1113</v>
      </c>
      <c r="B971" s="17">
        <v>45686</v>
      </c>
      <c r="C971" s="2" t="s">
        <v>20</v>
      </c>
      <c r="D971" s="2" t="s">
        <v>28</v>
      </c>
      <c r="E971" s="2" t="s">
        <v>160</v>
      </c>
      <c r="F971" s="2" t="s">
        <v>161</v>
      </c>
      <c r="G971" s="2" t="s">
        <v>167</v>
      </c>
      <c r="H971" s="2" t="s">
        <v>152</v>
      </c>
      <c r="I971" s="2" t="s">
        <v>153</v>
      </c>
      <c r="J971" s="17">
        <v>45691</v>
      </c>
      <c r="K971" s="17">
        <v>45702</v>
      </c>
      <c r="L971" s="17"/>
      <c r="M971" s="17">
        <v>45736</v>
      </c>
      <c r="N971" s="18">
        <v>3261.87</v>
      </c>
    </row>
    <row r="972" spans="1:14" ht="15" customHeight="1" x14ac:dyDescent="0.25">
      <c r="A972" s="2" t="s">
        <v>1114</v>
      </c>
      <c r="B972" s="17">
        <v>45706</v>
      </c>
      <c r="C972" s="2" t="s">
        <v>20</v>
      </c>
      <c r="D972" s="2" t="s">
        <v>28</v>
      </c>
      <c r="E972" s="2" t="s">
        <v>149</v>
      </c>
      <c r="F972" s="2" t="s">
        <v>156</v>
      </c>
      <c r="G972" s="2" t="s">
        <v>192</v>
      </c>
      <c r="H972" s="2" t="s">
        <v>2</v>
      </c>
      <c r="I972" s="2" t="s">
        <v>153</v>
      </c>
      <c r="J972" s="17">
        <v>45713</v>
      </c>
      <c r="K972" s="17">
        <v>45727</v>
      </c>
      <c r="L972" s="17">
        <v>45748</v>
      </c>
      <c r="M972" s="17"/>
      <c r="N972" s="18">
        <v>831.9</v>
      </c>
    </row>
    <row r="973" spans="1:14" ht="15" customHeight="1" x14ac:dyDescent="0.25">
      <c r="A973" s="2" t="s">
        <v>1115</v>
      </c>
      <c r="B973" s="17">
        <v>45825</v>
      </c>
      <c r="C973" s="2" t="s">
        <v>18</v>
      </c>
      <c r="D973" s="2" t="s">
        <v>25</v>
      </c>
      <c r="E973" s="2" t="s">
        <v>149</v>
      </c>
      <c r="F973" s="2" t="s">
        <v>156</v>
      </c>
      <c r="G973" s="2" t="s">
        <v>157</v>
      </c>
      <c r="H973" s="2" t="s">
        <v>152</v>
      </c>
      <c r="I973" s="2" t="s">
        <v>153</v>
      </c>
      <c r="J973" s="17">
        <v>45827</v>
      </c>
      <c r="K973" s="17">
        <v>45835</v>
      </c>
      <c r="L973" s="17"/>
      <c r="M973" s="17">
        <v>45858</v>
      </c>
      <c r="N973" s="18">
        <v>1110.3499999999999</v>
      </c>
    </row>
    <row r="974" spans="1:14" ht="15" customHeight="1" x14ac:dyDescent="0.25">
      <c r="A974" s="2" t="s">
        <v>1116</v>
      </c>
      <c r="B974" s="17">
        <v>45802</v>
      </c>
      <c r="C974" s="2" t="s">
        <v>22</v>
      </c>
      <c r="D974" s="2" t="s">
        <v>24</v>
      </c>
      <c r="E974" s="2" t="s">
        <v>155</v>
      </c>
      <c r="F974" s="2" t="s">
        <v>156</v>
      </c>
      <c r="G974" s="2" t="s">
        <v>170</v>
      </c>
      <c r="H974" s="2" t="s">
        <v>152</v>
      </c>
      <c r="I974" s="2" t="s">
        <v>163</v>
      </c>
      <c r="J974" s="17"/>
      <c r="K974" s="17"/>
      <c r="L974" s="17"/>
      <c r="M974" s="17">
        <v>45818</v>
      </c>
      <c r="N974" s="18">
        <v>379.91</v>
      </c>
    </row>
    <row r="975" spans="1:14" ht="15" customHeight="1" x14ac:dyDescent="0.25">
      <c r="A975" s="2" t="s">
        <v>1117</v>
      </c>
      <c r="B975" s="17">
        <v>45997</v>
      </c>
      <c r="C975" s="2" t="s">
        <v>21</v>
      </c>
      <c r="D975" s="2" t="s">
        <v>25</v>
      </c>
      <c r="E975" s="2" t="s">
        <v>155</v>
      </c>
      <c r="F975" s="2" t="s">
        <v>150</v>
      </c>
      <c r="G975" s="2" t="s">
        <v>176</v>
      </c>
      <c r="H975" s="2" t="s">
        <v>152</v>
      </c>
      <c r="I975" s="2" t="s">
        <v>163</v>
      </c>
      <c r="J975" s="17"/>
      <c r="K975" s="17"/>
      <c r="L975" s="17"/>
      <c r="M975" s="17">
        <v>46015</v>
      </c>
      <c r="N975" s="18">
        <v>3974.76</v>
      </c>
    </row>
    <row r="976" spans="1:14" ht="15" customHeight="1" x14ac:dyDescent="0.25">
      <c r="A976" s="2" t="s">
        <v>61</v>
      </c>
      <c r="B976" s="17">
        <v>45762</v>
      </c>
      <c r="C976" s="2" t="s">
        <v>19</v>
      </c>
      <c r="E976" s="2" t="s">
        <v>149</v>
      </c>
      <c r="F976" s="2" t="s">
        <v>161</v>
      </c>
      <c r="G976" s="2" t="s">
        <v>210</v>
      </c>
      <c r="H976" s="2" t="s">
        <v>2</v>
      </c>
      <c r="I976" s="2" t="s">
        <v>153</v>
      </c>
      <c r="J976" s="17">
        <v>45766</v>
      </c>
      <c r="K976" s="17">
        <v>45777</v>
      </c>
      <c r="L976" s="17">
        <v>45787</v>
      </c>
      <c r="M976" s="17"/>
      <c r="N976" s="18">
        <v>2695.93</v>
      </c>
    </row>
    <row r="977" spans="1:14" ht="15" customHeight="1" x14ac:dyDescent="0.25">
      <c r="A977" s="2" t="s">
        <v>1118</v>
      </c>
      <c r="B977" s="17">
        <v>46006</v>
      </c>
      <c r="C977" s="2" t="s">
        <v>22</v>
      </c>
      <c r="D977" s="2" t="s">
        <v>24</v>
      </c>
      <c r="E977" s="2" t="s">
        <v>160</v>
      </c>
      <c r="F977" s="2" t="s">
        <v>156</v>
      </c>
      <c r="G977" s="2" t="s">
        <v>170</v>
      </c>
      <c r="H977" s="2" t="s">
        <v>190</v>
      </c>
      <c r="I977" s="2" t="s">
        <v>163</v>
      </c>
      <c r="J977" s="17"/>
      <c r="K977" s="17"/>
      <c r="L977" s="17"/>
      <c r="M977" s="17"/>
      <c r="N977" s="18">
        <v>1009</v>
      </c>
    </row>
    <row r="978" spans="1:14" ht="15" customHeight="1" x14ac:dyDescent="0.25">
      <c r="A978" s="2" t="s">
        <v>1119</v>
      </c>
      <c r="B978" s="17">
        <v>46004</v>
      </c>
      <c r="C978" s="2" t="s">
        <v>18</v>
      </c>
      <c r="D978" s="2" t="s">
        <v>25</v>
      </c>
      <c r="E978" s="2" t="s">
        <v>186</v>
      </c>
      <c r="F978" s="2" t="s">
        <v>156</v>
      </c>
      <c r="G978" s="2" t="s">
        <v>251</v>
      </c>
      <c r="H978" s="2" t="s">
        <v>158</v>
      </c>
      <c r="I978" s="2" t="s">
        <v>153</v>
      </c>
      <c r="J978" s="17">
        <v>46013</v>
      </c>
      <c r="K978" s="17">
        <v>46024</v>
      </c>
      <c r="L978" s="17"/>
      <c r="M978" s="17"/>
      <c r="N978" s="18">
        <v>491.3</v>
      </c>
    </row>
    <row r="979" spans="1:14" ht="15" customHeight="1" x14ac:dyDescent="0.25">
      <c r="A979" s="2" t="s">
        <v>1120</v>
      </c>
      <c r="B979" s="17">
        <v>46014</v>
      </c>
      <c r="C979" s="2" t="s">
        <v>19</v>
      </c>
      <c r="D979" s="2" t="s">
        <v>28</v>
      </c>
      <c r="E979" s="2" t="s">
        <v>155</v>
      </c>
      <c r="F979" s="2" t="s">
        <v>156</v>
      </c>
      <c r="G979" s="2" t="s">
        <v>210</v>
      </c>
      <c r="H979" s="2" t="s">
        <v>190</v>
      </c>
      <c r="I979" s="2" t="s">
        <v>163</v>
      </c>
      <c r="J979" s="17"/>
      <c r="K979" s="17"/>
      <c r="L979" s="17"/>
      <c r="M979" s="17"/>
      <c r="N979" s="18">
        <v>462.57</v>
      </c>
    </row>
    <row r="980" spans="1:14" ht="15" customHeight="1" x14ac:dyDescent="0.25">
      <c r="A980" s="2" t="s">
        <v>1121</v>
      </c>
      <c r="B980" s="17">
        <v>45983</v>
      </c>
      <c r="C980" s="2" t="s">
        <v>21</v>
      </c>
      <c r="D980" s="2" t="s">
        <v>25</v>
      </c>
      <c r="E980" s="2" t="s">
        <v>160</v>
      </c>
      <c r="F980" s="2" t="s">
        <v>156</v>
      </c>
      <c r="G980" s="2" t="s">
        <v>162</v>
      </c>
      <c r="H980" s="2" t="s">
        <v>2</v>
      </c>
      <c r="I980" s="2" t="s">
        <v>153</v>
      </c>
      <c r="J980" s="17">
        <v>45989</v>
      </c>
      <c r="K980" s="17">
        <v>45995</v>
      </c>
      <c r="L980" s="17">
        <v>46002</v>
      </c>
      <c r="M980" s="17"/>
      <c r="N980" s="18">
        <v>745.34</v>
      </c>
    </row>
    <row r="981" spans="1:14" ht="15" customHeight="1" x14ac:dyDescent="0.25">
      <c r="A981" s="2" t="s">
        <v>1122</v>
      </c>
      <c r="B981" s="17">
        <v>45745</v>
      </c>
      <c r="C981" s="2" t="s">
        <v>19</v>
      </c>
      <c r="D981" s="2" t="s">
        <v>26</v>
      </c>
      <c r="E981" s="2" t="s">
        <v>149</v>
      </c>
      <c r="F981" s="2" t="s">
        <v>156</v>
      </c>
      <c r="G981" s="2" t="s">
        <v>179</v>
      </c>
      <c r="H981" s="2" t="s">
        <v>152</v>
      </c>
      <c r="I981" s="2" t="s">
        <v>153</v>
      </c>
      <c r="J981" s="17">
        <v>45755</v>
      </c>
      <c r="K981" s="17">
        <v>45767</v>
      </c>
      <c r="L981" s="17"/>
      <c r="M981" s="17">
        <v>45787</v>
      </c>
      <c r="N981" s="18">
        <v>998.76</v>
      </c>
    </row>
    <row r="982" spans="1:14" ht="15" customHeight="1" x14ac:dyDescent="0.25">
      <c r="A982" s="2" t="s">
        <v>1123</v>
      </c>
      <c r="B982" s="17">
        <v>45742</v>
      </c>
      <c r="C982" s="2" t="s">
        <v>2961</v>
      </c>
      <c r="D982" s="2" t="s">
        <v>27</v>
      </c>
      <c r="E982" s="2" t="s">
        <v>149</v>
      </c>
      <c r="F982" s="2" t="s">
        <v>150</v>
      </c>
      <c r="G982" s="2" t="s">
        <v>170</v>
      </c>
      <c r="H982" s="2" t="s">
        <v>152</v>
      </c>
      <c r="I982" s="2" t="s">
        <v>153</v>
      </c>
      <c r="J982" s="17">
        <v>45746</v>
      </c>
      <c r="K982" s="17"/>
      <c r="L982" s="17"/>
      <c r="M982" s="17">
        <v>45752</v>
      </c>
      <c r="N982" s="18">
        <v>8007.05</v>
      </c>
    </row>
    <row r="983" spans="1:14" ht="15" customHeight="1" x14ac:dyDescent="0.25">
      <c r="A983" s="2" t="s">
        <v>1124</v>
      </c>
      <c r="B983" s="17">
        <v>45810</v>
      </c>
      <c r="C983" s="2" t="s">
        <v>20</v>
      </c>
      <c r="D983" s="2" t="s">
        <v>24</v>
      </c>
      <c r="E983" s="2" t="s">
        <v>186</v>
      </c>
      <c r="F983" s="2" t="s">
        <v>161</v>
      </c>
      <c r="G983" s="2" t="s">
        <v>167</v>
      </c>
      <c r="H983" s="2" t="s">
        <v>152</v>
      </c>
      <c r="I983" s="2" t="s">
        <v>153</v>
      </c>
      <c r="J983" s="17">
        <v>45812</v>
      </c>
      <c r="K983" s="17">
        <v>45827</v>
      </c>
      <c r="L983" s="17"/>
      <c r="M983" s="17">
        <v>45849</v>
      </c>
      <c r="N983" s="18">
        <v>1852.68</v>
      </c>
    </row>
    <row r="984" spans="1:14" ht="15" customHeight="1" x14ac:dyDescent="0.25">
      <c r="A984" s="2" t="s">
        <v>1125</v>
      </c>
      <c r="B984" s="17">
        <v>45773</v>
      </c>
      <c r="C984" s="2" t="s">
        <v>22</v>
      </c>
      <c r="D984" s="2" t="s">
        <v>25</v>
      </c>
      <c r="E984" s="2" t="s">
        <v>186</v>
      </c>
      <c r="F984" s="2" t="s">
        <v>150</v>
      </c>
      <c r="G984" s="2" t="s">
        <v>165</v>
      </c>
      <c r="H984" s="2" t="s">
        <v>152</v>
      </c>
      <c r="I984" s="2" t="s">
        <v>153</v>
      </c>
      <c r="J984" s="17">
        <v>45782</v>
      </c>
      <c r="K984" s="17">
        <v>45786</v>
      </c>
      <c r="L984" s="17"/>
      <c r="M984" s="17">
        <v>45821</v>
      </c>
      <c r="N984" s="18">
        <v>6722.4</v>
      </c>
    </row>
    <row r="985" spans="1:14" ht="15" customHeight="1" x14ac:dyDescent="0.25">
      <c r="A985" s="2" t="s">
        <v>1126</v>
      </c>
      <c r="B985" s="17">
        <v>45905</v>
      </c>
      <c r="C985" s="2" t="s">
        <v>22</v>
      </c>
      <c r="D985" s="2" t="s">
        <v>25</v>
      </c>
      <c r="E985" s="2" t="s">
        <v>149</v>
      </c>
      <c r="F985" s="2" t="s">
        <v>156</v>
      </c>
      <c r="G985" s="2" t="s">
        <v>165</v>
      </c>
      <c r="H985" s="2" t="s">
        <v>152</v>
      </c>
      <c r="I985" s="2" t="s">
        <v>153</v>
      </c>
      <c r="J985" s="17">
        <v>45912</v>
      </c>
      <c r="K985" s="17"/>
      <c r="L985" s="17"/>
      <c r="M985" s="17">
        <v>45932</v>
      </c>
      <c r="N985" s="18">
        <v>889.41</v>
      </c>
    </row>
    <row r="986" spans="1:14" ht="15" customHeight="1" x14ac:dyDescent="0.25">
      <c r="A986" s="2" t="s">
        <v>1127</v>
      </c>
      <c r="B986" s="17">
        <v>45828</v>
      </c>
      <c r="C986" s="2" t="s">
        <v>22</v>
      </c>
      <c r="D986" s="2" t="s">
        <v>25</v>
      </c>
      <c r="E986" s="2" t="s">
        <v>149</v>
      </c>
      <c r="F986" s="2" t="s">
        <v>156</v>
      </c>
      <c r="G986" s="2" t="s">
        <v>151</v>
      </c>
      <c r="H986" s="2" t="s">
        <v>152</v>
      </c>
      <c r="I986" s="2" t="s">
        <v>163</v>
      </c>
      <c r="J986" s="17"/>
      <c r="K986" s="17"/>
      <c r="L986" s="17"/>
      <c r="M986" s="17">
        <v>45846</v>
      </c>
      <c r="N986" s="18">
        <v>1079.8599999999999</v>
      </c>
    </row>
    <row r="987" spans="1:14" ht="15" customHeight="1" x14ac:dyDescent="0.25">
      <c r="A987" s="2" t="s">
        <v>1128</v>
      </c>
      <c r="B987" s="17">
        <v>45989</v>
      </c>
      <c r="C987" s="2" t="s">
        <v>22</v>
      </c>
      <c r="D987" s="2" t="s">
        <v>25</v>
      </c>
      <c r="E987" s="2" t="s">
        <v>149</v>
      </c>
      <c r="F987" s="2" t="s">
        <v>150</v>
      </c>
      <c r="G987" s="2" t="s">
        <v>170</v>
      </c>
      <c r="H987" s="2" t="s">
        <v>15</v>
      </c>
      <c r="I987" s="2" t="s">
        <v>153</v>
      </c>
      <c r="J987" s="17">
        <v>45999</v>
      </c>
      <c r="K987" s="17"/>
      <c r="L987" s="17"/>
      <c r="M987" s="17"/>
      <c r="N987" s="18">
        <v>7258.69</v>
      </c>
    </row>
    <row r="988" spans="1:14" ht="15" customHeight="1" x14ac:dyDescent="0.25">
      <c r="A988" s="2" t="s">
        <v>1129</v>
      </c>
      <c r="B988" s="17">
        <v>45973</v>
      </c>
      <c r="C988" s="2" t="s">
        <v>22</v>
      </c>
      <c r="D988" s="2" t="s">
        <v>28</v>
      </c>
      <c r="E988" s="2" t="s">
        <v>149</v>
      </c>
      <c r="F988" s="2" t="s">
        <v>156</v>
      </c>
      <c r="G988" s="2" t="s">
        <v>151</v>
      </c>
      <c r="H988" s="2" t="s">
        <v>2</v>
      </c>
      <c r="I988" s="2" t="s">
        <v>153</v>
      </c>
      <c r="J988" s="17">
        <v>45981</v>
      </c>
      <c r="K988" s="17">
        <v>45993</v>
      </c>
      <c r="L988" s="17">
        <v>46008</v>
      </c>
      <c r="M988" s="17"/>
      <c r="N988" s="18">
        <v>957.64</v>
      </c>
    </row>
    <row r="989" spans="1:14" ht="15" customHeight="1" x14ac:dyDescent="0.25">
      <c r="A989" s="2" t="s">
        <v>1130</v>
      </c>
      <c r="B989" s="17">
        <v>45965</v>
      </c>
      <c r="C989" s="2" t="s">
        <v>22</v>
      </c>
      <c r="D989" s="2" t="s">
        <v>28</v>
      </c>
      <c r="E989" s="2" t="s">
        <v>149</v>
      </c>
      <c r="F989" s="2" t="s">
        <v>156</v>
      </c>
      <c r="G989" s="2" t="s">
        <v>151</v>
      </c>
      <c r="H989" s="2" t="s">
        <v>152</v>
      </c>
      <c r="I989" s="2" t="s">
        <v>163</v>
      </c>
      <c r="J989" s="17"/>
      <c r="K989" s="17"/>
      <c r="L989" s="17"/>
      <c r="M989" s="17">
        <v>45979</v>
      </c>
      <c r="N989" s="18">
        <v>1032.46</v>
      </c>
    </row>
    <row r="990" spans="1:14" ht="15" customHeight="1" x14ac:dyDescent="0.25">
      <c r="A990" s="2" t="s">
        <v>1131</v>
      </c>
      <c r="B990" s="17">
        <v>45666</v>
      </c>
      <c r="C990" s="2" t="s">
        <v>19</v>
      </c>
      <c r="D990" s="2" t="s">
        <v>25</v>
      </c>
      <c r="E990" s="2" t="s">
        <v>186</v>
      </c>
      <c r="F990" s="2" t="s">
        <v>156</v>
      </c>
      <c r="G990" s="2" t="s">
        <v>210</v>
      </c>
      <c r="H990" s="2" t="s">
        <v>2</v>
      </c>
      <c r="I990" s="2" t="s">
        <v>153</v>
      </c>
      <c r="J990" s="17">
        <v>45675</v>
      </c>
      <c r="K990" s="17">
        <v>45682</v>
      </c>
      <c r="L990" s="17">
        <v>45688</v>
      </c>
      <c r="M990" s="17"/>
      <c r="N990" s="18">
        <v>646.46</v>
      </c>
    </row>
    <row r="991" spans="1:14" ht="15" customHeight="1" x14ac:dyDescent="0.25">
      <c r="A991" s="2" t="s">
        <v>1132</v>
      </c>
      <c r="B991" s="17">
        <v>45749</v>
      </c>
      <c r="C991" s="2" t="s">
        <v>22</v>
      </c>
      <c r="D991" s="2" t="s">
        <v>24</v>
      </c>
      <c r="E991" s="2" t="s">
        <v>149</v>
      </c>
      <c r="F991" s="2" t="s">
        <v>161</v>
      </c>
      <c r="G991" s="2" t="s">
        <v>165</v>
      </c>
      <c r="H991" s="2" t="s">
        <v>152</v>
      </c>
      <c r="I991" s="2" t="s">
        <v>163</v>
      </c>
      <c r="J991" s="17"/>
      <c r="K991" s="17"/>
      <c r="L991" s="17"/>
      <c r="M991" s="17">
        <v>45768</v>
      </c>
      <c r="N991" s="18">
        <v>3383.81</v>
      </c>
    </row>
    <row r="992" spans="1:14" ht="15" customHeight="1" x14ac:dyDescent="0.25">
      <c r="A992" s="2" t="s">
        <v>1133</v>
      </c>
      <c r="B992" s="17">
        <v>45986</v>
      </c>
      <c r="C992" s="2" t="s">
        <v>22</v>
      </c>
      <c r="D992" s="2" t="s">
        <v>28</v>
      </c>
      <c r="E992" s="2" t="s">
        <v>160</v>
      </c>
      <c r="F992" s="2" t="s">
        <v>156</v>
      </c>
      <c r="G992" s="2" t="s">
        <v>151</v>
      </c>
      <c r="H992" s="2" t="s">
        <v>152</v>
      </c>
      <c r="I992" s="2" t="s">
        <v>163</v>
      </c>
      <c r="J992" s="17"/>
      <c r="K992" s="17"/>
      <c r="L992" s="17"/>
      <c r="M992" s="17">
        <v>45999</v>
      </c>
      <c r="N992" s="18">
        <v>858.23</v>
      </c>
    </row>
    <row r="993" spans="1:14" ht="15" customHeight="1" x14ac:dyDescent="0.25">
      <c r="A993" s="2" t="s">
        <v>1134</v>
      </c>
      <c r="B993" s="17">
        <v>45800</v>
      </c>
      <c r="C993" s="2" t="s">
        <v>18</v>
      </c>
      <c r="D993" s="2" t="s">
        <v>24</v>
      </c>
      <c r="E993" s="2" t="s">
        <v>160</v>
      </c>
      <c r="F993" s="2" t="s">
        <v>150</v>
      </c>
      <c r="G993" s="2" t="s">
        <v>201</v>
      </c>
      <c r="H993" s="2" t="s">
        <v>152</v>
      </c>
      <c r="I993" s="2" t="s">
        <v>153</v>
      </c>
      <c r="J993" s="17">
        <v>45810</v>
      </c>
      <c r="K993" s="17">
        <v>45817</v>
      </c>
      <c r="L993" s="17"/>
      <c r="M993" s="17">
        <v>45827</v>
      </c>
      <c r="N993" s="18">
        <v>9000.64</v>
      </c>
    </row>
    <row r="994" spans="1:14" ht="15" customHeight="1" x14ac:dyDescent="0.25">
      <c r="A994" s="2" t="s">
        <v>1135</v>
      </c>
      <c r="B994" s="17">
        <v>45915</v>
      </c>
      <c r="C994" s="2" t="s">
        <v>20</v>
      </c>
      <c r="D994" s="2" t="s">
        <v>26</v>
      </c>
      <c r="E994" s="2" t="s">
        <v>186</v>
      </c>
      <c r="F994" s="2" t="s">
        <v>161</v>
      </c>
      <c r="G994" s="2" t="s">
        <v>192</v>
      </c>
      <c r="H994" s="2" t="s">
        <v>152</v>
      </c>
      <c r="I994" s="2" t="s">
        <v>153</v>
      </c>
      <c r="J994" s="17">
        <v>45922</v>
      </c>
      <c r="K994" s="17"/>
      <c r="L994" s="17"/>
      <c r="M994" s="17">
        <v>45935</v>
      </c>
      <c r="N994" s="18">
        <v>2796.71</v>
      </c>
    </row>
    <row r="995" spans="1:14" ht="15" customHeight="1" x14ac:dyDescent="0.25">
      <c r="A995" s="2" t="s">
        <v>1136</v>
      </c>
      <c r="B995" s="17">
        <v>45696</v>
      </c>
      <c r="C995" s="2" t="s">
        <v>18</v>
      </c>
      <c r="D995" s="2" t="s">
        <v>24</v>
      </c>
      <c r="E995" s="2" t="s">
        <v>149</v>
      </c>
      <c r="F995" s="2" t="s">
        <v>156</v>
      </c>
      <c r="G995" s="2" t="s">
        <v>157</v>
      </c>
      <c r="H995" s="2" t="s">
        <v>152</v>
      </c>
      <c r="I995" s="2" t="s">
        <v>153</v>
      </c>
      <c r="J995" s="17">
        <v>45699</v>
      </c>
      <c r="K995" s="17">
        <v>45711</v>
      </c>
      <c r="L995" s="17"/>
      <c r="M995" s="17">
        <v>45737</v>
      </c>
      <c r="N995" s="18">
        <v>956.99</v>
      </c>
    </row>
    <row r="996" spans="1:14" ht="15" customHeight="1" x14ac:dyDescent="0.25">
      <c r="A996" s="2" t="s">
        <v>1137</v>
      </c>
      <c r="B996" s="17">
        <v>45726</v>
      </c>
      <c r="C996" s="2" t="s">
        <v>22</v>
      </c>
      <c r="D996" s="2" t="s">
        <v>28</v>
      </c>
      <c r="E996" s="2" t="s">
        <v>149</v>
      </c>
      <c r="F996" s="2" t="s">
        <v>156</v>
      </c>
      <c r="G996" s="2" t="s">
        <v>165</v>
      </c>
      <c r="H996" s="2" t="s">
        <v>152</v>
      </c>
      <c r="I996" s="2" t="s">
        <v>163</v>
      </c>
      <c r="J996" s="17"/>
      <c r="K996" s="17"/>
      <c r="L996" s="17"/>
      <c r="M996" s="17">
        <v>45746</v>
      </c>
      <c r="N996" s="18">
        <v>745.84</v>
      </c>
    </row>
    <row r="997" spans="1:14" ht="15" customHeight="1" x14ac:dyDescent="0.25">
      <c r="A997" s="2" t="s">
        <v>1138</v>
      </c>
      <c r="B997" s="17">
        <v>46010</v>
      </c>
      <c r="C997" s="2" t="s">
        <v>18</v>
      </c>
      <c r="D997" s="2" t="s">
        <v>25</v>
      </c>
      <c r="E997" s="2" t="s">
        <v>155</v>
      </c>
      <c r="F997" s="2" t="s">
        <v>156</v>
      </c>
      <c r="G997" s="2" t="s">
        <v>201</v>
      </c>
      <c r="H997" s="2" t="s">
        <v>2</v>
      </c>
      <c r="I997" s="2" t="s">
        <v>153</v>
      </c>
      <c r="J997" s="17">
        <v>46014</v>
      </c>
      <c r="K997" s="17">
        <v>46029</v>
      </c>
      <c r="L997" s="17">
        <v>46041</v>
      </c>
      <c r="M997" s="17"/>
      <c r="N997" s="18">
        <v>372.79</v>
      </c>
    </row>
    <row r="998" spans="1:14" ht="15" customHeight="1" x14ac:dyDescent="0.25">
      <c r="A998" s="2" t="s">
        <v>1139</v>
      </c>
      <c r="B998" s="17">
        <v>45752</v>
      </c>
      <c r="C998" s="2" t="s">
        <v>22</v>
      </c>
      <c r="D998" s="2" t="s">
        <v>24</v>
      </c>
      <c r="E998" s="2" t="s">
        <v>149</v>
      </c>
      <c r="F998" s="2" t="s">
        <v>156</v>
      </c>
      <c r="G998" s="2" t="s">
        <v>165</v>
      </c>
      <c r="H998" s="2" t="s">
        <v>152</v>
      </c>
      <c r="I998" s="2" t="s">
        <v>163</v>
      </c>
      <c r="J998" s="17"/>
      <c r="K998" s="17"/>
      <c r="L998" s="17"/>
      <c r="M998" s="17">
        <v>45772</v>
      </c>
      <c r="N998" s="18">
        <v>817.33</v>
      </c>
    </row>
    <row r="999" spans="1:14" ht="15" customHeight="1" x14ac:dyDescent="0.25">
      <c r="A999" s="2" t="s">
        <v>1140</v>
      </c>
      <c r="B999" s="17">
        <v>45795</v>
      </c>
      <c r="C999" s="2" t="s">
        <v>22</v>
      </c>
      <c r="D999" s="2" t="s">
        <v>24</v>
      </c>
      <c r="E999" s="2" t="s">
        <v>186</v>
      </c>
      <c r="F999" s="2" t="s">
        <v>156</v>
      </c>
      <c r="G999" s="2" t="s">
        <v>165</v>
      </c>
      <c r="H999" s="2" t="s">
        <v>152</v>
      </c>
      <c r="I999" s="2" t="s">
        <v>163</v>
      </c>
      <c r="J999" s="17"/>
      <c r="K999" s="17"/>
      <c r="L999" s="17"/>
      <c r="M999" s="17">
        <v>45804</v>
      </c>
      <c r="N999" s="18">
        <v>743.08</v>
      </c>
    </row>
    <row r="1000" spans="1:14" ht="15" customHeight="1" x14ac:dyDescent="0.25">
      <c r="A1000" s="2" t="s">
        <v>1141</v>
      </c>
      <c r="B1000" s="17">
        <v>45797</v>
      </c>
      <c r="C1000" s="2" t="s">
        <v>19</v>
      </c>
      <c r="D1000" s="2" t="s">
        <v>27</v>
      </c>
      <c r="E1000" s="2" t="s">
        <v>155</v>
      </c>
      <c r="F1000" s="2" t="s">
        <v>156</v>
      </c>
      <c r="G1000" s="2" t="s">
        <v>207</v>
      </c>
      <c r="H1000" s="2" t="s">
        <v>2</v>
      </c>
      <c r="I1000" s="2" t="s">
        <v>153</v>
      </c>
      <c r="J1000" s="17">
        <v>45798</v>
      </c>
      <c r="K1000" s="17">
        <v>45803</v>
      </c>
      <c r="L1000" s="17">
        <v>45833</v>
      </c>
      <c r="M1000" s="17"/>
      <c r="N1000" s="18">
        <v>514.66999999999996</v>
      </c>
    </row>
    <row r="1001" spans="1:14" ht="15" customHeight="1" x14ac:dyDescent="0.25">
      <c r="A1001" s="2" t="s">
        <v>1142</v>
      </c>
      <c r="B1001" s="17">
        <v>45892</v>
      </c>
      <c r="C1001" s="2" t="s">
        <v>21</v>
      </c>
      <c r="D1001" s="2" t="s">
        <v>25</v>
      </c>
      <c r="E1001" s="2" t="s">
        <v>160</v>
      </c>
      <c r="F1001" s="2" t="s">
        <v>156</v>
      </c>
      <c r="G1001" s="2" t="s">
        <v>162</v>
      </c>
      <c r="H1001" s="2" t="s">
        <v>152</v>
      </c>
      <c r="I1001" s="2" t="s">
        <v>163</v>
      </c>
      <c r="J1001" s="17"/>
      <c r="K1001" s="17"/>
      <c r="L1001" s="17"/>
      <c r="M1001" s="17">
        <v>45904</v>
      </c>
      <c r="N1001" s="18">
        <v>816.78</v>
      </c>
    </row>
    <row r="1002" spans="1:14" ht="15" customHeight="1" x14ac:dyDescent="0.25">
      <c r="A1002" s="2" t="s">
        <v>1143</v>
      </c>
      <c r="B1002" s="17">
        <v>45983</v>
      </c>
      <c r="C1002" s="2" t="s">
        <v>18</v>
      </c>
      <c r="D1002" s="2" t="s">
        <v>28</v>
      </c>
      <c r="E1002" s="2" t="s">
        <v>149</v>
      </c>
      <c r="F1002" s="2" t="s">
        <v>156</v>
      </c>
      <c r="G1002" s="2" t="s">
        <v>201</v>
      </c>
      <c r="H1002" s="2" t="s">
        <v>152</v>
      </c>
      <c r="I1002" s="2" t="s">
        <v>153</v>
      </c>
      <c r="J1002" s="17">
        <v>45984</v>
      </c>
      <c r="K1002" s="17">
        <v>45997</v>
      </c>
      <c r="L1002" s="17"/>
      <c r="M1002" s="17">
        <v>46010</v>
      </c>
      <c r="N1002" s="18">
        <v>869.43</v>
      </c>
    </row>
    <row r="1003" spans="1:14" ht="15" customHeight="1" x14ac:dyDescent="0.25">
      <c r="A1003" s="2" t="s">
        <v>1144</v>
      </c>
      <c r="B1003" s="17">
        <v>45720</v>
      </c>
      <c r="C1003" s="2" t="s">
        <v>20</v>
      </c>
      <c r="D1003" s="2" t="s">
        <v>24</v>
      </c>
      <c r="E1003" s="2" t="s">
        <v>155</v>
      </c>
      <c r="F1003" s="2" t="s">
        <v>156</v>
      </c>
      <c r="G1003" s="2" t="s">
        <v>189</v>
      </c>
      <c r="H1003" s="2" t="s">
        <v>152</v>
      </c>
      <c r="I1003" s="2" t="s">
        <v>163</v>
      </c>
      <c r="J1003" s="17"/>
      <c r="K1003" s="17"/>
      <c r="L1003" s="17"/>
      <c r="M1003" s="17">
        <v>45734</v>
      </c>
      <c r="N1003" s="18">
        <v>500.51</v>
      </c>
    </row>
    <row r="1004" spans="1:14" ht="15" customHeight="1" x14ac:dyDescent="0.25">
      <c r="A1004" s="2" t="s">
        <v>44</v>
      </c>
      <c r="B1004" s="17">
        <v>45918</v>
      </c>
      <c r="C1004" s="2" t="s">
        <v>20</v>
      </c>
      <c r="D1004" s="2" t="s">
        <v>28</v>
      </c>
      <c r="E1004" s="2" t="s">
        <v>155</v>
      </c>
      <c r="F1004" s="2" t="s">
        <v>161</v>
      </c>
      <c r="G1004" s="2" t="s">
        <v>167</v>
      </c>
      <c r="H1004" s="2" t="s">
        <v>152</v>
      </c>
      <c r="I1004" s="2" t="s">
        <v>153</v>
      </c>
      <c r="J1004" s="17">
        <v>45928</v>
      </c>
      <c r="K1004" s="17">
        <v>45936</v>
      </c>
      <c r="L1004" s="17"/>
      <c r="M1004" s="17">
        <v>45971</v>
      </c>
      <c r="N1004" s="18">
        <v>1375.65</v>
      </c>
    </row>
    <row r="1005" spans="1:14" ht="15" customHeight="1" x14ac:dyDescent="0.25">
      <c r="A1005" s="2" t="s">
        <v>45</v>
      </c>
      <c r="B1005" s="17">
        <v>45740</v>
      </c>
      <c r="C1005" s="2" t="s">
        <v>20</v>
      </c>
      <c r="D1005" s="2" t="s">
        <v>2972</v>
      </c>
      <c r="E1005" s="2" t="s">
        <v>149</v>
      </c>
      <c r="F1005" s="2" t="s">
        <v>161</v>
      </c>
      <c r="G1005" s="2" t="s">
        <v>167</v>
      </c>
      <c r="H1005" s="2" t="s">
        <v>152</v>
      </c>
      <c r="I1005" s="2" t="s">
        <v>153</v>
      </c>
      <c r="J1005" s="17">
        <v>45747</v>
      </c>
      <c r="K1005" s="17">
        <v>45757</v>
      </c>
      <c r="L1005" s="17"/>
      <c r="M1005" s="17">
        <v>45773</v>
      </c>
      <c r="N1005" s="18">
        <v>2821.6</v>
      </c>
    </row>
    <row r="1006" spans="1:14" ht="15" customHeight="1" x14ac:dyDescent="0.25">
      <c r="A1006" s="2" t="s">
        <v>46</v>
      </c>
      <c r="B1006" s="17">
        <v>45731</v>
      </c>
      <c r="C1006" s="2" t="s">
        <v>22</v>
      </c>
      <c r="D1006" s="2" t="s">
        <v>2973</v>
      </c>
      <c r="E1006" s="2" t="s">
        <v>160</v>
      </c>
      <c r="F1006" s="2" t="s">
        <v>161</v>
      </c>
      <c r="G1006" s="2" t="s">
        <v>165</v>
      </c>
      <c r="H1006" s="2" t="s">
        <v>152</v>
      </c>
      <c r="I1006" s="2" t="s">
        <v>163</v>
      </c>
      <c r="J1006" s="17"/>
      <c r="K1006" s="17"/>
      <c r="L1006" s="17"/>
      <c r="M1006" s="17">
        <v>45745</v>
      </c>
      <c r="N1006" s="18">
        <v>2089.17</v>
      </c>
    </row>
    <row r="1007" spans="1:14" ht="15" customHeight="1" x14ac:dyDescent="0.25">
      <c r="A1007" s="2" t="s">
        <v>47</v>
      </c>
      <c r="B1007" s="17">
        <v>45711</v>
      </c>
      <c r="C1007" s="2" t="s">
        <v>19</v>
      </c>
      <c r="D1007" s="2" t="s">
        <v>27</v>
      </c>
      <c r="E1007" s="2" t="s">
        <v>186</v>
      </c>
      <c r="F1007" s="2" t="s">
        <v>156</v>
      </c>
      <c r="G1007" s="2" t="s">
        <v>179</v>
      </c>
      <c r="H1007" s="2" t="s">
        <v>152</v>
      </c>
      <c r="I1007" s="2" t="s">
        <v>153</v>
      </c>
      <c r="J1007" s="17">
        <v>45712</v>
      </c>
      <c r="K1007" s="17"/>
      <c r="L1007" s="17"/>
      <c r="M1007" s="17">
        <v>45734</v>
      </c>
      <c r="N1007" s="18">
        <v>611.49</v>
      </c>
    </row>
    <row r="1008" spans="1:14" ht="15" customHeight="1" x14ac:dyDescent="0.25">
      <c r="A1008" s="2" t="s">
        <v>48</v>
      </c>
      <c r="B1008" s="17">
        <v>45739</v>
      </c>
      <c r="C1008" s="2" t="s">
        <v>19</v>
      </c>
      <c r="D1008" s="2" t="s">
        <v>2972</v>
      </c>
      <c r="E1008" s="2" t="s">
        <v>160</v>
      </c>
      <c r="F1008" s="2" t="s">
        <v>156</v>
      </c>
      <c r="G1008" s="2" t="s">
        <v>210</v>
      </c>
      <c r="H1008" s="2" t="s">
        <v>152</v>
      </c>
      <c r="I1008" s="2" t="s">
        <v>153</v>
      </c>
      <c r="J1008" s="17">
        <v>45749</v>
      </c>
      <c r="K1008" s="17">
        <v>45760</v>
      </c>
      <c r="L1008" s="17"/>
      <c r="M1008" s="17">
        <v>45765</v>
      </c>
      <c r="N1008" s="18">
        <v>999.07</v>
      </c>
    </row>
    <row r="1009" spans="1:14" ht="15" customHeight="1" x14ac:dyDescent="0.25">
      <c r="A1009" s="2" t="s">
        <v>49</v>
      </c>
      <c r="B1009" s="17">
        <v>45886</v>
      </c>
      <c r="C1009" s="2" t="s">
        <v>20</v>
      </c>
      <c r="D1009" s="2" t="s">
        <v>27</v>
      </c>
      <c r="E1009" s="2" t="s">
        <v>155</v>
      </c>
      <c r="F1009" s="2" t="s">
        <v>156</v>
      </c>
      <c r="G1009" s="2" t="s">
        <v>189</v>
      </c>
      <c r="H1009" s="2" t="s">
        <v>2</v>
      </c>
      <c r="I1009" s="2" t="s">
        <v>153</v>
      </c>
      <c r="J1009" s="17">
        <v>45896</v>
      </c>
      <c r="K1009" s="17">
        <v>45899</v>
      </c>
      <c r="L1009" s="17">
        <v>45923</v>
      </c>
      <c r="M1009" s="17"/>
      <c r="N1009" s="18">
        <v>682.3</v>
      </c>
    </row>
    <row r="1010" spans="1:14" ht="15" customHeight="1" x14ac:dyDescent="0.25">
      <c r="A1010" s="2" t="s">
        <v>50</v>
      </c>
      <c r="B1010" s="17">
        <v>45928</v>
      </c>
      <c r="C1010" s="2" t="s">
        <v>19</v>
      </c>
      <c r="D1010" s="2" t="s">
        <v>27</v>
      </c>
      <c r="E1010" s="2" t="s">
        <v>149</v>
      </c>
      <c r="F1010" s="2" t="s">
        <v>161</v>
      </c>
      <c r="G1010" s="2" t="s">
        <v>210</v>
      </c>
      <c r="H1010" s="2" t="s">
        <v>2</v>
      </c>
      <c r="I1010" s="2" t="s">
        <v>153</v>
      </c>
      <c r="J1010" s="17">
        <v>45933</v>
      </c>
      <c r="K1010" s="17">
        <v>45945</v>
      </c>
      <c r="L1010" s="17">
        <v>45969</v>
      </c>
      <c r="M1010" s="17"/>
      <c r="N1010" s="18">
        <v>2002.83</v>
      </c>
    </row>
    <row r="1011" spans="1:14" ht="15" customHeight="1" x14ac:dyDescent="0.25">
      <c r="A1011" s="2" t="s">
        <v>51</v>
      </c>
      <c r="B1011" s="17">
        <v>45697</v>
      </c>
      <c r="C1011" s="2" t="s">
        <v>18</v>
      </c>
      <c r="D1011" s="2" t="s">
        <v>24</v>
      </c>
      <c r="E1011" s="2" t="s">
        <v>155</v>
      </c>
      <c r="F1011" s="2" t="s">
        <v>161</v>
      </c>
      <c r="G1011" s="2" t="s">
        <v>201</v>
      </c>
      <c r="H1011" s="2" t="s">
        <v>152</v>
      </c>
      <c r="I1011" s="2" t="s">
        <v>153</v>
      </c>
      <c r="J1011" s="17">
        <v>45700</v>
      </c>
      <c r="K1011" s="17">
        <v>45705</v>
      </c>
      <c r="L1011" s="17"/>
      <c r="M1011" s="17">
        <v>45717</v>
      </c>
      <c r="N1011" s="18">
        <v>1336.37</v>
      </c>
    </row>
  </sheetData>
  <mergeCells count="1">
    <mergeCell ref="A1:N1"/>
  </mergeCells>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L228"/>
  <sheetViews>
    <sheetView zoomScaleNormal="100" workbookViewId="0">
      <selection sqref="A1:L1"/>
    </sheetView>
  </sheetViews>
  <sheetFormatPr defaultColWidth="8.7109375" defaultRowHeight="15" x14ac:dyDescent="0.25"/>
  <cols>
    <col min="1" max="2" width="14" style="2" customWidth="1"/>
    <col min="3" max="4" width="13" style="2" customWidth="1"/>
    <col min="5" max="7" width="16" style="2" customWidth="1"/>
    <col min="8" max="8" width="14" style="2" customWidth="1"/>
    <col min="9" max="9" width="18" style="2" customWidth="1"/>
    <col min="10" max="10" width="16" style="2" customWidth="1"/>
    <col min="11" max="11" width="13" style="2" customWidth="1"/>
    <col min="12" max="12" width="18" style="2" customWidth="1"/>
  </cols>
  <sheetData>
    <row r="1" spans="1:12" ht="27.75" customHeight="1" x14ac:dyDescent="0.2">
      <c r="A1" s="40" t="s">
        <v>2974</v>
      </c>
      <c r="B1" s="40"/>
      <c r="C1" s="40"/>
      <c r="D1" s="40"/>
      <c r="E1" s="40"/>
      <c r="F1" s="40"/>
      <c r="G1" s="40"/>
      <c r="H1" s="40"/>
      <c r="I1" s="40"/>
      <c r="J1" s="40"/>
      <c r="K1" s="40"/>
      <c r="L1" s="40"/>
    </row>
    <row r="3" spans="1:12" ht="30" customHeight="1" x14ac:dyDescent="0.2">
      <c r="A3" s="3" t="s">
        <v>41</v>
      </c>
      <c r="B3" s="3" t="s">
        <v>29</v>
      </c>
      <c r="C3" s="3" t="s">
        <v>40</v>
      </c>
      <c r="D3" s="3" t="s">
        <v>33</v>
      </c>
      <c r="E3" s="3" t="s">
        <v>17</v>
      </c>
      <c r="F3" s="3" t="s">
        <v>140</v>
      </c>
      <c r="G3" s="3" t="s">
        <v>23</v>
      </c>
      <c r="H3" s="3" t="s">
        <v>39</v>
      </c>
      <c r="I3" s="3" t="s">
        <v>42</v>
      </c>
      <c r="J3" s="3" t="s">
        <v>34</v>
      </c>
      <c r="K3" s="3" t="s">
        <v>102</v>
      </c>
      <c r="L3" s="3" t="s">
        <v>32</v>
      </c>
    </row>
    <row r="4" spans="1:12" ht="15" customHeight="1" x14ac:dyDescent="0.25">
      <c r="A4" s="2" t="s">
        <v>1150</v>
      </c>
      <c r="B4" s="2" t="s">
        <v>173</v>
      </c>
      <c r="C4" s="17">
        <v>46023</v>
      </c>
      <c r="D4" s="17">
        <v>46065</v>
      </c>
      <c r="E4" s="2" t="s">
        <v>22</v>
      </c>
      <c r="F4" s="2" t="s">
        <v>155</v>
      </c>
      <c r="G4" s="2" t="s">
        <v>27</v>
      </c>
      <c r="H4" s="2" t="s">
        <v>165</v>
      </c>
      <c r="I4" s="2" t="s">
        <v>150</v>
      </c>
      <c r="J4" s="2" t="s">
        <v>1151</v>
      </c>
      <c r="K4" s="17"/>
      <c r="L4" s="18">
        <v>6898.05</v>
      </c>
    </row>
    <row r="5" spans="1:12" ht="15" customHeight="1" x14ac:dyDescent="0.25">
      <c r="A5" s="2" t="s">
        <v>1152</v>
      </c>
      <c r="B5" s="2" t="s">
        <v>175</v>
      </c>
      <c r="C5" s="17">
        <v>45842</v>
      </c>
      <c r="D5" s="17">
        <v>45876</v>
      </c>
      <c r="E5" s="2" t="s">
        <v>21</v>
      </c>
      <c r="F5" s="2" t="s">
        <v>149</v>
      </c>
      <c r="G5" s="2" t="s">
        <v>27</v>
      </c>
      <c r="H5" s="2" t="s">
        <v>176</v>
      </c>
      <c r="I5" s="2" t="s">
        <v>156</v>
      </c>
      <c r="J5" s="2" t="s">
        <v>1151</v>
      </c>
      <c r="K5" s="17"/>
      <c r="L5" s="18">
        <v>732.38</v>
      </c>
    </row>
    <row r="6" spans="1:12" ht="15" customHeight="1" x14ac:dyDescent="0.25">
      <c r="A6" s="2" t="s">
        <v>1153</v>
      </c>
      <c r="B6" s="2" t="s">
        <v>180</v>
      </c>
      <c r="C6" s="17">
        <v>45759</v>
      </c>
      <c r="D6" s="17">
        <v>45776</v>
      </c>
      <c r="E6" s="2" t="s">
        <v>19</v>
      </c>
      <c r="F6" s="2" t="s">
        <v>155</v>
      </c>
      <c r="G6" s="2" t="s">
        <v>26</v>
      </c>
      <c r="H6" s="2" t="s">
        <v>179</v>
      </c>
      <c r="I6" s="2" t="s">
        <v>161</v>
      </c>
      <c r="J6" s="2" t="s">
        <v>1151</v>
      </c>
      <c r="K6" s="17"/>
      <c r="L6" s="18">
        <v>1713.23</v>
      </c>
    </row>
    <row r="7" spans="1:12" ht="15" customHeight="1" x14ac:dyDescent="0.25">
      <c r="A7" s="2" t="s">
        <v>1154</v>
      </c>
      <c r="B7" s="2" t="s">
        <v>181</v>
      </c>
      <c r="C7" s="17">
        <v>45821</v>
      </c>
      <c r="D7" s="17">
        <v>45850</v>
      </c>
      <c r="E7" s="2" t="s">
        <v>22</v>
      </c>
      <c r="F7" s="2" t="s">
        <v>149</v>
      </c>
      <c r="G7" s="2" t="s">
        <v>25</v>
      </c>
      <c r="H7" s="2" t="s">
        <v>151</v>
      </c>
      <c r="I7" s="2" t="s">
        <v>161</v>
      </c>
      <c r="J7" s="2" t="s">
        <v>1155</v>
      </c>
      <c r="K7" s="17">
        <v>45941</v>
      </c>
      <c r="L7" s="18">
        <v>2249.42</v>
      </c>
    </row>
    <row r="8" spans="1:12" ht="15" customHeight="1" x14ac:dyDescent="0.25">
      <c r="A8" s="2" t="s">
        <v>1156</v>
      </c>
      <c r="B8" s="2" t="s">
        <v>195</v>
      </c>
      <c r="C8" s="17">
        <v>46043</v>
      </c>
      <c r="D8" s="17">
        <v>46057</v>
      </c>
      <c r="E8" s="2" t="s">
        <v>22</v>
      </c>
      <c r="F8" s="2" t="s">
        <v>186</v>
      </c>
      <c r="G8" s="2" t="s">
        <v>25</v>
      </c>
      <c r="H8" s="2" t="s">
        <v>165</v>
      </c>
      <c r="I8" s="2" t="s">
        <v>156</v>
      </c>
      <c r="J8" s="2" t="s">
        <v>1151</v>
      </c>
      <c r="K8" s="17"/>
      <c r="L8" s="18">
        <v>670.98</v>
      </c>
    </row>
    <row r="9" spans="1:12" ht="15" customHeight="1" x14ac:dyDescent="0.25">
      <c r="A9" s="2" t="s">
        <v>81</v>
      </c>
      <c r="B9" s="2" t="s">
        <v>1157</v>
      </c>
      <c r="C9" s="17">
        <v>46004</v>
      </c>
      <c r="D9" s="17">
        <v>46035</v>
      </c>
      <c r="E9" s="2" t="s">
        <v>22</v>
      </c>
      <c r="F9" s="2" t="s">
        <v>149</v>
      </c>
      <c r="G9" s="2" t="s">
        <v>25</v>
      </c>
      <c r="H9" s="2" t="s">
        <v>165</v>
      </c>
      <c r="I9" s="2" t="s">
        <v>156</v>
      </c>
      <c r="J9" s="2" t="s">
        <v>1151</v>
      </c>
      <c r="K9" s="17"/>
      <c r="L9" s="18">
        <v>725.29</v>
      </c>
    </row>
    <row r="10" spans="1:12" ht="15" customHeight="1" x14ac:dyDescent="0.25">
      <c r="A10" s="2" t="s">
        <v>1158</v>
      </c>
      <c r="B10" s="2" t="s">
        <v>206</v>
      </c>
      <c r="C10" s="17">
        <v>45700</v>
      </c>
      <c r="D10" s="17">
        <v>45711</v>
      </c>
      <c r="E10" s="2" t="s">
        <v>19</v>
      </c>
      <c r="F10" s="2" t="s">
        <v>149</v>
      </c>
      <c r="G10" s="2" t="s">
        <v>26</v>
      </c>
      <c r="H10" s="2" t="s">
        <v>207</v>
      </c>
      <c r="I10" s="2" t="s">
        <v>156</v>
      </c>
      <c r="J10" s="2" t="s">
        <v>1151</v>
      </c>
      <c r="K10" s="17"/>
      <c r="L10" s="18">
        <v>1113.1099999999999</v>
      </c>
    </row>
    <row r="11" spans="1:12" ht="15" customHeight="1" x14ac:dyDescent="0.25">
      <c r="A11" s="2" t="s">
        <v>1159</v>
      </c>
      <c r="B11" s="2" t="s">
        <v>211</v>
      </c>
      <c r="C11" s="17">
        <v>45717</v>
      </c>
      <c r="D11" s="17"/>
      <c r="E11" s="2" t="s">
        <v>21</v>
      </c>
      <c r="F11" s="2" t="s">
        <v>149</v>
      </c>
      <c r="G11" s="2" t="s">
        <v>27</v>
      </c>
      <c r="H11" s="2" t="s">
        <v>176</v>
      </c>
      <c r="I11" s="2" t="s">
        <v>161</v>
      </c>
      <c r="J11" s="2" t="s">
        <v>1160</v>
      </c>
      <c r="K11" s="17"/>
      <c r="L11" s="18">
        <v>3476.46</v>
      </c>
    </row>
    <row r="12" spans="1:12" ht="15" customHeight="1" x14ac:dyDescent="0.25">
      <c r="A12" s="2" t="s">
        <v>1161</v>
      </c>
      <c r="B12" s="2" t="s">
        <v>214</v>
      </c>
      <c r="C12" s="17">
        <v>45741</v>
      </c>
      <c r="D12" s="17">
        <v>45778</v>
      </c>
      <c r="E12" s="2" t="s">
        <v>22</v>
      </c>
      <c r="F12" s="2" t="s">
        <v>186</v>
      </c>
      <c r="G12" s="2" t="s">
        <v>27</v>
      </c>
      <c r="H12" s="2" t="s">
        <v>165</v>
      </c>
      <c r="I12" s="2" t="s">
        <v>150</v>
      </c>
      <c r="J12" s="2" t="s">
        <v>1151</v>
      </c>
      <c r="K12" s="17"/>
      <c r="L12" s="18">
        <v>5529.48</v>
      </c>
    </row>
    <row r="13" spans="1:12" ht="15" customHeight="1" x14ac:dyDescent="0.25">
      <c r="A13" s="2" t="s">
        <v>1162</v>
      </c>
      <c r="B13" s="2" t="s">
        <v>219</v>
      </c>
      <c r="C13" s="17">
        <v>45952</v>
      </c>
      <c r="D13" s="17">
        <v>45983</v>
      </c>
      <c r="E13" s="2" t="s">
        <v>22</v>
      </c>
      <c r="F13" s="2" t="s">
        <v>149</v>
      </c>
      <c r="G13" s="2" t="s">
        <v>25</v>
      </c>
      <c r="H13" s="2" t="s">
        <v>151</v>
      </c>
      <c r="I13" s="2" t="s">
        <v>156</v>
      </c>
      <c r="J13" s="2" t="s">
        <v>1151</v>
      </c>
      <c r="K13" s="17"/>
      <c r="L13" s="18">
        <v>823.17</v>
      </c>
    </row>
    <row r="14" spans="1:12" ht="15" customHeight="1" x14ac:dyDescent="0.25">
      <c r="A14" s="2" t="s">
        <v>1163</v>
      </c>
      <c r="B14" s="2" t="s">
        <v>49</v>
      </c>
      <c r="C14" s="17">
        <v>45923</v>
      </c>
      <c r="D14" s="17">
        <v>45929</v>
      </c>
      <c r="E14" s="2" t="s">
        <v>20</v>
      </c>
      <c r="F14" s="2" t="s">
        <v>155</v>
      </c>
      <c r="G14" s="2" t="s">
        <v>27</v>
      </c>
      <c r="H14" s="2" t="s">
        <v>189</v>
      </c>
      <c r="I14" s="2" t="s">
        <v>156</v>
      </c>
      <c r="J14" s="2" t="s">
        <v>1151</v>
      </c>
      <c r="K14" s="17"/>
      <c r="L14" s="18">
        <v>682.3</v>
      </c>
    </row>
    <row r="15" spans="1:12" ht="15" customHeight="1" x14ac:dyDescent="0.25">
      <c r="A15" s="2" t="s">
        <v>1164</v>
      </c>
      <c r="B15" s="2" t="s">
        <v>229</v>
      </c>
      <c r="C15" s="17">
        <v>45757</v>
      </c>
      <c r="D15" s="17">
        <v>45798</v>
      </c>
      <c r="E15" s="2" t="s">
        <v>22</v>
      </c>
      <c r="F15" s="2" t="s">
        <v>186</v>
      </c>
      <c r="G15" s="2" t="s">
        <v>26</v>
      </c>
      <c r="H15" s="2" t="s">
        <v>165</v>
      </c>
      <c r="I15" s="2" t="s">
        <v>156</v>
      </c>
      <c r="J15" s="2" t="s">
        <v>1151</v>
      </c>
      <c r="K15" s="17"/>
      <c r="L15" s="18">
        <v>710.84</v>
      </c>
    </row>
    <row r="16" spans="1:12" ht="15" customHeight="1" x14ac:dyDescent="0.25">
      <c r="A16" s="2" t="s">
        <v>93</v>
      </c>
      <c r="B16" s="2" t="s">
        <v>235</v>
      </c>
      <c r="C16" s="17">
        <v>46021</v>
      </c>
      <c r="D16" s="17">
        <v>46019</v>
      </c>
      <c r="E16" s="2" t="s">
        <v>22</v>
      </c>
      <c r="F16" s="2" t="s">
        <v>186</v>
      </c>
      <c r="G16" s="2" t="s">
        <v>28</v>
      </c>
      <c r="H16" s="2" t="s">
        <v>165</v>
      </c>
      <c r="I16" s="2" t="s">
        <v>156</v>
      </c>
      <c r="J16" s="2" t="s">
        <v>1151</v>
      </c>
      <c r="K16" s="17"/>
      <c r="L16" s="18">
        <v>565.82000000000005</v>
      </c>
    </row>
    <row r="17" spans="1:12" ht="15" customHeight="1" x14ac:dyDescent="0.25">
      <c r="A17" s="2" t="s">
        <v>1165</v>
      </c>
      <c r="B17" s="2" t="s">
        <v>240</v>
      </c>
      <c r="C17" s="17">
        <v>45828</v>
      </c>
      <c r="D17" s="17">
        <v>45854</v>
      </c>
      <c r="E17" s="2" t="s">
        <v>2963</v>
      </c>
      <c r="F17" s="2" t="s">
        <v>149</v>
      </c>
      <c r="G17" s="2" t="s">
        <v>25</v>
      </c>
      <c r="H17" s="2" t="s">
        <v>189</v>
      </c>
      <c r="I17" s="2" t="s">
        <v>156</v>
      </c>
      <c r="J17" s="2" t="s">
        <v>1151</v>
      </c>
      <c r="K17" s="17"/>
      <c r="L17" s="18">
        <v>601.64</v>
      </c>
    </row>
    <row r="18" spans="1:12" ht="15" customHeight="1" x14ac:dyDescent="0.25">
      <c r="A18" s="2" t="s">
        <v>1166</v>
      </c>
      <c r="B18" s="2" t="s">
        <v>243</v>
      </c>
      <c r="C18" s="17">
        <v>45769</v>
      </c>
      <c r="D18" s="17">
        <v>45796</v>
      </c>
      <c r="E18" s="2" t="s">
        <v>22</v>
      </c>
      <c r="F18" s="2" t="s">
        <v>160</v>
      </c>
      <c r="G18" s="2" t="s">
        <v>25</v>
      </c>
      <c r="H18" s="2" t="s">
        <v>165</v>
      </c>
      <c r="I18" s="2" t="s">
        <v>156</v>
      </c>
      <c r="J18" s="2" t="s">
        <v>1151</v>
      </c>
      <c r="K18" s="17"/>
      <c r="L18" s="18">
        <v>594.28</v>
      </c>
    </row>
    <row r="19" spans="1:12" ht="15" customHeight="1" x14ac:dyDescent="0.25">
      <c r="A19" s="2" t="s">
        <v>1167</v>
      </c>
      <c r="B19" s="2" t="s">
        <v>245</v>
      </c>
      <c r="C19" s="17">
        <v>45989</v>
      </c>
      <c r="D19" s="17">
        <v>45991</v>
      </c>
      <c r="E19" s="2" t="s">
        <v>20</v>
      </c>
      <c r="F19" s="2" t="s">
        <v>186</v>
      </c>
      <c r="G19" s="2" t="s">
        <v>24</v>
      </c>
      <c r="H19" s="2" t="s">
        <v>167</v>
      </c>
      <c r="I19" s="2" t="s">
        <v>156</v>
      </c>
      <c r="J19" s="2" t="s">
        <v>1151</v>
      </c>
      <c r="K19" s="17"/>
      <c r="L19" s="18">
        <v>755.27</v>
      </c>
    </row>
    <row r="20" spans="1:12" ht="15" customHeight="1" x14ac:dyDescent="0.25">
      <c r="A20" s="2" t="s">
        <v>1168</v>
      </c>
      <c r="B20" s="2" t="s">
        <v>246</v>
      </c>
      <c r="C20" s="17">
        <v>45824</v>
      </c>
      <c r="D20" s="17">
        <v>45827</v>
      </c>
      <c r="E20" s="2" t="s">
        <v>19</v>
      </c>
      <c r="F20" s="2" t="s">
        <v>149</v>
      </c>
      <c r="G20" s="2" t="s">
        <v>26</v>
      </c>
      <c r="H20" s="2" t="s">
        <v>179</v>
      </c>
      <c r="I20" s="2" t="s">
        <v>161</v>
      </c>
      <c r="J20" s="2" t="s">
        <v>1151</v>
      </c>
      <c r="K20" s="17"/>
      <c r="L20" s="18">
        <v>2303.13</v>
      </c>
    </row>
    <row r="21" spans="1:12" ht="15" customHeight="1" x14ac:dyDescent="0.25">
      <c r="A21" s="2" t="s">
        <v>1169</v>
      </c>
      <c r="B21" s="2" t="s">
        <v>253</v>
      </c>
      <c r="C21" s="17">
        <v>45879</v>
      </c>
      <c r="D21" s="17">
        <v>45897</v>
      </c>
      <c r="E21" s="2" t="s">
        <v>21</v>
      </c>
      <c r="F21" s="2" t="s">
        <v>186</v>
      </c>
      <c r="G21" s="2" t="s">
        <v>26</v>
      </c>
      <c r="H21" s="2" t="s">
        <v>176</v>
      </c>
      <c r="I21" s="2" t="s">
        <v>161</v>
      </c>
      <c r="J21" s="2" t="s">
        <v>1151</v>
      </c>
      <c r="K21" s="17"/>
      <c r="L21" s="18">
        <v>2363.89</v>
      </c>
    </row>
    <row r="22" spans="1:12" ht="15" customHeight="1" x14ac:dyDescent="0.25">
      <c r="A22" s="2" t="s">
        <v>1170</v>
      </c>
      <c r="B22" s="2" t="s">
        <v>254</v>
      </c>
      <c r="C22" s="17">
        <v>45963</v>
      </c>
      <c r="D22" s="17"/>
      <c r="E22" s="2" t="s">
        <v>19</v>
      </c>
      <c r="F22" s="2" t="s">
        <v>149</v>
      </c>
      <c r="G22" s="2" t="s">
        <v>25</v>
      </c>
      <c r="H22" s="2" t="s">
        <v>179</v>
      </c>
      <c r="I22" s="2" t="s">
        <v>156</v>
      </c>
      <c r="J22" s="2" t="s">
        <v>1160</v>
      </c>
      <c r="K22" s="17"/>
      <c r="L22" s="18">
        <v>1129.44</v>
      </c>
    </row>
    <row r="23" spans="1:12" ht="15" customHeight="1" x14ac:dyDescent="0.25">
      <c r="A23" s="2" t="s">
        <v>76</v>
      </c>
      <c r="B23" s="2" t="s">
        <v>258</v>
      </c>
      <c r="C23" s="17">
        <v>45746</v>
      </c>
      <c r="D23" s="17">
        <v>45793</v>
      </c>
      <c r="E23" s="2" t="s">
        <v>20</v>
      </c>
      <c r="F23" s="2" t="s">
        <v>149</v>
      </c>
      <c r="G23" s="2" t="s">
        <v>26</v>
      </c>
      <c r="H23" s="2" t="s">
        <v>192</v>
      </c>
      <c r="I23" s="2" t="s">
        <v>150</v>
      </c>
      <c r="J23" s="2" t="s">
        <v>1151</v>
      </c>
      <c r="K23" s="17"/>
      <c r="L23" s="18">
        <v>6878.5</v>
      </c>
    </row>
    <row r="24" spans="1:12" ht="15" customHeight="1" x14ac:dyDescent="0.25">
      <c r="A24" s="2" t="s">
        <v>82</v>
      </c>
      <c r="B24" s="2" t="s">
        <v>1157</v>
      </c>
      <c r="C24" s="17">
        <v>45740</v>
      </c>
      <c r="D24" s="17">
        <v>45796</v>
      </c>
      <c r="E24" s="2" t="s">
        <v>20</v>
      </c>
      <c r="F24" s="2" t="s">
        <v>149</v>
      </c>
      <c r="G24" s="2" t="s">
        <v>26</v>
      </c>
      <c r="H24" s="2" t="s">
        <v>192</v>
      </c>
      <c r="I24" s="2" t="s">
        <v>161</v>
      </c>
      <c r="J24" s="2" t="s">
        <v>1151</v>
      </c>
      <c r="K24" s="17"/>
      <c r="L24" s="18">
        <v>2560.4699999999998</v>
      </c>
    </row>
    <row r="25" spans="1:12" ht="15" customHeight="1" x14ac:dyDescent="0.25">
      <c r="A25" s="2" t="s">
        <v>1171</v>
      </c>
      <c r="B25" s="2" t="s">
        <v>261</v>
      </c>
      <c r="C25" s="17">
        <v>45821</v>
      </c>
      <c r="D25" s="17">
        <v>45837</v>
      </c>
      <c r="E25" s="2" t="s">
        <v>21</v>
      </c>
      <c r="F25" s="2" t="s">
        <v>149</v>
      </c>
      <c r="G25" s="2" t="s">
        <v>26</v>
      </c>
      <c r="H25" s="2" t="s">
        <v>162</v>
      </c>
      <c r="I25" s="2" t="s">
        <v>150</v>
      </c>
      <c r="J25" s="2" t="s">
        <v>1151</v>
      </c>
      <c r="K25" s="17"/>
      <c r="L25" s="18">
        <v>8785.69</v>
      </c>
    </row>
    <row r="26" spans="1:12" ht="15" customHeight="1" x14ac:dyDescent="0.25">
      <c r="A26" s="2" t="s">
        <v>1172</v>
      </c>
      <c r="B26" s="2" t="s">
        <v>262</v>
      </c>
      <c r="C26" s="17">
        <v>46000</v>
      </c>
      <c r="D26" s="17">
        <v>46043</v>
      </c>
      <c r="E26" s="2" t="s">
        <v>19</v>
      </c>
      <c r="F26" s="2" t="s">
        <v>149</v>
      </c>
      <c r="G26" s="2" t="s">
        <v>25</v>
      </c>
      <c r="H26" s="2" t="s">
        <v>207</v>
      </c>
      <c r="I26" s="2" t="s">
        <v>161</v>
      </c>
      <c r="J26" s="2" t="s">
        <v>1151</v>
      </c>
      <c r="K26" s="17"/>
      <c r="L26" s="18">
        <v>2533.19</v>
      </c>
    </row>
    <row r="27" spans="1:12" ht="15" customHeight="1" x14ac:dyDescent="0.25">
      <c r="A27" s="2" t="s">
        <v>85</v>
      </c>
      <c r="B27" s="2" t="s">
        <v>264</v>
      </c>
      <c r="C27" s="17">
        <v>45750</v>
      </c>
      <c r="D27" s="17">
        <v>45760</v>
      </c>
      <c r="E27" s="2" t="s">
        <v>21</v>
      </c>
      <c r="F27" s="2" t="s">
        <v>160</v>
      </c>
      <c r="G27" s="2" t="s">
        <v>25</v>
      </c>
      <c r="H27" s="2" t="s">
        <v>162</v>
      </c>
      <c r="J27" s="2" t="s">
        <v>1151</v>
      </c>
      <c r="K27" s="17"/>
      <c r="L27" s="18">
        <v>585.85</v>
      </c>
    </row>
    <row r="28" spans="1:12" ht="15" customHeight="1" x14ac:dyDescent="0.25">
      <c r="A28" s="2" t="s">
        <v>1174</v>
      </c>
      <c r="B28" s="2" t="s">
        <v>276</v>
      </c>
      <c r="C28" s="17">
        <v>45761</v>
      </c>
      <c r="D28" s="17">
        <v>45778</v>
      </c>
      <c r="E28" s="2" t="s">
        <v>19</v>
      </c>
      <c r="F28" s="2" t="s">
        <v>155</v>
      </c>
      <c r="G28" s="2" t="s">
        <v>26</v>
      </c>
      <c r="H28" s="2" t="s">
        <v>179</v>
      </c>
      <c r="I28" s="2" t="s">
        <v>161</v>
      </c>
      <c r="J28" s="2" t="s">
        <v>1151</v>
      </c>
      <c r="K28" s="17"/>
      <c r="L28" s="18">
        <v>2145.83</v>
      </c>
    </row>
    <row r="29" spans="1:12" ht="15" customHeight="1" x14ac:dyDescent="0.25">
      <c r="A29" s="2" t="s">
        <v>1175</v>
      </c>
      <c r="B29" s="2" t="s">
        <v>278</v>
      </c>
      <c r="C29" s="17">
        <v>45869</v>
      </c>
      <c r="D29" s="17">
        <v>45883</v>
      </c>
      <c r="E29" s="2" t="s">
        <v>21</v>
      </c>
      <c r="F29" s="2" t="s">
        <v>160</v>
      </c>
      <c r="G29" s="2" t="s">
        <v>26</v>
      </c>
      <c r="H29" s="2" t="s">
        <v>162</v>
      </c>
      <c r="I29" s="2" t="s">
        <v>156</v>
      </c>
      <c r="J29" s="2" t="s">
        <v>1151</v>
      </c>
      <c r="K29" s="17"/>
      <c r="L29" s="18">
        <v>921.4</v>
      </c>
    </row>
    <row r="30" spans="1:12" ht="15" customHeight="1" x14ac:dyDescent="0.25">
      <c r="A30" s="2" t="s">
        <v>1176</v>
      </c>
      <c r="B30" s="2" t="s">
        <v>280</v>
      </c>
      <c r="C30" s="17">
        <v>45985</v>
      </c>
      <c r="D30" s="17">
        <v>46029</v>
      </c>
      <c r="E30" s="2" t="s">
        <v>18</v>
      </c>
      <c r="F30" s="2" t="s">
        <v>160</v>
      </c>
      <c r="G30" s="2" t="s">
        <v>25</v>
      </c>
      <c r="H30" s="2" t="s">
        <v>157</v>
      </c>
      <c r="I30" s="2" t="s">
        <v>161</v>
      </c>
      <c r="J30" s="2" t="s">
        <v>1151</v>
      </c>
      <c r="K30" s="17"/>
      <c r="L30" s="18">
        <v>2768.87</v>
      </c>
    </row>
    <row r="31" spans="1:12" ht="15" customHeight="1" x14ac:dyDescent="0.25">
      <c r="A31" s="2" t="s">
        <v>1177</v>
      </c>
      <c r="B31" s="2" t="s">
        <v>283</v>
      </c>
      <c r="C31" s="17">
        <v>45891</v>
      </c>
      <c r="D31" s="17">
        <v>45918</v>
      </c>
      <c r="E31" s="2" t="s">
        <v>19</v>
      </c>
      <c r="F31" s="2" t="s">
        <v>149</v>
      </c>
      <c r="G31" s="2" t="s">
        <v>25</v>
      </c>
      <c r="H31" s="2" t="s">
        <v>179</v>
      </c>
      <c r="I31" s="2" t="s">
        <v>161</v>
      </c>
      <c r="J31" s="2" t="s">
        <v>1151</v>
      </c>
      <c r="K31" s="17"/>
      <c r="L31" s="18">
        <v>2084.0500000000002</v>
      </c>
    </row>
    <row r="32" spans="1:12" ht="15" customHeight="1" x14ac:dyDescent="0.25">
      <c r="A32" s="2" t="s">
        <v>1178</v>
      </c>
      <c r="B32" s="2" t="s">
        <v>284</v>
      </c>
      <c r="C32" s="17">
        <v>45879</v>
      </c>
      <c r="D32" s="17">
        <v>45923</v>
      </c>
      <c r="E32" s="2" t="s">
        <v>19</v>
      </c>
      <c r="F32" s="2" t="s">
        <v>149</v>
      </c>
      <c r="G32" s="2" t="s">
        <v>25</v>
      </c>
      <c r="H32" s="2" t="s">
        <v>179</v>
      </c>
      <c r="I32" s="2" t="s">
        <v>161</v>
      </c>
      <c r="J32" s="2" t="s">
        <v>1151</v>
      </c>
      <c r="K32" s="17"/>
      <c r="L32" s="18">
        <v>2684.85</v>
      </c>
    </row>
    <row r="33" spans="1:12" ht="15" customHeight="1" x14ac:dyDescent="0.25">
      <c r="A33" s="2" t="s">
        <v>86</v>
      </c>
      <c r="B33" s="2" t="s">
        <v>285</v>
      </c>
      <c r="C33" s="17">
        <v>45801</v>
      </c>
      <c r="D33" s="17">
        <v>45814</v>
      </c>
      <c r="E33" s="2" t="s">
        <v>21</v>
      </c>
      <c r="F33" s="2" t="s">
        <v>149</v>
      </c>
      <c r="G33" s="2" t="s">
        <v>27</v>
      </c>
      <c r="H33" s="2" t="s">
        <v>162</v>
      </c>
      <c r="J33" s="2" t="s">
        <v>1155</v>
      </c>
      <c r="K33" s="17">
        <v>45889</v>
      </c>
      <c r="L33" s="18">
        <v>10631.28</v>
      </c>
    </row>
    <row r="34" spans="1:12" ht="15" customHeight="1" x14ac:dyDescent="0.25">
      <c r="A34" s="2" t="s">
        <v>1179</v>
      </c>
      <c r="B34" s="2" t="s">
        <v>287</v>
      </c>
      <c r="C34" s="17">
        <v>45936</v>
      </c>
      <c r="D34" s="17">
        <v>45981</v>
      </c>
      <c r="E34" s="2" t="s">
        <v>22</v>
      </c>
      <c r="F34" s="2" t="s">
        <v>186</v>
      </c>
      <c r="G34" s="2" t="s">
        <v>27</v>
      </c>
      <c r="H34" s="2" t="s">
        <v>151</v>
      </c>
      <c r="I34" s="2" t="s">
        <v>156</v>
      </c>
      <c r="J34" s="2" t="s">
        <v>1151</v>
      </c>
      <c r="K34" s="17"/>
      <c r="L34" s="18">
        <v>843.9</v>
      </c>
    </row>
    <row r="35" spans="1:12" ht="15" customHeight="1" x14ac:dyDescent="0.25">
      <c r="A35" s="2" t="s">
        <v>1180</v>
      </c>
      <c r="B35" s="2" t="s">
        <v>297</v>
      </c>
      <c r="C35" s="17">
        <v>45763</v>
      </c>
      <c r="D35" s="17">
        <v>45767</v>
      </c>
      <c r="E35" s="2" t="s">
        <v>20</v>
      </c>
      <c r="F35" s="2" t="s">
        <v>149</v>
      </c>
      <c r="G35" s="2" t="s">
        <v>28</v>
      </c>
      <c r="H35" s="2" t="s">
        <v>167</v>
      </c>
      <c r="I35" s="2" t="s">
        <v>156</v>
      </c>
      <c r="J35" s="2" t="s">
        <v>1151</v>
      </c>
      <c r="K35" s="17"/>
      <c r="L35" s="18">
        <v>1012.09</v>
      </c>
    </row>
    <row r="36" spans="1:12" ht="15" customHeight="1" x14ac:dyDescent="0.25">
      <c r="A36" s="2" t="s">
        <v>1181</v>
      </c>
      <c r="B36" s="2" t="s">
        <v>298</v>
      </c>
      <c r="C36" s="17">
        <v>45941</v>
      </c>
      <c r="D36" s="17">
        <v>46007</v>
      </c>
      <c r="E36" s="2" t="s">
        <v>20</v>
      </c>
      <c r="F36" s="2" t="s">
        <v>149</v>
      </c>
      <c r="G36" s="2" t="s">
        <v>26</v>
      </c>
      <c r="H36" s="2" t="s">
        <v>192</v>
      </c>
      <c r="I36" s="2" t="s">
        <v>150</v>
      </c>
      <c r="J36" s="2" t="s">
        <v>1151</v>
      </c>
      <c r="K36" s="17"/>
      <c r="L36" s="18">
        <v>10550.44</v>
      </c>
    </row>
    <row r="37" spans="1:12" ht="15" customHeight="1" x14ac:dyDescent="0.25">
      <c r="A37" s="2" t="s">
        <v>1182</v>
      </c>
      <c r="B37" s="2" t="s">
        <v>68</v>
      </c>
      <c r="C37" s="17">
        <v>45878</v>
      </c>
      <c r="D37" s="17">
        <v>45906</v>
      </c>
      <c r="E37" s="2" t="s">
        <v>18</v>
      </c>
      <c r="F37" s="2" t="s">
        <v>149</v>
      </c>
      <c r="G37" s="2" t="s">
        <v>25</v>
      </c>
      <c r="H37" s="2" t="s">
        <v>251</v>
      </c>
      <c r="I37" s="2" t="s">
        <v>156</v>
      </c>
      <c r="J37" s="2" t="s">
        <v>1151</v>
      </c>
      <c r="K37" s="17"/>
      <c r="L37" s="18">
        <v>994.66</v>
      </c>
    </row>
    <row r="38" spans="1:12" ht="15" customHeight="1" x14ac:dyDescent="0.25">
      <c r="A38" s="2" t="s">
        <v>1183</v>
      </c>
      <c r="B38" s="2" t="s">
        <v>303</v>
      </c>
      <c r="C38" s="17">
        <v>45741</v>
      </c>
      <c r="D38" s="17">
        <v>45786</v>
      </c>
      <c r="E38" s="2" t="s">
        <v>19</v>
      </c>
      <c r="F38" s="2" t="s">
        <v>155</v>
      </c>
      <c r="G38" s="2" t="s">
        <v>25</v>
      </c>
      <c r="H38" s="2" t="s">
        <v>210</v>
      </c>
      <c r="I38" s="2" t="s">
        <v>161</v>
      </c>
      <c r="J38" s="2" t="s">
        <v>1151</v>
      </c>
      <c r="K38" s="17"/>
      <c r="L38" s="18">
        <v>1434.56</v>
      </c>
    </row>
    <row r="39" spans="1:12" ht="15" customHeight="1" x14ac:dyDescent="0.25">
      <c r="A39" s="2" t="s">
        <v>1184</v>
      </c>
      <c r="B39" s="2" t="s">
        <v>306</v>
      </c>
      <c r="C39" s="17">
        <v>45777</v>
      </c>
      <c r="D39" s="17">
        <v>45814</v>
      </c>
      <c r="E39" s="2" t="s">
        <v>18</v>
      </c>
      <c r="F39" s="2" t="s">
        <v>149</v>
      </c>
      <c r="G39" s="2" t="s">
        <v>27</v>
      </c>
      <c r="H39" s="2" t="s">
        <v>201</v>
      </c>
      <c r="I39" s="2" t="s">
        <v>150</v>
      </c>
      <c r="J39" s="2" t="s">
        <v>1151</v>
      </c>
      <c r="K39" s="17"/>
      <c r="L39" s="18">
        <v>6669.82</v>
      </c>
    </row>
    <row r="40" spans="1:12" ht="15" customHeight="1" x14ac:dyDescent="0.25">
      <c r="A40" s="2" t="s">
        <v>1185</v>
      </c>
      <c r="B40" s="2" t="s">
        <v>307</v>
      </c>
      <c r="C40" s="17">
        <v>45977</v>
      </c>
      <c r="D40" s="17">
        <v>46015</v>
      </c>
      <c r="E40" s="2" t="s">
        <v>19</v>
      </c>
      <c r="F40" s="2" t="s">
        <v>149</v>
      </c>
      <c r="G40" s="2" t="s">
        <v>25</v>
      </c>
      <c r="H40" s="2" t="s">
        <v>210</v>
      </c>
      <c r="I40" s="2" t="s">
        <v>161</v>
      </c>
      <c r="J40" s="2" t="s">
        <v>1151</v>
      </c>
      <c r="K40" s="17"/>
      <c r="L40" s="18">
        <v>3313.31</v>
      </c>
    </row>
    <row r="41" spans="1:12" ht="15" customHeight="1" x14ac:dyDescent="0.25">
      <c r="A41" s="2" t="s">
        <v>1186</v>
      </c>
      <c r="B41" s="2" t="s">
        <v>312</v>
      </c>
      <c r="C41" s="17">
        <v>45828</v>
      </c>
      <c r="D41" s="17">
        <v>45838</v>
      </c>
      <c r="E41" s="2" t="s">
        <v>22</v>
      </c>
      <c r="F41" s="2" t="s">
        <v>186</v>
      </c>
      <c r="G41" s="2" t="s">
        <v>25</v>
      </c>
      <c r="H41" s="2" t="s">
        <v>165</v>
      </c>
      <c r="I41" s="2" t="s">
        <v>156</v>
      </c>
      <c r="J41" s="2" t="s">
        <v>1151</v>
      </c>
      <c r="K41" s="17"/>
      <c r="L41" s="18">
        <v>879.21</v>
      </c>
    </row>
    <row r="42" spans="1:12" ht="15" customHeight="1" x14ac:dyDescent="0.25">
      <c r="A42" s="2" t="s">
        <v>1187</v>
      </c>
      <c r="B42" s="2" t="s">
        <v>313</v>
      </c>
      <c r="C42" s="17">
        <v>45751</v>
      </c>
      <c r="D42" s="17">
        <v>45774</v>
      </c>
      <c r="E42" s="2" t="s">
        <v>21</v>
      </c>
      <c r="F42" s="2" t="s">
        <v>149</v>
      </c>
      <c r="G42" s="2" t="s">
        <v>25</v>
      </c>
      <c r="H42" s="2" t="s">
        <v>183</v>
      </c>
      <c r="I42" s="2" t="s">
        <v>156</v>
      </c>
      <c r="J42" s="2" t="s">
        <v>1151</v>
      </c>
      <c r="K42" s="17"/>
      <c r="L42" s="18">
        <v>1001.56</v>
      </c>
    </row>
    <row r="43" spans="1:12" ht="15" customHeight="1" x14ac:dyDescent="0.25">
      <c r="A43" s="2" t="s">
        <v>1188</v>
      </c>
      <c r="B43" s="2" t="s">
        <v>318</v>
      </c>
      <c r="C43" s="17">
        <v>45847</v>
      </c>
      <c r="D43" s="17"/>
      <c r="E43" s="2" t="s">
        <v>20</v>
      </c>
      <c r="F43" s="2" t="s">
        <v>155</v>
      </c>
      <c r="G43" s="2" t="s">
        <v>24</v>
      </c>
      <c r="H43" s="2" t="s">
        <v>189</v>
      </c>
      <c r="I43" s="2" t="s">
        <v>156</v>
      </c>
      <c r="J43" s="2" t="s">
        <v>1160</v>
      </c>
      <c r="K43" s="17"/>
      <c r="L43" s="18">
        <v>435.5</v>
      </c>
    </row>
    <row r="44" spans="1:12" ht="15" customHeight="1" x14ac:dyDescent="0.25">
      <c r="A44" s="2" t="s">
        <v>96</v>
      </c>
      <c r="B44" s="2" t="s">
        <v>319</v>
      </c>
      <c r="C44" s="17">
        <v>45702</v>
      </c>
      <c r="D44" s="17"/>
      <c r="E44" s="2" t="s">
        <v>22</v>
      </c>
      <c r="F44" s="2" t="s">
        <v>149</v>
      </c>
      <c r="G44" s="2" t="s">
        <v>26</v>
      </c>
      <c r="H44" s="2" t="s">
        <v>170</v>
      </c>
      <c r="I44" s="2" t="s">
        <v>161</v>
      </c>
      <c r="J44" s="2" t="s">
        <v>1151</v>
      </c>
      <c r="K44" s="17"/>
      <c r="L44" s="18">
        <v>2195.9899999999998</v>
      </c>
    </row>
    <row r="45" spans="1:12" ht="15" customHeight="1" x14ac:dyDescent="0.25">
      <c r="A45" s="2" t="s">
        <v>1190</v>
      </c>
      <c r="B45" s="2" t="s">
        <v>323</v>
      </c>
      <c r="C45" s="17">
        <v>45898</v>
      </c>
      <c r="D45" s="17">
        <v>45939</v>
      </c>
      <c r="E45" s="2" t="s">
        <v>20</v>
      </c>
      <c r="F45" s="2" t="s">
        <v>160</v>
      </c>
      <c r="G45" s="2" t="s">
        <v>25</v>
      </c>
      <c r="H45" s="2" t="s">
        <v>192</v>
      </c>
      <c r="I45" s="2" t="s">
        <v>161</v>
      </c>
      <c r="J45" s="2" t="s">
        <v>1151</v>
      </c>
      <c r="K45" s="17"/>
      <c r="L45" s="18">
        <v>1822.37</v>
      </c>
    </row>
    <row r="46" spans="1:12" ht="15" customHeight="1" x14ac:dyDescent="0.25">
      <c r="A46" s="2" t="s">
        <v>1191</v>
      </c>
      <c r="B46" s="2" t="s">
        <v>327</v>
      </c>
      <c r="C46" s="17">
        <v>45807</v>
      </c>
      <c r="D46" s="17">
        <v>45850</v>
      </c>
      <c r="E46" s="2" t="s">
        <v>21</v>
      </c>
      <c r="F46" s="2" t="s">
        <v>155</v>
      </c>
      <c r="G46" s="2" t="s">
        <v>27</v>
      </c>
      <c r="H46" s="2" t="s">
        <v>162</v>
      </c>
      <c r="I46" s="2" t="s">
        <v>161</v>
      </c>
      <c r="J46" s="2" t="s">
        <v>1151</v>
      </c>
      <c r="K46" s="17"/>
      <c r="L46" s="18">
        <v>1392.53</v>
      </c>
    </row>
    <row r="47" spans="1:12" ht="15" customHeight="1" x14ac:dyDescent="0.25">
      <c r="A47" s="2" t="s">
        <v>101</v>
      </c>
      <c r="B47" s="2" t="s">
        <v>333</v>
      </c>
      <c r="C47" s="17">
        <v>45896</v>
      </c>
      <c r="D47" s="17">
        <v>45922</v>
      </c>
      <c r="E47" s="2" t="s">
        <v>20</v>
      </c>
      <c r="F47" s="2" t="s">
        <v>155</v>
      </c>
      <c r="G47" s="2" t="s">
        <v>25</v>
      </c>
      <c r="H47" s="2" t="s">
        <v>189</v>
      </c>
      <c r="I47" s="2" t="s">
        <v>161</v>
      </c>
      <c r="J47" s="2" t="s">
        <v>1155</v>
      </c>
      <c r="K47" s="17"/>
      <c r="L47" s="18">
        <v>2050.27</v>
      </c>
    </row>
    <row r="48" spans="1:12" ht="15" customHeight="1" x14ac:dyDescent="0.25">
      <c r="A48" s="2" t="s">
        <v>1192</v>
      </c>
      <c r="B48" s="2" t="s">
        <v>336</v>
      </c>
      <c r="C48" s="17">
        <v>45881</v>
      </c>
      <c r="D48" s="17">
        <v>45924</v>
      </c>
      <c r="E48" s="2" t="s">
        <v>20</v>
      </c>
      <c r="F48" s="2" t="s">
        <v>160</v>
      </c>
      <c r="G48" s="2" t="s">
        <v>26</v>
      </c>
      <c r="H48" s="2" t="s">
        <v>189</v>
      </c>
      <c r="I48" s="2" t="s">
        <v>161</v>
      </c>
      <c r="J48" s="2" t="s">
        <v>1151</v>
      </c>
      <c r="K48" s="17"/>
      <c r="L48" s="18">
        <v>1977.9</v>
      </c>
    </row>
    <row r="49" spans="1:12" ht="15" customHeight="1" x14ac:dyDescent="0.25">
      <c r="A49" s="2" t="s">
        <v>1193</v>
      </c>
      <c r="B49" s="2" t="s">
        <v>337</v>
      </c>
      <c r="C49" s="17">
        <v>45784</v>
      </c>
      <c r="D49" s="17">
        <v>45803</v>
      </c>
      <c r="E49" s="2" t="s">
        <v>20</v>
      </c>
      <c r="F49" s="2" t="s">
        <v>149</v>
      </c>
      <c r="G49" s="2" t="s">
        <v>24</v>
      </c>
      <c r="H49" s="2" t="s">
        <v>192</v>
      </c>
      <c r="I49" s="2" t="s">
        <v>156</v>
      </c>
      <c r="J49" s="2" t="s">
        <v>1151</v>
      </c>
      <c r="K49" s="17"/>
      <c r="L49" s="18">
        <v>1018.13</v>
      </c>
    </row>
    <row r="50" spans="1:12" ht="15" customHeight="1" x14ac:dyDescent="0.25">
      <c r="A50" s="2" t="s">
        <v>1194</v>
      </c>
      <c r="B50" s="2" t="s">
        <v>352</v>
      </c>
      <c r="C50" s="17">
        <v>46023</v>
      </c>
      <c r="D50" s="17"/>
      <c r="E50" s="2" t="s">
        <v>20</v>
      </c>
      <c r="F50" s="2" t="s">
        <v>160</v>
      </c>
      <c r="G50" s="2" t="s">
        <v>27</v>
      </c>
      <c r="H50" s="2" t="s">
        <v>192</v>
      </c>
      <c r="I50" s="2" t="s">
        <v>161</v>
      </c>
      <c r="J50" s="2" t="s">
        <v>1160</v>
      </c>
      <c r="K50" s="17"/>
      <c r="L50" s="18">
        <v>3214.92</v>
      </c>
    </row>
    <row r="51" spans="1:12" ht="15" customHeight="1" x14ac:dyDescent="0.25">
      <c r="A51" s="2" t="s">
        <v>1195</v>
      </c>
      <c r="B51" s="2" t="s">
        <v>357</v>
      </c>
      <c r="C51" s="17">
        <v>45987</v>
      </c>
      <c r="D51" s="17"/>
      <c r="E51" s="2" t="s">
        <v>21</v>
      </c>
      <c r="F51" s="2" t="s">
        <v>160</v>
      </c>
      <c r="G51" s="2" t="s">
        <v>25</v>
      </c>
      <c r="H51" s="2" t="s">
        <v>176</v>
      </c>
      <c r="I51" s="2" t="s">
        <v>161</v>
      </c>
      <c r="J51" s="2" t="s">
        <v>1160</v>
      </c>
      <c r="K51" s="17"/>
      <c r="L51" s="18">
        <v>2603.91</v>
      </c>
    </row>
    <row r="52" spans="1:12" ht="15" customHeight="1" x14ac:dyDescent="0.25">
      <c r="A52" s="2" t="s">
        <v>1196</v>
      </c>
      <c r="B52" s="2" t="s">
        <v>360</v>
      </c>
      <c r="C52" s="17">
        <v>45899</v>
      </c>
      <c r="D52" s="17">
        <v>45916</v>
      </c>
      <c r="E52" s="2" t="s">
        <v>19</v>
      </c>
      <c r="F52" s="2" t="s">
        <v>149</v>
      </c>
      <c r="G52" s="2" t="s">
        <v>25</v>
      </c>
      <c r="H52" s="2" t="s">
        <v>179</v>
      </c>
      <c r="I52" s="2" t="s">
        <v>156</v>
      </c>
      <c r="J52" s="2" t="s">
        <v>1151</v>
      </c>
      <c r="K52" s="17"/>
      <c r="L52" s="18">
        <v>616.57000000000005</v>
      </c>
    </row>
    <row r="53" spans="1:12" ht="15" customHeight="1" x14ac:dyDescent="0.25">
      <c r="A53" s="2" t="s">
        <v>97</v>
      </c>
      <c r="B53" s="2" t="s">
        <v>363</v>
      </c>
      <c r="C53" s="17">
        <v>45939</v>
      </c>
      <c r="D53" s="17"/>
      <c r="E53" s="2" t="s">
        <v>22</v>
      </c>
      <c r="F53" s="2" t="s">
        <v>155</v>
      </c>
      <c r="G53" s="2" t="s">
        <v>24</v>
      </c>
      <c r="H53" s="2" t="s">
        <v>165</v>
      </c>
      <c r="I53" s="2" t="s">
        <v>161</v>
      </c>
      <c r="J53" s="2" t="s">
        <v>1151</v>
      </c>
      <c r="K53" s="17"/>
      <c r="L53" s="18">
        <v>1203.6400000000001</v>
      </c>
    </row>
    <row r="54" spans="1:12" ht="15" customHeight="1" x14ac:dyDescent="0.25">
      <c r="A54" s="2" t="s">
        <v>1197</v>
      </c>
      <c r="B54" s="2" t="s">
        <v>368</v>
      </c>
      <c r="C54" s="17">
        <v>45836</v>
      </c>
      <c r="D54" s="17">
        <v>45859</v>
      </c>
      <c r="E54" s="2" t="s">
        <v>22</v>
      </c>
      <c r="F54" s="2" t="s">
        <v>186</v>
      </c>
      <c r="G54" s="2" t="s">
        <v>26</v>
      </c>
      <c r="H54" s="2" t="s">
        <v>165</v>
      </c>
      <c r="I54" s="2" t="s">
        <v>156</v>
      </c>
      <c r="J54" s="2" t="s">
        <v>1151</v>
      </c>
      <c r="K54" s="17"/>
      <c r="L54" s="18">
        <v>711.74</v>
      </c>
    </row>
    <row r="55" spans="1:12" ht="15" customHeight="1" x14ac:dyDescent="0.25">
      <c r="A55" s="2" t="s">
        <v>87</v>
      </c>
      <c r="B55" s="2" t="s">
        <v>369</v>
      </c>
      <c r="C55" s="17">
        <v>45841</v>
      </c>
      <c r="D55" s="17"/>
      <c r="E55" s="2" t="s">
        <v>22</v>
      </c>
      <c r="F55" s="2" t="s">
        <v>149</v>
      </c>
      <c r="G55" s="2" t="s">
        <v>26</v>
      </c>
      <c r="H55" s="2" t="s">
        <v>170</v>
      </c>
      <c r="J55" s="2" t="s">
        <v>1160</v>
      </c>
      <c r="K55" s="17"/>
      <c r="L55" s="18">
        <v>1083.67</v>
      </c>
    </row>
    <row r="56" spans="1:12" ht="15" customHeight="1" x14ac:dyDescent="0.25">
      <c r="A56" s="2" t="s">
        <v>98</v>
      </c>
      <c r="B56" s="2" t="s">
        <v>372</v>
      </c>
      <c r="C56" s="17">
        <v>46037</v>
      </c>
      <c r="D56" s="17"/>
      <c r="E56" s="2" t="s">
        <v>22</v>
      </c>
      <c r="F56" s="2" t="s">
        <v>149</v>
      </c>
      <c r="G56" s="2" t="s">
        <v>26</v>
      </c>
      <c r="H56" s="2" t="s">
        <v>151</v>
      </c>
      <c r="I56" s="2" t="s">
        <v>156</v>
      </c>
      <c r="J56" s="2" t="s">
        <v>1151</v>
      </c>
      <c r="K56" s="17"/>
      <c r="L56" s="18">
        <v>848.18</v>
      </c>
    </row>
    <row r="57" spans="1:12" ht="15" customHeight="1" x14ac:dyDescent="0.25">
      <c r="A57" s="2" t="s">
        <v>1198</v>
      </c>
      <c r="B57" s="2" t="s">
        <v>378</v>
      </c>
      <c r="C57" s="17">
        <v>45887</v>
      </c>
      <c r="D57" s="17">
        <v>45915</v>
      </c>
      <c r="E57" s="2" t="s">
        <v>22</v>
      </c>
      <c r="F57" s="2" t="s">
        <v>149</v>
      </c>
      <c r="G57" s="2" t="s">
        <v>25</v>
      </c>
      <c r="H57" s="2" t="s">
        <v>151</v>
      </c>
      <c r="I57" s="2" t="s">
        <v>156</v>
      </c>
      <c r="J57" s="2" t="s">
        <v>1151</v>
      </c>
      <c r="K57" s="17"/>
      <c r="L57" s="18">
        <v>732.17</v>
      </c>
    </row>
    <row r="58" spans="1:12" ht="15" customHeight="1" x14ac:dyDescent="0.25">
      <c r="A58" s="2" t="s">
        <v>1199</v>
      </c>
      <c r="B58" s="2" t="s">
        <v>384</v>
      </c>
      <c r="C58" s="17">
        <v>45903</v>
      </c>
      <c r="D58" s="17"/>
      <c r="E58" s="2" t="s">
        <v>19</v>
      </c>
      <c r="F58" s="2" t="s">
        <v>160</v>
      </c>
      <c r="G58" s="2" t="s">
        <v>25</v>
      </c>
      <c r="H58" s="2" t="s">
        <v>179</v>
      </c>
      <c r="I58" s="2" t="s">
        <v>150</v>
      </c>
      <c r="J58" s="2" t="s">
        <v>1160</v>
      </c>
      <c r="K58" s="17"/>
      <c r="L58" s="18">
        <v>5993.39</v>
      </c>
    </row>
    <row r="59" spans="1:12" ht="15" customHeight="1" x14ac:dyDescent="0.25">
      <c r="A59" s="2" t="s">
        <v>1200</v>
      </c>
      <c r="B59" s="2" t="s">
        <v>385</v>
      </c>
      <c r="C59" s="17">
        <v>46049</v>
      </c>
      <c r="D59" s="17">
        <v>46077</v>
      </c>
      <c r="E59" s="2" t="s">
        <v>18</v>
      </c>
      <c r="F59" s="2" t="s">
        <v>186</v>
      </c>
      <c r="G59" s="2" t="s">
        <v>24</v>
      </c>
      <c r="H59" s="2" t="s">
        <v>251</v>
      </c>
      <c r="I59" s="2" t="s">
        <v>161</v>
      </c>
      <c r="J59" s="2" t="s">
        <v>1151</v>
      </c>
      <c r="K59" s="17"/>
      <c r="L59" s="18">
        <v>2794.31</v>
      </c>
    </row>
    <row r="60" spans="1:12" ht="15" customHeight="1" x14ac:dyDescent="0.25">
      <c r="A60" s="2" t="s">
        <v>1201</v>
      </c>
      <c r="B60" s="2" t="s">
        <v>390</v>
      </c>
      <c r="C60" s="17">
        <v>45772</v>
      </c>
      <c r="D60" s="17">
        <v>45792</v>
      </c>
      <c r="E60" s="2" t="s">
        <v>20</v>
      </c>
      <c r="F60" s="2" t="s">
        <v>186</v>
      </c>
      <c r="G60" s="2" t="s">
        <v>25</v>
      </c>
      <c r="H60" s="2" t="s">
        <v>189</v>
      </c>
      <c r="I60" s="2" t="s">
        <v>161</v>
      </c>
      <c r="J60" s="2" t="s">
        <v>1151</v>
      </c>
      <c r="K60" s="17"/>
      <c r="L60" s="18">
        <v>2371.38</v>
      </c>
    </row>
    <row r="61" spans="1:12" ht="15" customHeight="1" x14ac:dyDescent="0.25">
      <c r="A61" s="2" t="s">
        <v>1202</v>
      </c>
      <c r="B61" s="2" t="s">
        <v>397</v>
      </c>
      <c r="C61" s="17">
        <v>46000</v>
      </c>
      <c r="D61" s="17">
        <v>46024</v>
      </c>
      <c r="E61" s="2" t="s">
        <v>19</v>
      </c>
      <c r="F61" s="2" t="s">
        <v>149</v>
      </c>
      <c r="G61" s="2" t="s">
        <v>25</v>
      </c>
      <c r="H61" s="2" t="s">
        <v>179</v>
      </c>
      <c r="I61" s="2" t="s">
        <v>156</v>
      </c>
      <c r="J61" s="2" t="s">
        <v>1151</v>
      </c>
      <c r="K61" s="17"/>
      <c r="L61" s="18">
        <v>714.73</v>
      </c>
    </row>
    <row r="62" spans="1:12" ht="15" customHeight="1" x14ac:dyDescent="0.25">
      <c r="A62" s="2" t="s">
        <v>1203</v>
      </c>
      <c r="B62" s="2" t="s">
        <v>399</v>
      </c>
      <c r="C62" s="17">
        <v>45895</v>
      </c>
      <c r="D62" s="17">
        <v>45940</v>
      </c>
      <c r="E62" s="2" t="s">
        <v>18</v>
      </c>
      <c r="F62" s="2" t="s">
        <v>186</v>
      </c>
      <c r="G62" s="2" t="s">
        <v>27</v>
      </c>
      <c r="H62" s="2" t="s">
        <v>157</v>
      </c>
      <c r="I62" s="2" t="s">
        <v>150</v>
      </c>
      <c r="J62" s="2" t="s">
        <v>1151</v>
      </c>
      <c r="K62" s="17"/>
      <c r="L62" s="18">
        <v>7135</v>
      </c>
    </row>
    <row r="63" spans="1:12" ht="15" customHeight="1" x14ac:dyDescent="0.25">
      <c r="A63" s="2" t="s">
        <v>1204</v>
      </c>
      <c r="B63" s="2" t="s">
        <v>402</v>
      </c>
      <c r="C63" s="17">
        <v>45718</v>
      </c>
      <c r="D63" s="17">
        <v>45754</v>
      </c>
      <c r="E63" s="2" t="s">
        <v>20</v>
      </c>
      <c r="F63" s="2" t="s">
        <v>186</v>
      </c>
      <c r="G63" s="2" t="s">
        <v>25</v>
      </c>
      <c r="H63" s="2" t="s">
        <v>192</v>
      </c>
      <c r="I63" s="2" t="s">
        <v>156</v>
      </c>
      <c r="J63" s="2" t="s">
        <v>1151</v>
      </c>
      <c r="K63" s="17"/>
      <c r="L63" s="18">
        <v>703.07</v>
      </c>
    </row>
    <row r="64" spans="1:12" ht="15" customHeight="1" x14ac:dyDescent="0.25">
      <c r="A64" s="2" t="s">
        <v>94</v>
      </c>
      <c r="B64" s="2" t="s">
        <v>405</v>
      </c>
      <c r="C64" s="17">
        <v>45988</v>
      </c>
      <c r="D64" s="17">
        <v>45987</v>
      </c>
      <c r="E64" s="2" t="s">
        <v>21</v>
      </c>
      <c r="F64" s="2" t="s">
        <v>186</v>
      </c>
      <c r="G64" s="2" t="s">
        <v>25</v>
      </c>
      <c r="H64" s="2" t="s">
        <v>183</v>
      </c>
      <c r="I64" s="2" t="s">
        <v>161</v>
      </c>
      <c r="J64" s="2" t="s">
        <v>1151</v>
      </c>
      <c r="K64" s="17"/>
      <c r="L64" s="18">
        <v>2725.98</v>
      </c>
    </row>
    <row r="65" spans="1:12" ht="15" customHeight="1" x14ac:dyDescent="0.25">
      <c r="A65" s="2" t="s">
        <v>1205</v>
      </c>
      <c r="B65" s="2" t="s">
        <v>406</v>
      </c>
      <c r="C65" s="17">
        <v>45917</v>
      </c>
      <c r="D65" s="17">
        <v>45920</v>
      </c>
      <c r="E65" s="2" t="s">
        <v>2963</v>
      </c>
      <c r="F65" s="2" t="s">
        <v>155</v>
      </c>
      <c r="G65" s="2" t="s">
        <v>24</v>
      </c>
      <c r="H65" s="2" t="s">
        <v>167</v>
      </c>
      <c r="I65" s="2" t="s">
        <v>150</v>
      </c>
      <c r="J65" s="2" t="s">
        <v>1151</v>
      </c>
      <c r="K65" s="17"/>
      <c r="L65" s="18">
        <v>6448.96</v>
      </c>
    </row>
    <row r="66" spans="1:12" ht="15" customHeight="1" x14ac:dyDescent="0.25">
      <c r="A66" s="2" t="s">
        <v>1206</v>
      </c>
      <c r="B66" s="2" t="s">
        <v>407</v>
      </c>
      <c r="C66" s="17">
        <v>45697</v>
      </c>
      <c r="D66" s="17">
        <v>45709</v>
      </c>
      <c r="E66" s="2" t="s">
        <v>19</v>
      </c>
      <c r="F66" s="2" t="s">
        <v>149</v>
      </c>
      <c r="G66" s="2" t="s">
        <v>27</v>
      </c>
      <c r="H66" s="2" t="s">
        <v>207</v>
      </c>
      <c r="I66" s="2" t="s">
        <v>156</v>
      </c>
      <c r="J66" s="2" t="s">
        <v>1151</v>
      </c>
      <c r="K66" s="17"/>
      <c r="L66" s="18">
        <v>765.02</v>
      </c>
    </row>
    <row r="67" spans="1:12" ht="15" customHeight="1" x14ac:dyDescent="0.25">
      <c r="A67" s="2" t="s">
        <v>1207</v>
      </c>
      <c r="B67" s="2" t="s">
        <v>408</v>
      </c>
      <c r="C67" s="17">
        <v>45807</v>
      </c>
      <c r="D67" s="17"/>
      <c r="E67" s="2" t="s">
        <v>20</v>
      </c>
      <c r="F67" s="2" t="s">
        <v>186</v>
      </c>
      <c r="G67" s="2" t="s">
        <v>26</v>
      </c>
      <c r="H67" s="2" t="s">
        <v>167</v>
      </c>
      <c r="I67" s="2" t="s">
        <v>156</v>
      </c>
      <c r="J67" s="2" t="s">
        <v>1160</v>
      </c>
      <c r="K67" s="17"/>
      <c r="L67" s="18">
        <v>777.05</v>
      </c>
    </row>
    <row r="68" spans="1:12" ht="15" customHeight="1" x14ac:dyDescent="0.25">
      <c r="A68" s="2" t="s">
        <v>1208</v>
      </c>
      <c r="B68" s="2" t="s">
        <v>409</v>
      </c>
      <c r="C68" s="17">
        <v>45804</v>
      </c>
      <c r="D68" s="17">
        <v>45869</v>
      </c>
      <c r="E68" s="2" t="s">
        <v>20</v>
      </c>
      <c r="F68" s="2" t="s">
        <v>155</v>
      </c>
      <c r="G68" s="2" t="s">
        <v>26</v>
      </c>
      <c r="H68" s="2" t="s">
        <v>192</v>
      </c>
      <c r="I68" s="2" t="s">
        <v>156</v>
      </c>
      <c r="J68" s="2" t="s">
        <v>1151</v>
      </c>
      <c r="K68" s="17"/>
      <c r="L68" s="18">
        <v>540.37</v>
      </c>
    </row>
    <row r="69" spans="1:12" ht="15" customHeight="1" x14ac:dyDescent="0.25">
      <c r="A69" s="2" t="s">
        <v>1209</v>
      </c>
      <c r="B69" s="2" t="s">
        <v>411</v>
      </c>
      <c r="C69" s="17">
        <v>45868</v>
      </c>
      <c r="D69" s="17">
        <v>45891</v>
      </c>
      <c r="E69" s="2" t="s">
        <v>19</v>
      </c>
      <c r="F69" s="2" t="s">
        <v>149</v>
      </c>
      <c r="G69" s="2" t="s">
        <v>25</v>
      </c>
      <c r="H69" s="2" t="s">
        <v>207</v>
      </c>
      <c r="I69" s="2" t="s">
        <v>156</v>
      </c>
      <c r="J69" s="2" t="s">
        <v>1155</v>
      </c>
      <c r="K69" s="17">
        <v>45955</v>
      </c>
      <c r="L69" s="18">
        <v>1005.07</v>
      </c>
    </row>
    <row r="70" spans="1:12" ht="15" customHeight="1" x14ac:dyDescent="0.25">
      <c r="A70" s="2" t="s">
        <v>88</v>
      </c>
      <c r="B70" s="2" t="s">
        <v>416</v>
      </c>
      <c r="C70" s="17">
        <v>45942</v>
      </c>
      <c r="D70" s="17"/>
      <c r="E70" s="2" t="s">
        <v>19</v>
      </c>
      <c r="F70" s="2" t="s">
        <v>149</v>
      </c>
      <c r="G70" s="2" t="s">
        <v>28</v>
      </c>
      <c r="H70" s="2" t="s">
        <v>179</v>
      </c>
      <c r="J70" s="2" t="s">
        <v>1160</v>
      </c>
      <c r="K70" s="17"/>
      <c r="L70" s="18">
        <v>982.51</v>
      </c>
    </row>
    <row r="71" spans="1:12" ht="15" customHeight="1" x14ac:dyDescent="0.25">
      <c r="A71" s="2" t="s">
        <v>1210</v>
      </c>
      <c r="B71" s="2" t="s">
        <v>423</v>
      </c>
      <c r="C71" s="17">
        <v>45963</v>
      </c>
      <c r="D71" s="17">
        <v>45993</v>
      </c>
      <c r="E71" s="2" t="s">
        <v>22</v>
      </c>
      <c r="F71" s="2" t="s">
        <v>160</v>
      </c>
      <c r="G71" s="2" t="s">
        <v>26</v>
      </c>
      <c r="H71" s="2" t="s">
        <v>170</v>
      </c>
      <c r="I71" s="2" t="s">
        <v>156</v>
      </c>
      <c r="J71" s="2" t="s">
        <v>1151</v>
      </c>
      <c r="K71" s="17"/>
      <c r="L71" s="18">
        <v>919.94</v>
      </c>
    </row>
    <row r="72" spans="1:12" ht="15" customHeight="1" x14ac:dyDescent="0.25">
      <c r="A72" s="2" t="s">
        <v>1211</v>
      </c>
      <c r="B72" s="2" t="s">
        <v>430</v>
      </c>
      <c r="C72" s="17">
        <v>45831</v>
      </c>
      <c r="D72" s="17">
        <v>45856</v>
      </c>
      <c r="E72" s="2" t="s">
        <v>19</v>
      </c>
      <c r="F72" s="2" t="s">
        <v>149</v>
      </c>
      <c r="G72" s="2" t="s">
        <v>25</v>
      </c>
      <c r="H72" s="2" t="s">
        <v>179</v>
      </c>
      <c r="I72" s="2" t="s">
        <v>150</v>
      </c>
      <c r="J72" s="2" t="s">
        <v>1151</v>
      </c>
      <c r="K72" s="17"/>
      <c r="L72" s="18">
        <v>10436.51</v>
      </c>
    </row>
    <row r="73" spans="1:12" ht="15" customHeight="1" x14ac:dyDescent="0.25">
      <c r="A73" s="2" t="s">
        <v>1212</v>
      </c>
      <c r="B73" s="2" t="s">
        <v>435</v>
      </c>
      <c r="C73" s="17">
        <v>45814</v>
      </c>
      <c r="D73" s="17">
        <v>45852</v>
      </c>
      <c r="E73" s="2" t="s">
        <v>19</v>
      </c>
      <c r="F73" s="2" t="s">
        <v>160</v>
      </c>
      <c r="G73" s="2" t="s">
        <v>27</v>
      </c>
      <c r="H73" s="2" t="s">
        <v>179</v>
      </c>
      <c r="I73" s="2" t="s">
        <v>161</v>
      </c>
      <c r="J73" s="2" t="s">
        <v>1151</v>
      </c>
      <c r="K73" s="17"/>
      <c r="L73" s="18">
        <v>2697.38</v>
      </c>
    </row>
    <row r="74" spans="1:12" ht="15" customHeight="1" x14ac:dyDescent="0.25">
      <c r="A74" s="2" t="s">
        <v>1213</v>
      </c>
      <c r="B74" s="2" t="s">
        <v>437</v>
      </c>
      <c r="C74" s="17">
        <v>45846</v>
      </c>
      <c r="D74" s="17">
        <v>45852</v>
      </c>
      <c r="E74" s="2" t="s">
        <v>18</v>
      </c>
      <c r="F74" s="2" t="s">
        <v>149</v>
      </c>
      <c r="G74" s="2" t="s">
        <v>27</v>
      </c>
      <c r="H74" s="2" t="s">
        <v>157</v>
      </c>
      <c r="I74" s="2" t="s">
        <v>156</v>
      </c>
      <c r="J74" s="2" t="s">
        <v>1151</v>
      </c>
      <c r="K74" s="17"/>
      <c r="L74" s="18">
        <v>1094.9000000000001</v>
      </c>
    </row>
    <row r="75" spans="1:12" ht="15" customHeight="1" x14ac:dyDescent="0.25">
      <c r="A75" s="2" t="s">
        <v>1214</v>
      </c>
      <c r="B75" s="2" t="s">
        <v>447</v>
      </c>
      <c r="C75" s="17">
        <v>45849</v>
      </c>
      <c r="D75" s="17">
        <v>45872</v>
      </c>
      <c r="E75" s="2" t="s">
        <v>20</v>
      </c>
      <c r="F75" s="2" t="s">
        <v>155</v>
      </c>
      <c r="G75" s="2" t="s">
        <v>24</v>
      </c>
      <c r="H75" s="2" t="s">
        <v>189</v>
      </c>
      <c r="I75" s="2" t="s">
        <v>156</v>
      </c>
      <c r="J75" s="2" t="s">
        <v>1151</v>
      </c>
      <c r="K75" s="17"/>
      <c r="L75" s="18">
        <v>446.26</v>
      </c>
    </row>
    <row r="76" spans="1:12" ht="15" customHeight="1" x14ac:dyDescent="0.25">
      <c r="A76" s="2" t="s">
        <v>1215</v>
      </c>
      <c r="B76" s="2" t="s">
        <v>449</v>
      </c>
      <c r="C76" s="17">
        <v>46002</v>
      </c>
      <c r="D76" s="17">
        <v>46033</v>
      </c>
      <c r="E76" s="2" t="s">
        <v>19</v>
      </c>
      <c r="F76" s="2" t="s">
        <v>149</v>
      </c>
      <c r="G76" s="2" t="s">
        <v>25</v>
      </c>
      <c r="H76" s="2" t="s">
        <v>207</v>
      </c>
      <c r="I76" s="2" t="s">
        <v>156</v>
      </c>
      <c r="J76" s="2" t="s">
        <v>1151</v>
      </c>
      <c r="K76" s="17"/>
      <c r="L76" s="18">
        <v>807.92</v>
      </c>
    </row>
    <row r="77" spans="1:12" ht="15" customHeight="1" x14ac:dyDescent="0.25">
      <c r="A77" s="2" t="s">
        <v>1216</v>
      </c>
      <c r="B77" s="2" t="s">
        <v>452</v>
      </c>
      <c r="C77" s="17">
        <v>45769</v>
      </c>
      <c r="D77" s="17">
        <v>45797</v>
      </c>
      <c r="E77" s="2" t="s">
        <v>20</v>
      </c>
      <c r="F77" s="2" t="s">
        <v>155</v>
      </c>
      <c r="G77" s="2" t="s">
        <v>24</v>
      </c>
      <c r="H77" s="2" t="s">
        <v>189</v>
      </c>
      <c r="I77" s="2" t="s">
        <v>150</v>
      </c>
      <c r="J77" s="2" t="s">
        <v>1151</v>
      </c>
      <c r="K77" s="17"/>
      <c r="L77" s="18">
        <v>6517.51</v>
      </c>
    </row>
    <row r="78" spans="1:12" ht="15" customHeight="1" x14ac:dyDescent="0.25">
      <c r="A78" s="2" t="s">
        <v>1217</v>
      </c>
      <c r="B78" s="2" t="s">
        <v>453</v>
      </c>
      <c r="C78" s="17">
        <v>45789</v>
      </c>
      <c r="D78" s="17"/>
      <c r="E78" s="2" t="s">
        <v>21</v>
      </c>
      <c r="F78" s="2" t="s">
        <v>155</v>
      </c>
      <c r="G78" s="2" t="s">
        <v>25</v>
      </c>
      <c r="H78" s="2" t="s">
        <v>162</v>
      </c>
      <c r="I78" s="2" t="s">
        <v>156</v>
      </c>
      <c r="J78" s="2" t="s">
        <v>1160</v>
      </c>
      <c r="K78" s="17"/>
      <c r="L78" s="18">
        <v>706</v>
      </c>
    </row>
    <row r="79" spans="1:12" ht="15" customHeight="1" x14ac:dyDescent="0.25">
      <c r="A79" s="2" t="s">
        <v>1218</v>
      </c>
      <c r="B79" s="2" t="s">
        <v>458</v>
      </c>
      <c r="C79" s="17">
        <v>45839</v>
      </c>
      <c r="D79" s="17"/>
      <c r="E79" s="2" t="s">
        <v>20</v>
      </c>
      <c r="F79" s="2" t="s">
        <v>149</v>
      </c>
      <c r="G79" s="2" t="s">
        <v>28</v>
      </c>
      <c r="H79" s="2" t="s">
        <v>189</v>
      </c>
      <c r="I79" s="2" t="s">
        <v>156</v>
      </c>
      <c r="J79" s="2" t="s">
        <v>1160</v>
      </c>
      <c r="K79" s="17"/>
      <c r="L79" s="18">
        <v>758.21</v>
      </c>
    </row>
    <row r="80" spans="1:12" ht="15" customHeight="1" x14ac:dyDescent="0.25">
      <c r="A80" s="2" t="s">
        <v>1219</v>
      </c>
      <c r="B80" s="2" t="s">
        <v>461</v>
      </c>
      <c r="C80" s="17">
        <v>45844</v>
      </c>
      <c r="D80" s="17">
        <v>45859</v>
      </c>
      <c r="E80" s="2" t="s">
        <v>21</v>
      </c>
      <c r="F80" s="2" t="s">
        <v>160</v>
      </c>
      <c r="G80" s="2" t="s">
        <v>25</v>
      </c>
      <c r="H80" s="2" t="s">
        <v>162</v>
      </c>
      <c r="I80" s="2" t="s">
        <v>161</v>
      </c>
      <c r="J80" s="2" t="s">
        <v>1151</v>
      </c>
      <c r="K80" s="17"/>
      <c r="L80" s="18">
        <v>2807.03</v>
      </c>
    </row>
    <row r="81" spans="1:12" ht="15" customHeight="1" x14ac:dyDescent="0.25">
      <c r="A81" s="2" t="s">
        <v>1220</v>
      </c>
      <c r="B81" s="2" t="s">
        <v>463</v>
      </c>
      <c r="C81" s="17">
        <v>45737</v>
      </c>
      <c r="D81" s="17"/>
      <c r="E81" s="2" t="s">
        <v>20</v>
      </c>
      <c r="F81" s="2" t="s">
        <v>186</v>
      </c>
      <c r="G81" s="2" t="s">
        <v>25</v>
      </c>
      <c r="H81" s="2" t="s">
        <v>189</v>
      </c>
      <c r="I81" s="2" t="s">
        <v>156</v>
      </c>
      <c r="J81" s="2" t="s">
        <v>1160</v>
      </c>
      <c r="K81" s="17"/>
      <c r="L81" s="18">
        <v>784.27</v>
      </c>
    </row>
    <row r="82" spans="1:12" ht="15" customHeight="1" x14ac:dyDescent="0.25">
      <c r="A82" s="2" t="s">
        <v>1221</v>
      </c>
      <c r="B82" s="2" t="s">
        <v>465</v>
      </c>
      <c r="C82" s="17">
        <v>45806</v>
      </c>
      <c r="D82" s="17">
        <v>45837</v>
      </c>
      <c r="E82" s="2" t="s">
        <v>18</v>
      </c>
      <c r="F82" s="2" t="s">
        <v>186</v>
      </c>
      <c r="G82" s="2" t="s">
        <v>24</v>
      </c>
      <c r="H82" s="2" t="s">
        <v>201</v>
      </c>
      <c r="I82" s="2" t="s">
        <v>156</v>
      </c>
      <c r="J82" s="2" t="s">
        <v>1155</v>
      </c>
      <c r="K82" s="17">
        <v>45907</v>
      </c>
      <c r="L82" s="18">
        <v>733.76</v>
      </c>
    </row>
    <row r="83" spans="1:12" ht="15" customHeight="1" x14ac:dyDescent="0.25">
      <c r="A83" s="2" t="s">
        <v>1222</v>
      </c>
      <c r="B83" s="2" t="s">
        <v>466</v>
      </c>
      <c r="C83" s="17">
        <v>45711</v>
      </c>
      <c r="D83" s="17">
        <v>45719</v>
      </c>
      <c r="E83" s="2" t="s">
        <v>22</v>
      </c>
      <c r="F83" s="2" t="s">
        <v>186</v>
      </c>
      <c r="G83" s="2" t="s">
        <v>28</v>
      </c>
      <c r="H83" s="2" t="s">
        <v>170</v>
      </c>
      <c r="I83" s="2" t="s">
        <v>150</v>
      </c>
      <c r="J83" s="2" t="s">
        <v>1151</v>
      </c>
      <c r="K83" s="17"/>
      <c r="L83" s="18">
        <v>5537.49</v>
      </c>
    </row>
    <row r="84" spans="1:12" ht="15" customHeight="1" x14ac:dyDescent="0.25">
      <c r="A84" s="2" t="s">
        <v>1223</v>
      </c>
      <c r="B84" s="2" t="s">
        <v>474</v>
      </c>
      <c r="C84" s="17">
        <v>45779</v>
      </c>
      <c r="D84" s="17">
        <v>45785</v>
      </c>
      <c r="E84" s="2" t="s">
        <v>22</v>
      </c>
      <c r="F84" s="2" t="s">
        <v>186</v>
      </c>
      <c r="G84" s="2" t="s">
        <v>25</v>
      </c>
      <c r="H84" s="2" t="s">
        <v>165</v>
      </c>
      <c r="I84" s="2" t="s">
        <v>150</v>
      </c>
      <c r="J84" s="2" t="s">
        <v>1151</v>
      </c>
      <c r="K84" s="17"/>
      <c r="L84" s="18">
        <v>6198.69</v>
      </c>
    </row>
    <row r="85" spans="1:12" ht="15" customHeight="1" x14ac:dyDescent="0.25">
      <c r="A85" s="2" t="s">
        <v>1224</v>
      </c>
      <c r="B85" s="2" t="s">
        <v>476</v>
      </c>
      <c r="C85" s="17">
        <v>45900</v>
      </c>
      <c r="D85" s="17"/>
      <c r="E85" s="2" t="s">
        <v>21</v>
      </c>
      <c r="F85" s="2" t="s">
        <v>149</v>
      </c>
      <c r="G85" s="2" t="s">
        <v>27</v>
      </c>
      <c r="H85" s="2" t="s">
        <v>176</v>
      </c>
      <c r="I85" s="2" t="s">
        <v>161</v>
      </c>
      <c r="J85" s="2" t="s">
        <v>1160</v>
      </c>
      <c r="K85" s="17"/>
      <c r="L85" s="18">
        <v>3464.47</v>
      </c>
    </row>
    <row r="86" spans="1:12" ht="15" customHeight="1" x14ac:dyDescent="0.25">
      <c r="A86" s="2" t="s">
        <v>1225</v>
      </c>
      <c r="B86" s="2" t="s">
        <v>477</v>
      </c>
      <c r="C86" s="17">
        <v>46028</v>
      </c>
      <c r="D86" s="17">
        <v>46053</v>
      </c>
      <c r="E86" s="2" t="s">
        <v>21</v>
      </c>
      <c r="F86" s="2" t="s">
        <v>155</v>
      </c>
      <c r="G86" s="2" t="s">
        <v>25</v>
      </c>
      <c r="H86" s="2" t="s">
        <v>183</v>
      </c>
      <c r="I86" s="2" t="s">
        <v>150</v>
      </c>
      <c r="J86" s="2" t="s">
        <v>1151</v>
      </c>
      <c r="K86" s="17"/>
      <c r="L86" s="18">
        <v>3840.21</v>
      </c>
    </row>
    <row r="87" spans="1:12" ht="15" customHeight="1" x14ac:dyDescent="0.25">
      <c r="A87" s="2" t="s">
        <v>1226</v>
      </c>
      <c r="B87" s="2" t="s">
        <v>485</v>
      </c>
      <c r="C87" s="17">
        <v>45982</v>
      </c>
      <c r="D87" s="17">
        <v>46010</v>
      </c>
      <c r="E87" s="2" t="s">
        <v>18</v>
      </c>
      <c r="F87" s="2" t="s">
        <v>149</v>
      </c>
      <c r="G87" s="2" t="s">
        <v>24</v>
      </c>
      <c r="H87" s="2" t="s">
        <v>157</v>
      </c>
      <c r="I87" s="2" t="s">
        <v>150</v>
      </c>
      <c r="J87" s="2" t="s">
        <v>1151</v>
      </c>
      <c r="K87" s="17"/>
      <c r="L87" s="18">
        <v>10097.299999999999</v>
      </c>
    </row>
    <row r="88" spans="1:12" ht="15" customHeight="1" x14ac:dyDescent="0.25">
      <c r="A88" s="2" t="s">
        <v>1227</v>
      </c>
      <c r="B88" s="2" t="s">
        <v>486</v>
      </c>
      <c r="C88" s="17">
        <v>45919</v>
      </c>
      <c r="D88" s="17">
        <v>45945</v>
      </c>
      <c r="E88" s="2" t="s">
        <v>20</v>
      </c>
      <c r="F88" s="2" t="s">
        <v>149</v>
      </c>
      <c r="G88" s="2" t="s">
        <v>25</v>
      </c>
      <c r="H88" s="2" t="s">
        <v>192</v>
      </c>
      <c r="I88" s="2" t="s">
        <v>150</v>
      </c>
      <c r="J88" s="2" t="s">
        <v>1151</v>
      </c>
      <c r="K88" s="17"/>
      <c r="L88" s="18">
        <v>9640.93</v>
      </c>
    </row>
    <row r="89" spans="1:12" ht="15" customHeight="1" x14ac:dyDescent="0.25">
      <c r="A89" s="2" t="s">
        <v>79</v>
      </c>
      <c r="B89" s="2" t="s">
        <v>496</v>
      </c>
      <c r="C89" s="17">
        <v>45736</v>
      </c>
      <c r="D89" s="17">
        <v>45767</v>
      </c>
      <c r="E89" s="2" t="s">
        <v>21</v>
      </c>
      <c r="F89" s="2" t="s">
        <v>186</v>
      </c>
      <c r="G89" s="2" t="s">
        <v>25</v>
      </c>
      <c r="H89" s="2" t="s">
        <v>176</v>
      </c>
      <c r="I89" s="2" t="s">
        <v>161</v>
      </c>
      <c r="J89" s="2" t="s">
        <v>1155</v>
      </c>
      <c r="K89" s="17">
        <v>45886</v>
      </c>
      <c r="L89" s="18">
        <v>2559.14</v>
      </c>
    </row>
    <row r="90" spans="1:12" ht="15" customHeight="1" x14ac:dyDescent="0.25">
      <c r="A90" s="2" t="s">
        <v>1228</v>
      </c>
      <c r="B90" s="2" t="s">
        <v>500</v>
      </c>
      <c r="C90" s="17">
        <v>45746</v>
      </c>
      <c r="D90" s="17">
        <v>45753</v>
      </c>
      <c r="E90" s="2" t="s">
        <v>19</v>
      </c>
      <c r="F90" s="2" t="s">
        <v>155</v>
      </c>
      <c r="G90" s="2" t="s">
        <v>25</v>
      </c>
      <c r="H90" s="2" t="s">
        <v>210</v>
      </c>
      <c r="I90" s="2" t="s">
        <v>150</v>
      </c>
      <c r="J90" s="2" t="s">
        <v>1151</v>
      </c>
      <c r="K90" s="17"/>
      <c r="L90" s="18">
        <v>5133.84</v>
      </c>
    </row>
    <row r="91" spans="1:12" ht="15" customHeight="1" x14ac:dyDescent="0.25">
      <c r="A91" s="2" t="s">
        <v>1229</v>
      </c>
      <c r="B91" s="2" t="s">
        <v>501</v>
      </c>
      <c r="C91" s="17">
        <v>46028</v>
      </c>
      <c r="D91" s="17">
        <v>46061</v>
      </c>
      <c r="E91" s="2" t="s">
        <v>18</v>
      </c>
      <c r="F91" s="2" t="s">
        <v>186</v>
      </c>
      <c r="G91" s="2" t="s">
        <v>26</v>
      </c>
      <c r="H91" s="2" t="s">
        <v>201</v>
      </c>
      <c r="I91" s="2" t="s">
        <v>156</v>
      </c>
      <c r="J91" s="2" t="s">
        <v>1151</v>
      </c>
      <c r="K91" s="17"/>
      <c r="L91" s="18">
        <v>751.66</v>
      </c>
    </row>
    <row r="92" spans="1:12" ht="15" customHeight="1" x14ac:dyDescent="0.25">
      <c r="A92" s="2" t="s">
        <v>1230</v>
      </c>
      <c r="B92" s="2" t="s">
        <v>503</v>
      </c>
      <c r="C92" s="17">
        <v>45717</v>
      </c>
      <c r="D92" s="17"/>
      <c r="E92" s="2" t="s">
        <v>22</v>
      </c>
      <c r="F92" s="2" t="s">
        <v>149</v>
      </c>
      <c r="G92" s="2" t="s">
        <v>25</v>
      </c>
      <c r="H92" s="2" t="s">
        <v>170</v>
      </c>
      <c r="I92" s="2" t="s">
        <v>156</v>
      </c>
      <c r="J92" s="2" t="s">
        <v>1160</v>
      </c>
      <c r="K92" s="17"/>
      <c r="L92" s="18">
        <v>904.76</v>
      </c>
    </row>
    <row r="93" spans="1:12" ht="15" customHeight="1" x14ac:dyDescent="0.25">
      <c r="A93" s="2" t="s">
        <v>1231</v>
      </c>
      <c r="B93" s="2" t="s">
        <v>517</v>
      </c>
      <c r="C93" s="17">
        <v>45716</v>
      </c>
      <c r="D93" s="17">
        <v>45742</v>
      </c>
      <c r="E93" s="2" t="s">
        <v>19</v>
      </c>
      <c r="F93" s="2" t="s">
        <v>155</v>
      </c>
      <c r="G93" s="2" t="s">
        <v>25</v>
      </c>
      <c r="H93" s="2" t="s">
        <v>210</v>
      </c>
      <c r="I93" s="2" t="s">
        <v>150</v>
      </c>
      <c r="J93" s="2" t="s">
        <v>1151</v>
      </c>
      <c r="K93" s="17"/>
      <c r="L93" s="18">
        <v>6559.66</v>
      </c>
    </row>
    <row r="94" spans="1:12" ht="15" customHeight="1" x14ac:dyDescent="0.25">
      <c r="A94" s="2" t="s">
        <v>1232</v>
      </c>
      <c r="B94" s="2" t="s">
        <v>518</v>
      </c>
      <c r="C94" s="17">
        <v>45716</v>
      </c>
      <c r="D94" s="17">
        <v>45726</v>
      </c>
      <c r="E94" s="2" t="s">
        <v>18</v>
      </c>
      <c r="F94" s="2" t="s">
        <v>149</v>
      </c>
      <c r="G94" s="2" t="s">
        <v>28</v>
      </c>
      <c r="H94" s="2" t="s">
        <v>201</v>
      </c>
      <c r="I94" s="2" t="s">
        <v>150</v>
      </c>
      <c r="J94" s="2" t="s">
        <v>1155</v>
      </c>
      <c r="K94" s="17">
        <v>45904</v>
      </c>
      <c r="L94" s="18">
        <v>10492.14</v>
      </c>
    </row>
    <row r="95" spans="1:12" ht="15" customHeight="1" x14ac:dyDescent="0.25">
      <c r="A95" s="2" t="s">
        <v>1233</v>
      </c>
      <c r="B95" s="2" t="s">
        <v>520</v>
      </c>
      <c r="C95" s="17">
        <v>45962</v>
      </c>
      <c r="D95" s="17">
        <v>45975</v>
      </c>
      <c r="E95" s="2" t="s">
        <v>20</v>
      </c>
      <c r="F95" s="2" t="s">
        <v>186</v>
      </c>
      <c r="G95" s="2" t="s">
        <v>25</v>
      </c>
      <c r="H95" s="2" t="s">
        <v>192</v>
      </c>
      <c r="I95" s="2" t="s">
        <v>156</v>
      </c>
      <c r="J95" s="2" t="s">
        <v>1151</v>
      </c>
      <c r="K95" s="17"/>
      <c r="L95" s="18">
        <v>635.51</v>
      </c>
    </row>
    <row r="96" spans="1:12" ht="15" customHeight="1" x14ac:dyDescent="0.25">
      <c r="A96" s="2" t="s">
        <v>1234</v>
      </c>
      <c r="B96" s="2" t="s">
        <v>524</v>
      </c>
      <c r="C96" s="17">
        <v>45937</v>
      </c>
      <c r="D96" s="17"/>
      <c r="E96" s="2" t="s">
        <v>20</v>
      </c>
      <c r="F96" s="2" t="s">
        <v>149</v>
      </c>
      <c r="G96" s="2" t="s">
        <v>28</v>
      </c>
      <c r="H96" s="2" t="s">
        <v>167</v>
      </c>
      <c r="I96" s="2" t="s">
        <v>161</v>
      </c>
      <c r="J96" s="2" t="s">
        <v>1160</v>
      </c>
      <c r="K96" s="17"/>
      <c r="L96" s="18">
        <v>2812.76</v>
      </c>
    </row>
    <row r="97" spans="1:12" ht="15" customHeight="1" x14ac:dyDescent="0.25">
      <c r="A97" s="2" t="s">
        <v>1235</v>
      </c>
      <c r="B97" s="2" t="s">
        <v>531</v>
      </c>
      <c r="C97" s="17">
        <v>45958</v>
      </c>
      <c r="D97" s="17">
        <v>45979</v>
      </c>
      <c r="E97" s="2" t="s">
        <v>19</v>
      </c>
      <c r="F97" s="2" t="s">
        <v>149</v>
      </c>
      <c r="G97" s="2" t="s">
        <v>26</v>
      </c>
      <c r="H97" s="2" t="s">
        <v>210</v>
      </c>
      <c r="I97" s="2" t="s">
        <v>156</v>
      </c>
      <c r="J97" s="2" t="s">
        <v>1151</v>
      </c>
      <c r="K97" s="17"/>
      <c r="L97" s="18">
        <v>598.11</v>
      </c>
    </row>
    <row r="98" spans="1:12" ht="15" customHeight="1" x14ac:dyDescent="0.25">
      <c r="A98" s="2" t="s">
        <v>1236</v>
      </c>
      <c r="B98" s="2" t="s">
        <v>532</v>
      </c>
      <c r="C98" s="17">
        <v>45855</v>
      </c>
      <c r="D98" s="17">
        <v>45882</v>
      </c>
      <c r="E98" s="2" t="s">
        <v>21</v>
      </c>
      <c r="F98" s="2" t="s">
        <v>155</v>
      </c>
      <c r="G98" s="2" t="s">
        <v>25</v>
      </c>
      <c r="H98" s="2" t="s">
        <v>183</v>
      </c>
      <c r="I98" s="2" t="s">
        <v>156</v>
      </c>
      <c r="J98" s="2" t="s">
        <v>1151</v>
      </c>
      <c r="K98" s="17"/>
      <c r="L98" s="18">
        <v>542.29</v>
      </c>
    </row>
    <row r="99" spans="1:12" ht="15" customHeight="1" x14ac:dyDescent="0.25">
      <c r="A99" s="2" t="s">
        <v>1237</v>
      </c>
      <c r="B99" s="2" t="s">
        <v>534</v>
      </c>
      <c r="C99" s="17">
        <v>45882</v>
      </c>
      <c r="D99" s="17">
        <v>45909</v>
      </c>
      <c r="E99" s="2" t="s">
        <v>19</v>
      </c>
      <c r="F99" s="2" t="s">
        <v>149</v>
      </c>
      <c r="G99" s="2" t="s">
        <v>28</v>
      </c>
      <c r="H99" s="2" t="s">
        <v>207</v>
      </c>
      <c r="I99" s="2" t="s">
        <v>156</v>
      </c>
      <c r="J99" s="2" t="s">
        <v>1155</v>
      </c>
      <c r="K99" s="17">
        <v>45982</v>
      </c>
      <c r="L99" s="18">
        <v>1018.33</v>
      </c>
    </row>
    <row r="100" spans="1:12" ht="15" customHeight="1" x14ac:dyDescent="0.25">
      <c r="A100" s="2" t="s">
        <v>1238</v>
      </c>
      <c r="B100" s="2" t="s">
        <v>537</v>
      </c>
      <c r="C100" s="17">
        <v>45995</v>
      </c>
      <c r="D100" s="17">
        <v>46020</v>
      </c>
      <c r="E100" s="2" t="s">
        <v>20</v>
      </c>
      <c r="F100" s="2" t="s">
        <v>149</v>
      </c>
      <c r="G100" s="2" t="s">
        <v>27</v>
      </c>
      <c r="H100" s="2" t="s">
        <v>192</v>
      </c>
      <c r="I100" s="2" t="s">
        <v>156</v>
      </c>
      <c r="J100" s="2" t="s">
        <v>1151</v>
      </c>
      <c r="K100" s="17"/>
      <c r="L100" s="18">
        <v>849.91</v>
      </c>
    </row>
    <row r="101" spans="1:12" ht="15" customHeight="1" x14ac:dyDescent="0.25">
      <c r="A101" s="2" t="s">
        <v>1239</v>
      </c>
      <c r="B101" s="2" t="s">
        <v>539</v>
      </c>
      <c r="C101" s="17">
        <v>45934</v>
      </c>
      <c r="D101" s="17">
        <v>45963</v>
      </c>
      <c r="E101" s="2" t="s">
        <v>21</v>
      </c>
      <c r="F101" s="2" t="s">
        <v>149</v>
      </c>
      <c r="G101" s="2" t="s">
        <v>26</v>
      </c>
      <c r="H101" s="2" t="s">
        <v>183</v>
      </c>
      <c r="I101" s="2" t="s">
        <v>156</v>
      </c>
      <c r="J101" s="2" t="s">
        <v>1151</v>
      </c>
      <c r="K101" s="17"/>
      <c r="L101" s="18">
        <v>697.3</v>
      </c>
    </row>
    <row r="102" spans="1:12" ht="15" customHeight="1" x14ac:dyDescent="0.25">
      <c r="A102" s="2" t="s">
        <v>1240</v>
      </c>
      <c r="B102" s="2" t="s">
        <v>540</v>
      </c>
      <c r="C102" s="17">
        <v>45793</v>
      </c>
      <c r="D102" s="17">
        <v>45834</v>
      </c>
      <c r="E102" s="2" t="s">
        <v>20</v>
      </c>
      <c r="F102" s="2" t="s">
        <v>149</v>
      </c>
      <c r="G102" s="2" t="s">
        <v>25</v>
      </c>
      <c r="H102" s="2" t="s">
        <v>189</v>
      </c>
      <c r="I102" s="2" t="s">
        <v>150</v>
      </c>
      <c r="J102" s="2" t="s">
        <v>1155</v>
      </c>
      <c r="K102" s="17">
        <v>45983</v>
      </c>
      <c r="L102" s="18">
        <v>6827.52</v>
      </c>
    </row>
    <row r="103" spans="1:12" ht="15" customHeight="1" x14ac:dyDescent="0.25">
      <c r="A103" s="2" t="s">
        <v>1241</v>
      </c>
      <c r="B103" s="2" t="s">
        <v>542</v>
      </c>
      <c r="C103" s="17">
        <v>45990</v>
      </c>
      <c r="D103" s="17">
        <v>46005</v>
      </c>
      <c r="E103" s="2" t="s">
        <v>19</v>
      </c>
      <c r="F103" s="2" t="s">
        <v>149</v>
      </c>
      <c r="G103" s="2" t="s">
        <v>25</v>
      </c>
      <c r="H103" s="2" t="s">
        <v>179</v>
      </c>
      <c r="I103" s="2" t="s">
        <v>156</v>
      </c>
      <c r="J103" s="2" t="s">
        <v>1151</v>
      </c>
      <c r="K103" s="17"/>
      <c r="L103" s="18">
        <v>878.74</v>
      </c>
    </row>
    <row r="104" spans="1:12" ht="15" customHeight="1" x14ac:dyDescent="0.25">
      <c r="A104" s="2" t="s">
        <v>1242</v>
      </c>
      <c r="B104" s="2" t="s">
        <v>543</v>
      </c>
      <c r="C104" s="17">
        <v>46036</v>
      </c>
      <c r="D104" s="17"/>
      <c r="E104" s="2" t="s">
        <v>21</v>
      </c>
      <c r="F104" s="2" t="s">
        <v>149</v>
      </c>
      <c r="G104" s="2" t="s">
        <v>28</v>
      </c>
      <c r="H104" s="2" t="s">
        <v>183</v>
      </c>
      <c r="I104" s="2" t="s">
        <v>156</v>
      </c>
      <c r="J104" s="2" t="s">
        <v>1160</v>
      </c>
      <c r="K104" s="17"/>
      <c r="L104" s="18">
        <v>725.42</v>
      </c>
    </row>
    <row r="105" spans="1:12" ht="15" customHeight="1" x14ac:dyDescent="0.25">
      <c r="A105" s="2" t="s">
        <v>83</v>
      </c>
      <c r="B105" s="2" t="s">
        <v>1157</v>
      </c>
      <c r="C105" s="17">
        <v>45684</v>
      </c>
      <c r="D105" s="17">
        <v>45690</v>
      </c>
      <c r="E105" s="2" t="s">
        <v>22</v>
      </c>
      <c r="F105" s="2" t="s">
        <v>155</v>
      </c>
      <c r="G105" s="2" t="s">
        <v>27</v>
      </c>
      <c r="H105" s="2" t="s">
        <v>170</v>
      </c>
      <c r="I105" s="2" t="s">
        <v>161</v>
      </c>
      <c r="J105" s="2" t="s">
        <v>1151</v>
      </c>
      <c r="K105" s="17"/>
      <c r="L105" s="18">
        <v>1561.49</v>
      </c>
    </row>
    <row r="106" spans="1:12" ht="15" customHeight="1" x14ac:dyDescent="0.25">
      <c r="A106" s="2" t="s">
        <v>1243</v>
      </c>
      <c r="B106" s="2" t="s">
        <v>553</v>
      </c>
      <c r="C106" s="17">
        <v>45921</v>
      </c>
      <c r="D106" s="17">
        <v>45958</v>
      </c>
      <c r="E106" s="2" t="s">
        <v>19</v>
      </c>
      <c r="F106" s="2" t="s">
        <v>186</v>
      </c>
      <c r="G106" s="2" t="s">
        <v>25</v>
      </c>
      <c r="H106" s="2" t="s">
        <v>210</v>
      </c>
      <c r="I106" s="2" t="s">
        <v>156</v>
      </c>
      <c r="J106" s="2" t="s">
        <v>1151</v>
      </c>
      <c r="K106" s="17"/>
      <c r="L106" s="18">
        <v>880.85</v>
      </c>
    </row>
    <row r="107" spans="1:12" ht="15" customHeight="1" x14ac:dyDescent="0.25">
      <c r="A107" s="2" t="s">
        <v>1244</v>
      </c>
      <c r="B107" s="2" t="s">
        <v>554</v>
      </c>
      <c r="C107" s="17">
        <v>45787</v>
      </c>
      <c r="D107" s="17">
        <v>45827</v>
      </c>
      <c r="E107" s="2" t="s">
        <v>2962</v>
      </c>
      <c r="F107" s="2" t="s">
        <v>149</v>
      </c>
      <c r="G107" s="2" t="s">
        <v>25</v>
      </c>
      <c r="H107" s="2" t="s">
        <v>165</v>
      </c>
      <c r="I107" s="2" t="s">
        <v>156</v>
      </c>
      <c r="J107" s="2" t="s">
        <v>1151</v>
      </c>
      <c r="K107" s="17"/>
      <c r="L107" s="18">
        <v>765.99</v>
      </c>
    </row>
    <row r="108" spans="1:12" ht="15" customHeight="1" x14ac:dyDescent="0.25">
      <c r="A108" s="2" t="s">
        <v>103</v>
      </c>
      <c r="B108" s="2" t="s">
        <v>565</v>
      </c>
      <c r="C108" s="17">
        <v>45769</v>
      </c>
      <c r="D108" s="17">
        <v>45801</v>
      </c>
      <c r="E108" s="2" t="s">
        <v>2975</v>
      </c>
      <c r="F108" s="2" t="s">
        <v>155</v>
      </c>
      <c r="G108" s="2" t="s">
        <v>27</v>
      </c>
      <c r="H108" s="2" t="s">
        <v>201</v>
      </c>
      <c r="I108" s="2" t="s">
        <v>156</v>
      </c>
      <c r="J108" s="2" t="s">
        <v>1155</v>
      </c>
      <c r="K108" s="17"/>
      <c r="L108" s="18">
        <v>615.38</v>
      </c>
    </row>
    <row r="109" spans="1:12" ht="15" customHeight="1" x14ac:dyDescent="0.25">
      <c r="A109" s="2" t="s">
        <v>1245</v>
      </c>
      <c r="B109" s="2" t="s">
        <v>574</v>
      </c>
      <c r="C109" s="17">
        <v>45766</v>
      </c>
      <c r="D109" s="17">
        <v>45784</v>
      </c>
      <c r="E109" s="2" t="s">
        <v>21</v>
      </c>
      <c r="F109" s="2" t="s">
        <v>149</v>
      </c>
      <c r="G109" s="2" t="s">
        <v>24</v>
      </c>
      <c r="H109" s="2" t="s">
        <v>162</v>
      </c>
      <c r="I109" s="2" t="s">
        <v>156</v>
      </c>
      <c r="J109" s="2" t="s">
        <v>1151</v>
      </c>
      <c r="K109" s="17"/>
      <c r="L109" s="18">
        <v>748.72</v>
      </c>
    </row>
    <row r="110" spans="1:12" ht="15" customHeight="1" x14ac:dyDescent="0.25">
      <c r="A110" s="2" t="s">
        <v>1246</v>
      </c>
      <c r="B110" s="2" t="s">
        <v>584</v>
      </c>
      <c r="C110" s="17">
        <v>45724</v>
      </c>
      <c r="D110" s="17">
        <v>45766</v>
      </c>
      <c r="E110" s="2" t="s">
        <v>22</v>
      </c>
      <c r="F110" s="2" t="s">
        <v>186</v>
      </c>
      <c r="G110" s="2" t="s">
        <v>27</v>
      </c>
      <c r="H110" s="2" t="s">
        <v>165</v>
      </c>
      <c r="I110" s="2" t="s">
        <v>156</v>
      </c>
      <c r="J110" s="2" t="s">
        <v>1151</v>
      </c>
      <c r="K110" s="17"/>
      <c r="L110" s="18">
        <v>819.04</v>
      </c>
    </row>
    <row r="111" spans="1:12" ht="15" customHeight="1" x14ac:dyDescent="0.25">
      <c r="A111" s="2" t="s">
        <v>1247</v>
      </c>
      <c r="B111" s="2" t="s">
        <v>585</v>
      </c>
      <c r="C111" s="17">
        <v>45806</v>
      </c>
      <c r="D111" s="17">
        <v>45846</v>
      </c>
      <c r="E111" s="2" t="s">
        <v>22</v>
      </c>
      <c r="F111" s="2" t="s">
        <v>149</v>
      </c>
      <c r="G111" s="2" t="s">
        <v>25</v>
      </c>
      <c r="H111" s="2" t="s">
        <v>170</v>
      </c>
      <c r="I111" s="2" t="s">
        <v>156</v>
      </c>
      <c r="J111" s="2" t="s">
        <v>1151</v>
      </c>
      <c r="K111" s="17"/>
      <c r="L111" s="18">
        <v>763.39</v>
      </c>
    </row>
    <row r="112" spans="1:12" ht="15" customHeight="1" x14ac:dyDescent="0.25">
      <c r="A112" s="2" t="s">
        <v>1248</v>
      </c>
      <c r="B112" s="2" t="s">
        <v>586</v>
      </c>
      <c r="C112" s="17">
        <v>45780</v>
      </c>
      <c r="D112" s="17">
        <v>45798</v>
      </c>
      <c r="E112" s="2" t="s">
        <v>21</v>
      </c>
      <c r="F112" s="2" t="s">
        <v>149</v>
      </c>
      <c r="G112" s="2" t="s">
        <v>26</v>
      </c>
      <c r="H112" s="2" t="s">
        <v>176</v>
      </c>
      <c r="I112" s="2" t="s">
        <v>161</v>
      </c>
      <c r="J112" s="2" t="s">
        <v>1155</v>
      </c>
      <c r="K112" s="17">
        <v>45953</v>
      </c>
      <c r="L112" s="18">
        <v>2809.94</v>
      </c>
    </row>
    <row r="113" spans="1:12" ht="15" customHeight="1" x14ac:dyDescent="0.25">
      <c r="A113" s="2" t="s">
        <v>1249</v>
      </c>
      <c r="B113" s="2" t="s">
        <v>591</v>
      </c>
      <c r="C113" s="17">
        <v>45993</v>
      </c>
      <c r="D113" s="17">
        <v>46037</v>
      </c>
      <c r="E113" s="2" t="s">
        <v>22</v>
      </c>
      <c r="F113" s="2" t="s">
        <v>149</v>
      </c>
      <c r="G113" s="2" t="s">
        <v>26</v>
      </c>
      <c r="H113" s="2" t="s">
        <v>170</v>
      </c>
      <c r="I113" s="2" t="s">
        <v>161</v>
      </c>
      <c r="J113" s="2" t="s">
        <v>1151</v>
      </c>
      <c r="K113" s="17"/>
      <c r="L113" s="18">
        <v>3061.41</v>
      </c>
    </row>
    <row r="114" spans="1:12" ht="15" customHeight="1" x14ac:dyDescent="0.25">
      <c r="A114" s="2" t="s">
        <v>1250</v>
      </c>
      <c r="B114" s="2" t="s">
        <v>596</v>
      </c>
      <c r="C114" s="17">
        <v>45904</v>
      </c>
      <c r="D114" s="17">
        <v>45949</v>
      </c>
      <c r="E114" s="2" t="s">
        <v>22</v>
      </c>
      <c r="F114" s="2" t="s">
        <v>186</v>
      </c>
      <c r="G114" s="2" t="s">
        <v>25</v>
      </c>
      <c r="H114" s="2" t="s">
        <v>170</v>
      </c>
      <c r="I114" s="2" t="s">
        <v>156</v>
      </c>
      <c r="J114" s="2" t="s">
        <v>1151</v>
      </c>
      <c r="K114" s="17"/>
      <c r="L114" s="18">
        <v>834.52</v>
      </c>
    </row>
    <row r="115" spans="1:12" ht="15" customHeight="1" x14ac:dyDescent="0.25">
      <c r="A115" s="2" t="s">
        <v>1251</v>
      </c>
      <c r="B115" s="2" t="s">
        <v>606</v>
      </c>
      <c r="C115" s="17">
        <v>45741</v>
      </c>
      <c r="D115" s="17"/>
      <c r="E115" s="2" t="s">
        <v>20</v>
      </c>
      <c r="F115" s="2" t="s">
        <v>149</v>
      </c>
      <c r="G115" s="2" t="s">
        <v>27</v>
      </c>
      <c r="H115" s="2" t="s">
        <v>192</v>
      </c>
      <c r="I115" s="2" t="s">
        <v>156</v>
      </c>
      <c r="J115" s="2" t="s">
        <v>1160</v>
      </c>
      <c r="K115" s="17"/>
      <c r="L115" s="18">
        <v>699.36</v>
      </c>
    </row>
    <row r="116" spans="1:12" ht="15" customHeight="1" x14ac:dyDescent="0.25">
      <c r="A116" s="2" t="s">
        <v>1252</v>
      </c>
      <c r="B116" s="2" t="s">
        <v>621</v>
      </c>
      <c r="C116" s="17">
        <v>45980</v>
      </c>
      <c r="D116" s="17">
        <v>46014</v>
      </c>
      <c r="E116" s="2" t="s">
        <v>19</v>
      </c>
      <c r="F116" s="2" t="s">
        <v>186</v>
      </c>
      <c r="G116" s="2" t="s">
        <v>26</v>
      </c>
      <c r="H116" s="2" t="s">
        <v>210</v>
      </c>
      <c r="I116" s="2" t="s">
        <v>156</v>
      </c>
      <c r="J116" s="2" t="s">
        <v>1151</v>
      </c>
      <c r="K116" s="17"/>
      <c r="L116" s="18">
        <v>840.18</v>
      </c>
    </row>
    <row r="117" spans="1:12" ht="15" customHeight="1" x14ac:dyDescent="0.25">
      <c r="A117" s="2" t="s">
        <v>1253</v>
      </c>
      <c r="B117" s="2" t="s">
        <v>622</v>
      </c>
      <c r="C117" s="17">
        <v>45700</v>
      </c>
      <c r="D117" s="17">
        <v>45720</v>
      </c>
      <c r="E117" s="2" t="s">
        <v>20</v>
      </c>
      <c r="F117" s="2" t="s">
        <v>155</v>
      </c>
      <c r="G117" s="2" t="s">
        <v>25</v>
      </c>
      <c r="H117" s="2" t="s">
        <v>192</v>
      </c>
      <c r="I117" s="2" t="s">
        <v>156</v>
      </c>
      <c r="J117" s="2" t="s">
        <v>1151</v>
      </c>
      <c r="K117" s="17"/>
      <c r="L117" s="18">
        <v>522.46</v>
      </c>
    </row>
    <row r="118" spans="1:12" ht="15" customHeight="1" x14ac:dyDescent="0.25">
      <c r="A118" s="2" t="s">
        <v>1254</v>
      </c>
      <c r="B118" s="2" t="s">
        <v>626</v>
      </c>
      <c r="C118" s="17">
        <v>45883</v>
      </c>
      <c r="D118" s="17"/>
      <c r="E118" s="2" t="s">
        <v>20</v>
      </c>
      <c r="F118" s="2" t="s">
        <v>160</v>
      </c>
      <c r="G118" s="2" t="s">
        <v>25</v>
      </c>
      <c r="H118" s="2" t="s">
        <v>192</v>
      </c>
      <c r="I118" s="2" t="s">
        <v>156</v>
      </c>
      <c r="J118" s="2" t="s">
        <v>1160</v>
      </c>
      <c r="K118" s="17"/>
      <c r="L118" s="18">
        <v>822.3</v>
      </c>
    </row>
    <row r="119" spans="1:12" ht="15" customHeight="1" x14ac:dyDescent="0.25">
      <c r="A119" s="2" t="s">
        <v>1255</v>
      </c>
      <c r="B119" s="2" t="s">
        <v>55</v>
      </c>
      <c r="C119" s="17">
        <v>46025</v>
      </c>
      <c r="D119" s="17"/>
      <c r="E119" s="2" t="s">
        <v>20</v>
      </c>
      <c r="F119" s="2" t="s">
        <v>160</v>
      </c>
      <c r="G119" s="2" t="s">
        <v>25</v>
      </c>
      <c r="H119" s="2" t="s">
        <v>167</v>
      </c>
      <c r="I119" s="2" t="s">
        <v>161</v>
      </c>
      <c r="J119" s="2" t="s">
        <v>1160</v>
      </c>
      <c r="K119" s="17"/>
      <c r="L119" s="18">
        <v>1889.8</v>
      </c>
    </row>
    <row r="120" spans="1:12" ht="15" customHeight="1" x14ac:dyDescent="0.25">
      <c r="A120" s="2" t="s">
        <v>1256</v>
      </c>
      <c r="B120" s="2" t="s">
        <v>635</v>
      </c>
      <c r="C120" s="17">
        <v>45720</v>
      </c>
      <c r="D120" s="17">
        <v>45762</v>
      </c>
      <c r="E120" s="2" t="s">
        <v>20</v>
      </c>
      <c r="F120" s="2" t="s">
        <v>149</v>
      </c>
      <c r="G120" s="2" t="s">
        <v>24</v>
      </c>
      <c r="H120" s="2" t="s">
        <v>192</v>
      </c>
      <c r="I120" s="2" t="s">
        <v>150</v>
      </c>
      <c r="J120" s="2" t="s">
        <v>1151</v>
      </c>
      <c r="K120" s="17"/>
      <c r="L120" s="18">
        <v>8251.14</v>
      </c>
    </row>
    <row r="121" spans="1:12" ht="15" customHeight="1" x14ac:dyDescent="0.25">
      <c r="A121" s="2" t="s">
        <v>1257</v>
      </c>
      <c r="B121" s="2" t="s">
        <v>639</v>
      </c>
      <c r="C121" s="17">
        <v>45879</v>
      </c>
      <c r="D121" s="17">
        <v>45891</v>
      </c>
      <c r="E121" s="2" t="s">
        <v>20</v>
      </c>
      <c r="F121" s="2" t="s">
        <v>155</v>
      </c>
      <c r="G121" s="2" t="s">
        <v>25</v>
      </c>
      <c r="H121" s="2" t="s">
        <v>189</v>
      </c>
      <c r="I121" s="2" t="s">
        <v>156</v>
      </c>
      <c r="J121" s="2" t="s">
        <v>1151</v>
      </c>
      <c r="K121" s="17"/>
      <c r="L121" s="18">
        <v>673.11</v>
      </c>
    </row>
    <row r="122" spans="1:12" ht="15" customHeight="1" x14ac:dyDescent="0.25">
      <c r="A122" s="2" t="s">
        <v>1258</v>
      </c>
      <c r="B122" s="2" t="s">
        <v>645</v>
      </c>
      <c r="C122" s="17">
        <v>45688</v>
      </c>
      <c r="D122" s="17">
        <v>45706</v>
      </c>
      <c r="E122" s="2" t="s">
        <v>18</v>
      </c>
      <c r="F122" s="2" t="s">
        <v>149</v>
      </c>
      <c r="G122" s="2" t="s">
        <v>24</v>
      </c>
      <c r="H122" s="2" t="s">
        <v>251</v>
      </c>
      <c r="I122" s="2" t="s">
        <v>161</v>
      </c>
      <c r="J122" s="2" t="s">
        <v>1151</v>
      </c>
      <c r="K122" s="17"/>
      <c r="L122" s="18">
        <v>2163.86</v>
      </c>
    </row>
    <row r="123" spans="1:12" ht="15" customHeight="1" x14ac:dyDescent="0.25">
      <c r="A123" s="2" t="s">
        <v>1259</v>
      </c>
      <c r="B123" s="2" t="s">
        <v>653</v>
      </c>
      <c r="C123" s="17">
        <v>45896</v>
      </c>
      <c r="D123" s="17">
        <v>45941</v>
      </c>
      <c r="E123" s="2" t="s">
        <v>22</v>
      </c>
      <c r="F123" s="2" t="s">
        <v>149</v>
      </c>
      <c r="G123" s="2" t="s">
        <v>24</v>
      </c>
      <c r="H123" s="2" t="s">
        <v>165</v>
      </c>
      <c r="I123" s="2" t="s">
        <v>161</v>
      </c>
      <c r="J123" s="2" t="s">
        <v>1151</v>
      </c>
      <c r="K123" s="17"/>
      <c r="L123" s="18">
        <v>3086.02</v>
      </c>
    </row>
    <row r="124" spans="1:12" ht="15" customHeight="1" x14ac:dyDescent="0.25">
      <c r="A124" s="2" t="s">
        <v>1260</v>
      </c>
      <c r="B124" s="2" t="s">
        <v>655</v>
      </c>
      <c r="C124" s="17">
        <v>45856</v>
      </c>
      <c r="D124" s="17">
        <v>45899</v>
      </c>
      <c r="E124" s="2" t="s">
        <v>22</v>
      </c>
      <c r="F124" s="2" t="s">
        <v>160</v>
      </c>
      <c r="G124" s="2" t="s">
        <v>26</v>
      </c>
      <c r="H124" s="2" t="s">
        <v>151</v>
      </c>
      <c r="I124" s="2" t="s">
        <v>156</v>
      </c>
      <c r="J124" s="2" t="s">
        <v>1151</v>
      </c>
      <c r="K124" s="17"/>
      <c r="L124" s="18">
        <v>846.03</v>
      </c>
    </row>
    <row r="125" spans="1:12" ht="15" customHeight="1" x14ac:dyDescent="0.25">
      <c r="A125" s="2" t="s">
        <v>1261</v>
      </c>
      <c r="B125" s="2" t="s">
        <v>69</v>
      </c>
      <c r="C125" s="17">
        <v>45712</v>
      </c>
      <c r="D125" s="17">
        <v>45741</v>
      </c>
      <c r="E125" s="2" t="s">
        <v>22</v>
      </c>
      <c r="F125" s="2" t="s">
        <v>160</v>
      </c>
      <c r="G125" s="2" t="s">
        <v>27</v>
      </c>
      <c r="H125" s="2" t="s">
        <v>170</v>
      </c>
      <c r="I125" s="2" t="s">
        <v>156</v>
      </c>
      <c r="J125" s="2" t="s">
        <v>1155</v>
      </c>
      <c r="K125" s="17">
        <v>45939</v>
      </c>
      <c r="L125" s="18">
        <v>918.35</v>
      </c>
    </row>
    <row r="126" spans="1:12" ht="15" customHeight="1" x14ac:dyDescent="0.25">
      <c r="A126" s="2" t="s">
        <v>1262</v>
      </c>
      <c r="B126" s="2" t="s">
        <v>664</v>
      </c>
      <c r="C126" s="17">
        <v>45782</v>
      </c>
      <c r="D126" s="17">
        <v>45831</v>
      </c>
      <c r="E126" s="2" t="s">
        <v>20</v>
      </c>
      <c r="F126" s="2" t="s">
        <v>149</v>
      </c>
      <c r="G126" s="2" t="s">
        <v>26</v>
      </c>
      <c r="H126" s="2" t="s">
        <v>167</v>
      </c>
      <c r="I126" s="2" t="s">
        <v>161</v>
      </c>
      <c r="J126" s="2" t="s">
        <v>1151</v>
      </c>
      <c r="K126" s="17"/>
      <c r="L126" s="18">
        <v>3027.87</v>
      </c>
    </row>
    <row r="127" spans="1:12" ht="15" customHeight="1" x14ac:dyDescent="0.25">
      <c r="A127" s="2" t="s">
        <v>1263</v>
      </c>
      <c r="B127" s="2" t="s">
        <v>665</v>
      </c>
      <c r="C127" s="17">
        <v>45920</v>
      </c>
      <c r="D127" s="17">
        <v>45956</v>
      </c>
      <c r="E127" s="2" t="s">
        <v>22</v>
      </c>
      <c r="F127" s="2" t="s">
        <v>186</v>
      </c>
      <c r="G127" s="2" t="s">
        <v>25</v>
      </c>
      <c r="H127" s="2" t="s">
        <v>165</v>
      </c>
      <c r="I127" s="2" t="s">
        <v>156</v>
      </c>
      <c r="J127" s="2" t="s">
        <v>1151</v>
      </c>
      <c r="K127" s="17"/>
      <c r="L127" s="18">
        <v>590.99</v>
      </c>
    </row>
    <row r="128" spans="1:12" ht="15" customHeight="1" x14ac:dyDescent="0.25">
      <c r="A128" s="2" t="s">
        <v>1264</v>
      </c>
      <c r="B128" s="2" t="s">
        <v>672</v>
      </c>
      <c r="C128" s="17">
        <v>45965</v>
      </c>
      <c r="D128" s="17">
        <v>45983</v>
      </c>
      <c r="E128" s="2" t="s">
        <v>22</v>
      </c>
      <c r="F128" s="2" t="s">
        <v>186</v>
      </c>
      <c r="G128" s="2" t="s">
        <v>26</v>
      </c>
      <c r="H128" s="2" t="s">
        <v>170</v>
      </c>
      <c r="I128" s="2" t="s">
        <v>150</v>
      </c>
      <c r="J128" s="2" t="s">
        <v>1151</v>
      </c>
      <c r="K128" s="17"/>
      <c r="L128" s="18">
        <v>6825.3</v>
      </c>
    </row>
    <row r="129" spans="1:12" ht="15" customHeight="1" x14ac:dyDescent="0.25">
      <c r="A129" s="2" t="s">
        <v>89</v>
      </c>
      <c r="B129" s="2" t="s">
        <v>674</v>
      </c>
      <c r="C129" s="17">
        <v>45810</v>
      </c>
      <c r="D129" s="17">
        <v>45829</v>
      </c>
      <c r="E129" s="2" t="s">
        <v>19</v>
      </c>
      <c r="F129" s="2" t="s">
        <v>186</v>
      </c>
      <c r="G129" s="2" t="s">
        <v>25</v>
      </c>
      <c r="H129" s="2" t="s">
        <v>210</v>
      </c>
      <c r="J129" s="2" t="s">
        <v>1151</v>
      </c>
      <c r="K129" s="17"/>
      <c r="L129" s="18">
        <v>687.3</v>
      </c>
    </row>
    <row r="130" spans="1:12" ht="15" customHeight="1" x14ac:dyDescent="0.25">
      <c r="A130" s="2" t="s">
        <v>1265</v>
      </c>
      <c r="B130" s="2" t="s">
        <v>679</v>
      </c>
      <c r="C130" s="17">
        <v>45899</v>
      </c>
      <c r="D130" s="17">
        <v>45913</v>
      </c>
      <c r="E130" s="2" t="s">
        <v>18</v>
      </c>
      <c r="F130" s="2" t="s">
        <v>160</v>
      </c>
      <c r="G130" s="2" t="s">
        <v>26</v>
      </c>
      <c r="H130" s="2" t="s">
        <v>157</v>
      </c>
      <c r="I130" s="2" t="s">
        <v>150</v>
      </c>
      <c r="J130" s="2" t="s">
        <v>1151</v>
      </c>
      <c r="K130" s="17"/>
      <c r="L130" s="18">
        <v>5691.94</v>
      </c>
    </row>
    <row r="131" spans="1:12" ht="15" customHeight="1" x14ac:dyDescent="0.25">
      <c r="A131" s="2" t="s">
        <v>84</v>
      </c>
      <c r="B131" s="2" t="s">
        <v>1157</v>
      </c>
      <c r="C131" s="17">
        <v>45968</v>
      </c>
      <c r="D131" s="17"/>
      <c r="E131" s="2" t="s">
        <v>22</v>
      </c>
      <c r="F131" s="2" t="s">
        <v>149</v>
      </c>
      <c r="G131" s="2" t="s">
        <v>25</v>
      </c>
      <c r="H131" s="2" t="s">
        <v>165</v>
      </c>
      <c r="I131" s="2" t="s">
        <v>156</v>
      </c>
      <c r="J131" s="2" t="s">
        <v>1160</v>
      </c>
      <c r="K131" s="17"/>
      <c r="L131" s="18">
        <v>799.37</v>
      </c>
    </row>
    <row r="132" spans="1:12" ht="15" customHeight="1" x14ac:dyDescent="0.25">
      <c r="A132" s="2" t="s">
        <v>1266</v>
      </c>
      <c r="B132" s="2" t="s">
        <v>685</v>
      </c>
      <c r="C132" s="17">
        <v>45715</v>
      </c>
      <c r="D132" s="17">
        <v>45728</v>
      </c>
      <c r="E132" s="2" t="s">
        <v>22</v>
      </c>
      <c r="F132" s="2" t="s">
        <v>149</v>
      </c>
      <c r="G132" s="2" t="s">
        <v>27</v>
      </c>
      <c r="H132" s="2" t="s">
        <v>170</v>
      </c>
      <c r="I132" s="2" t="s">
        <v>161</v>
      </c>
      <c r="J132" s="2" t="s">
        <v>1151</v>
      </c>
      <c r="K132" s="17"/>
      <c r="L132" s="18">
        <v>2684.85</v>
      </c>
    </row>
    <row r="133" spans="1:12" ht="15" customHeight="1" x14ac:dyDescent="0.25">
      <c r="A133" s="2" t="s">
        <v>1267</v>
      </c>
      <c r="B133" s="2" t="s">
        <v>686</v>
      </c>
      <c r="C133" s="17">
        <v>45960</v>
      </c>
      <c r="D133" s="17">
        <v>45971</v>
      </c>
      <c r="E133" s="2" t="s">
        <v>22</v>
      </c>
      <c r="F133" s="2" t="s">
        <v>149</v>
      </c>
      <c r="G133" s="2" t="s">
        <v>25</v>
      </c>
      <c r="H133" s="2" t="s">
        <v>165</v>
      </c>
      <c r="I133" s="2" t="s">
        <v>156</v>
      </c>
      <c r="J133" s="2" t="s">
        <v>1151</v>
      </c>
      <c r="K133" s="17"/>
      <c r="L133" s="18">
        <v>609.73</v>
      </c>
    </row>
    <row r="134" spans="1:12" ht="15" customHeight="1" x14ac:dyDescent="0.25">
      <c r="A134" s="2" t="s">
        <v>1268</v>
      </c>
      <c r="B134" s="2" t="s">
        <v>687</v>
      </c>
      <c r="C134" s="17">
        <v>45779</v>
      </c>
      <c r="D134" s="17"/>
      <c r="E134" s="2" t="s">
        <v>20</v>
      </c>
      <c r="F134" s="2" t="s">
        <v>155</v>
      </c>
      <c r="G134" s="2" t="s">
        <v>28</v>
      </c>
      <c r="H134" s="2" t="s">
        <v>189</v>
      </c>
      <c r="I134" s="2" t="s">
        <v>161</v>
      </c>
      <c r="J134" s="2" t="s">
        <v>1160</v>
      </c>
      <c r="K134" s="17"/>
      <c r="L134" s="18">
        <v>1328.09</v>
      </c>
    </row>
    <row r="135" spans="1:12" ht="15" customHeight="1" x14ac:dyDescent="0.25">
      <c r="A135" s="2" t="s">
        <v>1269</v>
      </c>
      <c r="B135" s="2" t="s">
        <v>696</v>
      </c>
      <c r="C135" s="17">
        <v>45693</v>
      </c>
      <c r="D135" s="17">
        <v>45720</v>
      </c>
      <c r="E135" s="2" t="s">
        <v>20</v>
      </c>
      <c r="F135" s="2" t="s">
        <v>160</v>
      </c>
      <c r="G135" s="2" t="s">
        <v>27</v>
      </c>
      <c r="H135" s="2" t="s">
        <v>167</v>
      </c>
      <c r="I135" s="2" t="s">
        <v>150</v>
      </c>
      <c r="J135" s="2" t="s">
        <v>1151</v>
      </c>
      <c r="K135" s="17"/>
      <c r="L135" s="18">
        <v>9137.25</v>
      </c>
    </row>
    <row r="136" spans="1:12" ht="15" customHeight="1" x14ac:dyDescent="0.25">
      <c r="A136" s="2" t="s">
        <v>1270</v>
      </c>
      <c r="B136" s="2" t="s">
        <v>711</v>
      </c>
      <c r="C136" s="17">
        <v>45785</v>
      </c>
      <c r="D136" s="17">
        <v>45798</v>
      </c>
      <c r="E136" s="2" t="s">
        <v>19</v>
      </c>
      <c r="F136" s="2" t="s">
        <v>186</v>
      </c>
      <c r="G136" s="2" t="s">
        <v>26</v>
      </c>
      <c r="H136" s="2" t="s">
        <v>179</v>
      </c>
      <c r="I136" s="2" t="s">
        <v>150</v>
      </c>
      <c r="J136" s="2" t="s">
        <v>1151</v>
      </c>
      <c r="K136" s="17"/>
      <c r="L136" s="18">
        <v>8612.4599999999991</v>
      </c>
    </row>
    <row r="137" spans="1:12" ht="15" customHeight="1" x14ac:dyDescent="0.25">
      <c r="A137" s="2" t="s">
        <v>1271</v>
      </c>
      <c r="B137" s="2" t="s">
        <v>718</v>
      </c>
      <c r="C137" s="17">
        <v>46037</v>
      </c>
      <c r="D137" s="17"/>
      <c r="E137" s="2" t="s">
        <v>18</v>
      </c>
      <c r="F137" s="2" t="s">
        <v>160</v>
      </c>
      <c r="G137" s="2" t="s">
        <v>26</v>
      </c>
      <c r="H137" s="2" t="s">
        <v>201</v>
      </c>
      <c r="I137" s="2" t="s">
        <v>156</v>
      </c>
      <c r="J137" s="2" t="s">
        <v>1160</v>
      </c>
      <c r="K137" s="17"/>
      <c r="L137" s="18">
        <v>627.35</v>
      </c>
    </row>
    <row r="138" spans="1:12" ht="15" customHeight="1" x14ac:dyDescent="0.25">
      <c r="A138" s="2" t="s">
        <v>99</v>
      </c>
      <c r="B138" s="2" t="s">
        <v>720</v>
      </c>
      <c r="C138" s="17">
        <v>45724</v>
      </c>
      <c r="D138" s="17"/>
      <c r="E138" s="2" t="s">
        <v>20</v>
      </c>
      <c r="F138" s="2" t="s">
        <v>186</v>
      </c>
      <c r="G138" s="2" t="s">
        <v>25</v>
      </c>
      <c r="H138" s="2" t="s">
        <v>192</v>
      </c>
      <c r="I138" s="2" t="s">
        <v>156</v>
      </c>
      <c r="J138" s="2" t="s">
        <v>1151</v>
      </c>
      <c r="K138" s="17"/>
      <c r="L138" s="18">
        <v>673.59</v>
      </c>
    </row>
    <row r="139" spans="1:12" ht="15" customHeight="1" x14ac:dyDescent="0.25">
      <c r="A139" s="2" t="s">
        <v>1272</v>
      </c>
      <c r="B139" s="2" t="s">
        <v>721</v>
      </c>
      <c r="C139" s="17">
        <v>45859</v>
      </c>
      <c r="D139" s="17"/>
      <c r="E139" s="2" t="s">
        <v>20</v>
      </c>
      <c r="F139" s="2" t="s">
        <v>155</v>
      </c>
      <c r="G139" s="2" t="s">
        <v>25</v>
      </c>
      <c r="H139" s="2" t="s">
        <v>167</v>
      </c>
      <c r="I139" s="2" t="s">
        <v>156</v>
      </c>
      <c r="J139" s="2" t="s">
        <v>1160</v>
      </c>
      <c r="K139" s="17"/>
      <c r="L139" s="18">
        <v>657.93</v>
      </c>
    </row>
    <row r="140" spans="1:12" ht="15" customHeight="1" x14ac:dyDescent="0.25">
      <c r="A140" s="2" t="s">
        <v>1273</v>
      </c>
      <c r="B140" s="2" t="s">
        <v>723</v>
      </c>
      <c r="C140" s="17">
        <v>46011</v>
      </c>
      <c r="D140" s="17">
        <v>46017</v>
      </c>
      <c r="E140" s="2" t="s">
        <v>22</v>
      </c>
      <c r="F140" s="2" t="s">
        <v>186</v>
      </c>
      <c r="G140" s="2" t="s">
        <v>27</v>
      </c>
      <c r="H140" s="2" t="s">
        <v>165</v>
      </c>
      <c r="I140" s="2" t="s">
        <v>156</v>
      </c>
      <c r="J140" s="2" t="s">
        <v>1151</v>
      </c>
      <c r="K140" s="17"/>
      <c r="L140" s="18">
        <v>849.15</v>
      </c>
    </row>
    <row r="141" spans="1:12" ht="15" customHeight="1" x14ac:dyDescent="0.25">
      <c r="A141" s="2" t="s">
        <v>1274</v>
      </c>
      <c r="B141" s="2" t="s">
        <v>735</v>
      </c>
      <c r="C141" s="17">
        <v>45810</v>
      </c>
      <c r="D141" s="17">
        <v>45829</v>
      </c>
      <c r="E141" s="2" t="s">
        <v>20</v>
      </c>
      <c r="F141" s="2" t="s">
        <v>186</v>
      </c>
      <c r="G141" s="2" t="s">
        <v>25</v>
      </c>
      <c r="H141" s="2" t="s">
        <v>189</v>
      </c>
      <c r="I141" s="2" t="s">
        <v>161</v>
      </c>
      <c r="J141" s="2" t="s">
        <v>1151</v>
      </c>
      <c r="K141" s="17"/>
      <c r="L141" s="18">
        <v>2736.44</v>
      </c>
    </row>
    <row r="142" spans="1:12" ht="15" customHeight="1" x14ac:dyDescent="0.25">
      <c r="A142" s="2" t="s">
        <v>1275</v>
      </c>
      <c r="B142" s="2" t="s">
        <v>736</v>
      </c>
      <c r="C142" s="17">
        <v>45826</v>
      </c>
      <c r="D142" s="17">
        <v>45831</v>
      </c>
      <c r="E142" s="2" t="s">
        <v>21</v>
      </c>
      <c r="F142" s="2" t="s">
        <v>160</v>
      </c>
      <c r="G142" s="2" t="s">
        <v>25</v>
      </c>
      <c r="H142" s="2" t="s">
        <v>183</v>
      </c>
      <c r="I142" s="2" t="s">
        <v>161</v>
      </c>
      <c r="J142" s="2" t="s">
        <v>1155</v>
      </c>
      <c r="K142" s="17">
        <v>45988</v>
      </c>
      <c r="L142" s="18">
        <v>1713.99</v>
      </c>
    </row>
    <row r="143" spans="1:12" ht="15" customHeight="1" x14ac:dyDescent="0.25">
      <c r="A143" s="2" t="s">
        <v>1276</v>
      </c>
      <c r="B143" s="2" t="s">
        <v>57</v>
      </c>
      <c r="C143" s="17">
        <v>45762</v>
      </c>
      <c r="D143" s="17"/>
      <c r="E143" s="2" t="s">
        <v>20</v>
      </c>
      <c r="F143" s="2" t="s">
        <v>149</v>
      </c>
      <c r="G143" s="2" t="s">
        <v>25</v>
      </c>
      <c r="H143" s="2" t="s">
        <v>192</v>
      </c>
      <c r="I143" s="2" t="s">
        <v>161</v>
      </c>
      <c r="J143" s="2" t="s">
        <v>1160</v>
      </c>
      <c r="K143" s="17"/>
      <c r="L143" s="18">
        <v>1958.34</v>
      </c>
    </row>
    <row r="144" spans="1:12" ht="15" customHeight="1" x14ac:dyDescent="0.25">
      <c r="A144" s="2" t="s">
        <v>1277</v>
      </c>
      <c r="B144" s="2" t="s">
        <v>742</v>
      </c>
      <c r="C144" s="17">
        <v>46035</v>
      </c>
      <c r="D144" s="17">
        <v>46043</v>
      </c>
      <c r="E144" s="2" t="s">
        <v>18</v>
      </c>
      <c r="F144" s="2" t="s">
        <v>155</v>
      </c>
      <c r="G144" s="2" t="s">
        <v>26</v>
      </c>
      <c r="H144" s="2" t="s">
        <v>157</v>
      </c>
      <c r="I144" s="2" t="s">
        <v>156</v>
      </c>
      <c r="J144" s="2" t="s">
        <v>1151</v>
      </c>
      <c r="K144" s="17"/>
      <c r="L144" s="18">
        <v>605.41</v>
      </c>
    </row>
    <row r="145" spans="1:12" ht="15" customHeight="1" x14ac:dyDescent="0.25">
      <c r="A145" s="2" t="s">
        <v>1278</v>
      </c>
      <c r="B145" s="2" t="s">
        <v>746</v>
      </c>
      <c r="C145" s="17">
        <v>45912</v>
      </c>
      <c r="D145" s="17">
        <v>45957</v>
      </c>
      <c r="E145" s="2" t="s">
        <v>21</v>
      </c>
      <c r="F145" s="2" t="s">
        <v>149</v>
      </c>
      <c r="G145" s="2" t="s">
        <v>25</v>
      </c>
      <c r="H145" s="2" t="s">
        <v>176</v>
      </c>
      <c r="I145" s="2" t="s">
        <v>156</v>
      </c>
      <c r="J145" s="2" t="s">
        <v>1151</v>
      </c>
      <c r="K145" s="17"/>
      <c r="L145" s="18">
        <v>776.55</v>
      </c>
    </row>
    <row r="146" spans="1:12" ht="15" customHeight="1" x14ac:dyDescent="0.25">
      <c r="A146" s="2" t="s">
        <v>1279</v>
      </c>
      <c r="B146" s="2" t="s">
        <v>750</v>
      </c>
      <c r="C146" s="17">
        <v>45997</v>
      </c>
      <c r="D146" s="17">
        <v>46030</v>
      </c>
      <c r="E146" s="2" t="s">
        <v>20</v>
      </c>
      <c r="F146" s="2" t="s">
        <v>149</v>
      </c>
      <c r="G146" s="2" t="s">
        <v>24</v>
      </c>
      <c r="H146" s="2" t="s">
        <v>192</v>
      </c>
      <c r="I146" s="2" t="s">
        <v>150</v>
      </c>
      <c r="J146" s="2" t="s">
        <v>1151</v>
      </c>
      <c r="K146" s="17"/>
      <c r="L146" s="18">
        <v>10577.12</v>
      </c>
    </row>
    <row r="147" spans="1:12" ht="15" customHeight="1" x14ac:dyDescent="0.25">
      <c r="A147" s="2" t="s">
        <v>1280</v>
      </c>
      <c r="B147" s="2" t="s">
        <v>754</v>
      </c>
      <c r="C147" s="17">
        <v>46033</v>
      </c>
      <c r="D147" s="17"/>
      <c r="E147" s="2" t="s">
        <v>22</v>
      </c>
      <c r="F147" s="2" t="s">
        <v>160</v>
      </c>
      <c r="G147" s="2" t="s">
        <v>24</v>
      </c>
      <c r="H147" s="2" t="s">
        <v>165</v>
      </c>
      <c r="I147" s="2" t="s">
        <v>156</v>
      </c>
      <c r="J147" s="2" t="s">
        <v>1160</v>
      </c>
      <c r="K147" s="17"/>
      <c r="L147" s="18">
        <v>553.88</v>
      </c>
    </row>
    <row r="148" spans="1:12" ht="15" customHeight="1" x14ac:dyDescent="0.25">
      <c r="A148" s="2" t="s">
        <v>1281</v>
      </c>
      <c r="B148" s="2" t="s">
        <v>760</v>
      </c>
      <c r="C148" s="17">
        <v>45918</v>
      </c>
      <c r="D148" s="17">
        <v>45921</v>
      </c>
      <c r="E148" s="2" t="s">
        <v>21</v>
      </c>
      <c r="F148" s="2" t="s">
        <v>149</v>
      </c>
      <c r="G148" s="2" t="s">
        <v>25</v>
      </c>
      <c r="H148" s="2" t="s">
        <v>176</v>
      </c>
      <c r="I148" s="2" t="s">
        <v>156</v>
      </c>
      <c r="J148" s="2" t="s">
        <v>1151</v>
      </c>
      <c r="K148" s="17"/>
      <c r="L148" s="18">
        <v>794.5</v>
      </c>
    </row>
    <row r="149" spans="1:12" ht="15" customHeight="1" x14ac:dyDescent="0.25">
      <c r="A149" s="2" t="s">
        <v>1282</v>
      </c>
      <c r="B149" s="2" t="s">
        <v>769</v>
      </c>
      <c r="C149" s="17">
        <v>45968</v>
      </c>
      <c r="D149" s="17">
        <v>45997</v>
      </c>
      <c r="E149" s="2" t="s">
        <v>18</v>
      </c>
      <c r="F149" s="2" t="s">
        <v>186</v>
      </c>
      <c r="G149" s="2" t="s">
        <v>28</v>
      </c>
      <c r="H149" s="2" t="s">
        <v>251</v>
      </c>
      <c r="I149" s="2" t="s">
        <v>150</v>
      </c>
      <c r="J149" s="2" t="s">
        <v>1151</v>
      </c>
      <c r="K149" s="17"/>
      <c r="L149" s="18">
        <v>5268.6</v>
      </c>
    </row>
    <row r="150" spans="1:12" ht="15" customHeight="1" x14ac:dyDescent="0.25">
      <c r="A150" s="2" t="s">
        <v>1283</v>
      </c>
      <c r="B150" s="2" t="s">
        <v>774</v>
      </c>
      <c r="C150" s="17">
        <v>45828</v>
      </c>
      <c r="D150" s="17">
        <v>45858</v>
      </c>
      <c r="E150" s="2" t="s">
        <v>18</v>
      </c>
      <c r="F150" s="2" t="s">
        <v>155</v>
      </c>
      <c r="G150" s="2" t="s">
        <v>25</v>
      </c>
      <c r="H150" s="2" t="s">
        <v>251</v>
      </c>
      <c r="I150" s="2" t="s">
        <v>150</v>
      </c>
      <c r="J150" s="2" t="s">
        <v>1151</v>
      </c>
      <c r="K150" s="17"/>
      <c r="L150" s="18">
        <v>6559.39</v>
      </c>
    </row>
    <row r="151" spans="1:12" ht="15" customHeight="1" x14ac:dyDescent="0.25">
      <c r="A151" s="2" t="s">
        <v>90</v>
      </c>
      <c r="B151" s="2" t="s">
        <v>776</v>
      </c>
      <c r="C151" s="17">
        <v>45970</v>
      </c>
      <c r="D151" s="17">
        <v>45976</v>
      </c>
      <c r="E151" s="2" t="s">
        <v>21</v>
      </c>
      <c r="F151" s="2" t="s">
        <v>149</v>
      </c>
      <c r="G151" s="2" t="s">
        <v>25</v>
      </c>
      <c r="H151" s="2" t="s">
        <v>176</v>
      </c>
      <c r="J151" s="2" t="s">
        <v>1151</v>
      </c>
      <c r="K151" s="17"/>
      <c r="L151" s="18">
        <v>733.94</v>
      </c>
    </row>
    <row r="152" spans="1:12" ht="15" customHeight="1" x14ac:dyDescent="0.25">
      <c r="A152" s="2" t="s">
        <v>1284</v>
      </c>
      <c r="B152" s="2" t="s">
        <v>779</v>
      </c>
      <c r="C152" s="17">
        <v>46005</v>
      </c>
      <c r="D152" s="17"/>
      <c r="E152" s="2" t="s">
        <v>20</v>
      </c>
      <c r="F152" s="2" t="s">
        <v>149</v>
      </c>
      <c r="G152" s="2" t="s">
        <v>25</v>
      </c>
      <c r="H152" s="2" t="s">
        <v>192</v>
      </c>
      <c r="I152" s="2" t="s">
        <v>161</v>
      </c>
      <c r="J152" s="2" t="s">
        <v>1160</v>
      </c>
      <c r="K152" s="17"/>
      <c r="L152" s="18">
        <v>2171.0100000000002</v>
      </c>
    </row>
    <row r="153" spans="1:12" ht="15" customHeight="1" x14ac:dyDescent="0.25">
      <c r="A153" s="2" t="s">
        <v>1285</v>
      </c>
      <c r="B153" s="2" t="s">
        <v>784</v>
      </c>
      <c r="C153" s="17">
        <v>45959</v>
      </c>
      <c r="D153" s="17">
        <v>45972</v>
      </c>
      <c r="E153" s="2" t="s">
        <v>22</v>
      </c>
      <c r="F153" s="2" t="s">
        <v>149</v>
      </c>
      <c r="G153" s="2" t="s">
        <v>26</v>
      </c>
      <c r="H153" s="2" t="s">
        <v>151</v>
      </c>
      <c r="I153" s="2" t="s">
        <v>161</v>
      </c>
      <c r="J153" s="2" t="s">
        <v>1151</v>
      </c>
      <c r="K153" s="17"/>
      <c r="L153" s="18">
        <v>2212.92</v>
      </c>
    </row>
    <row r="154" spans="1:12" ht="15" customHeight="1" x14ac:dyDescent="0.25">
      <c r="A154" s="2" t="s">
        <v>1286</v>
      </c>
      <c r="B154" s="2" t="s">
        <v>789</v>
      </c>
      <c r="C154" s="17">
        <v>45934</v>
      </c>
      <c r="D154" s="17">
        <v>45939</v>
      </c>
      <c r="E154" s="2" t="s">
        <v>21</v>
      </c>
      <c r="F154" s="2" t="s">
        <v>149</v>
      </c>
      <c r="G154" s="2" t="s">
        <v>26</v>
      </c>
      <c r="H154" s="2" t="s">
        <v>183</v>
      </c>
      <c r="I154" s="2" t="s">
        <v>161</v>
      </c>
      <c r="J154" s="2" t="s">
        <v>1151</v>
      </c>
      <c r="K154" s="17"/>
      <c r="L154" s="18">
        <v>2878.06</v>
      </c>
    </row>
    <row r="155" spans="1:12" ht="15" customHeight="1" x14ac:dyDescent="0.25">
      <c r="A155" s="2" t="s">
        <v>1287</v>
      </c>
      <c r="B155" s="2" t="s">
        <v>799</v>
      </c>
      <c r="C155" s="17">
        <v>45940</v>
      </c>
      <c r="D155" s="17">
        <v>45956</v>
      </c>
      <c r="E155" s="2" t="s">
        <v>19</v>
      </c>
      <c r="F155" s="2" t="s">
        <v>149</v>
      </c>
      <c r="G155" s="2" t="s">
        <v>25</v>
      </c>
      <c r="H155" s="2" t="s">
        <v>179</v>
      </c>
      <c r="I155" s="2" t="s">
        <v>156</v>
      </c>
      <c r="J155" s="2" t="s">
        <v>1151</v>
      </c>
      <c r="K155" s="17"/>
      <c r="L155" s="18">
        <v>775.08</v>
      </c>
    </row>
    <row r="156" spans="1:12" ht="15" customHeight="1" x14ac:dyDescent="0.25">
      <c r="A156" s="2" t="s">
        <v>1288</v>
      </c>
      <c r="B156" s="2" t="s">
        <v>807</v>
      </c>
      <c r="C156" s="17">
        <v>45726</v>
      </c>
      <c r="D156" s="17"/>
      <c r="E156" s="2" t="s">
        <v>20</v>
      </c>
      <c r="F156" s="2" t="s">
        <v>149</v>
      </c>
      <c r="G156" s="2" t="s">
        <v>26</v>
      </c>
      <c r="H156" s="2" t="s">
        <v>189</v>
      </c>
      <c r="I156" s="2" t="s">
        <v>156</v>
      </c>
      <c r="J156" s="2" t="s">
        <v>1160</v>
      </c>
      <c r="K156" s="17"/>
      <c r="L156" s="18">
        <v>604.07000000000005</v>
      </c>
    </row>
    <row r="157" spans="1:12" ht="15" customHeight="1" x14ac:dyDescent="0.25">
      <c r="A157" s="2" t="s">
        <v>1289</v>
      </c>
      <c r="B157" s="2" t="s">
        <v>810</v>
      </c>
      <c r="C157" s="17">
        <v>45812</v>
      </c>
      <c r="D157" s="17">
        <v>45820</v>
      </c>
      <c r="E157" s="2" t="s">
        <v>21</v>
      </c>
      <c r="F157" s="2" t="s">
        <v>160</v>
      </c>
      <c r="G157" s="2" t="s">
        <v>26</v>
      </c>
      <c r="H157" s="2" t="s">
        <v>162</v>
      </c>
      <c r="I157" s="2" t="s">
        <v>156</v>
      </c>
      <c r="J157" s="2" t="s">
        <v>1155</v>
      </c>
      <c r="K157" s="17">
        <v>45890</v>
      </c>
      <c r="L157" s="18">
        <v>955.93</v>
      </c>
    </row>
    <row r="158" spans="1:12" ht="15" customHeight="1" x14ac:dyDescent="0.25">
      <c r="A158" s="2" t="s">
        <v>1290</v>
      </c>
      <c r="B158" s="2" t="s">
        <v>813</v>
      </c>
      <c r="C158" s="17">
        <v>46003</v>
      </c>
      <c r="D158" s="17">
        <v>46022</v>
      </c>
      <c r="E158" s="2" t="s">
        <v>20</v>
      </c>
      <c r="F158" s="2" t="s">
        <v>149</v>
      </c>
      <c r="G158" s="2" t="s">
        <v>25</v>
      </c>
      <c r="H158" s="2" t="s">
        <v>192</v>
      </c>
      <c r="I158" s="2" t="s">
        <v>156</v>
      </c>
      <c r="J158" s="2" t="s">
        <v>1151</v>
      </c>
      <c r="K158" s="17"/>
      <c r="L158" s="18">
        <v>783.14</v>
      </c>
    </row>
    <row r="159" spans="1:12" ht="15" customHeight="1" x14ac:dyDescent="0.25">
      <c r="A159" s="2" t="s">
        <v>1291</v>
      </c>
      <c r="B159" s="2" t="s">
        <v>820</v>
      </c>
      <c r="C159" s="17">
        <v>45990</v>
      </c>
      <c r="D159" s="17">
        <v>46032</v>
      </c>
      <c r="E159" s="2" t="s">
        <v>22</v>
      </c>
      <c r="F159" s="2" t="s">
        <v>155</v>
      </c>
      <c r="G159" s="2" t="s">
        <v>28</v>
      </c>
      <c r="H159" s="2" t="s">
        <v>151</v>
      </c>
      <c r="I159" s="2" t="s">
        <v>156</v>
      </c>
      <c r="J159" s="2" t="s">
        <v>1151</v>
      </c>
      <c r="K159" s="17"/>
      <c r="L159" s="18">
        <v>385</v>
      </c>
    </row>
    <row r="160" spans="1:12" ht="15" customHeight="1" x14ac:dyDescent="0.25">
      <c r="A160" s="2" t="s">
        <v>1292</v>
      </c>
      <c r="B160" s="2" t="s">
        <v>822</v>
      </c>
      <c r="C160" s="17">
        <v>45914</v>
      </c>
      <c r="D160" s="17">
        <v>45952</v>
      </c>
      <c r="E160" s="2" t="s">
        <v>18</v>
      </c>
      <c r="F160" s="2" t="s">
        <v>186</v>
      </c>
      <c r="G160" s="2" t="s">
        <v>26</v>
      </c>
      <c r="H160" s="2" t="s">
        <v>251</v>
      </c>
      <c r="I160" s="2" t="s">
        <v>150</v>
      </c>
      <c r="J160" s="2" t="s">
        <v>1151</v>
      </c>
      <c r="K160" s="17"/>
      <c r="L160" s="18">
        <v>8147.72</v>
      </c>
    </row>
    <row r="161" spans="1:12" ht="15" customHeight="1" x14ac:dyDescent="0.25">
      <c r="A161" s="2" t="s">
        <v>1293</v>
      </c>
      <c r="B161" s="2" t="s">
        <v>824</v>
      </c>
      <c r="C161" s="17">
        <v>46042</v>
      </c>
      <c r="D161" s="17">
        <v>46072</v>
      </c>
      <c r="E161" s="2" t="s">
        <v>18</v>
      </c>
      <c r="F161" s="2" t="s">
        <v>160</v>
      </c>
      <c r="G161" s="2" t="s">
        <v>26</v>
      </c>
      <c r="H161" s="2" t="s">
        <v>157</v>
      </c>
      <c r="I161" s="2" t="s">
        <v>161</v>
      </c>
      <c r="J161" s="2" t="s">
        <v>1151</v>
      </c>
      <c r="K161" s="17"/>
      <c r="L161" s="18">
        <v>1970.71</v>
      </c>
    </row>
    <row r="162" spans="1:12" ht="15" customHeight="1" x14ac:dyDescent="0.25">
      <c r="A162" s="2" t="s">
        <v>1294</v>
      </c>
      <c r="B162" s="2" t="s">
        <v>831</v>
      </c>
      <c r="C162" s="17">
        <v>45983</v>
      </c>
      <c r="D162" s="17"/>
      <c r="E162" s="2" t="s">
        <v>22</v>
      </c>
      <c r="F162" s="2" t="s">
        <v>155</v>
      </c>
      <c r="G162" s="2" t="s">
        <v>28</v>
      </c>
      <c r="H162" s="2" t="s">
        <v>165</v>
      </c>
      <c r="I162" s="2" t="s">
        <v>161</v>
      </c>
      <c r="J162" s="2" t="s">
        <v>1160</v>
      </c>
      <c r="K162" s="17"/>
      <c r="L162" s="18">
        <v>1999.69</v>
      </c>
    </row>
    <row r="163" spans="1:12" ht="15" customHeight="1" x14ac:dyDescent="0.25">
      <c r="A163" s="2" t="s">
        <v>1295</v>
      </c>
      <c r="B163" s="2" t="s">
        <v>832</v>
      </c>
      <c r="C163" s="17">
        <v>46029</v>
      </c>
      <c r="D163" s="17"/>
      <c r="E163" s="2" t="s">
        <v>20</v>
      </c>
      <c r="F163" s="2" t="s">
        <v>186</v>
      </c>
      <c r="G163" s="2" t="s">
        <v>25</v>
      </c>
      <c r="H163" s="2" t="s">
        <v>189</v>
      </c>
      <c r="I163" s="2" t="s">
        <v>156</v>
      </c>
      <c r="J163" s="2" t="s">
        <v>1160</v>
      </c>
      <c r="K163" s="17"/>
      <c r="L163" s="18">
        <v>886.41</v>
      </c>
    </row>
    <row r="164" spans="1:12" ht="15" customHeight="1" x14ac:dyDescent="0.25">
      <c r="A164" s="2" t="s">
        <v>1296</v>
      </c>
      <c r="B164" s="2" t="s">
        <v>839</v>
      </c>
      <c r="C164" s="17">
        <v>45757</v>
      </c>
      <c r="D164" s="17">
        <v>45771</v>
      </c>
      <c r="E164" s="2" t="s">
        <v>22</v>
      </c>
      <c r="F164" s="2" t="s">
        <v>155</v>
      </c>
      <c r="G164" s="2" t="s">
        <v>25</v>
      </c>
      <c r="H164" s="2" t="s">
        <v>151</v>
      </c>
      <c r="I164" s="2" t="s">
        <v>161</v>
      </c>
      <c r="J164" s="2" t="s">
        <v>1151</v>
      </c>
      <c r="K164" s="17"/>
      <c r="L164" s="18">
        <v>1873.77</v>
      </c>
    </row>
    <row r="165" spans="1:12" ht="15" customHeight="1" x14ac:dyDescent="0.25">
      <c r="A165" s="2" t="s">
        <v>1297</v>
      </c>
      <c r="B165" s="2" t="s">
        <v>841</v>
      </c>
      <c r="C165" s="17">
        <v>45699</v>
      </c>
      <c r="D165" s="17">
        <v>45710</v>
      </c>
      <c r="E165" s="2" t="s">
        <v>19</v>
      </c>
      <c r="F165" s="2" t="s">
        <v>186</v>
      </c>
      <c r="G165" s="2" t="s">
        <v>25</v>
      </c>
      <c r="H165" s="2" t="s">
        <v>210</v>
      </c>
      <c r="I165" s="2" t="s">
        <v>150</v>
      </c>
      <c r="J165" s="2" t="s">
        <v>1151</v>
      </c>
      <c r="K165" s="17"/>
      <c r="L165" s="18">
        <v>5649.33</v>
      </c>
    </row>
    <row r="166" spans="1:12" ht="15" customHeight="1" x14ac:dyDescent="0.25">
      <c r="A166" s="2" t="s">
        <v>1298</v>
      </c>
      <c r="B166" s="2" t="s">
        <v>847</v>
      </c>
      <c r="C166" s="17">
        <v>45817</v>
      </c>
      <c r="D166" s="17">
        <v>45856</v>
      </c>
      <c r="E166" s="2" t="s">
        <v>22</v>
      </c>
      <c r="F166" s="2" t="s">
        <v>149</v>
      </c>
      <c r="G166" s="2" t="s">
        <v>25</v>
      </c>
      <c r="H166" s="2" t="s">
        <v>151</v>
      </c>
      <c r="I166" s="2" t="s">
        <v>156</v>
      </c>
      <c r="J166" s="2" t="s">
        <v>1151</v>
      </c>
      <c r="K166" s="17"/>
      <c r="L166" s="18">
        <v>823.24</v>
      </c>
    </row>
    <row r="167" spans="1:12" ht="15" customHeight="1" x14ac:dyDescent="0.25">
      <c r="A167" s="2" t="s">
        <v>1299</v>
      </c>
      <c r="B167" s="2" t="s">
        <v>848</v>
      </c>
      <c r="C167" s="17">
        <v>46051</v>
      </c>
      <c r="D167" s="17">
        <v>46085</v>
      </c>
      <c r="E167" s="2" t="s">
        <v>22</v>
      </c>
      <c r="F167" s="2" t="s">
        <v>160</v>
      </c>
      <c r="G167" s="2" t="s">
        <v>25</v>
      </c>
      <c r="H167" s="2" t="s">
        <v>170</v>
      </c>
      <c r="I167" s="2" t="s">
        <v>161</v>
      </c>
      <c r="J167" s="2" t="s">
        <v>1151</v>
      </c>
      <c r="K167" s="17"/>
      <c r="L167" s="18">
        <v>2599.6799999999998</v>
      </c>
    </row>
    <row r="168" spans="1:12" ht="15" customHeight="1" x14ac:dyDescent="0.25">
      <c r="A168" s="2" t="s">
        <v>1300</v>
      </c>
      <c r="B168" s="2" t="s">
        <v>870</v>
      </c>
      <c r="C168" s="17">
        <v>46005</v>
      </c>
      <c r="D168" s="17"/>
      <c r="E168" s="2" t="s">
        <v>21</v>
      </c>
      <c r="F168" s="2" t="s">
        <v>149</v>
      </c>
      <c r="G168" s="2" t="s">
        <v>28</v>
      </c>
      <c r="H168" s="2" t="s">
        <v>162</v>
      </c>
      <c r="I168" s="2" t="s">
        <v>156</v>
      </c>
      <c r="J168" s="2" t="s">
        <v>1160</v>
      </c>
      <c r="K168" s="17"/>
      <c r="L168" s="18">
        <v>638.5</v>
      </c>
    </row>
    <row r="169" spans="1:12" ht="15" customHeight="1" x14ac:dyDescent="0.25">
      <c r="A169" s="2" t="s">
        <v>78</v>
      </c>
      <c r="B169" s="2" t="s">
        <v>875</v>
      </c>
      <c r="C169" s="17">
        <v>45903</v>
      </c>
      <c r="D169" s="17">
        <v>45927</v>
      </c>
      <c r="E169" s="2" t="s">
        <v>19</v>
      </c>
      <c r="F169" s="2" t="s">
        <v>155</v>
      </c>
      <c r="G169" s="2" t="s">
        <v>25</v>
      </c>
      <c r="H169" s="2" t="s">
        <v>207</v>
      </c>
      <c r="I169" s="2" t="s">
        <v>156</v>
      </c>
      <c r="J169" s="2" t="s">
        <v>1151</v>
      </c>
      <c r="K169" s="17"/>
      <c r="L169" s="18">
        <v>598.77</v>
      </c>
    </row>
    <row r="170" spans="1:12" ht="15" customHeight="1" x14ac:dyDescent="0.25">
      <c r="A170" s="2" t="s">
        <v>1301</v>
      </c>
      <c r="B170" s="2" t="s">
        <v>876</v>
      </c>
      <c r="C170" s="17">
        <v>45915</v>
      </c>
      <c r="D170" s="17">
        <v>45924</v>
      </c>
      <c r="E170" s="2" t="s">
        <v>18</v>
      </c>
      <c r="F170" s="2" t="s">
        <v>186</v>
      </c>
      <c r="G170" s="2" t="s">
        <v>25</v>
      </c>
      <c r="H170" s="2" t="s">
        <v>157</v>
      </c>
      <c r="I170" s="2" t="s">
        <v>161</v>
      </c>
      <c r="J170" s="2" t="s">
        <v>1151</v>
      </c>
      <c r="K170" s="17"/>
      <c r="L170" s="18">
        <v>1511.29</v>
      </c>
    </row>
    <row r="171" spans="1:12" ht="15" customHeight="1" x14ac:dyDescent="0.25">
      <c r="A171" s="2" t="s">
        <v>1302</v>
      </c>
      <c r="B171" s="2" t="s">
        <v>879</v>
      </c>
      <c r="C171" s="17">
        <v>45962</v>
      </c>
      <c r="D171" s="17"/>
      <c r="E171" s="2" t="s">
        <v>20</v>
      </c>
      <c r="F171" s="2" t="s">
        <v>160</v>
      </c>
      <c r="G171" s="2" t="s">
        <v>26</v>
      </c>
      <c r="H171" s="2" t="s">
        <v>167</v>
      </c>
      <c r="I171" s="2" t="s">
        <v>161</v>
      </c>
      <c r="J171" s="2" t="s">
        <v>1160</v>
      </c>
      <c r="K171" s="17"/>
      <c r="L171" s="18">
        <v>2345.0300000000002</v>
      </c>
    </row>
    <row r="172" spans="1:12" ht="15" customHeight="1" x14ac:dyDescent="0.25">
      <c r="A172" s="2" t="s">
        <v>1303</v>
      </c>
      <c r="B172" s="2" t="s">
        <v>882</v>
      </c>
      <c r="C172" s="17">
        <v>45862</v>
      </c>
      <c r="D172" s="17">
        <v>45899</v>
      </c>
      <c r="E172" s="2" t="s">
        <v>2975</v>
      </c>
      <c r="F172" s="2" t="s">
        <v>149</v>
      </c>
      <c r="G172" s="2" t="s">
        <v>24</v>
      </c>
      <c r="H172" s="2" t="s">
        <v>251</v>
      </c>
      <c r="I172" s="2" t="s">
        <v>161</v>
      </c>
      <c r="J172" s="2" t="s">
        <v>1151</v>
      </c>
      <c r="K172" s="17"/>
      <c r="L172" s="18">
        <v>3160.18</v>
      </c>
    </row>
    <row r="173" spans="1:12" ht="15" customHeight="1" x14ac:dyDescent="0.25">
      <c r="A173" s="2" t="s">
        <v>1304</v>
      </c>
      <c r="B173" s="2" t="s">
        <v>886</v>
      </c>
      <c r="C173" s="17">
        <v>45744</v>
      </c>
      <c r="D173" s="17">
        <v>45770</v>
      </c>
      <c r="E173" s="2" t="s">
        <v>22</v>
      </c>
      <c r="F173" s="2" t="s">
        <v>155</v>
      </c>
      <c r="G173" s="2" t="s">
        <v>28</v>
      </c>
      <c r="H173" s="2" t="s">
        <v>165</v>
      </c>
      <c r="I173" s="2" t="s">
        <v>156</v>
      </c>
      <c r="J173" s="2" t="s">
        <v>1155</v>
      </c>
      <c r="K173" s="17">
        <v>45901</v>
      </c>
      <c r="L173" s="18">
        <v>704.68</v>
      </c>
    </row>
    <row r="174" spans="1:12" ht="15" customHeight="1" x14ac:dyDescent="0.25">
      <c r="A174" s="2" t="s">
        <v>1305</v>
      </c>
      <c r="B174" s="2" t="s">
        <v>887</v>
      </c>
      <c r="C174" s="17">
        <v>45864</v>
      </c>
      <c r="D174" s="17">
        <v>45901</v>
      </c>
      <c r="E174" s="2" t="s">
        <v>20</v>
      </c>
      <c r="F174" s="2" t="s">
        <v>149</v>
      </c>
      <c r="G174" s="2" t="s">
        <v>25</v>
      </c>
      <c r="H174" s="2" t="s">
        <v>167</v>
      </c>
      <c r="I174" s="2" t="s">
        <v>150</v>
      </c>
      <c r="J174" s="2" t="s">
        <v>1151</v>
      </c>
      <c r="K174" s="17"/>
      <c r="L174" s="18">
        <v>7405.37</v>
      </c>
    </row>
    <row r="175" spans="1:12" ht="15" customHeight="1" x14ac:dyDescent="0.25">
      <c r="A175" s="2" t="s">
        <v>1306</v>
      </c>
      <c r="B175" s="2" t="s">
        <v>888</v>
      </c>
      <c r="C175" s="17">
        <v>45984</v>
      </c>
      <c r="D175" s="17">
        <v>45996</v>
      </c>
      <c r="E175" s="2" t="s">
        <v>21</v>
      </c>
      <c r="F175" s="2" t="s">
        <v>160</v>
      </c>
      <c r="G175" s="2" t="s">
        <v>25</v>
      </c>
      <c r="H175" s="2" t="s">
        <v>183</v>
      </c>
      <c r="I175" s="2" t="s">
        <v>156</v>
      </c>
      <c r="J175" s="2" t="s">
        <v>1151</v>
      </c>
      <c r="K175" s="17"/>
      <c r="L175" s="18">
        <v>948.19</v>
      </c>
    </row>
    <row r="176" spans="1:12" ht="15" customHeight="1" x14ac:dyDescent="0.25">
      <c r="A176" s="2" t="s">
        <v>1307</v>
      </c>
      <c r="B176" s="2" t="s">
        <v>894</v>
      </c>
      <c r="C176" s="17">
        <v>45727</v>
      </c>
      <c r="D176" s="17">
        <v>45736</v>
      </c>
      <c r="E176" s="2" t="s">
        <v>18</v>
      </c>
      <c r="F176" s="2" t="s">
        <v>149</v>
      </c>
      <c r="G176" s="2" t="s">
        <v>24</v>
      </c>
      <c r="H176" s="2" t="s">
        <v>157</v>
      </c>
      <c r="I176" s="2" t="s">
        <v>156</v>
      </c>
      <c r="J176" s="2" t="s">
        <v>1151</v>
      </c>
      <c r="K176" s="17"/>
      <c r="L176" s="18">
        <v>615.98</v>
      </c>
    </row>
    <row r="177" spans="1:12" ht="15" customHeight="1" x14ac:dyDescent="0.25">
      <c r="A177" s="2" t="s">
        <v>100</v>
      </c>
      <c r="B177" s="2" t="s">
        <v>896</v>
      </c>
      <c r="C177" s="17">
        <v>45861</v>
      </c>
      <c r="D177" s="17"/>
      <c r="E177" s="2" t="s">
        <v>20</v>
      </c>
      <c r="F177" s="2" t="s">
        <v>149</v>
      </c>
      <c r="G177" s="2" t="s">
        <v>24</v>
      </c>
      <c r="H177" s="2" t="s">
        <v>192</v>
      </c>
      <c r="I177" s="2" t="s">
        <v>156</v>
      </c>
      <c r="J177" s="2" t="s">
        <v>1151</v>
      </c>
      <c r="K177" s="17"/>
      <c r="L177" s="18">
        <v>1056.8</v>
      </c>
    </row>
    <row r="178" spans="1:12" ht="15" customHeight="1" x14ac:dyDescent="0.25">
      <c r="A178" s="2" t="s">
        <v>1308</v>
      </c>
      <c r="B178" s="2" t="s">
        <v>64</v>
      </c>
      <c r="C178" s="17">
        <v>45978</v>
      </c>
      <c r="D178" s="17">
        <v>45988</v>
      </c>
      <c r="E178" s="2" t="s">
        <v>21</v>
      </c>
      <c r="F178" s="2" t="s">
        <v>149</v>
      </c>
      <c r="G178" s="2" t="s">
        <v>25</v>
      </c>
      <c r="H178" s="2" t="s">
        <v>265</v>
      </c>
      <c r="I178" s="2" t="s">
        <v>161</v>
      </c>
      <c r="J178" s="2" t="s">
        <v>1151</v>
      </c>
      <c r="K178" s="17"/>
      <c r="L178" s="18">
        <v>2765.94</v>
      </c>
    </row>
    <row r="179" spans="1:12" ht="15" customHeight="1" x14ac:dyDescent="0.25">
      <c r="A179" s="2" t="s">
        <v>1309</v>
      </c>
      <c r="B179" s="2" t="s">
        <v>913</v>
      </c>
      <c r="C179" s="17">
        <v>45756</v>
      </c>
      <c r="D179" s="17">
        <v>45795</v>
      </c>
      <c r="E179" s="2" t="s">
        <v>20</v>
      </c>
      <c r="F179" s="2" t="s">
        <v>160</v>
      </c>
      <c r="G179" s="2" t="s">
        <v>25</v>
      </c>
      <c r="H179" s="2" t="s">
        <v>167</v>
      </c>
      <c r="I179" s="2" t="s">
        <v>156</v>
      </c>
      <c r="J179" s="2" t="s">
        <v>1151</v>
      </c>
      <c r="K179" s="17"/>
      <c r="L179" s="18">
        <v>583.16999999999996</v>
      </c>
    </row>
    <row r="180" spans="1:12" ht="15" customHeight="1" x14ac:dyDescent="0.25">
      <c r="A180" s="2" t="s">
        <v>1310</v>
      </c>
      <c r="B180" s="2" t="s">
        <v>58</v>
      </c>
      <c r="C180" s="17">
        <v>45769</v>
      </c>
      <c r="D180" s="17"/>
      <c r="E180" s="2" t="s">
        <v>20</v>
      </c>
      <c r="F180" s="2" t="s">
        <v>160</v>
      </c>
      <c r="G180" s="2" t="s">
        <v>25</v>
      </c>
      <c r="H180" s="2" t="s">
        <v>167</v>
      </c>
      <c r="I180" s="2" t="s">
        <v>156</v>
      </c>
      <c r="J180" s="2" t="s">
        <v>1160</v>
      </c>
      <c r="K180" s="17"/>
      <c r="L180" s="18">
        <v>911.67</v>
      </c>
    </row>
    <row r="181" spans="1:12" ht="15" customHeight="1" x14ac:dyDescent="0.25">
      <c r="A181" s="2" t="s">
        <v>1311</v>
      </c>
      <c r="B181" s="2" t="s">
        <v>70</v>
      </c>
      <c r="C181" s="17">
        <v>45779</v>
      </c>
      <c r="D181" s="17"/>
      <c r="E181" s="2" t="s">
        <v>18</v>
      </c>
      <c r="F181" s="2" t="s">
        <v>149</v>
      </c>
      <c r="G181" s="2" t="s">
        <v>27</v>
      </c>
      <c r="H181" s="2" t="s">
        <v>157</v>
      </c>
      <c r="I181" s="2" t="s">
        <v>161</v>
      </c>
      <c r="J181" s="2" t="s">
        <v>1160</v>
      </c>
      <c r="K181" s="17"/>
      <c r="L181" s="18">
        <v>2988.94</v>
      </c>
    </row>
    <row r="182" spans="1:12" ht="15" customHeight="1" x14ac:dyDescent="0.25">
      <c r="A182" s="2" t="s">
        <v>1312</v>
      </c>
      <c r="B182" s="2" t="s">
        <v>923</v>
      </c>
      <c r="C182" s="17">
        <v>45812</v>
      </c>
      <c r="D182" s="17">
        <v>45826</v>
      </c>
      <c r="E182" s="2" t="s">
        <v>21</v>
      </c>
      <c r="F182" s="2" t="s">
        <v>149</v>
      </c>
      <c r="G182" s="2" t="s">
        <v>24</v>
      </c>
      <c r="H182" s="2" t="s">
        <v>176</v>
      </c>
      <c r="I182" s="2" t="s">
        <v>161</v>
      </c>
      <c r="J182" s="2" t="s">
        <v>1151</v>
      </c>
      <c r="K182" s="17"/>
      <c r="L182" s="18">
        <v>2470.5700000000002</v>
      </c>
    </row>
    <row r="183" spans="1:12" ht="15" customHeight="1" x14ac:dyDescent="0.25">
      <c r="A183" s="2" t="s">
        <v>91</v>
      </c>
      <c r="B183" s="2" t="s">
        <v>929</v>
      </c>
      <c r="C183" s="17">
        <v>45695</v>
      </c>
      <c r="D183" s="17">
        <v>45700</v>
      </c>
      <c r="E183" s="2" t="s">
        <v>20</v>
      </c>
      <c r="F183" s="2" t="s">
        <v>149</v>
      </c>
      <c r="G183" s="2" t="s">
        <v>24</v>
      </c>
      <c r="H183" s="2" t="s">
        <v>192</v>
      </c>
      <c r="J183" s="2" t="s">
        <v>1151</v>
      </c>
      <c r="K183" s="17"/>
      <c r="L183" s="18">
        <v>3276.01</v>
      </c>
    </row>
    <row r="184" spans="1:12" ht="15" customHeight="1" x14ac:dyDescent="0.25">
      <c r="A184" s="2" t="s">
        <v>1313</v>
      </c>
      <c r="B184" s="2" t="s">
        <v>941</v>
      </c>
      <c r="C184" s="17">
        <v>45995</v>
      </c>
      <c r="D184" s="17">
        <v>46002</v>
      </c>
      <c r="E184" s="2" t="s">
        <v>21</v>
      </c>
      <c r="F184" s="2" t="s">
        <v>186</v>
      </c>
      <c r="G184" s="2" t="s">
        <v>27</v>
      </c>
      <c r="H184" s="2" t="s">
        <v>176</v>
      </c>
      <c r="I184" s="2" t="s">
        <v>161</v>
      </c>
      <c r="J184" s="2" t="s">
        <v>1151</v>
      </c>
      <c r="K184" s="17"/>
      <c r="L184" s="18">
        <v>2600.23</v>
      </c>
    </row>
    <row r="185" spans="1:12" ht="15" customHeight="1" x14ac:dyDescent="0.25">
      <c r="A185" s="2" t="s">
        <v>1314</v>
      </c>
      <c r="B185" s="2" t="s">
        <v>943</v>
      </c>
      <c r="C185" s="17">
        <v>45878</v>
      </c>
      <c r="D185" s="17">
        <v>45903</v>
      </c>
      <c r="E185" s="2" t="s">
        <v>21</v>
      </c>
      <c r="F185" s="2" t="s">
        <v>155</v>
      </c>
      <c r="G185" s="2" t="s">
        <v>28</v>
      </c>
      <c r="H185" s="2" t="s">
        <v>176</v>
      </c>
      <c r="I185" s="2" t="s">
        <v>156</v>
      </c>
      <c r="J185" s="2" t="s">
        <v>1151</v>
      </c>
      <c r="K185" s="17"/>
      <c r="L185" s="18">
        <v>530.54</v>
      </c>
    </row>
    <row r="186" spans="1:12" ht="15" customHeight="1" x14ac:dyDescent="0.25">
      <c r="A186" s="2" t="s">
        <v>1315</v>
      </c>
      <c r="B186" s="2" t="s">
        <v>944</v>
      </c>
      <c r="C186" s="17">
        <v>45841</v>
      </c>
      <c r="D186" s="17"/>
      <c r="E186" s="2" t="s">
        <v>20</v>
      </c>
      <c r="F186" s="2" t="s">
        <v>149</v>
      </c>
      <c r="G186" s="2" t="s">
        <v>26</v>
      </c>
      <c r="H186" s="2" t="s">
        <v>189</v>
      </c>
      <c r="I186" s="2" t="s">
        <v>161</v>
      </c>
      <c r="J186" s="2" t="s">
        <v>1160</v>
      </c>
      <c r="K186" s="17"/>
      <c r="L186" s="18">
        <v>3026.62</v>
      </c>
    </row>
    <row r="187" spans="1:12" ht="15" customHeight="1" x14ac:dyDescent="0.25">
      <c r="A187" s="2" t="s">
        <v>1316</v>
      </c>
      <c r="B187" s="2" t="s">
        <v>956</v>
      </c>
      <c r="C187" s="17">
        <v>45962</v>
      </c>
      <c r="D187" s="17"/>
      <c r="E187" s="2" t="s">
        <v>22</v>
      </c>
      <c r="F187" s="2" t="s">
        <v>160</v>
      </c>
      <c r="G187" s="2" t="s">
        <v>25</v>
      </c>
      <c r="H187" s="2" t="s">
        <v>151</v>
      </c>
      <c r="I187" s="2" t="s">
        <v>156</v>
      </c>
      <c r="J187" s="2" t="s">
        <v>1160</v>
      </c>
      <c r="K187" s="17"/>
      <c r="L187" s="18">
        <v>549.32000000000005</v>
      </c>
    </row>
    <row r="188" spans="1:12" ht="15" customHeight="1" x14ac:dyDescent="0.25">
      <c r="A188" s="2" t="s">
        <v>1317</v>
      </c>
      <c r="B188" s="2" t="s">
        <v>970</v>
      </c>
      <c r="C188" s="17">
        <v>45721</v>
      </c>
      <c r="D188" s="17">
        <v>45731</v>
      </c>
      <c r="E188" s="2" t="s">
        <v>21</v>
      </c>
      <c r="F188" s="2" t="s">
        <v>149</v>
      </c>
      <c r="G188" s="2" t="s">
        <v>27</v>
      </c>
      <c r="H188" s="2" t="s">
        <v>162</v>
      </c>
      <c r="I188" s="2" t="s">
        <v>156</v>
      </c>
      <c r="J188" s="2" t="s">
        <v>1151</v>
      </c>
      <c r="K188" s="17"/>
      <c r="L188" s="18">
        <v>910.5</v>
      </c>
    </row>
    <row r="189" spans="1:12" ht="15" customHeight="1" x14ac:dyDescent="0.25">
      <c r="A189" s="2" t="s">
        <v>104</v>
      </c>
      <c r="B189" s="2" t="s">
        <v>986</v>
      </c>
      <c r="C189" s="17">
        <v>45807</v>
      </c>
      <c r="D189" s="17">
        <v>45848</v>
      </c>
      <c r="E189" s="2" t="s">
        <v>21</v>
      </c>
      <c r="F189" s="2" t="s">
        <v>186</v>
      </c>
      <c r="G189" s="2" t="s">
        <v>25</v>
      </c>
      <c r="H189" s="2" t="s">
        <v>176</v>
      </c>
      <c r="I189" s="2" t="s">
        <v>161</v>
      </c>
      <c r="J189" s="2" t="s">
        <v>1155</v>
      </c>
      <c r="K189" s="17"/>
      <c r="L189" s="18">
        <v>2405.5</v>
      </c>
    </row>
    <row r="190" spans="1:12" ht="15" customHeight="1" x14ac:dyDescent="0.25">
      <c r="A190" s="2" t="s">
        <v>1318</v>
      </c>
      <c r="B190" s="2" t="s">
        <v>990</v>
      </c>
      <c r="C190" s="17">
        <v>46013</v>
      </c>
      <c r="D190" s="17">
        <v>46023</v>
      </c>
      <c r="E190" s="2" t="s">
        <v>22</v>
      </c>
      <c r="F190" s="2" t="s">
        <v>155</v>
      </c>
      <c r="G190" s="2" t="s">
        <v>25</v>
      </c>
      <c r="H190" s="2" t="s">
        <v>170</v>
      </c>
      <c r="I190" s="2" t="s">
        <v>161</v>
      </c>
      <c r="J190" s="2" t="s">
        <v>1151</v>
      </c>
      <c r="K190" s="17"/>
      <c r="L190" s="18">
        <v>1895.23</v>
      </c>
    </row>
    <row r="191" spans="1:12" ht="15" customHeight="1" x14ac:dyDescent="0.25">
      <c r="A191" s="2" t="s">
        <v>1319</v>
      </c>
      <c r="B191" s="2" t="s">
        <v>992</v>
      </c>
      <c r="C191" s="17">
        <v>46012</v>
      </c>
      <c r="D191" s="17">
        <v>46041</v>
      </c>
      <c r="E191" s="2" t="s">
        <v>20</v>
      </c>
      <c r="F191" s="2" t="s">
        <v>149</v>
      </c>
      <c r="G191" s="2" t="s">
        <v>27</v>
      </c>
      <c r="H191" s="2" t="s">
        <v>192</v>
      </c>
      <c r="I191" s="2" t="s">
        <v>156</v>
      </c>
      <c r="J191" s="2" t="s">
        <v>1151</v>
      </c>
      <c r="K191" s="17"/>
      <c r="L191" s="18">
        <v>877.11</v>
      </c>
    </row>
    <row r="192" spans="1:12" ht="15" customHeight="1" x14ac:dyDescent="0.25">
      <c r="A192" s="2" t="s">
        <v>1320</v>
      </c>
      <c r="B192" s="2" t="s">
        <v>996</v>
      </c>
      <c r="C192" s="17">
        <v>46048</v>
      </c>
      <c r="D192" s="17">
        <v>46112</v>
      </c>
      <c r="E192" s="2" t="s">
        <v>20</v>
      </c>
      <c r="F192" s="2" t="s">
        <v>149</v>
      </c>
      <c r="G192" s="2" t="s">
        <v>26</v>
      </c>
      <c r="H192" s="2" t="s">
        <v>189</v>
      </c>
      <c r="I192" s="2" t="s">
        <v>156</v>
      </c>
      <c r="J192" s="2" t="s">
        <v>1151</v>
      </c>
      <c r="K192" s="17"/>
      <c r="L192" s="18">
        <v>724.86</v>
      </c>
    </row>
    <row r="193" spans="1:12" ht="15" customHeight="1" x14ac:dyDescent="0.25">
      <c r="A193" s="2" t="s">
        <v>95</v>
      </c>
      <c r="B193" s="2" t="s">
        <v>1001</v>
      </c>
      <c r="C193" s="17">
        <v>45843</v>
      </c>
      <c r="D193" s="17">
        <v>45842</v>
      </c>
      <c r="E193" s="2" t="s">
        <v>19</v>
      </c>
      <c r="F193" s="2" t="s">
        <v>160</v>
      </c>
      <c r="G193" s="2" t="s">
        <v>26</v>
      </c>
      <c r="H193" s="2" t="s">
        <v>179</v>
      </c>
      <c r="I193" s="2" t="s">
        <v>150</v>
      </c>
      <c r="J193" s="2" t="s">
        <v>1151</v>
      </c>
      <c r="K193" s="17"/>
      <c r="L193" s="18">
        <v>9018.4699999999993</v>
      </c>
    </row>
    <row r="194" spans="1:12" ht="15" customHeight="1" x14ac:dyDescent="0.25">
      <c r="A194" s="2" t="s">
        <v>1321</v>
      </c>
      <c r="B194" s="2" t="s">
        <v>1016</v>
      </c>
      <c r="C194" s="17">
        <v>45773</v>
      </c>
      <c r="D194" s="17">
        <v>45786</v>
      </c>
      <c r="E194" s="2" t="s">
        <v>20</v>
      </c>
      <c r="F194" s="2" t="s">
        <v>149</v>
      </c>
      <c r="G194" s="2" t="s">
        <v>25</v>
      </c>
      <c r="H194" s="2" t="s">
        <v>192</v>
      </c>
      <c r="I194" s="2" t="s">
        <v>156</v>
      </c>
      <c r="J194" s="2" t="s">
        <v>1151</v>
      </c>
      <c r="K194" s="17"/>
      <c r="L194" s="18">
        <v>1082.3800000000001</v>
      </c>
    </row>
    <row r="195" spans="1:12" ht="15" customHeight="1" x14ac:dyDescent="0.25">
      <c r="A195" s="2" t="s">
        <v>1322</v>
      </c>
      <c r="B195" s="2" t="s">
        <v>1021</v>
      </c>
      <c r="C195" s="17">
        <v>45701</v>
      </c>
      <c r="D195" s="17">
        <v>45717</v>
      </c>
      <c r="E195" s="2" t="s">
        <v>20</v>
      </c>
      <c r="F195" s="2" t="s">
        <v>155</v>
      </c>
      <c r="G195" s="2" t="s">
        <v>25</v>
      </c>
      <c r="H195" s="2" t="s">
        <v>189</v>
      </c>
      <c r="I195" s="2" t="s">
        <v>161</v>
      </c>
      <c r="J195" s="2" t="s">
        <v>1151</v>
      </c>
      <c r="K195" s="17"/>
      <c r="L195" s="18">
        <v>2070.85</v>
      </c>
    </row>
    <row r="196" spans="1:12" ht="15" customHeight="1" x14ac:dyDescent="0.25">
      <c r="A196" s="2" t="s">
        <v>1323</v>
      </c>
      <c r="B196" s="2" t="s">
        <v>1024</v>
      </c>
      <c r="C196" s="17">
        <v>46035</v>
      </c>
      <c r="D196" s="17">
        <v>46063</v>
      </c>
      <c r="E196" s="2" t="s">
        <v>19</v>
      </c>
      <c r="F196" s="2" t="s">
        <v>155</v>
      </c>
      <c r="G196" s="2" t="s">
        <v>27</v>
      </c>
      <c r="H196" s="2" t="s">
        <v>207</v>
      </c>
      <c r="I196" s="2" t="s">
        <v>156</v>
      </c>
      <c r="J196" s="2" t="s">
        <v>1151</v>
      </c>
      <c r="K196" s="17"/>
      <c r="L196" s="18">
        <v>616.03</v>
      </c>
    </row>
    <row r="197" spans="1:12" ht="15" customHeight="1" x14ac:dyDescent="0.25">
      <c r="A197" s="2" t="s">
        <v>1324</v>
      </c>
      <c r="B197" s="2" t="s">
        <v>1029</v>
      </c>
      <c r="C197" s="17">
        <v>45735</v>
      </c>
      <c r="D197" s="17">
        <v>45759</v>
      </c>
      <c r="E197" s="2" t="s">
        <v>22</v>
      </c>
      <c r="F197" s="2" t="s">
        <v>160</v>
      </c>
      <c r="G197" s="2" t="s">
        <v>26</v>
      </c>
      <c r="H197" s="2" t="s">
        <v>165</v>
      </c>
      <c r="I197" s="2" t="s">
        <v>150</v>
      </c>
      <c r="J197" s="2" t="s">
        <v>1151</v>
      </c>
      <c r="K197" s="17"/>
      <c r="L197" s="18">
        <v>8730.02</v>
      </c>
    </row>
    <row r="198" spans="1:12" ht="15" customHeight="1" x14ac:dyDescent="0.25">
      <c r="A198" s="2" t="s">
        <v>1325</v>
      </c>
      <c r="B198" s="2" t="s">
        <v>1041</v>
      </c>
      <c r="C198" s="17">
        <v>45971</v>
      </c>
      <c r="D198" s="17">
        <v>45998</v>
      </c>
      <c r="E198" s="2" t="s">
        <v>22</v>
      </c>
      <c r="F198" s="2" t="s">
        <v>149</v>
      </c>
      <c r="G198" s="2" t="s">
        <v>25</v>
      </c>
      <c r="H198" s="2" t="s">
        <v>170</v>
      </c>
      <c r="I198" s="2" t="s">
        <v>156</v>
      </c>
      <c r="J198" s="2" t="s">
        <v>1151</v>
      </c>
      <c r="K198" s="17"/>
      <c r="L198" s="18">
        <v>657.03</v>
      </c>
    </row>
    <row r="199" spans="1:12" ht="15" customHeight="1" x14ac:dyDescent="0.25">
      <c r="A199" s="2" t="s">
        <v>1326</v>
      </c>
      <c r="B199" s="2" t="s">
        <v>1044</v>
      </c>
      <c r="C199" s="17">
        <v>46017</v>
      </c>
      <c r="D199" s="17">
        <v>46060</v>
      </c>
      <c r="E199" s="2" t="s">
        <v>19</v>
      </c>
      <c r="F199" s="2" t="s">
        <v>155</v>
      </c>
      <c r="G199" s="2" t="s">
        <v>25</v>
      </c>
      <c r="H199" s="2" t="s">
        <v>179</v>
      </c>
      <c r="I199" s="2" t="s">
        <v>156</v>
      </c>
      <c r="J199" s="2" t="s">
        <v>1151</v>
      </c>
      <c r="K199" s="17"/>
      <c r="L199" s="18">
        <v>400.96</v>
      </c>
    </row>
    <row r="200" spans="1:12" ht="15" customHeight="1" x14ac:dyDescent="0.25">
      <c r="A200" s="2" t="s">
        <v>77</v>
      </c>
      <c r="B200" s="2" t="s">
        <v>1045</v>
      </c>
      <c r="C200" s="17">
        <v>45921</v>
      </c>
      <c r="D200" s="17">
        <v>45966</v>
      </c>
      <c r="E200" s="2" t="s">
        <v>22</v>
      </c>
      <c r="F200" s="2" t="s">
        <v>160</v>
      </c>
      <c r="G200" s="2" t="s">
        <v>24</v>
      </c>
      <c r="H200" s="2" t="s">
        <v>165</v>
      </c>
      <c r="I200" s="2" t="s">
        <v>156</v>
      </c>
      <c r="J200" s="2" t="s">
        <v>1151</v>
      </c>
      <c r="K200" s="17"/>
      <c r="L200" s="18">
        <v>1007.58</v>
      </c>
    </row>
    <row r="201" spans="1:12" ht="15" customHeight="1" x14ac:dyDescent="0.25">
      <c r="A201" s="2" t="s">
        <v>1327</v>
      </c>
      <c r="B201" s="2" t="s">
        <v>1047</v>
      </c>
      <c r="C201" s="17">
        <v>45771</v>
      </c>
      <c r="D201" s="17">
        <v>45800</v>
      </c>
      <c r="E201" s="2" t="s">
        <v>22</v>
      </c>
      <c r="F201" s="2" t="s">
        <v>149</v>
      </c>
      <c r="G201" s="2" t="s">
        <v>28</v>
      </c>
      <c r="H201" s="2" t="s">
        <v>165</v>
      </c>
      <c r="I201" s="2" t="s">
        <v>161</v>
      </c>
      <c r="J201" s="2" t="s">
        <v>1151</v>
      </c>
      <c r="K201" s="17"/>
      <c r="L201" s="18">
        <v>2369.08</v>
      </c>
    </row>
    <row r="202" spans="1:12" ht="15" customHeight="1" x14ac:dyDescent="0.25">
      <c r="A202" s="2" t="s">
        <v>1328</v>
      </c>
      <c r="B202" s="2" t="s">
        <v>1048</v>
      </c>
      <c r="C202" s="17">
        <v>46021</v>
      </c>
      <c r="D202" s="17">
        <v>46051</v>
      </c>
      <c r="E202" s="2" t="s">
        <v>18</v>
      </c>
      <c r="F202" s="2" t="s">
        <v>186</v>
      </c>
      <c r="G202" s="2" t="s">
        <v>27</v>
      </c>
      <c r="H202" s="2" t="s">
        <v>201</v>
      </c>
      <c r="I202" s="2" t="s">
        <v>156</v>
      </c>
      <c r="J202" s="2" t="s">
        <v>1151</v>
      </c>
      <c r="K202" s="17"/>
      <c r="L202" s="18">
        <v>709.55</v>
      </c>
    </row>
    <row r="203" spans="1:12" ht="15" customHeight="1" x14ac:dyDescent="0.25">
      <c r="A203" s="2" t="s">
        <v>1329</v>
      </c>
      <c r="B203" s="2" t="s">
        <v>1049</v>
      </c>
      <c r="C203" s="17">
        <v>45877</v>
      </c>
      <c r="D203" s="17">
        <v>45904</v>
      </c>
      <c r="E203" s="2" t="s">
        <v>21</v>
      </c>
      <c r="F203" s="2" t="s">
        <v>186</v>
      </c>
      <c r="G203" s="2" t="s">
        <v>25</v>
      </c>
      <c r="H203" s="2" t="s">
        <v>176</v>
      </c>
      <c r="I203" s="2" t="s">
        <v>156</v>
      </c>
      <c r="J203" s="2" t="s">
        <v>1151</v>
      </c>
      <c r="K203" s="17"/>
      <c r="L203" s="18">
        <v>656.84</v>
      </c>
    </row>
    <row r="204" spans="1:12" ht="15" customHeight="1" x14ac:dyDescent="0.25">
      <c r="A204" s="2" t="s">
        <v>1330</v>
      </c>
      <c r="B204" s="2" t="s">
        <v>1053</v>
      </c>
      <c r="C204" s="17">
        <v>45781</v>
      </c>
      <c r="D204" s="17"/>
      <c r="E204" s="2" t="s">
        <v>20</v>
      </c>
      <c r="F204" s="2" t="s">
        <v>186</v>
      </c>
      <c r="G204" s="2" t="s">
        <v>28</v>
      </c>
      <c r="H204" s="2" t="s">
        <v>192</v>
      </c>
      <c r="I204" s="2" t="s">
        <v>156</v>
      </c>
      <c r="J204" s="2" t="s">
        <v>1160</v>
      </c>
      <c r="K204" s="17"/>
      <c r="L204" s="18">
        <v>813.27</v>
      </c>
    </row>
    <row r="205" spans="1:12" ht="15" customHeight="1" x14ac:dyDescent="0.25">
      <c r="A205" s="2" t="s">
        <v>92</v>
      </c>
      <c r="B205" s="2" t="s">
        <v>1056</v>
      </c>
      <c r="C205" s="17">
        <v>46027</v>
      </c>
      <c r="D205" s="17">
        <v>46039</v>
      </c>
      <c r="E205" s="2" t="s">
        <v>18</v>
      </c>
      <c r="F205" s="2" t="s">
        <v>149</v>
      </c>
      <c r="G205" s="2" t="s">
        <v>25</v>
      </c>
      <c r="H205" s="2" t="s">
        <v>157</v>
      </c>
      <c r="J205" s="2" t="s">
        <v>1151</v>
      </c>
      <c r="K205" s="17"/>
      <c r="L205" s="18">
        <v>2585.65</v>
      </c>
    </row>
    <row r="206" spans="1:12" ht="15" customHeight="1" x14ac:dyDescent="0.25">
      <c r="A206" s="2" t="s">
        <v>1331</v>
      </c>
      <c r="B206" s="2" t="s">
        <v>1059</v>
      </c>
      <c r="C206" s="17">
        <v>45838</v>
      </c>
      <c r="D206" s="17">
        <v>45876</v>
      </c>
      <c r="E206" s="2" t="s">
        <v>21</v>
      </c>
      <c r="F206" s="2" t="s">
        <v>149</v>
      </c>
      <c r="G206" s="2" t="s">
        <v>25</v>
      </c>
      <c r="H206" s="2" t="s">
        <v>176</v>
      </c>
      <c r="I206" s="2" t="s">
        <v>161</v>
      </c>
      <c r="J206" s="2" t="s">
        <v>1151</v>
      </c>
      <c r="K206" s="17"/>
      <c r="L206" s="18">
        <v>3011.2</v>
      </c>
    </row>
    <row r="207" spans="1:12" ht="15" customHeight="1" x14ac:dyDescent="0.25">
      <c r="A207" s="2" t="s">
        <v>1332</v>
      </c>
      <c r="B207" s="2" t="s">
        <v>1070</v>
      </c>
      <c r="C207" s="17">
        <v>45945</v>
      </c>
      <c r="D207" s="17">
        <v>45952</v>
      </c>
      <c r="E207" s="2" t="s">
        <v>2976</v>
      </c>
      <c r="F207" s="2" t="s">
        <v>155</v>
      </c>
      <c r="G207" s="2" t="s">
        <v>28</v>
      </c>
      <c r="H207" s="2" t="s">
        <v>162</v>
      </c>
      <c r="I207" s="2" t="s">
        <v>156</v>
      </c>
      <c r="J207" s="2" t="s">
        <v>1151</v>
      </c>
      <c r="K207" s="17"/>
      <c r="L207" s="18">
        <v>406.29</v>
      </c>
    </row>
    <row r="208" spans="1:12" ht="15" customHeight="1" x14ac:dyDescent="0.25">
      <c r="A208" s="2" t="s">
        <v>1333</v>
      </c>
      <c r="B208" s="2" t="s">
        <v>50</v>
      </c>
      <c r="C208" s="17">
        <v>45969</v>
      </c>
      <c r="D208" s="17">
        <v>45991</v>
      </c>
      <c r="E208" s="2" t="s">
        <v>19</v>
      </c>
      <c r="F208" s="2" t="s">
        <v>149</v>
      </c>
      <c r="G208" s="2" t="s">
        <v>27</v>
      </c>
      <c r="H208" s="2" t="s">
        <v>210</v>
      </c>
      <c r="I208" s="2" t="s">
        <v>161</v>
      </c>
      <c r="J208" s="2" t="s">
        <v>1151</v>
      </c>
      <c r="K208" s="17"/>
      <c r="L208" s="18">
        <v>2002.83</v>
      </c>
    </row>
    <row r="209" spans="1:12" ht="15" customHeight="1" x14ac:dyDescent="0.25">
      <c r="A209" s="2" t="s">
        <v>1334</v>
      </c>
      <c r="B209" s="2" t="s">
        <v>1081</v>
      </c>
      <c r="C209" s="17">
        <v>45910</v>
      </c>
      <c r="D209" s="17">
        <v>45922</v>
      </c>
      <c r="E209" s="2" t="s">
        <v>20</v>
      </c>
      <c r="F209" s="2" t="s">
        <v>160</v>
      </c>
      <c r="G209" s="2" t="s">
        <v>28</v>
      </c>
      <c r="H209" s="2" t="s">
        <v>167</v>
      </c>
      <c r="I209" s="2" t="s">
        <v>161</v>
      </c>
      <c r="J209" s="2" t="s">
        <v>1151</v>
      </c>
      <c r="K209" s="17"/>
      <c r="L209" s="18">
        <v>3068.21</v>
      </c>
    </row>
    <row r="210" spans="1:12" ht="15" customHeight="1" x14ac:dyDescent="0.25">
      <c r="A210" s="2" t="s">
        <v>1335</v>
      </c>
      <c r="B210" s="2" t="s">
        <v>1083</v>
      </c>
      <c r="C210" s="17">
        <v>46025</v>
      </c>
      <c r="D210" s="17">
        <v>46042</v>
      </c>
      <c r="E210" s="2" t="s">
        <v>18</v>
      </c>
      <c r="F210" s="2" t="s">
        <v>160</v>
      </c>
      <c r="G210" s="2" t="s">
        <v>26</v>
      </c>
      <c r="H210" s="2" t="s">
        <v>157</v>
      </c>
      <c r="I210" s="2" t="s">
        <v>156</v>
      </c>
      <c r="J210" s="2" t="s">
        <v>1151</v>
      </c>
      <c r="K210" s="17"/>
      <c r="L210" s="18">
        <v>557.49</v>
      </c>
    </row>
    <row r="211" spans="1:12" ht="15" customHeight="1" x14ac:dyDescent="0.25">
      <c r="A211" s="2" t="s">
        <v>1336</v>
      </c>
      <c r="B211" s="2" t="s">
        <v>1086</v>
      </c>
      <c r="C211" s="17">
        <v>46023</v>
      </c>
      <c r="D211" s="17">
        <v>46052</v>
      </c>
      <c r="E211" s="2" t="s">
        <v>21</v>
      </c>
      <c r="F211" s="2" t="s">
        <v>160</v>
      </c>
      <c r="G211" s="2" t="s">
        <v>28</v>
      </c>
      <c r="H211" s="2" t="s">
        <v>183</v>
      </c>
      <c r="I211" s="2" t="s">
        <v>156</v>
      </c>
      <c r="J211" s="2" t="s">
        <v>1151</v>
      </c>
      <c r="K211" s="17"/>
      <c r="L211" s="18">
        <v>1038.5999999999999</v>
      </c>
    </row>
    <row r="212" spans="1:12" ht="15" customHeight="1" x14ac:dyDescent="0.25">
      <c r="A212" s="2" t="s">
        <v>1337</v>
      </c>
      <c r="B212" s="2" t="s">
        <v>1092</v>
      </c>
      <c r="C212" s="17">
        <v>45707</v>
      </c>
      <c r="D212" s="17">
        <v>45714</v>
      </c>
      <c r="E212" s="2" t="s">
        <v>19</v>
      </c>
      <c r="F212" s="2" t="s">
        <v>160</v>
      </c>
      <c r="G212" s="2" t="s">
        <v>25</v>
      </c>
      <c r="H212" s="2" t="s">
        <v>210</v>
      </c>
      <c r="I212" s="2" t="s">
        <v>156</v>
      </c>
      <c r="J212" s="2" t="s">
        <v>1151</v>
      </c>
      <c r="K212" s="17"/>
      <c r="L212" s="18">
        <v>988.22</v>
      </c>
    </row>
    <row r="213" spans="1:12" ht="15" customHeight="1" x14ac:dyDescent="0.25">
      <c r="A213" s="2" t="s">
        <v>1338</v>
      </c>
      <c r="B213" s="2" t="s">
        <v>1101</v>
      </c>
      <c r="C213" s="17">
        <v>45967</v>
      </c>
      <c r="D213" s="17"/>
      <c r="E213" s="2" t="s">
        <v>22</v>
      </c>
      <c r="F213" s="2" t="s">
        <v>186</v>
      </c>
      <c r="G213" s="2" t="s">
        <v>27</v>
      </c>
      <c r="H213" s="2" t="s">
        <v>170</v>
      </c>
      <c r="I213" s="2" t="s">
        <v>156</v>
      </c>
      <c r="J213" s="2" t="s">
        <v>1160</v>
      </c>
      <c r="K213" s="17"/>
      <c r="L213" s="18">
        <v>476.64</v>
      </c>
    </row>
    <row r="214" spans="1:12" ht="15" customHeight="1" x14ac:dyDescent="0.25">
      <c r="A214" s="2" t="s">
        <v>1339</v>
      </c>
      <c r="B214" s="2" t="s">
        <v>1102</v>
      </c>
      <c r="C214" s="17">
        <v>45703</v>
      </c>
      <c r="D214" s="17"/>
      <c r="E214" s="2" t="s">
        <v>22</v>
      </c>
      <c r="F214" s="2" t="s">
        <v>155</v>
      </c>
      <c r="G214" s="2" t="s">
        <v>27</v>
      </c>
      <c r="H214" s="2" t="s">
        <v>170</v>
      </c>
      <c r="I214" s="2" t="s">
        <v>156</v>
      </c>
      <c r="J214" s="2" t="s">
        <v>1160</v>
      </c>
      <c r="K214" s="17"/>
      <c r="L214" s="18">
        <v>606.86</v>
      </c>
    </row>
    <row r="215" spans="1:12" ht="15" customHeight="1" x14ac:dyDescent="0.25">
      <c r="A215" s="2" t="s">
        <v>1340</v>
      </c>
      <c r="B215" s="2" t="s">
        <v>1103</v>
      </c>
      <c r="C215" s="17">
        <v>46028</v>
      </c>
      <c r="D215" s="17"/>
      <c r="E215" s="2" t="s">
        <v>21</v>
      </c>
      <c r="F215" s="2" t="s">
        <v>149</v>
      </c>
      <c r="G215" s="2" t="s">
        <v>28</v>
      </c>
      <c r="H215" s="2" t="s">
        <v>162</v>
      </c>
      <c r="I215" s="2" t="s">
        <v>156</v>
      </c>
      <c r="J215" s="2" t="s">
        <v>1160</v>
      </c>
      <c r="K215" s="17"/>
      <c r="L215" s="18">
        <v>742.89</v>
      </c>
    </row>
    <row r="216" spans="1:12" ht="15" customHeight="1" x14ac:dyDescent="0.25">
      <c r="A216" s="2" t="s">
        <v>1341</v>
      </c>
      <c r="B216" s="2" t="s">
        <v>1109</v>
      </c>
      <c r="C216" s="17">
        <v>45839</v>
      </c>
      <c r="D216" s="17"/>
      <c r="E216" s="2" t="s">
        <v>18</v>
      </c>
      <c r="F216" s="2" t="s">
        <v>149</v>
      </c>
      <c r="G216" s="2" t="s">
        <v>25</v>
      </c>
      <c r="H216" s="2" t="s">
        <v>157</v>
      </c>
      <c r="I216" s="2" t="s">
        <v>156</v>
      </c>
      <c r="J216" s="2" t="s">
        <v>1160</v>
      </c>
      <c r="K216" s="17"/>
      <c r="L216" s="18">
        <v>1021.18</v>
      </c>
    </row>
    <row r="217" spans="1:12" ht="15" customHeight="1" x14ac:dyDescent="0.25">
      <c r="A217" s="2" t="s">
        <v>1342</v>
      </c>
      <c r="B217" s="2" t="s">
        <v>1114</v>
      </c>
      <c r="C217" s="17">
        <v>45748</v>
      </c>
      <c r="D217" s="17"/>
      <c r="E217" s="2" t="s">
        <v>20</v>
      </c>
      <c r="F217" s="2" t="s">
        <v>149</v>
      </c>
      <c r="G217" s="2" t="s">
        <v>28</v>
      </c>
      <c r="H217" s="2" t="s">
        <v>192</v>
      </c>
      <c r="I217" s="2" t="s">
        <v>156</v>
      </c>
      <c r="J217" s="2" t="s">
        <v>1160</v>
      </c>
      <c r="K217" s="17"/>
      <c r="L217" s="18">
        <v>831.9</v>
      </c>
    </row>
    <row r="218" spans="1:12" ht="15" customHeight="1" x14ac:dyDescent="0.25">
      <c r="A218" s="2" t="s">
        <v>80</v>
      </c>
      <c r="B218" s="2" t="s">
        <v>61</v>
      </c>
      <c r="C218" s="17">
        <v>45787</v>
      </c>
      <c r="D218" s="17">
        <v>45795</v>
      </c>
      <c r="E218" s="2" t="s">
        <v>19</v>
      </c>
      <c r="F218" s="2" t="s">
        <v>149</v>
      </c>
      <c r="G218" s="2" t="s">
        <v>25</v>
      </c>
      <c r="H218" s="2" t="s">
        <v>210</v>
      </c>
      <c r="I218" s="2" t="s">
        <v>161</v>
      </c>
      <c r="J218" s="2" t="s">
        <v>1151</v>
      </c>
      <c r="K218" s="17"/>
      <c r="L218" s="18">
        <v>2695.93</v>
      </c>
    </row>
    <row r="219" spans="1:12" ht="15" customHeight="1" x14ac:dyDescent="0.25">
      <c r="A219" s="2" t="s">
        <v>1343</v>
      </c>
      <c r="B219" s="2" t="s">
        <v>1121</v>
      </c>
      <c r="C219" s="17">
        <v>46002</v>
      </c>
      <c r="D219" s="17">
        <v>46013</v>
      </c>
      <c r="E219" s="2" t="s">
        <v>21</v>
      </c>
      <c r="F219" s="2" t="s">
        <v>160</v>
      </c>
      <c r="G219" s="2" t="s">
        <v>25</v>
      </c>
      <c r="H219" s="2" t="s">
        <v>162</v>
      </c>
      <c r="I219" s="2" t="s">
        <v>156</v>
      </c>
      <c r="J219" s="2" t="s">
        <v>1151</v>
      </c>
      <c r="K219" s="17"/>
      <c r="L219" s="18">
        <v>745.34</v>
      </c>
    </row>
    <row r="220" spans="1:12" ht="15" customHeight="1" x14ac:dyDescent="0.25">
      <c r="A220" s="2" t="s">
        <v>1344</v>
      </c>
      <c r="B220" s="2" t="s">
        <v>1129</v>
      </c>
      <c r="C220" s="17">
        <v>46008</v>
      </c>
      <c r="D220" s="17">
        <v>46052</v>
      </c>
      <c r="E220" s="2" t="s">
        <v>22</v>
      </c>
      <c r="F220" s="2" t="s">
        <v>149</v>
      </c>
      <c r="G220" s="2" t="s">
        <v>28</v>
      </c>
      <c r="H220" s="2" t="s">
        <v>151</v>
      </c>
      <c r="I220" s="2" t="s">
        <v>156</v>
      </c>
      <c r="J220" s="2" t="s">
        <v>1151</v>
      </c>
      <c r="K220" s="17"/>
      <c r="L220" s="18">
        <v>957.64</v>
      </c>
    </row>
    <row r="221" spans="1:12" ht="15" customHeight="1" x14ac:dyDescent="0.25">
      <c r="A221" s="2" t="s">
        <v>1345</v>
      </c>
      <c r="B221" s="2" t="s">
        <v>1131</v>
      </c>
      <c r="C221" s="17">
        <v>45688</v>
      </c>
      <c r="D221" s="17">
        <v>45693</v>
      </c>
      <c r="E221" s="2" t="s">
        <v>2964</v>
      </c>
      <c r="F221" s="2" t="s">
        <v>186</v>
      </c>
      <c r="G221" s="2" t="s">
        <v>25</v>
      </c>
      <c r="H221" s="2" t="s">
        <v>210</v>
      </c>
      <c r="I221" s="2" t="s">
        <v>156</v>
      </c>
      <c r="J221" s="2" t="s">
        <v>1151</v>
      </c>
      <c r="K221" s="17"/>
      <c r="L221" s="18">
        <v>646.46</v>
      </c>
    </row>
    <row r="222" spans="1:12" ht="15" customHeight="1" x14ac:dyDescent="0.25">
      <c r="A222" s="2" t="s">
        <v>1346</v>
      </c>
      <c r="B222" s="2" t="s">
        <v>1138</v>
      </c>
      <c r="C222" s="17">
        <v>46041</v>
      </c>
      <c r="D222" s="17">
        <v>46069</v>
      </c>
      <c r="E222" s="2" t="s">
        <v>18</v>
      </c>
      <c r="F222" s="2" t="s">
        <v>155</v>
      </c>
      <c r="G222" s="2" t="s">
        <v>25</v>
      </c>
      <c r="H222" s="2" t="s">
        <v>201</v>
      </c>
      <c r="I222" s="2" t="s">
        <v>156</v>
      </c>
      <c r="J222" s="2" t="s">
        <v>1151</v>
      </c>
      <c r="K222" s="17"/>
      <c r="L222" s="18">
        <v>372.79</v>
      </c>
    </row>
    <row r="223" spans="1:12" ht="15" customHeight="1" x14ac:dyDescent="0.25">
      <c r="A223" s="2" t="s">
        <v>1347</v>
      </c>
      <c r="B223" s="2" t="s">
        <v>1141</v>
      </c>
      <c r="C223" s="17">
        <v>45833</v>
      </c>
      <c r="D223" s="17">
        <v>45853</v>
      </c>
      <c r="E223" s="2" t="s">
        <v>19</v>
      </c>
      <c r="F223" s="2" t="s">
        <v>155</v>
      </c>
      <c r="G223" s="2" t="s">
        <v>27</v>
      </c>
      <c r="H223" s="2" t="s">
        <v>207</v>
      </c>
      <c r="I223" s="2" t="s">
        <v>156</v>
      </c>
      <c r="J223" s="2" t="s">
        <v>1151</v>
      </c>
      <c r="K223" s="17"/>
      <c r="L223" s="18">
        <v>514.66999999999996</v>
      </c>
    </row>
    <row r="224" spans="1:12" ht="15" customHeight="1" x14ac:dyDescent="0.25">
      <c r="A224" s="2" t="s">
        <v>76</v>
      </c>
      <c r="B224" s="2" t="s">
        <v>258</v>
      </c>
      <c r="C224" s="17">
        <v>45746</v>
      </c>
      <c r="D224" s="17">
        <v>45793</v>
      </c>
      <c r="E224" s="2" t="s">
        <v>20</v>
      </c>
      <c r="F224" s="2" t="s">
        <v>149</v>
      </c>
      <c r="G224" s="2" t="s">
        <v>26</v>
      </c>
      <c r="H224" s="2" t="s">
        <v>192</v>
      </c>
      <c r="I224" s="2" t="s">
        <v>150</v>
      </c>
      <c r="J224" s="2" t="s">
        <v>1151</v>
      </c>
      <c r="K224" s="17"/>
      <c r="L224" s="18">
        <v>6878.5</v>
      </c>
    </row>
    <row r="225" spans="1:12" ht="15" customHeight="1" x14ac:dyDescent="0.25">
      <c r="A225" s="2" t="s">
        <v>77</v>
      </c>
      <c r="B225" s="2" t="s">
        <v>1045</v>
      </c>
      <c r="C225" s="17">
        <v>45921</v>
      </c>
      <c r="D225" s="17">
        <v>45966</v>
      </c>
      <c r="E225" s="2" t="s">
        <v>22</v>
      </c>
      <c r="F225" s="2" t="s">
        <v>160</v>
      </c>
      <c r="G225" s="2" t="s">
        <v>24</v>
      </c>
      <c r="H225" s="2" t="s">
        <v>165</v>
      </c>
      <c r="I225" s="2" t="s">
        <v>156</v>
      </c>
      <c r="J225" s="2" t="s">
        <v>1151</v>
      </c>
      <c r="K225" s="17"/>
      <c r="L225" s="18">
        <v>1007.58</v>
      </c>
    </row>
    <row r="226" spans="1:12" ht="15" customHeight="1" x14ac:dyDescent="0.25">
      <c r="A226" s="2" t="s">
        <v>78</v>
      </c>
      <c r="B226" s="2" t="s">
        <v>875</v>
      </c>
      <c r="C226" s="17">
        <v>45903</v>
      </c>
      <c r="D226" s="17">
        <v>45927</v>
      </c>
      <c r="E226" s="2" t="s">
        <v>19</v>
      </c>
      <c r="F226" s="2" t="s">
        <v>155</v>
      </c>
      <c r="G226" s="2" t="s">
        <v>25</v>
      </c>
      <c r="H226" s="2" t="s">
        <v>207</v>
      </c>
      <c r="I226" s="2" t="s">
        <v>156</v>
      </c>
      <c r="J226" s="2" t="s">
        <v>1151</v>
      </c>
      <c r="K226" s="17"/>
      <c r="L226" s="18">
        <v>598.77</v>
      </c>
    </row>
    <row r="227" spans="1:12" ht="15" customHeight="1" x14ac:dyDescent="0.25">
      <c r="A227" s="2" t="s">
        <v>79</v>
      </c>
      <c r="B227" s="2" t="s">
        <v>496</v>
      </c>
      <c r="C227" s="17">
        <v>45736</v>
      </c>
      <c r="D227" s="17">
        <v>45767</v>
      </c>
      <c r="E227" s="2" t="s">
        <v>21</v>
      </c>
      <c r="F227" s="2" t="s">
        <v>186</v>
      </c>
      <c r="G227" s="2" t="s">
        <v>25</v>
      </c>
      <c r="H227" s="2" t="s">
        <v>176</v>
      </c>
      <c r="I227" s="2" t="s">
        <v>161</v>
      </c>
      <c r="J227" s="2" t="s">
        <v>1155</v>
      </c>
      <c r="K227" s="17">
        <v>45886</v>
      </c>
      <c r="L227" s="18">
        <v>2559.14</v>
      </c>
    </row>
    <row r="228" spans="1:12" ht="15" customHeight="1" x14ac:dyDescent="0.25">
      <c r="A228" s="2" t="s">
        <v>80</v>
      </c>
      <c r="B228" s="2" t="s">
        <v>61</v>
      </c>
      <c r="C228" s="17">
        <v>45787</v>
      </c>
      <c r="D228" s="17">
        <v>45795</v>
      </c>
      <c r="E228" s="2" t="s">
        <v>19</v>
      </c>
      <c r="F228" s="2" t="s">
        <v>149</v>
      </c>
      <c r="G228" s="2" t="s">
        <v>25</v>
      </c>
      <c r="H228" s="2" t="s">
        <v>210</v>
      </c>
      <c r="I228" s="2" t="s">
        <v>161</v>
      </c>
      <c r="J228" s="2" t="s">
        <v>1151</v>
      </c>
      <c r="K228" s="17"/>
      <c r="L228" s="18">
        <v>2695.93</v>
      </c>
    </row>
  </sheetData>
  <mergeCells count="1">
    <mergeCell ref="A1:L1"/>
  </mergeCells>
  <pageMargins left="0.7" right="0.7" top="0.75" bottom="0.75"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H1622"/>
  <sheetViews>
    <sheetView zoomScaleNormal="100" workbookViewId="0">
      <selection sqref="A1:H1"/>
    </sheetView>
  </sheetViews>
  <sheetFormatPr defaultColWidth="8.7109375" defaultRowHeight="15" x14ac:dyDescent="0.25"/>
  <cols>
    <col min="1" max="2" width="14" style="2" customWidth="1"/>
    <col min="3" max="3" width="13" style="2" customWidth="1"/>
    <col min="4" max="7" width="18" style="2" customWidth="1"/>
    <col min="8" max="8" width="16" style="2" customWidth="1"/>
  </cols>
  <sheetData>
    <row r="1" spans="1:8" ht="27.75" customHeight="1" x14ac:dyDescent="0.2">
      <c r="A1" s="40" t="s">
        <v>2977</v>
      </c>
      <c r="B1" s="40"/>
      <c r="C1" s="40"/>
      <c r="D1" s="40"/>
      <c r="E1" s="40"/>
      <c r="F1" s="40"/>
      <c r="G1" s="40"/>
      <c r="H1" s="40"/>
    </row>
    <row r="3" spans="1:8" ht="30" customHeight="1" x14ac:dyDescent="0.2">
      <c r="A3" s="3" t="s">
        <v>43</v>
      </c>
      <c r="B3" s="3" t="s">
        <v>41</v>
      </c>
      <c r="C3" s="3" t="s">
        <v>1349</v>
      </c>
      <c r="D3" s="3" t="s">
        <v>1351</v>
      </c>
      <c r="E3" s="3" t="s">
        <v>135</v>
      </c>
      <c r="F3" s="3" t="s">
        <v>35</v>
      </c>
      <c r="G3" s="3" t="s">
        <v>1353</v>
      </c>
      <c r="H3" s="3" t="s">
        <v>17</v>
      </c>
    </row>
    <row r="4" spans="1:8" ht="15" customHeight="1" x14ac:dyDescent="0.25">
      <c r="A4" s="2" t="s">
        <v>1359</v>
      </c>
      <c r="B4" s="2" t="s">
        <v>1152</v>
      </c>
      <c r="C4" s="17">
        <v>45887</v>
      </c>
      <c r="D4" s="2" t="s">
        <v>1360</v>
      </c>
      <c r="E4" s="18">
        <v>3084.52</v>
      </c>
      <c r="F4" s="18">
        <v>71.599999999999994</v>
      </c>
      <c r="G4" s="2" t="s">
        <v>1361</v>
      </c>
      <c r="H4" s="2" t="s">
        <v>21</v>
      </c>
    </row>
    <row r="5" spans="1:8" ht="15" customHeight="1" x14ac:dyDescent="0.25">
      <c r="A5" s="2" t="s">
        <v>1362</v>
      </c>
      <c r="B5" s="2" t="s">
        <v>1152</v>
      </c>
      <c r="C5" s="17">
        <v>45876</v>
      </c>
      <c r="D5" s="2" t="s">
        <v>1360</v>
      </c>
      <c r="E5" s="18">
        <v>4576.08</v>
      </c>
      <c r="F5" s="18">
        <v>105.35</v>
      </c>
      <c r="G5" s="2" t="s">
        <v>1361</v>
      </c>
      <c r="H5" s="2" t="s">
        <v>21</v>
      </c>
    </row>
    <row r="6" spans="1:8" ht="15" customHeight="1" x14ac:dyDescent="0.25">
      <c r="A6" s="2" t="s">
        <v>1363</v>
      </c>
      <c r="B6" s="2" t="s">
        <v>1152</v>
      </c>
      <c r="C6" s="17">
        <v>45917</v>
      </c>
      <c r="D6" s="2" t="s">
        <v>1360</v>
      </c>
      <c r="E6" s="18">
        <v>4134.54</v>
      </c>
      <c r="F6" s="18">
        <v>116.94</v>
      </c>
      <c r="G6" s="2" t="s">
        <v>1361</v>
      </c>
      <c r="H6" s="2" t="s">
        <v>21</v>
      </c>
    </row>
    <row r="7" spans="1:8" ht="15" customHeight="1" x14ac:dyDescent="0.25">
      <c r="A7" s="2" t="s">
        <v>1364</v>
      </c>
      <c r="B7" s="2" t="s">
        <v>1152</v>
      </c>
      <c r="C7" s="17">
        <v>45913</v>
      </c>
      <c r="D7" s="2" t="s">
        <v>1360</v>
      </c>
      <c r="E7" s="18">
        <v>3812.91</v>
      </c>
      <c r="F7" s="18">
        <v>84.68</v>
      </c>
      <c r="G7" s="2" t="s">
        <v>1361</v>
      </c>
      <c r="H7" s="2" t="s">
        <v>21</v>
      </c>
    </row>
    <row r="8" spans="1:8" ht="15" customHeight="1" x14ac:dyDescent="0.25">
      <c r="A8" s="2" t="s">
        <v>1365</v>
      </c>
      <c r="B8" s="2" t="s">
        <v>1152</v>
      </c>
      <c r="C8" s="17">
        <v>45946</v>
      </c>
      <c r="D8" s="2" t="s">
        <v>1360</v>
      </c>
      <c r="E8" s="18">
        <v>4003.93</v>
      </c>
      <c r="F8" s="18">
        <v>100.39</v>
      </c>
      <c r="G8" s="2" t="s">
        <v>1361</v>
      </c>
      <c r="H8" s="2" t="s">
        <v>21</v>
      </c>
    </row>
    <row r="9" spans="1:8" ht="15" customHeight="1" x14ac:dyDescent="0.25">
      <c r="A9" s="2" t="s">
        <v>1366</v>
      </c>
      <c r="B9" s="2" t="s">
        <v>1152</v>
      </c>
      <c r="C9" s="17">
        <v>45942</v>
      </c>
      <c r="D9" s="2" t="s">
        <v>1360</v>
      </c>
      <c r="E9" s="18">
        <v>3911.11</v>
      </c>
      <c r="F9" s="18">
        <v>106.16</v>
      </c>
      <c r="G9" s="2" t="s">
        <v>1361</v>
      </c>
      <c r="H9" s="2" t="s">
        <v>21</v>
      </c>
    </row>
    <row r="10" spans="1:8" ht="15" customHeight="1" x14ac:dyDescent="0.25">
      <c r="A10" s="2" t="s">
        <v>1367</v>
      </c>
      <c r="B10" s="2" t="s">
        <v>1152</v>
      </c>
      <c r="C10" s="17">
        <v>45948</v>
      </c>
      <c r="D10" s="2" t="s">
        <v>1360</v>
      </c>
      <c r="E10" s="18">
        <v>4879.3500000000004</v>
      </c>
      <c r="F10" s="18">
        <v>130.22999999999999</v>
      </c>
      <c r="G10" s="2" t="s">
        <v>1361</v>
      </c>
      <c r="H10" s="2" t="s">
        <v>21</v>
      </c>
    </row>
    <row r="11" spans="1:8" ht="15" customHeight="1" x14ac:dyDescent="0.25">
      <c r="A11" s="2" t="s">
        <v>1368</v>
      </c>
      <c r="B11" s="2" t="s">
        <v>1152</v>
      </c>
      <c r="C11" s="17">
        <v>45981</v>
      </c>
      <c r="D11" s="2" t="s">
        <v>1360</v>
      </c>
      <c r="E11" s="18">
        <v>3325.52</v>
      </c>
      <c r="F11" s="18">
        <v>91.85</v>
      </c>
      <c r="G11" s="2" t="s">
        <v>1361</v>
      </c>
      <c r="H11" s="2" t="s">
        <v>21</v>
      </c>
    </row>
    <row r="12" spans="1:8" ht="15" customHeight="1" x14ac:dyDescent="0.25">
      <c r="A12" s="2" t="s">
        <v>1369</v>
      </c>
      <c r="B12" s="2" t="s">
        <v>1152</v>
      </c>
      <c r="C12" s="17">
        <v>45972</v>
      </c>
      <c r="D12" s="2" t="s">
        <v>1360</v>
      </c>
      <c r="E12" s="18">
        <v>4233.7</v>
      </c>
      <c r="F12" s="18">
        <v>90.19</v>
      </c>
      <c r="G12" s="2" t="s">
        <v>1361</v>
      </c>
      <c r="H12" s="2" t="s">
        <v>21</v>
      </c>
    </row>
    <row r="13" spans="1:8" ht="15" customHeight="1" x14ac:dyDescent="0.25">
      <c r="A13" s="2" t="s">
        <v>1370</v>
      </c>
      <c r="B13" s="2" t="s">
        <v>1152</v>
      </c>
      <c r="C13" s="17">
        <v>46008</v>
      </c>
      <c r="D13" s="2" t="s">
        <v>1360</v>
      </c>
      <c r="E13" s="18">
        <v>1355.81</v>
      </c>
      <c r="F13" s="18">
        <v>28.92</v>
      </c>
      <c r="G13" s="2" t="s">
        <v>1361</v>
      </c>
      <c r="H13" s="2" t="s">
        <v>21</v>
      </c>
    </row>
    <row r="14" spans="1:8" ht="15" customHeight="1" x14ac:dyDescent="0.25">
      <c r="A14" s="2" t="s">
        <v>1371</v>
      </c>
      <c r="B14" s="2" t="s">
        <v>1152</v>
      </c>
      <c r="C14" s="17">
        <v>46007</v>
      </c>
      <c r="D14" s="2" t="s">
        <v>1360</v>
      </c>
      <c r="E14" s="18">
        <v>3327.6</v>
      </c>
      <c r="F14" s="18">
        <v>84.65</v>
      </c>
      <c r="G14" s="2" t="s">
        <v>1361</v>
      </c>
      <c r="H14" s="2" t="s">
        <v>21</v>
      </c>
    </row>
    <row r="15" spans="1:8" ht="15" customHeight="1" x14ac:dyDescent="0.25">
      <c r="A15" s="2" t="s">
        <v>1372</v>
      </c>
      <c r="B15" s="2" t="s">
        <v>1153</v>
      </c>
      <c r="C15" s="17">
        <v>45776</v>
      </c>
      <c r="D15" s="2" t="s">
        <v>1373</v>
      </c>
      <c r="E15" s="18">
        <v>5152.8900000000003</v>
      </c>
      <c r="F15" s="18">
        <v>87.47</v>
      </c>
      <c r="G15" s="2" t="s">
        <v>1361</v>
      </c>
      <c r="H15" s="2" t="s">
        <v>19</v>
      </c>
    </row>
    <row r="16" spans="1:8" ht="15" customHeight="1" x14ac:dyDescent="0.25">
      <c r="A16" s="2" t="s">
        <v>1374</v>
      </c>
      <c r="B16" s="2" t="s">
        <v>1153</v>
      </c>
      <c r="C16" s="17">
        <v>45777</v>
      </c>
      <c r="D16" s="2" t="s">
        <v>1373</v>
      </c>
      <c r="E16" s="18">
        <v>6210.37</v>
      </c>
      <c r="F16" s="18">
        <v>107.89</v>
      </c>
      <c r="G16" s="2" t="s">
        <v>1361</v>
      </c>
      <c r="H16" s="2" t="s">
        <v>19</v>
      </c>
    </row>
    <row r="17" spans="1:8" ht="15" customHeight="1" x14ac:dyDescent="0.25">
      <c r="A17" s="2" t="s">
        <v>1375</v>
      </c>
      <c r="B17" s="2" t="s">
        <v>1153</v>
      </c>
      <c r="C17" s="17">
        <v>45777</v>
      </c>
      <c r="D17" s="2" t="s">
        <v>1373</v>
      </c>
      <c r="E17" s="18">
        <v>17647.89</v>
      </c>
      <c r="F17" s="18">
        <v>293.33</v>
      </c>
      <c r="G17" s="2" t="s">
        <v>1361</v>
      </c>
      <c r="H17" s="2" t="s">
        <v>19</v>
      </c>
    </row>
    <row r="18" spans="1:8" ht="15" customHeight="1" x14ac:dyDescent="0.25">
      <c r="A18" s="2" t="s">
        <v>1376</v>
      </c>
      <c r="B18" s="2" t="s">
        <v>1153</v>
      </c>
      <c r="C18" s="17">
        <v>45808</v>
      </c>
      <c r="D18" s="2" t="s">
        <v>1373</v>
      </c>
      <c r="E18" s="18">
        <v>11897.96</v>
      </c>
      <c r="F18" s="18">
        <v>188.76</v>
      </c>
      <c r="G18" s="2" t="s">
        <v>1361</v>
      </c>
      <c r="H18" s="2" t="s">
        <v>19</v>
      </c>
    </row>
    <row r="19" spans="1:8" ht="15" customHeight="1" x14ac:dyDescent="0.25">
      <c r="A19" s="2" t="s">
        <v>1377</v>
      </c>
      <c r="B19" s="2" t="s">
        <v>1153</v>
      </c>
      <c r="C19" s="17">
        <v>45791</v>
      </c>
      <c r="D19" s="2" t="s">
        <v>1373</v>
      </c>
      <c r="E19" s="18">
        <v>7107.76</v>
      </c>
      <c r="F19" s="18">
        <v>143.80000000000001</v>
      </c>
      <c r="G19" s="2" t="s">
        <v>1361</v>
      </c>
      <c r="H19" s="2" t="s">
        <v>19</v>
      </c>
    </row>
    <row r="20" spans="1:8" ht="15" customHeight="1" x14ac:dyDescent="0.25">
      <c r="A20" s="2" t="s">
        <v>1378</v>
      </c>
      <c r="B20" s="2" t="s">
        <v>1153</v>
      </c>
      <c r="C20" s="17">
        <v>45813</v>
      </c>
      <c r="D20" s="2" t="s">
        <v>1373</v>
      </c>
      <c r="E20" s="18">
        <v>15612.19</v>
      </c>
      <c r="F20" s="18">
        <v>274.93</v>
      </c>
      <c r="G20" s="2" t="s">
        <v>1361</v>
      </c>
      <c r="H20" s="2" t="s">
        <v>19</v>
      </c>
    </row>
    <row r="21" spans="1:8" ht="15" customHeight="1" x14ac:dyDescent="0.25">
      <c r="A21" s="2" t="s">
        <v>1379</v>
      </c>
      <c r="B21" s="2" t="s">
        <v>1153</v>
      </c>
      <c r="C21" s="17">
        <v>45823</v>
      </c>
      <c r="D21" s="2" t="s">
        <v>1373</v>
      </c>
      <c r="E21" s="18">
        <v>10689.89</v>
      </c>
      <c r="F21" s="18">
        <v>203.43</v>
      </c>
      <c r="G21" s="2" t="s">
        <v>1361</v>
      </c>
      <c r="H21" s="2" t="s">
        <v>19</v>
      </c>
    </row>
    <row r="22" spans="1:8" ht="15" customHeight="1" x14ac:dyDescent="0.25">
      <c r="A22" s="2" t="s">
        <v>1380</v>
      </c>
      <c r="B22" s="2" t="s">
        <v>1153</v>
      </c>
      <c r="C22" s="17">
        <v>45839</v>
      </c>
      <c r="D22" s="2" t="s">
        <v>1373</v>
      </c>
      <c r="E22" s="18">
        <v>15864.35</v>
      </c>
      <c r="F22" s="18">
        <v>296.39</v>
      </c>
      <c r="G22" s="2" t="s">
        <v>1361</v>
      </c>
      <c r="H22" s="2" t="s">
        <v>19</v>
      </c>
    </row>
    <row r="23" spans="1:8" ht="15" customHeight="1" x14ac:dyDescent="0.25">
      <c r="A23" s="2" t="s">
        <v>1381</v>
      </c>
      <c r="B23" s="2" t="s">
        <v>1153</v>
      </c>
      <c r="C23" s="17">
        <v>45864</v>
      </c>
      <c r="D23" s="2" t="s">
        <v>1373</v>
      </c>
      <c r="E23" s="18">
        <v>10901.57</v>
      </c>
      <c r="F23" s="18">
        <v>210.9</v>
      </c>
      <c r="G23" s="2" t="s">
        <v>1361</v>
      </c>
      <c r="H23" s="2" t="s">
        <v>19</v>
      </c>
    </row>
    <row r="24" spans="1:8" ht="15" customHeight="1" x14ac:dyDescent="0.25">
      <c r="A24" s="2" t="s">
        <v>1382</v>
      </c>
      <c r="B24" s="2" t="s">
        <v>1153</v>
      </c>
      <c r="C24" s="17">
        <v>45839</v>
      </c>
      <c r="D24" s="2" t="s">
        <v>1373</v>
      </c>
      <c r="E24" s="18">
        <v>15599.28</v>
      </c>
      <c r="F24" s="18">
        <v>289.24</v>
      </c>
      <c r="G24" s="2" t="s">
        <v>1361</v>
      </c>
      <c r="H24" s="2" t="s">
        <v>19</v>
      </c>
    </row>
    <row r="25" spans="1:8" ht="15" customHeight="1" x14ac:dyDescent="0.25">
      <c r="A25" s="2" t="s">
        <v>1383</v>
      </c>
      <c r="B25" s="2" t="s">
        <v>1153</v>
      </c>
      <c r="C25" s="17">
        <v>45888</v>
      </c>
      <c r="D25" s="2" t="s">
        <v>1373</v>
      </c>
      <c r="E25" s="18">
        <v>17194.02</v>
      </c>
      <c r="F25" s="18">
        <v>274.68</v>
      </c>
      <c r="G25" s="2" t="s">
        <v>1361</v>
      </c>
      <c r="H25" s="2" t="s">
        <v>19</v>
      </c>
    </row>
    <row r="26" spans="1:8" ht="15" customHeight="1" x14ac:dyDescent="0.25">
      <c r="A26" s="2" t="s">
        <v>1384</v>
      </c>
      <c r="B26" s="2" t="s">
        <v>1153</v>
      </c>
      <c r="C26" s="17">
        <v>45899</v>
      </c>
      <c r="D26" s="2" t="s">
        <v>1373</v>
      </c>
      <c r="E26" s="18">
        <v>9123.08</v>
      </c>
      <c r="F26" s="18">
        <v>188.37</v>
      </c>
      <c r="G26" s="2" t="s">
        <v>1361</v>
      </c>
      <c r="H26" s="2" t="s">
        <v>19</v>
      </c>
    </row>
    <row r="27" spans="1:8" ht="15" customHeight="1" x14ac:dyDescent="0.25">
      <c r="A27" s="2" t="s">
        <v>1385</v>
      </c>
      <c r="B27" s="2" t="s">
        <v>1153</v>
      </c>
      <c r="C27" s="17">
        <v>45888</v>
      </c>
      <c r="D27" s="2" t="s">
        <v>1373</v>
      </c>
      <c r="E27" s="18">
        <v>16543.79</v>
      </c>
      <c r="F27" s="18">
        <v>336.58</v>
      </c>
      <c r="G27" s="2" t="s">
        <v>1361</v>
      </c>
      <c r="H27" s="2" t="s">
        <v>19</v>
      </c>
    </row>
    <row r="28" spans="1:8" ht="15" customHeight="1" x14ac:dyDescent="0.25">
      <c r="A28" s="2" t="s">
        <v>1386</v>
      </c>
      <c r="B28" s="2" t="s">
        <v>1153</v>
      </c>
      <c r="C28" s="17">
        <v>45902</v>
      </c>
      <c r="D28" s="2" t="s">
        <v>1373</v>
      </c>
      <c r="E28" s="18">
        <v>15930.18</v>
      </c>
      <c r="F28" s="18">
        <v>289.62</v>
      </c>
      <c r="G28" s="2" t="s">
        <v>1361</v>
      </c>
      <c r="H28" s="2" t="s">
        <v>19</v>
      </c>
    </row>
    <row r="29" spans="1:8" ht="15" customHeight="1" x14ac:dyDescent="0.25">
      <c r="A29" s="2" t="s">
        <v>1387</v>
      </c>
      <c r="B29" s="2" t="s">
        <v>1153</v>
      </c>
      <c r="C29" s="17">
        <v>45953</v>
      </c>
      <c r="D29" s="2" t="s">
        <v>1373</v>
      </c>
      <c r="E29" s="18">
        <v>13406.92</v>
      </c>
      <c r="F29" s="18">
        <v>218.82</v>
      </c>
      <c r="G29" s="2" t="s">
        <v>1361</v>
      </c>
      <c r="H29" s="2" t="s">
        <v>19</v>
      </c>
    </row>
    <row r="30" spans="1:8" ht="15" customHeight="1" x14ac:dyDescent="0.25">
      <c r="A30" s="2" t="s">
        <v>1388</v>
      </c>
      <c r="B30" s="2" t="s">
        <v>1153</v>
      </c>
      <c r="C30" s="17">
        <v>45977</v>
      </c>
      <c r="D30" s="2" t="s">
        <v>1373</v>
      </c>
      <c r="E30" s="18">
        <v>8023.55</v>
      </c>
      <c r="F30" s="18">
        <v>145.03</v>
      </c>
      <c r="G30" s="2" t="s">
        <v>1361</v>
      </c>
      <c r="H30" s="2" t="s">
        <v>19</v>
      </c>
    </row>
    <row r="31" spans="1:8" ht="15" customHeight="1" x14ac:dyDescent="0.25">
      <c r="A31" s="2" t="s">
        <v>1389</v>
      </c>
      <c r="B31" s="2" t="s">
        <v>1153</v>
      </c>
      <c r="C31" s="17">
        <v>45989</v>
      </c>
      <c r="D31" s="2" t="s">
        <v>1373</v>
      </c>
      <c r="E31" s="18">
        <v>12080.45</v>
      </c>
      <c r="F31" s="18">
        <v>208.51</v>
      </c>
      <c r="G31" s="2" t="s">
        <v>1361</v>
      </c>
      <c r="H31" s="2" t="s">
        <v>19</v>
      </c>
    </row>
    <row r="32" spans="1:8" ht="15" customHeight="1" x14ac:dyDescent="0.25">
      <c r="A32" s="2" t="s">
        <v>1390</v>
      </c>
      <c r="B32" s="2" t="s">
        <v>1153</v>
      </c>
      <c r="C32" s="17">
        <v>45994</v>
      </c>
      <c r="D32" s="2" t="s">
        <v>1373</v>
      </c>
      <c r="E32" s="18">
        <v>5773.99</v>
      </c>
      <c r="F32" s="18">
        <v>91.56</v>
      </c>
      <c r="G32" s="2" t="s">
        <v>1361</v>
      </c>
      <c r="H32" s="2" t="s">
        <v>19</v>
      </c>
    </row>
    <row r="33" spans="1:8" ht="15" customHeight="1" x14ac:dyDescent="0.25">
      <c r="A33" s="2" t="s">
        <v>1391</v>
      </c>
      <c r="B33" s="2" t="s">
        <v>1153</v>
      </c>
      <c r="C33" s="17">
        <v>46006</v>
      </c>
      <c r="D33" s="2" t="s">
        <v>1373</v>
      </c>
      <c r="E33" s="18">
        <v>8570.94</v>
      </c>
      <c r="F33" s="18">
        <v>155.04</v>
      </c>
      <c r="G33" s="2" t="s">
        <v>1361</v>
      </c>
      <c r="H33" s="2" t="s">
        <v>19</v>
      </c>
    </row>
    <row r="34" spans="1:8" ht="15" customHeight="1" x14ac:dyDescent="0.25">
      <c r="A34" s="2" t="s">
        <v>1392</v>
      </c>
      <c r="B34" s="2" t="s">
        <v>1154</v>
      </c>
      <c r="C34" s="17">
        <v>45858</v>
      </c>
      <c r="D34" s="2" t="s">
        <v>1360</v>
      </c>
      <c r="E34" s="18">
        <v>17064.72</v>
      </c>
      <c r="F34" s="18">
        <v>419.95</v>
      </c>
      <c r="G34" s="2" t="s">
        <v>1361</v>
      </c>
      <c r="H34" s="2" t="s">
        <v>22</v>
      </c>
    </row>
    <row r="35" spans="1:8" ht="15" customHeight="1" x14ac:dyDescent="0.25">
      <c r="A35" s="2" t="s">
        <v>1393</v>
      </c>
      <c r="B35" s="2" t="s">
        <v>1154</v>
      </c>
      <c r="C35" s="17">
        <v>45877</v>
      </c>
      <c r="D35" s="2" t="s">
        <v>1360</v>
      </c>
      <c r="E35" s="18">
        <v>13811.21</v>
      </c>
      <c r="F35" s="18">
        <v>342.49</v>
      </c>
      <c r="G35" s="2" t="s">
        <v>1361</v>
      </c>
      <c r="H35" s="2" t="s">
        <v>22</v>
      </c>
    </row>
    <row r="36" spans="1:8" ht="15" customHeight="1" x14ac:dyDescent="0.25">
      <c r="A36" s="2" t="s">
        <v>1394</v>
      </c>
      <c r="B36" s="2" t="s">
        <v>1154</v>
      </c>
      <c r="C36" s="17">
        <v>45910</v>
      </c>
      <c r="D36" s="2" t="s">
        <v>1360</v>
      </c>
      <c r="E36" s="18">
        <v>13396.3</v>
      </c>
      <c r="F36" s="18">
        <v>311.08999999999997</v>
      </c>
      <c r="G36" s="2" t="s">
        <v>1361</v>
      </c>
      <c r="H36" s="2" t="s">
        <v>22</v>
      </c>
    </row>
    <row r="37" spans="1:8" ht="15" customHeight="1" x14ac:dyDescent="0.25">
      <c r="A37" s="2" t="s">
        <v>1395</v>
      </c>
      <c r="B37" s="2" t="s">
        <v>1154</v>
      </c>
      <c r="C37" s="17">
        <v>45922</v>
      </c>
      <c r="D37" s="2" t="s">
        <v>1360</v>
      </c>
      <c r="E37" s="18">
        <v>8953.94</v>
      </c>
      <c r="F37" s="18">
        <v>191.64</v>
      </c>
      <c r="G37" s="2" t="s">
        <v>1361</v>
      </c>
      <c r="H37" s="2" t="s">
        <v>22</v>
      </c>
    </row>
    <row r="38" spans="1:8" ht="15" customHeight="1" x14ac:dyDescent="0.25">
      <c r="A38" s="2" t="s">
        <v>1396</v>
      </c>
      <c r="B38" s="2" t="s">
        <v>1154</v>
      </c>
      <c r="C38" s="17">
        <v>45906</v>
      </c>
      <c r="D38" s="2" t="s">
        <v>1360</v>
      </c>
      <c r="E38" s="18">
        <v>8357.5400000000009</v>
      </c>
      <c r="F38" s="18">
        <v>208.02</v>
      </c>
      <c r="G38" s="2" t="s">
        <v>1361</v>
      </c>
      <c r="H38" s="2" t="s">
        <v>22</v>
      </c>
    </row>
    <row r="39" spans="1:8" ht="15" customHeight="1" x14ac:dyDescent="0.25">
      <c r="A39" s="2" t="s">
        <v>1397</v>
      </c>
      <c r="B39" s="2" t="s">
        <v>1154</v>
      </c>
      <c r="C39" s="17">
        <v>45935</v>
      </c>
      <c r="D39" s="2" t="s">
        <v>1360</v>
      </c>
      <c r="E39" s="18">
        <v>10425.700000000001</v>
      </c>
      <c r="F39" s="18">
        <v>233.65</v>
      </c>
      <c r="G39" s="2" t="s">
        <v>1361</v>
      </c>
      <c r="H39" s="2" t="s">
        <v>22</v>
      </c>
    </row>
    <row r="40" spans="1:8" ht="15" customHeight="1" x14ac:dyDescent="0.25">
      <c r="A40" s="2" t="s">
        <v>1398</v>
      </c>
      <c r="B40" s="2" t="s">
        <v>1154</v>
      </c>
      <c r="C40" s="17">
        <v>45931</v>
      </c>
      <c r="D40" s="2" t="s">
        <v>1360</v>
      </c>
      <c r="E40" s="18">
        <v>17210.14</v>
      </c>
      <c r="F40" s="18">
        <v>385.78</v>
      </c>
      <c r="G40" s="2" t="s">
        <v>1361</v>
      </c>
      <c r="H40" s="2" t="s">
        <v>22</v>
      </c>
    </row>
    <row r="41" spans="1:8" ht="15" customHeight="1" x14ac:dyDescent="0.25">
      <c r="A41" s="2" t="s">
        <v>1399</v>
      </c>
      <c r="B41" s="2" t="s">
        <v>1158</v>
      </c>
      <c r="C41" s="17">
        <v>45715</v>
      </c>
      <c r="D41" s="2" t="s">
        <v>1360</v>
      </c>
      <c r="E41" s="18">
        <v>2089.65</v>
      </c>
      <c r="F41" s="18">
        <v>56.31</v>
      </c>
      <c r="G41" s="2" t="s">
        <v>1361</v>
      </c>
      <c r="H41" s="2" t="s">
        <v>19</v>
      </c>
    </row>
    <row r="42" spans="1:8" ht="15" customHeight="1" x14ac:dyDescent="0.25">
      <c r="A42" s="2" t="s">
        <v>1400</v>
      </c>
      <c r="B42" s="2" t="s">
        <v>1158</v>
      </c>
      <c r="C42" s="17">
        <v>45715</v>
      </c>
      <c r="D42" s="2" t="s">
        <v>1360</v>
      </c>
      <c r="E42" s="18">
        <v>2640.41</v>
      </c>
      <c r="F42" s="18">
        <v>72.260000000000005</v>
      </c>
      <c r="G42" s="2" t="s">
        <v>1361</v>
      </c>
      <c r="H42" s="2" t="s">
        <v>19</v>
      </c>
    </row>
    <row r="43" spans="1:8" ht="15" customHeight="1" x14ac:dyDescent="0.25">
      <c r="A43" s="2" t="s">
        <v>1401</v>
      </c>
      <c r="B43" s="2" t="s">
        <v>1158</v>
      </c>
      <c r="C43" s="17">
        <v>45722</v>
      </c>
      <c r="D43" s="2" t="s">
        <v>1360</v>
      </c>
      <c r="E43" s="18">
        <v>3843.72</v>
      </c>
      <c r="F43" s="18">
        <v>92.05</v>
      </c>
      <c r="G43" s="2" t="s">
        <v>1361</v>
      </c>
      <c r="H43" s="2" t="s">
        <v>19</v>
      </c>
    </row>
    <row r="44" spans="1:8" ht="15" customHeight="1" x14ac:dyDescent="0.25">
      <c r="A44" s="2" t="s">
        <v>1402</v>
      </c>
      <c r="B44" s="2" t="s">
        <v>1158</v>
      </c>
      <c r="C44" s="17">
        <v>45775</v>
      </c>
      <c r="D44" s="2" t="s">
        <v>1360</v>
      </c>
      <c r="E44" s="18">
        <v>2058.63</v>
      </c>
      <c r="F44" s="18">
        <v>58.68</v>
      </c>
      <c r="G44" s="2" t="s">
        <v>1361</v>
      </c>
      <c r="H44" s="2" t="s">
        <v>19</v>
      </c>
    </row>
    <row r="45" spans="1:8" ht="15" customHeight="1" x14ac:dyDescent="0.25">
      <c r="A45" s="2" t="s">
        <v>1403</v>
      </c>
      <c r="B45" s="2" t="s">
        <v>1158</v>
      </c>
      <c r="C45" s="17">
        <v>45752</v>
      </c>
      <c r="D45" s="2" t="s">
        <v>1360</v>
      </c>
      <c r="E45" s="18">
        <v>5145.46</v>
      </c>
      <c r="F45" s="18">
        <v>129.07</v>
      </c>
      <c r="G45" s="2" t="s">
        <v>1361</v>
      </c>
      <c r="H45" s="2" t="s">
        <v>19</v>
      </c>
    </row>
    <row r="46" spans="1:8" ht="15" customHeight="1" x14ac:dyDescent="0.25">
      <c r="A46" s="2" t="s">
        <v>1404</v>
      </c>
      <c r="B46" s="2" t="s">
        <v>1158</v>
      </c>
      <c r="C46" s="17">
        <v>45798</v>
      </c>
      <c r="D46" s="2" t="s">
        <v>1360</v>
      </c>
      <c r="E46" s="18">
        <v>5103.42</v>
      </c>
      <c r="F46" s="18">
        <v>120.9</v>
      </c>
      <c r="G46" s="2" t="s">
        <v>1361</v>
      </c>
      <c r="H46" s="2" t="s">
        <v>19</v>
      </c>
    </row>
    <row r="47" spans="1:8" ht="15" customHeight="1" x14ac:dyDescent="0.25">
      <c r="A47" s="2" t="s">
        <v>1405</v>
      </c>
      <c r="B47" s="2" t="s">
        <v>1158</v>
      </c>
      <c r="C47" s="17">
        <v>45813</v>
      </c>
      <c r="D47" s="2" t="s">
        <v>1360</v>
      </c>
      <c r="E47" s="18">
        <v>5058.8500000000004</v>
      </c>
      <c r="F47" s="18">
        <v>144.32</v>
      </c>
      <c r="G47" s="2" t="s">
        <v>1361</v>
      </c>
      <c r="H47" s="2" t="s">
        <v>19</v>
      </c>
    </row>
    <row r="48" spans="1:8" ht="15" customHeight="1" x14ac:dyDescent="0.25">
      <c r="A48" s="2" t="s">
        <v>1406</v>
      </c>
      <c r="B48" s="2" t="s">
        <v>1158</v>
      </c>
      <c r="C48" s="17">
        <v>45814</v>
      </c>
      <c r="D48" s="2" t="s">
        <v>1360</v>
      </c>
      <c r="E48" s="18">
        <v>2432.5300000000002</v>
      </c>
      <c r="F48" s="18">
        <v>51.77</v>
      </c>
      <c r="G48" s="2" t="s">
        <v>1361</v>
      </c>
      <c r="H48" s="2" t="s">
        <v>19</v>
      </c>
    </row>
    <row r="49" spans="1:8" ht="15" customHeight="1" x14ac:dyDescent="0.25">
      <c r="A49" s="2" t="s">
        <v>1407</v>
      </c>
      <c r="B49" s="2" t="s">
        <v>1158</v>
      </c>
      <c r="C49" s="17">
        <v>45851</v>
      </c>
      <c r="D49" s="2" t="s">
        <v>1360</v>
      </c>
      <c r="E49" s="18">
        <v>2297.6</v>
      </c>
      <c r="F49" s="18">
        <v>0</v>
      </c>
      <c r="G49" s="2" t="s">
        <v>1408</v>
      </c>
      <c r="H49" s="2" t="s">
        <v>19</v>
      </c>
    </row>
    <row r="50" spans="1:8" ht="15" customHeight="1" x14ac:dyDescent="0.25">
      <c r="A50" s="2" t="s">
        <v>1409</v>
      </c>
      <c r="B50" s="2" t="s">
        <v>1158</v>
      </c>
      <c r="C50" s="17">
        <v>45860</v>
      </c>
      <c r="D50" s="2" t="s">
        <v>1360</v>
      </c>
      <c r="E50" s="18">
        <v>2210.34</v>
      </c>
      <c r="F50" s="18">
        <v>59.37</v>
      </c>
      <c r="G50" s="2" t="s">
        <v>1361</v>
      </c>
      <c r="H50" s="2" t="s">
        <v>19</v>
      </c>
    </row>
    <row r="51" spans="1:8" ht="15" customHeight="1" x14ac:dyDescent="0.25">
      <c r="A51" s="2" t="s">
        <v>1410</v>
      </c>
      <c r="B51" s="2" t="s">
        <v>1158</v>
      </c>
      <c r="C51" s="17">
        <v>45855</v>
      </c>
      <c r="D51" s="2" t="s">
        <v>1360</v>
      </c>
      <c r="E51" s="18">
        <v>2581.92</v>
      </c>
      <c r="F51" s="18">
        <v>67.56</v>
      </c>
      <c r="G51" s="2" t="s">
        <v>1361</v>
      </c>
      <c r="H51" s="2" t="s">
        <v>19</v>
      </c>
    </row>
    <row r="52" spans="1:8" ht="15" customHeight="1" x14ac:dyDescent="0.25">
      <c r="A52" s="2" t="s">
        <v>1411</v>
      </c>
      <c r="B52" s="2" t="s">
        <v>1158</v>
      </c>
      <c r="C52" s="17">
        <v>45872</v>
      </c>
      <c r="D52" s="2" t="s">
        <v>1360</v>
      </c>
      <c r="E52" s="18">
        <v>2165.87</v>
      </c>
      <c r="F52" s="18">
        <v>49.87</v>
      </c>
      <c r="G52" s="2" t="s">
        <v>1361</v>
      </c>
      <c r="H52" s="2" t="s">
        <v>19</v>
      </c>
    </row>
    <row r="53" spans="1:8" ht="15" customHeight="1" x14ac:dyDescent="0.25">
      <c r="A53" s="2" t="s">
        <v>1412</v>
      </c>
      <c r="B53" s="2" t="s">
        <v>1158</v>
      </c>
      <c r="C53" s="17">
        <v>45882</v>
      </c>
      <c r="D53" s="2" t="s">
        <v>1360</v>
      </c>
      <c r="E53" s="18">
        <v>3343.43</v>
      </c>
      <c r="F53" s="18">
        <v>82.35</v>
      </c>
      <c r="G53" s="2" t="s">
        <v>1361</v>
      </c>
      <c r="H53" s="2" t="s">
        <v>19</v>
      </c>
    </row>
    <row r="54" spans="1:8" ht="15" customHeight="1" x14ac:dyDescent="0.25">
      <c r="A54" s="2" t="s">
        <v>1413</v>
      </c>
      <c r="B54" s="2" t="s">
        <v>1158</v>
      </c>
      <c r="C54" s="17">
        <v>45900</v>
      </c>
      <c r="D54" s="2" t="s">
        <v>1360</v>
      </c>
      <c r="E54" s="18">
        <v>1633.46</v>
      </c>
      <c r="F54" s="18">
        <v>36.58</v>
      </c>
      <c r="G54" s="2" t="s">
        <v>1361</v>
      </c>
      <c r="H54" s="2" t="s">
        <v>19</v>
      </c>
    </row>
    <row r="55" spans="1:8" ht="15" customHeight="1" x14ac:dyDescent="0.25">
      <c r="A55" s="2" t="s">
        <v>1414</v>
      </c>
      <c r="B55" s="2" t="s">
        <v>1158</v>
      </c>
      <c r="C55" s="17">
        <v>45919</v>
      </c>
      <c r="D55" s="2" t="s">
        <v>1360</v>
      </c>
      <c r="E55" s="18">
        <v>4878.47</v>
      </c>
      <c r="F55" s="18">
        <v>113.2</v>
      </c>
      <c r="G55" s="2" t="s">
        <v>1361</v>
      </c>
      <c r="H55" s="2" t="s">
        <v>19</v>
      </c>
    </row>
    <row r="56" spans="1:8" ht="15" customHeight="1" x14ac:dyDescent="0.25">
      <c r="A56" s="2" t="s">
        <v>1415</v>
      </c>
      <c r="B56" s="2" t="s">
        <v>1158</v>
      </c>
      <c r="C56" s="17">
        <v>45901</v>
      </c>
      <c r="D56" s="2" t="s">
        <v>1360</v>
      </c>
      <c r="E56" s="18">
        <v>3102.24</v>
      </c>
      <c r="F56" s="18">
        <v>84.47</v>
      </c>
      <c r="G56" s="2" t="s">
        <v>1361</v>
      </c>
      <c r="H56" s="2" t="s">
        <v>19</v>
      </c>
    </row>
    <row r="57" spans="1:8" ht="15" customHeight="1" x14ac:dyDescent="0.25">
      <c r="A57" s="2" t="s">
        <v>1416</v>
      </c>
      <c r="B57" s="2" t="s">
        <v>1158</v>
      </c>
      <c r="C57" s="17">
        <v>45941</v>
      </c>
      <c r="D57" s="2" t="s">
        <v>1360</v>
      </c>
      <c r="E57" s="18">
        <v>3358.44</v>
      </c>
      <c r="F57" s="18">
        <v>87.89</v>
      </c>
      <c r="G57" s="2" t="s">
        <v>1361</v>
      </c>
      <c r="H57" s="2" t="s">
        <v>19</v>
      </c>
    </row>
    <row r="58" spans="1:8" ht="15" customHeight="1" x14ac:dyDescent="0.25">
      <c r="A58" s="2" t="s">
        <v>1417</v>
      </c>
      <c r="B58" s="2" t="s">
        <v>1158</v>
      </c>
      <c r="C58" s="17">
        <v>45985</v>
      </c>
      <c r="D58" s="2" t="s">
        <v>1360</v>
      </c>
      <c r="E58" s="18">
        <v>4722.26</v>
      </c>
      <c r="F58" s="18">
        <v>109.83</v>
      </c>
      <c r="G58" s="2" t="s">
        <v>1361</v>
      </c>
      <c r="H58" s="2" t="s">
        <v>19</v>
      </c>
    </row>
    <row r="59" spans="1:8" ht="15" customHeight="1" x14ac:dyDescent="0.25">
      <c r="A59" s="2" t="s">
        <v>1418</v>
      </c>
      <c r="B59" s="2" t="s">
        <v>1158</v>
      </c>
      <c r="C59" s="17">
        <v>45968</v>
      </c>
      <c r="D59" s="2" t="s">
        <v>1360</v>
      </c>
      <c r="E59" s="18">
        <v>3552.83</v>
      </c>
      <c r="F59" s="18">
        <v>88.79</v>
      </c>
      <c r="G59" s="2" t="s">
        <v>1361</v>
      </c>
      <c r="H59" s="2" t="s">
        <v>19</v>
      </c>
    </row>
    <row r="60" spans="1:8" ht="15" customHeight="1" x14ac:dyDescent="0.25">
      <c r="A60" s="2" t="s">
        <v>1419</v>
      </c>
      <c r="B60" s="2" t="s">
        <v>1158</v>
      </c>
      <c r="C60" s="17">
        <v>46014</v>
      </c>
      <c r="D60" s="2" t="s">
        <v>1360</v>
      </c>
      <c r="E60" s="18">
        <v>2404.19</v>
      </c>
      <c r="F60" s="18">
        <v>53.36</v>
      </c>
      <c r="G60" s="2" t="s">
        <v>1361</v>
      </c>
      <c r="H60" s="2" t="s">
        <v>19</v>
      </c>
    </row>
    <row r="61" spans="1:8" ht="15" customHeight="1" x14ac:dyDescent="0.25">
      <c r="A61" s="2" t="s">
        <v>1420</v>
      </c>
      <c r="B61" s="2" t="s">
        <v>1158</v>
      </c>
      <c r="C61" s="17">
        <v>46006</v>
      </c>
      <c r="D61" s="2" t="s">
        <v>1360</v>
      </c>
      <c r="E61" s="18">
        <v>2657.9</v>
      </c>
      <c r="F61" s="18">
        <v>61.54</v>
      </c>
      <c r="G61" s="2" t="s">
        <v>1361</v>
      </c>
      <c r="H61" s="2" t="s">
        <v>19</v>
      </c>
    </row>
    <row r="62" spans="1:8" ht="15" customHeight="1" x14ac:dyDescent="0.25">
      <c r="A62" s="2" t="s">
        <v>1421</v>
      </c>
      <c r="B62" s="2" t="s">
        <v>1158</v>
      </c>
      <c r="C62" s="17">
        <v>45996</v>
      </c>
      <c r="D62" s="2" t="s">
        <v>1360</v>
      </c>
      <c r="E62" s="18">
        <v>1382.01</v>
      </c>
      <c r="F62" s="18">
        <v>34.880000000000003</v>
      </c>
      <c r="G62" s="2" t="s">
        <v>1361</v>
      </c>
      <c r="H62" s="2" t="s">
        <v>19</v>
      </c>
    </row>
    <row r="63" spans="1:8" ht="15" customHeight="1" x14ac:dyDescent="0.25">
      <c r="A63" s="2" t="s">
        <v>1422</v>
      </c>
      <c r="B63" s="2" t="s">
        <v>1161</v>
      </c>
      <c r="C63" s="17">
        <v>45807</v>
      </c>
      <c r="D63" s="2" t="s">
        <v>1423</v>
      </c>
      <c r="E63" s="18">
        <v>57928.28</v>
      </c>
      <c r="F63" s="18">
        <v>1863.5</v>
      </c>
      <c r="G63" s="2" t="s">
        <v>1361</v>
      </c>
      <c r="H63" s="2" t="s">
        <v>22</v>
      </c>
    </row>
    <row r="64" spans="1:8" ht="15" customHeight="1" x14ac:dyDescent="0.25">
      <c r="A64" s="2" t="s">
        <v>1424</v>
      </c>
      <c r="B64" s="2" t="s">
        <v>1161</v>
      </c>
      <c r="C64" s="17">
        <v>45794</v>
      </c>
      <c r="D64" s="2" t="s">
        <v>1423</v>
      </c>
      <c r="E64" s="18">
        <v>59033.14</v>
      </c>
      <c r="F64" s="18">
        <v>1705.1</v>
      </c>
      <c r="G64" s="2" t="s">
        <v>1361</v>
      </c>
      <c r="H64" s="2" t="s">
        <v>22</v>
      </c>
    </row>
    <row r="65" spans="1:8" ht="15" customHeight="1" x14ac:dyDescent="0.25">
      <c r="A65" s="2" t="s">
        <v>1425</v>
      </c>
      <c r="B65" s="2" t="s">
        <v>1161</v>
      </c>
      <c r="C65" s="17">
        <v>45826</v>
      </c>
      <c r="D65" s="2" t="s">
        <v>1423</v>
      </c>
      <c r="E65" s="18">
        <v>25478.02</v>
      </c>
      <c r="F65" s="18">
        <v>845.28</v>
      </c>
      <c r="G65" s="2" t="s">
        <v>1361</v>
      </c>
      <c r="H65" s="2" t="s">
        <v>22</v>
      </c>
    </row>
    <row r="66" spans="1:8" ht="15" customHeight="1" x14ac:dyDescent="0.25">
      <c r="A66" s="2" t="s">
        <v>1426</v>
      </c>
      <c r="B66" s="2" t="s">
        <v>1161</v>
      </c>
      <c r="C66" s="17">
        <v>45856</v>
      </c>
      <c r="D66" s="2" t="s">
        <v>1423</v>
      </c>
      <c r="E66" s="18">
        <v>24542.13</v>
      </c>
      <c r="F66" s="18">
        <v>669.65</v>
      </c>
      <c r="G66" s="2" t="s">
        <v>1361</v>
      </c>
      <c r="H66" s="2" t="s">
        <v>22</v>
      </c>
    </row>
    <row r="67" spans="1:8" ht="15" customHeight="1" x14ac:dyDescent="0.25">
      <c r="A67" s="2" t="s">
        <v>1427</v>
      </c>
      <c r="B67" s="2" t="s">
        <v>1161</v>
      </c>
      <c r="C67" s="17">
        <v>45848</v>
      </c>
      <c r="D67" s="2" t="s">
        <v>1423</v>
      </c>
      <c r="E67" s="18">
        <v>36315.480000000003</v>
      </c>
      <c r="F67" s="18">
        <v>990.35</v>
      </c>
      <c r="G67" s="2" t="s">
        <v>1361</v>
      </c>
      <c r="H67" s="2" t="s">
        <v>22</v>
      </c>
    </row>
    <row r="68" spans="1:8" ht="15" customHeight="1" x14ac:dyDescent="0.25">
      <c r="A68" s="2" t="s">
        <v>1428</v>
      </c>
      <c r="B68" s="2" t="s">
        <v>1161</v>
      </c>
      <c r="C68" s="17">
        <v>45857</v>
      </c>
      <c r="D68" s="2" t="s">
        <v>1423</v>
      </c>
      <c r="E68" s="18">
        <v>61247.07</v>
      </c>
      <c r="F68" s="18">
        <v>1756.9</v>
      </c>
      <c r="G68" s="2" t="s">
        <v>1361</v>
      </c>
      <c r="H68" s="2" t="s">
        <v>22</v>
      </c>
    </row>
    <row r="69" spans="1:8" ht="15" customHeight="1" x14ac:dyDescent="0.25">
      <c r="A69" s="2" t="s">
        <v>1429</v>
      </c>
      <c r="B69" s="2" t="s">
        <v>1161</v>
      </c>
      <c r="C69" s="17">
        <v>45885</v>
      </c>
      <c r="D69" s="2" t="s">
        <v>1423</v>
      </c>
      <c r="E69" s="18">
        <v>47437.4</v>
      </c>
      <c r="F69" s="18">
        <v>1660.45</v>
      </c>
      <c r="G69" s="2" t="s">
        <v>1361</v>
      </c>
      <c r="H69" s="2" t="s">
        <v>22</v>
      </c>
    </row>
    <row r="70" spans="1:8" ht="15" customHeight="1" x14ac:dyDescent="0.25">
      <c r="A70" s="2" t="s">
        <v>1430</v>
      </c>
      <c r="B70" s="2" t="s">
        <v>1161</v>
      </c>
      <c r="C70" s="17">
        <v>45925</v>
      </c>
      <c r="D70" s="2" t="s">
        <v>1423</v>
      </c>
      <c r="E70" s="18">
        <v>47326.03</v>
      </c>
      <c r="F70" s="18">
        <v>1612.9</v>
      </c>
      <c r="G70" s="2" t="s">
        <v>1361</v>
      </c>
      <c r="H70" s="2" t="s">
        <v>22</v>
      </c>
    </row>
    <row r="71" spans="1:8" ht="15" customHeight="1" x14ac:dyDescent="0.25">
      <c r="A71" s="2" t="s">
        <v>1431</v>
      </c>
      <c r="B71" s="2" t="s">
        <v>1161</v>
      </c>
      <c r="C71" s="17">
        <v>45913</v>
      </c>
      <c r="D71" s="2" t="s">
        <v>1423</v>
      </c>
      <c r="E71" s="18">
        <v>21301.58</v>
      </c>
      <c r="F71" s="18">
        <v>727.93</v>
      </c>
      <c r="G71" s="2" t="s">
        <v>1361</v>
      </c>
      <c r="H71" s="2" t="s">
        <v>22</v>
      </c>
    </row>
    <row r="72" spans="1:8" ht="15" customHeight="1" x14ac:dyDescent="0.25">
      <c r="A72" s="2" t="s">
        <v>1432</v>
      </c>
      <c r="B72" s="2" t="s">
        <v>1161</v>
      </c>
      <c r="C72" s="17">
        <v>45914</v>
      </c>
      <c r="D72" s="2" t="s">
        <v>1423</v>
      </c>
      <c r="E72" s="18">
        <v>17957.400000000001</v>
      </c>
      <c r="F72" s="18">
        <v>536.77</v>
      </c>
      <c r="G72" s="2" t="s">
        <v>1361</v>
      </c>
      <c r="H72" s="2" t="s">
        <v>22</v>
      </c>
    </row>
    <row r="73" spans="1:8" ht="15" customHeight="1" x14ac:dyDescent="0.25">
      <c r="A73" s="2" t="s">
        <v>1433</v>
      </c>
      <c r="B73" s="2" t="s">
        <v>1161</v>
      </c>
      <c r="C73" s="17">
        <v>45954</v>
      </c>
      <c r="D73" s="2" t="s">
        <v>1423</v>
      </c>
      <c r="E73" s="18">
        <v>56084.12</v>
      </c>
      <c r="F73" s="18">
        <v>1755.77</v>
      </c>
      <c r="G73" s="2" t="s">
        <v>1361</v>
      </c>
      <c r="H73" s="2" t="s">
        <v>22</v>
      </c>
    </row>
    <row r="74" spans="1:8" ht="15" customHeight="1" x14ac:dyDescent="0.25">
      <c r="A74" s="2" t="s">
        <v>1434</v>
      </c>
      <c r="B74" s="2" t="s">
        <v>1161</v>
      </c>
      <c r="C74" s="17">
        <v>45975</v>
      </c>
      <c r="D74" s="2" t="s">
        <v>1423</v>
      </c>
      <c r="E74" s="18">
        <v>29377.08</v>
      </c>
      <c r="F74" s="18">
        <v>1032.18</v>
      </c>
      <c r="G74" s="2" t="s">
        <v>1361</v>
      </c>
      <c r="H74" s="2" t="s">
        <v>22</v>
      </c>
    </row>
    <row r="75" spans="1:8" ht="15" customHeight="1" x14ac:dyDescent="0.25">
      <c r="A75" s="2" t="s">
        <v>1435</v>
      </c>
      <c r="B75" s="2" t="s">
        <v>1161</v>
      </c>
      <c r="C75" s="17">
        <v>45980</v>
      </c>
      <c r="D75" s="2" t="s">
        <v>1423</v>
      </c>
      <c r="E75" s="18">
        <v>43935.41</v>
      </c>
      <c r="F75" s="18">
        <v>1508.28</v>
      </c>
      <c r="G75" s="2" t="s">
        <v>1361</v>
      </c>
      <c r="H75" s="2" t="s">
        <v>22</v>
      </c>
    </row>
    <row r="76" spans="1:8" ht="15" customHeight="1" x14ac:dyDescent="0.25">
      <c r="A76" s="2" t="s">
        <v>1436</v>
      </c>
      <c r="B76" s="2" t="s">
        <v>1161</v>
      </c>
      <c r="C76" s="17">
        <v>45995</v>
      </c>
      <c r="D76" s="2" t="s">
        <v>1423</v>
      </c>
      <c r="E76" s="18">
        <v>50472.73</v>
      </c>
      <c r="F76" s="18">
        <v>0</v>
      </c>
      <c r="G76" s="2" t="s">
        <v>1408</v>
      </c>
      <c r="H76" s="2" t="s">
        <v>22</v>
      </c>
    </row>
    <row r="77" spans="1:8" ht="15" customHeight="1" x14ac:dyDescent="0.25">
      <c r="A77" s="2" t="s">
        <v>115</v>
      </c>
      <c r="B77" s="2" t="s">
        <v>1437</v>
      </c>
      <c r="C77" s="17">
        <v>45991</v>
      </c>
      <c r="D77" s="2" t="s">
        <v>1360</v>
      </c>
      <c r="E77" s="18">
        <v>4720.3999999999996</v>
      </c>
      <c r="F77" s="18">
        <v>125.85</v>
      </c>
      <c r="G77" s="2" t="s">
        <v>1361</v>
      </c>
      <c r="H77" s="2" t="s">
        <v>22</v>
      </c>
    </row>
    <row r="78" spans="1:8" ht="15" customHeight="1" x14ac:dyDescent="0.25">
      <c r="A78" s="2" t="s">
        <v>1438</v>
      </c>
      <c r="B78" s="2" t="s">
        <v>1162</v>
      </c>
      <c r="C78" s="17">
        <v>45989</v>
      </c>
      <c r="D78" s="2" t="s">
        <v>1360</v>
      </c>
      <c r="E78" s="18">
        <v>4472.0600000000004</v>
      </c>
      <c r="F78" s="18">
        <v>102.34</v>
      </c>
      <c r="G78" s="2" t="s">
        <v>1361</v>
      </c>
      <c r="H78" s="2" t="s">
        <v>22</v>
      </c>
    </row>
    <row r="79" spans="1:8" ht="15" customHeight="1" x14ac:dyDescent="0.25">
      <c r="A79" s="2" t="s">
        <v>1439</v>
      </c>
      <c r="B79" s="2" t="s">
        <v>1162</v>
      </c>
      <c r="C79" s="17">
        <v>46004</v>
      </c>
      <c r="D79" s="2" t="s">
        <v>1360</v>
      </c>
      <c r="E79" s="18">
        <v>2438.67</v>
      </c>
      <c r="F79" s="18">
        <v>65.5</v>
      </c>
      <c r="G79" s="2" t="s">
        <v>1361</v>
      </c>
      <c r="H79" s="2" t="s">
        <v>22</v>
      </c>
    </row>
    <row r="80" spans="1:8" ht="15" customHeight="1" x14ac:dyDescent="0.25">
      <c r="A80" s="2" t="s">
        <v>1440</v>
      </c>
      <c r="B80" s="2" t="s">
        <v>1162</v>
      </c>
      <c r="C80" s="17">
        <v>46020</v>
      </c>
      <c r="D80" s="2" t="s">
        <v>1360</v>
      </c>
      <c r="E80" s="18">
        <v>2855.68</v>
      </c>
      <c r="F80" s="18">
        <v>80.55</v>
      </c>
      <c r="G80" s="2" t="s">
        <v>1361</v>
      </c>
      <c r="H80" s="2" t="s">
        <v>22</v>
      </c>
    </row>
    <row r="81" spans="1:8" ht="15" customHeight="1" x14ac:dyDescent="0.25">
      <c r="A81" s="2" t="s">
        <v>1441</v>
      </c>
      <c r="B81" s="2" t="s">
        <v>1162</v>
      </c>
      <c r="C81" s="17">
        <v>45995</v>
      </c>
      <c r="D81" s="2" t="s">
        <v>1360</v>
      </c>
      <c r="E81" s="18">
        <v>3865.09</v>
      </c>
      <c r="F81" s="18">
        <v>102.64</v>
      </c>
      <c r="G81" s="2" t="s">
        <v>1361</v>
      </c>
      <c r="H81" s="2" t="s">
        <v>22</v>
      </c>
    </row>
    <row r="82" spans="1:8" ht="15" customHeight="1" x14ac:dyDescent="0.25">
      <c r="A82" s="2" t="s">
        <v>1442</v>
      </c>
      <c r="B82" s="2" t="s">
        <v>1163</v>
      </c>
      <c r="C82" s="17">
        <v>45930</v>
      </c>
      <c r="D82" s="2" t="s">
        <v>1373</v>
      </c>
      <c r="E82" s="18">
        <v>1275.28</v>
      </c>
      <c r="F82" s="18">
        <v>21.3</v>
      </c>
      <c r="G82" s="2" t="s">
        <v>1361</v>
      </c>
      <c r="H82" s="2" t="s">
        <v>20</v>
      </c>
    </row>
    <row r="83" spans="1:8" ht="15" customHeight="1" x14ac:dyDescent="0.25">
      <c r="A83" s="2" t="s">
        <v>1443</v>
      </c>
      <c r="B83" s="2" t="s">
        <v>1163</v>
      </c>
      <c r="C83" s="17">
        <v>45930</v>
      </c>
      <c r="D83" s="2" t="s">
        <v>1373</v>
      </c>
      <c r="E83" s="18">
        <v>4686.72</v>
      </c>
      <c r="F83" s="18">
        <v>94.97</v>
      </c>
      <c r="G83" s="2" t="s">
        <v>1361</v>
      </c>
      <c r="H83" s="2" t="s">
        <v>20</v>
      </c>
    </row>
    <row r="84" spans="1:8" ht="15" customHeight="1" x14ac:dyDescent="0.25">
      <c r="A84" s="2" t="s">
        <v>1444</v>
      </c>
      <c r="B84" s="2" t="s">
        <v>1163</v>
      </c>
      <c r="C84" s="17">
        <v>45944</v>
      </c>
      <c r="D84" s="2" t="s">
        <v>1373</v>
      </c>
      <c r="E84" s="18">
        <v>4479.88</v>
      </c>
      <c r="F84" s="18">
        <v>91.7</v>
      </c>
      <c r="G84" s="2" t="s">
        <v>1361</v>
      </c>
      <c r="H84" s="2" t="s">
        <v>20</v>
      </c>
    </row>
    <row r="85" spans="1:8" ht="15" customHeight="1" x14ac:dyDescent="0.25">
      <c r="A85" s="2" t="s">
        <v>1445</v>
      </c>
      <c r="B85" s="2" t="s">
        <v>1163</v>
      </c>
      <c r="C85" s="17">
        <v>45986</v>
      </c>
      <c r="D85" s="2" t="s">
        <v>1373</v>
      </c>
      <c r="E85" s="18">
        <v>4345.71</v>
      </c>
      <c r="F85" s="18">
        <v>83.17</v>
      </c>
      <c r="G85" s="2" t="s">
        <v>1361</v>
      </c>
      <c r="H85" s="2" t="s">
        <v>20</v>
      </c>
    </row>
    <row r="86" spans="1:8" ht="15" customHeight="1" x14ac:dyDescent="0.25">
      <c r="A86" s="2" t="s">
        <v>1446</v>
      </c>
      <c r="B86" s="2" t="s">
        <v>1163</v>
      </c>
      <c r="C86" s="17">
        <v>45965</v>
      </c>
      <c r="D86" s="2" t="s">
        <v>1373</v>
      </c>
      <c r="E86" s="18">
        <v>4684.22</v>
      </c>
      <c r="F86" s="18">
        <v>79.09</v>
      </c>
      <c r="G86" s="2" t="s">
        <v>1361</v>
      </c>
      <c r="H86" s="2" t="s">
        <v>20</v>
      </c>
    </row>
    <row r="87" spans="1:8" ht="15" customHeight="1" x14ac:dyDescent="0.25">
      <c r="A87" s="2" t="s">
        <v>1447</v>
      </c>
      <c r="B87" s="2" t="s">
        <v>1163</v>
      </c>
      <c r="C87" s="17">
        <v>45975</v>
      </c>
      <c r="D87" s="2" t="s">
        <v>1373</v>
      </c>
      <c r="E87" s="18">
        <v>4024.54</v>
      </c>
      <c r="F87" s="18">
        <v>63.78</v>
      </c>
      <c r="G87" s="2" t="s">
        <v>1361</v>
      </c>
      <c r="H87" s="2" t="s">
        <v>20</v>
      </c>
    </row>
    <row r="88" spans="1:8" ht="15" customHeight="1" x14ac:dyDescent="0.25">
      <c r="A88" s="2" t="s">
        <v>1448</v>
      </c>
      <c r="B88" s="2" t="s">
        <v>1163</v>
      </c>
      <c r="C88" s="17">
        <v>46004</v>
      </c>
      <c r="D88" s="2" t="s">
        <v>1373</v>
      </c>
      <c r="E88" s="18">
        <v>1862.09</v>
      </c>
      <c r="F88" s="18">
        <v>36.29</v>
      </c>
      <c r="G88" s="2" t="s">
        <v>1361</v>
      </c>
      <c r="H88" s="2" t="s">
        <v>20</v>
      </c>
    </row>
    <row r="89" spans="1:8" ht="15" customHeight="1" x14ac:dyDescent="0.25">
      <c r="A89" s="2" t="s">
        <v>1449</v>
      </c>
      <c r="B89" s="2" t="s">
        <v>1164</v>
      </c>
      <c r="C89" s="17">
        <v>45798</v>
      </c>
      <c r="D89" s="2" t="s">
        <v>1423</v>
      </c>
      <c r="E89" s="18">
        <v>2790.09</v>
      </c>
      <c r="F89" s="18">
        <v>0</v>
      </c>
      <c r="G89" s="2" t="s">
        <v>1408</v>
      </c>
      <c r="H89" s="2" t="s">
        <v>22</v>
      </c>
    </row>
    <row r="90" spans="1:8" ht="15" customHeight="1" x14ac:dyDescent="0.25">
      <c r="A90" s="2" t="s">
        <v>1450</v>
      </c>
      <c r="B90" s="2" t="s">
        <v>1164</v>
      </c>
      <c r="C90" s="17">
        <v>45829</v>
      </c>
      <c r="D90" s="2" t="s">
        <v>1423</v>
      </c>
      <c r="E90" s="18">
        <v>5128.6899999999996</v>
      </c>
      <c r="F90" s="18">
        <v>157.07</v>
      </c>
      <c r="G90" s="2" t="s">
        <v>1361</v>
      </c>
      <c r="H90" s="2" t="s">
        <v>22</v>
      </c>
    </row>
    <row r="91" spans="1:8" ht="15" customHeight="1" x14ac:dyDescent="0.25">
      <c r="A91" s="2" t="s">
        <v>1451</v>
      </c>
      <c r="B91" s="2" t="s">
        <v>1164</v>
      </c>
      <c r="C91" s="17">
        <v>45834</v>
      </c>
      <c r="D91" s="2" t="s">
        <v>1423</v>
      </c>
      <c r="E91" s="18">
        <v>3011.22</v>
      </c>
      <c r="F91" s="18">
        <v>84.42</v>
      </c>
      <c r="G91" s="2" t="s">
        <v>1361</v>
      </c>
      <c r="H91" s="2" t="s">
        <v>22</v>
      </c>
    </row>
    <row r="92" spans="1:8" ht="15" customHeight="1" x14ac:dyDescent="0.25">
      <c r="A92" s="2" t="s">
        <v>1452</v>
      </c>
      <c r="B92" s="2" t="s">
        <v>1164</v>
      </c>
      <c r="C92" s="17">
        <v>45830</v>
      </c>
      <c r="D92" s="2" t="s">
        <v>1423</v>
      </c>
      <c r="E92" s="18">
        <v>4554.8100000000004</v>
      </c>
      <c r="F92" s="18">
        <v>131.68</v>
      </c>
      <c r="G92" s="2" t="s">
        <v>1361</v>
      </c>
      <c r="H92" s="2" t="s">
        <v>22</v>
      </c>
    </row>
    <row r="93" spans="1:8" ht="15" customHeight="1" x14ac:dyDescent="0.25">
      <c r="A93" s="2" t="s">
        <v>1453</v>
      </c>
      <c r="B93" s="2" t="s">
        <v>1164</v>
      </c>
      <c r="C93" s="17">
        <v>45852</v>
      </c>
      <c r="D93" s="2" t="s">
        <v>1423</v>
      </c>
      <c r="E93" s="18">
        <v>1500.79</v>
      </c>
      <c r="F93" s="18">
        <v>49.86</v>
      </c>
      <c r="G93" s="2" t="s">
        <v>1361</v>
      </c>
      <c r="H93" s="2" t="s">
        <v>22</v>
      </c>
    </row>
    <row r="94" spans="1:8" ht="15" customHeight="1" x14ac:dyDescent="0.25">
      <c r="A94" s="2" t="s">
        <v>1454</v>
      </c>
      <c r="B94" s="2" t="s">
        <v>1164</v>
      </c>
      <c r="C94" s="17">
        <v>45860</v>
      </c>
      <c r="D94" s="2" t="s">
        <v>1423</v>
      </c>
      <c r="E94" s="18">
        <v>1384.94</v>
      </c>
      <c r="F94" s="18">
        <v>48.77</v>
      </c>
      <c r="G94" s="2" t="s">
        <v>1361</v>
      </c>
      <c r="H94" s="2" t="s">
        <v>22</v>
      </c>
    </row>
    <row r="95" spans="1:8" ht="15" customHeight="1" x14ac:dyDescent="0.25">
      <c r="A95" s="2" t="s">
        <v>1455</v>
      </c>
      <c r="B95" s="2" t="s">
        <v>1164</v>
      </c>
      <c r="C95" s="17">
        <v>45854</v>
      </c>
      <c r="D95" s="2" t="s">
        <v>1423</v>
      </c>
      <c r="E95" s="18">
        <v>2884.53</v>
      </c>
      <c r="F95" s="18">
        <v>81.28</v>
      </c>
      <c r="G95" s="2" t="s">
        <v>1361</v>
      </c>
      <c r="H95" s="2" t="s">
        <v>22</v>
      </c>
    </row>
    <row r="96" spans="1:8" ht="15" customHeight="1" x14ac:dyDescent="0.25">
      <c r="A96" s="2" t="s">
        <v>1456</v>
      </c>
      <c r="B96" s="2" t="s">
        <v>1164</v>
      </c>
      <c r="C96" s="17">
        <v>45872</v>
      </c>
      <c r="D96" s="2" t="s">
        <v>1423</v>
      </c>
      <c r="E96" s="18">
        <v>2062.25</v>
      </c>
      <c r="F96" s="18">
        <v>70.87</v>
      </c>
      <c r="G96" s="2" t="s">
        <v>1361</v>
      </c>
      <c r="H96" s="2" t="s">
        <v>22</v>
      </c>
    </row>
    <row r="97" spans="1:8" ht="15" customHeight="1" x14ac:dyDescent="0.25">
      <c r="A97" s="2" t="s">
        <v>1457</v>
      </c>
      <c r="B97" s="2" t="s">
        <v>1164</v>
      </c>
      <c r="C97" s="17">
        <v>45925</v>
      </c>
      <c r="D97" s="2" t="s">
        <v>1423</v>
      </c>
      <c r="E97" s="18">
        <v>4478.9799999999996</v>
      </c>
      <c r="F97" s="18">
        <v>132.25</v>
      </c>
      <c r="G97" s="2" t="s">
        <v>1361</v>
      </c>
      <c r="H97" s="2" t="s">
        <v>22</v>
      </c>
    </row>
    <row r="98" spans="1:8" ht="15" customHeight="1" x14ac:dyDescent="0.25">
      <c r="A98" s="2" t="s">
        <v>1458</v>
      </c>
      <c r="B98" s="2" t="s">
        <v>1164</v>
      </c>
      <c r="C98" s="17">
        <v>45941</v>
      </c>
      <c r="D98" s="2" t="s">
        <v>1423</v>
      </c>
      <c r="E98" s="18">
        <v>3035.76</v>
      </c>
      <c r="F98" s="18">
        <v>93.72</v>
      </c>
      <c r="G98" s="2" t="s">
        <v>1361</v>
      </c>
      <c r="H98" s="2" t="s">
        <v>22</v>
      </c>
    </row>
    <row r="99" spans="1:8" ht="15" customHeight="1" x14ac:dyDescent="0.25">
      <c r="A99" s="2" t="s">
        <v>1459</v>
      </c>
      <c r="B99" s="2" t="s">
        <v>1164</v>
      </c>
      <c r="C99" s="17">
        <v>45980</v>
      </c>
      <c r="D99" s="2" t="s">
        <v>1423</v>
      </c>
      <c r="E99" s="18">
        <v>4516.8</v>
      </c>
      <c r="F99" s="18">
        <v>143.1</v>
      </c>
      <c r="G99" s="2" t="s">
        <v>1361</v>
      </c>
      <c r="H99" s="2" t="s">
        <v>22</v>
      </c>
    </row>
    <row r="100" spans="1:8" ht="15" customHeight="1" x14ac:dyDescent="0.25">
      <c r="A100" s="2" t="s">
        <v>1460</v>
      </c>
      <c r="B100" s="2" t="s">
        <v>1164</v>
      </c>
      <c r="C100" s="17">
        <v>45991</v>
      </c>
      <c r="D100" s="2" t="s">
        <v>1423</v>
      </c>
      <c r="E100" s="18">
        <v>2109.65</v>
      </c>
      <c r="F100" s="18">
        <v>66.44</v>
      </c>
      <c r="G100" s="2" t="s">
        <v>1361</v>
      </c>
      <c r="H100" s="2" t="s">
        <v>22</v>
      </c>
    </row>
    <row r="101" spans="1:8" ht="15" customHeight="1" x14ac:dyDescent="0.25">
      <c r="A101" s="2" t="s">
        <v>1461</v>
      </c>
      <c r="B101" s="2" t="s">
        <v>1164</v>
      </c>
      <c r="C101" s="17">
        <v>46021</v>
      </c>
      <c r="D101" s="2" t="s">
        <v>1423</v>
      </c>
      <c r="E101" s="18">
        <v>5059.01</v>
      </c>
      <c r="F101" s="18">
        <v>150.75</v>
      </c>
      <c r="G101" s="2" t="s">
        <v>1361</v>
      </c>
      <c r="H101" s="2" t="s">
        <v>22</v>
      </c>
    </row>
    <row r="102" spans="1:8" ht="15" customHeight="1" x14ac:dyDescent="0.25">
      <c r="A102" s="2" t="s">
        <v>1462</v>
      </c>
      <c r="B102" s="2" t="s">
        <v>93</v>
      </c>
      <c r="C102" s="17">
        <v>46019</v>
      </c>
      <c r="D102" s="2" t="s">
        <v>1423</v>
      </c>
      <c r="E102" s="18">
        <v>1515.41</v>
      </c>
      <c r="F102" s="18">
        <v>47.25</v>
      </c>
      <c r="G102" s="2" t="s">
        <v>1361</v>
      </c>
      <c r="H102" s="2" t="s">
        <v>22</v>
      </c>
    </row>
    <row r="103" spans="1:8" ht="15" customHeight="1" x14ac:dyDescent="0.25">
      <c r="A103" s="2" t="s">
        <v>1463</v>
      </c>
      <c r="B103" s="2" t="s">
        <v>93</v>
      </c>
      <c r="C103" s="17">
        <v>46022</v>
      </c>
      <c r="D103" s="2" t="s">
        <v>1423</v>
      </c>
      <c r="E103" s="18">
        <v>4665.5600000000004</v>
      </c>
      <c r="F103" s="18">
        <v>162.41999999999999</v>
      </c>
      <c r="G103" s="2" t="s">
        <v>1361</v>
      </c>
      <c r="H103" s="2" t="s">
        <v>22</v>
      </c>
    </row>
    <row r="104" spans="1:8" ht="15" customHeight="1" x14ac:dyDescent="0.25">
      <c r="A104" s="2" t="s">
        <v>1464</v>
      </c>
      <c r="B104" s="2" t="s">
        <v>1165</v>
      </c>
      <c r="C104" s="17">
        <v>45857</v>
      </c>
      <c r="D104" s="2" t="s">
        <v>1360</v>
      </c>
      <c r="E104" s="18">
        <v>5187.7299999999996</v>
      </c>
      <c r="F104" s="18">
        <v>138.63</v>
      </c>
      <c r="G104" s="2" t="s">
        <v>1361</v>
      </c>
      <c r="H104" s="2" t="s">
        <v>2963</v>
      </c>
    </row>
    <row r="105" spans="1:8" ht="15" customHeight="1" x14ac:dyDescent="0.25">
      <c r="A105" s="2" t="s">
        <v>1465</v>
      </c>
      <c r="B105" s="2" t="s">
        <v>1165</v>
      </c>
      <c r="C105" s="17">
        <v>45854</v>
      </c>
      <c r="D105" s="2" t="s">
        <v>1360</v>
      </c>
      <c r="E105" s="18">
        <v>3298.7</v>
      </c>
      <c r="F105" s="18">
        <v>75.25</v>
      </c>
      <c r="G105" s="2" t="s">
        <v>1361</v>
      </c>
      <c r="H105" s="2" t="s">
        <v>2963</v>
      </c>
    </row>
    <row r="106" spans="1:8" ht="15" customHeight="1" x14ac:dyDescent="0.25">
      <c r="A106" s="2" t="s">
        <v>1466</v>
      </c>
      <c r="B106" s="2" t="s">
        <v>1165</v>
      </c>
      <c r="C106" s="17">
        <v>45895</v>
      </c>
      <c r="D106" s="2" t="s">
        <v>1360</v>
      </c>
      <c r="E106" s="18">
        <v>2454.4299999999998</v>
      </c>
      <c r="F106" s="18">
        <v>69.599999999999994</v>
      </c>
      <c r="G106" s="2" t="s">
        <v>1361</v>
      </c>
      <c r="H106" s="2" t="s">
        <v>2963</v>
      </c>
    </row>
    <row r="107" spans="1:8" ht="15" customHeight="1" x14ac:dyDescent="0.25">
      <c r="A107" s="2" t="s">
        <v>1467</v>
      </c>
      <c r="B107" s="2" t="s">
        <v>1165</v>
      </c>
      <c r="C107" s="17">
        <v>45887</v>
      </c>
      <c r="D107" s="2" t="s">
        <v>1360</v>
      </c>
      <c r="E107" s="18">
        <v>4975.6099999999997</v>
      </c>
      <c r="F107" s="18">
        <v>113.14</v>
      </c>
      <c r="G107" s="2" t="s">
        <v>1361</v>
      </c>
      <c r="H107" s="2" t="s">
        <v>2963</v>
      </c>
    </row>
    <row r="108" spans="1:8" ht="15" customHeight="1" x14ac:dyDescent="0.25">
      <c r="A108" s="2" t="s">
        <v>1468</v>
      </c>
      <c r="B108" s="2" t="s">
        <v>1165</v>
      </c>
      <c r="C108" s="17">
        <v>45896</v>
      </c>
      <c r="D108" s="2" t="s">
        <v>1360</v>
      </c>
      <c r="E108" s="18">
        <v>1924.37</v>
      </c>
      <c r="F108" s="18">
        <v>45.26</v>
      </c>
      <c r="G108" s="2" t="s">
        <v>1361</v>
      </c>
      <c r="H108" s="2" t="s">
        <v>2963</v>
      </c>
    </row>
    <row r="109" spans="1:8" ht="15" customHeight="1" x14ac:dyDescent="0.25">
      <c r="A109" s="2" t="s">
        <v>1469</v>
      </c>
      <c r="B109" s="2" t="s">
        <v>1165</v>
      </c>
      <c r="C109" s="17">
        <v>45910</v>
      </c>
      <c r="D109" s="2" t="s">
        <v>1360</v>
      </c>
      <c r="E109" s="18">
        <v>1331.59</v>
      </c>
      <c r="F109" s="18">
        <v>28.6</v>
      </c>
      <c r="G109" s="2" t="s">
        <v>1361</v>
      </c>
      <c r="H109" s="2" t="s">
        <v>2963</v>
      </c>
    </row>
    <row r="110" spans="1:8" ht="15" customHeight="1" x14ac:dyDescent="0.25">
      <c r="A110" s="2" t="s">
        <v>1470</v>
      </c>
      <c r="B110" s="2" t="s">
        <v>1165</v>
      </c>
      <c r="C110" s="17">
        <v>45916</v>
      </c>
      <c r="D110" s="2" t="s">
        <v>1360</v>
      </c>
      <c r="E110" s="18">
        <v>3796.35</v>
      </c>
      <c r="F110" s="18">
        <v>107.08</v>
      </c>
      <c r="G110" s="2" t="s">
        <v>1361</v>
      </c>
      <c r="H110" s="2" t="s">
        <v>2963</v>
      </c>
    </row>
    <row r="111" spans="1:8" ht="15" customHeight="1" x14ac:dyDescent="0.25">
      <c r="A111" s="2" t="s">
        <v>1471</v>
      </c>
      <c r="B111" s="2" t="s">
        <v>1165</v>
      </c>
      <c r="C111" s="17">
        <v>45952</v>
      </c>
      <c r="D111" s="2" t="s">
        <v>1360</v>
      </c>
      <c r="E111" s="18">
        <v>4540.18</v>
      </c>
      <c r="F111" s="18">
        <v>127.65</v>
      </c>
      <c r="G111" s="2" t="s">
        <v>1361</v>
      </c>
      <c r="H111" s="2" t="s">
        <v>2963</v>
      </c>
    </row>
    <row r="112" spans="1:8" ht="15" customHeight="1" x14ac:dyDescent="0.25">
      <c r="A112" s="2" t="s">
        <v>1472</v>
      </c>
      <c r="B112" s="2" t="s">
        <v>1165</v>
      </c>
      <c r="C112" s="17">
        <v>45965</v>
      </c>
      <c r="D112" s="2" t="s">
        <v>1360</v>
      </c>
      <c r="E112" s="18">
        <v>2210.44</v>
      </c>
      <c r="F112" s="18">
        <v>58.94</v>
      </c>
      <c r="G112" s="2" t="s">
        <v>1361</v>
      </c>
      <c r="H112" s="2" t="s">
        <v>2963</v>
      </c>
    </row>
    <row r="113" spans="1:8" ht="15" customHeight="1" x14ac:dyDescent="0.25">
      <c r="A113" s="2" t="s">
        <v>1473</v>
      </c>
      <c r="B113" s="2" t="s">
        <v>1165</v>
      </c>
      <c r="C113" s="17">
        <v>45965</v>
      </c>
      <c r="D113" s="2" t="s">
        <v>1360</v>
      </c>
      <c r="E113" s="18">
        <v>4948.92</v>
      </c>
      <c r="F113" s="18">
        <v>114.89</v>
      </c>
      <c r="G113" s="2" t="s">
        <v>1361</v>
      </c>
      <c r="H113" s="2" t="s">
        <v>2963</v>
      </c>
    </row>
    <row r="114" spans="1:8" ht="15" customHeight="1" x14ac:dyDescent="0.25">
      <c r="A114" s="2" t="s">
        <v>1474</v>
      </c>
      <c r="B114" s="2" t="s">
        <v>1165</v>
      </c>
      <c r="C114" s="17">
        <v>46007</v>
      </c>
      <c r="D114" s="2" t="s">
        <v>1360</v>
      </c>
      <c r="E114" s="18">
        <v>3580.33</v>
      </c>
      <c r="F114" s="18">
        <v>96.19</v>
      </c>
      <c r="G114" s="2" t="s">
        <v>1361</v>
      </c>
      <c r="H114" s="2" t="s">
        <v>2963</v>
      </c>
    </row>
    <row r="115" spans="1:8" ht="15" customHeight="1" x14ac:dyDescent="0.25">
      <c r="A115" s="2" t="s">
        <v>1475</v>
      </c>
      <c r="B115" s="2" t="s">
        <v>1165</v>
      </c>
      <c r="C115" s="17">
        <v>46011</v>
      </c>
      <c r="D115" s="2" t="s">
        <v>1360</v>
      </c>
      <c r="E115" s="18">
        <v>4453.6099999999997</v>
      </c>
      <c r="F115" s="18">
        <v>97.27</v>
      </c>
      <c r="G115" s="2" t="s">
        <v>1361</v>
      </c>
      <c r="H115" s="2" t="s">
        <v>2963</v>
      </c>
    </row>
    <row r="116" spans="1:8" ht="15" customHeight="1" x14ac:dyDescent="0.25">
      <c r="A116" s="2" t="s">
        <v>123</v>
      </c>
      <c r="B116" s="2" t="s">
        <v>1165</v>
      </c>
      <c r="C116" s="17">
        <v>46002</v>
      </c>
      <c r="D116" s="2" t="s">
        <v>1360</v>
      </c>
      <c r="E116" s="18">
        <v>1742.23</v>
      </c>
      <c r="F116" s="18">
        <v>-44.57</v>
      </c>
      <c r="G116" s="2" t="s">
        <v>1361</v>
      </c>
      <c r="H116" s="2" t="s">
        <v>2963</v>
      </c>
    </row>
    <row r="117" spans="1:8" ht="15" customHeight="1" x14ac:dyDescent="0.25">
      <c r="A117" s="2" t="s">
        <v>1476</v>
      </c>
      <c r="B117" s="2" t="s">
        <v>1166</v>
      </c>
      <c r="C117" s="17">
        <v>45802</v>
      </c>
      <c r="D117" s="2" t="s">
        <v>1360</v>
      </c>
      <c r="E117" s="18">
        <v>4569.18</v>
      </c>
      <c r="F117" s="18">
        <v>133.16999999999999</v>
      </c>
      <c r="G117" s="2" t="s">
        <v>1361</v>
      </c>
      <c r="H117" s="2" t="s">
        <v>22</v>
      </c>
    </row>
    <row r="118" spans="1:8" ht="15" customHeight="1" x14ac:dyDescent="0.25">
      <c r="A118" s="2" t="s">
        <v>1477</v>
      </c>
      <c r="B118" s="2" t="s">
        <v>1166</v>
      </c>
      <c r="C118" s="17">
        <v>45831</v>
      </c>
      <c r="D118" s="2" t="s">
        <v>1360</v>
      </c>
      <c r="E118" s="18">
        <v>3595.03</v>
      </c>
      <c r="F118" s="18">
        <v>92.35</v>
      </c>
      <c r="G118" s="2" t="s">
        <v>1361</v>
      </c>
      <c r="H118" s="2" t="s">
        <v>22</v>
      </c>
    </row>
    <row r="119" spans="1:8" ht="15" customHeight="1" x14ac:dyDescent="0.25">
      <c r="A119" s="2" t="s">
        <v>1478</v>
      </c>
      <c r="B119" s="2" t="s">
        <v>1166</v>
      </c>
      <c r="C119" s="17">
        <v>45851</v>
      </c>
      <c r="D119" s="2" t="s">
        <v>1479</v>
      </c>
      <c r="E119" s="18">
        <v>4144.33</v>
      </c>
      <c r="F119" s="18">
        <v>96.7</v>
      </c>
      <c r="G119" s="2" t="s">
        <v>1361</v>
      </c>
      <c r="H119" s="2" t="s">
        <v>22</v>
      </c>
    </row>
    <row r="120" spans="1:8" ht="15" customHeight="1" x14ac:dyDescent="0.25">
      <c r="A120" s="2" t="s">
        <v>1480</v>
      </c>
      <c r="B120" s="2" t="s">
        <v>1166</v>
      </c>
      <c r="C120" s="17">
        <v>45848</v>
      </c>
      <c r="D120" s="2" t="s">
        <v>1481</v>
      </c>
      <c r="E120" s="18">
        <v>1896.67</v>
      </c>
      <c r="F120" s="18">
        <v>57.61</v>
      </c>
      <c r="G120" s="2" t="s">
        <v>1361</v>
      </c>
      <c r="H120" s="2" t="s">
        <v>22</v>
      </c>
    </row>
    <row r="121" spans="1:8" ht="15" customHeight="1" x14ac:dyDescent="0.25">
      <c r="A121" s="2" t="s">
        <v>1482</v>
      </c>
      <c r="B121" s="2" t="s">
        <v>1166</v>
      </c>
      <c r="C121" s="17">
        <v>45883</v>
      </c>
      <c r="D121" s="2" t="s">
        <v>1479</v>
      </c>
      <c r="E121" s="18">
        <v>4379.4399999999996</v>
      </c>
      <c r="F121" s="18">
        <v>127.13</v>
      </c>
      <c r="G121" s="2" t="s">
        <v>1361</v>
      </c>
      <c r="H121" s="2" t="s">
        <v>22</v>
      </c>
    </row>
    <row r="122" spans="1:8" ht="15" customHeight="1" x14ac:dyDescent="0.25">
      <c r="A122" s="2" t="s">
        <v>1483</v>
      </c>
      <c r="B122" s="2" t="s">
        <v>1166</v>
      </c>
      <c r="C122" s="17">
        <v>45904</v>
      </c>
      <c r="D122" s="2" t="s">
        <v>1360</v>
      </c>
      <c r="E122" s="18">
        <v>2181.37</v>
      </c>
      <c r="F122" s="18">
        <v>56.96</v>
      </c>
      <c r="G122" s="2" t="s">
        <v>1361</v>
      </c>
      <c r="H122" s="2" t="s">
        <v>22</v>
      </c>
    </row>
    <row r="123" spans="1:8" ht="15" customHeight="1" x14ac:dyDescent="0.25">
      <c r="A123" s="2" t="s">
        <v>1484</v>
      </c>
      <c r="B123" s="2" t="s">
        <v>1166</v>
      </c>
      <c r="C123" s="17">
        <v>45924</v>
      </c>
      <c r="D123" s="2" t="s">
        <v>1481</v>
      </c>
      <c r="E123" s="18">
        <v>4271.34</v>
      </c>
      <c r="F123" s="18">
        <v>102.75</v>
      </c>
      <c r="G123" s="2" t="s">
        <v>1361</v>
      </c>
      <c r="H123" s="2" t="s">
        <v>22</v>
      </c>
    </row>
    <row r="124" spans="1:8" ht="15" customHeight="1" x14ac:dyDescent="0.25">
      <c r="A124" s="2" t="s">
        <v>1485</v>
      </c>
      <c r="B124" s="2" t="s">
        <v>1166</v>
      </c>
      <c r="C124" s="17">
        <v>45934</v>
      </c>
      <c r="D124" s="2" t="s">
        <v>1481</v>
      </c>
      <c r="E124" s="18">
        <v>2363.6999999999998</v>
      </c>
      <c r="F124" s="18">
        <v>63.82</v>
      </c>
      <c r="G124" s="2" t="s">
        <v>1361</v>
      </c>
      <c r="H124" s="2" t="s">
        <v>22</v>
      </c>
    </row>
    <row r="125" spans="1:8" ht="15" customHeight="1" x14ac:dyDescent="0.25">
      <c r="A125" s="2" t="s">
        <v>1486</v>
      </c>
      <c r="B125" s="2" t="s">
        <v>1166</v>
      </c>
      <c r="C125" s="17">
        <v>45960</v>
      </c>
      <c r="D125" s="2" t="s">
        <v>1481</v>
      </c>
      <c r="E125" s="18">
        <v>2927.4</v>
      </c>
      <c r="F125" s="18">
        <v>88.42</v>
      </c>
      <c r="G125" s="2" t="s">
        <v>1361</v>
      </c>
      <c r="H125" s="2" t="s">
        <v>22</v>
      </c>
    </row>
    <row r="126" spans="1:8" ht="15" customHeight="1" x14ac:dyDescent="0.25">
      <c r="A126" s="2" t="s">
        <v>1487</v>
      </c>
      <c r="B126" s="2" t="s">
        <v>1166</v>
      </c>
      <c r="C126" s="17">
        <v>45953</v>
      </c>
      <c r="D126" s="2" t="s">
        <v>1481</v>
      </c>
      <c r="E126" s="18">
        <v>4254.25</v>
      </c>
      <c r="F126" s="18">
        <v>117.86</v>
      </c>
      <c r="G126" s="2" t="s">
        <v>1361</v>
      </c>
      <c r="H126" s="2" t="s">
        <v>22</v>
      </c>
    </row>
    <row r="127" spans="1:8" ht="15" customHeight="1" x14ac:dyDescent="0.25">
      <c r="A127" s="2" t="s">
        <v>1488</v>
      </c>
      <c r="B127" s="2" t="s">
        <v>1166</v>
      </c>
      <c r="C127" s="17">
        <v>45973</v>
      </c>
      <c r="D127" s="2" t="s">
        <v>1360</v>
      </c>
      <c r="E127" s="18">
        <v>4178.95</v>
      </c>
      <c r="F127" s="18">
        <v>127.75</v>
      </c>
      <c r="G127" s="2" t="s">
        <v>1361</v>
      </c>
      <c r="H127" s="2" t="s">
        <v>22</v>
      </c>
    </row>
    <row r="128" spans="1:8" ht="15" customHeight="1" x14ac:dyDescent="0.25">
      <c r="A128" s="2" t="s">
        <v>1489</v>
      </c>
      <c r="B128" s="2" t="s">
        <v>1166</v>
      </c>
      <c r="C128" s="17">
        <v>45989</v>
      </c>
      <c r="D128" s="2" t="s">
        <v>1360</v>
      </c>
      <c r="E128" s="18">
        <v>1933.71</v>
      </c>
      <c r="F128" s="18">
        <v>54.98</v>
      </c>
      <c r="G128" s="2" t="s">
        <v>1361</v>
      </c>
      <c r="H128" s="2" t="s">
        <v>22</v>
      </c>
    </row>
    <row r="129" spans="1:8" ht="15" customHeight="1" x14ac:dyDescent="0.25">
      <c r="A129" s="2" t="s">
        <v>1490</v>
      </c>
      <c r="B129" s="2" t="s">
        <v>1166</v>
      </c>
      <c r="C129" s="17">
        <v>45967</v>
      </c>
      <c r="D129" s="2" t="s">
        <v>1481</v>
      </c>
      <c r="E129" s="18">
        <v>2062.3000000000002</v>
      </c>
      <c r="F129" s="18">
        <v>54.76</v>
      </c>
      <c r="G129" s="2" t="s">
        <v>1361</v>
      </c>
      <c r="H129" s="2" t="s">
        <v>22</v>
      </c>
    </row>
    <row r="130" spans="1:8" ht="15" customHeight="1" x14ac:dyDescent="0.25">
      <c r="A130" s="2" t="s">
        <v>1491</v>
      </c>
      <c r="B130" s="2" t="s">
        <v>1166</v>
      </c>
      <c r="C130" s="17">
        <v>46005</v>
      </c>
      <c r="D130" s="2" t="s">
        <v>1360</v>
      </c>
      <c r="E130" s="18">
        <v>2708.85</v>
      </c>
      <c r="F130" s="18">
        <v>64.37</v>
      </c>
      <c r="G130" s="2" t="s">
        <v>1361</v>
      </c>
      <c r="H130" s="2" t="s">
        <v>22</v>
      </c>
    </row>
    <row r="131" spans="1:8" ht="15" customHeight="1" x14ac:dyDescent="0.25">
      <c r="A131" s="2" t="s">
        <v>1492</v>
      </c>
      <c r="B131" s="2" t="s">
        <v>1166</v>
      </c>
      <c r="C131" s="17">
        <v>46011</v>
      </c>
      <c r="D131" s="2" t="s">
        <v>1360</v>
      </c>
      <c r="E131" s="18">
        <v>2435.87</v>
      </c>
      <c r="F131" s="18">
        <v>70.55</v>
      </c>
      <c r="G131" s="2" t="s">
        <v>1361</v>
      </c>
      <c r="H131" s="2" t="s">
        <v>22</v>
      </c>
    </row>
    <row r="132" spans="1:8" ht="15" customHeight="1" x14ac:dyDescent="0.25">
      <c r="A132" s="2" t="s">
        <v>1493</v>
      </c>
      <c r="B132" s="2" t="s">
        <v>1166</v>
      </c>
      <c r="C132" s="17">
        <v>45997</v>
      </c>
      <c r="D132" s="2" t="s">
        <v>1479</v>
      </c>
      <c r="E132" s="18">
        <v>1871.56</v>
      </c>
      <c r="F132" s="18">
        <v>52.89</v>
      </c>
      <c r="G132" s="2" t="s">
        <v>1361</v>
      </c>
      <c r="H132" s="2" t="s">
        <v>22</v>
      </c>
    </row>
    <row r="133" spans="1:8" ht="15" customHeight="1" x14ac:dyDescent="0.25">
      <c r="A133" s="2" t="s">
        <v>1494</v>
      </c>
      <c r="B133" s="2" t="s">
        <v>1167</v>
      </c>
      <c r="C133" s="17">
        <v>45991</v>
      </c>
      <c r="D133" s="2" t="s">
        <v>1423</v>
      </c>
      <c r="E133" s="18">
        <v>3663.58</v>
      </c>
      <c r="F133" s="18">
        <v>129.22999999999999</v>
      </c>
      <c r="G133" s="2" t="s">
        <v>1361</v>
      </c>
      <c r="H133" s="2" t="s">
        <v>20</v>
      </c>
    </row>
    <row r="134" spans="1:8" ht="15" customHeight="1" x14ac:dyDescent="0.25">
      <c r="A134" s="2" t="s">
        <v>1495</v>
      </c>
      <c r="B134" s="2" t="s">
        <v>1167</v>
      </c>
      <c r="C134" s="17">
        <v>45999</v>
      </c>
      <c r="D134" s="2" t="s">
        <v>1423</v>
      </c>
      <c r="E134" s="18">
        <v>3629.21</v>
      </c>
      <c r="F134" s="18">
        <v>116.69</v>
      </c>
      <c r="G134" s="2" t="s">
        <v>1361</v>
      </c>
      <c r="H134" s="2" t="s">
        <v>20</v>
      </c>
    </row>
    <row r="135" spans="1:8" ht="15" customHeight="1" x14ac:dyDescent="0.25">
      <c r="A135" s="2" t="s">
        <v>1496</v>
      </c>
      <c r="B135" s="2" t="s">
        <v>1167</v>
      </c>
      <c r="C135" s="17">
        <v>45992</v>
      </c>
      <c r="D135" s="2" t="s">
        <v>1423</v>
      </c>
      <c r="E135" s="18">
        <v>1913.84</v>
      </c>
      <c r="F135" s="18">
        <v>52.67</v>
      </c>
      <c r="G135" s="2" t="s">
        <v>1361</v>
      </c>
      <c r="H135" s="2" t="s">
        <v>20</v>
      </c>
    </row>
    <row r="136" spans="1:8" ht="15" customHeight="1" x14ac:dyDescent="0.25">
      <c r="A136" s="2" t="s">
        <v>1497</v>
      </c>
      <c r="B136" s="2" t="s">
        <v>1167</v>
      </c>
      <c r="C136" s="17">
        <v>46010</v>
      </c>
      <c r="D136" s="2" t="s">
        <v>1423</v>
      </c>
      <c r="E136" s="18">
        <v>3225.57</v>
      </c>
      <c r="F136" s="18">
        <v>97.52</v>
      </c>
      <c r="G136" s="2" t="s">
        <v>1361</v>
      </c>
      <c r="H136" s="2" t="s">
        <v>20</v>
      </c>
    </row>
    <row r="137" spans="1:8" ht="15" customHeight="1" x14ac:dyDescent="0.25">
      <c r="A137" s="2" t="s">
        <v>1498</v>
      </c>
      <c r="B137" s="2" t="s">
        <v>1168</v>
      </c>
      <c r="C137" s="17">
        <v>45831</v>
      </c>
      <c r="D137" s="2" t="s">
        <v>1360</v>
      </c>
      <c r="E137" s="18">
        <v>8579.56</v>
      </c>
      <c r="F137" s="18">
        <v>215.22</v>
      </c>
      <c r="G137" s="2" t="s">
        <v>1361</v>
      </c>
      <c r="H137" s="2" t="s">
        <v>19</v>
      </c>
    </row>
    <row r="138" spans="1:8" ht="15" customHeight="1" x14ac:dyDescent="0.25">
      <c r="A138" s="2" t="s">
        <v>1499</v>
      </c>
      <c r="B138" s="2" t="s">
        <v>1168</v>
      </c>
      <c r="C138" s="17">
        <v>45829</v>
      </c>
      <c r="D138" s="2" t="s">
        <v>1360</v>
      </c>
      <c r="E138" s="18">
        <v>17287.71</v>
      </c>
      <c r="F138" s="18">
        <v>481.63</v>
      </c>
      <c r="G138" s="2" t="s">
        <v>1361</v>
      </c>
      <c r="H138" s="2" t="s">
        <v>19</v>
      </c>
    </row>
    <row r="139" spans="1:8" ht="15" customHeight="1" x14ac:dyDescent="0.25">
      <c r="A139" s="2" t="s">
        <v>1500</v>
      </c>
      <c r="B139" s="2" t="s">
        <v>1168</v>
      </c>
      <c r="C139" s="17">
        <v>45867</v>
      </c>
      <c r="D139" s="2" t="s">
        <v>1360</v>
      </c>
      <c r="E139" s="18">
        <v>11061.32</v>
      </c>
      <c r="F139" s="18">
        <v>253.54</v>
      </c>
      <c r="G139" s="2" t="s">
        <v>1361</v>
      </c>
      <c r="H139" s="2" t="s">
        <v>19</v>
      </c>
    </row>
    <row r="140" spans="1:8" ht="15" customHeight="1" x14ac:dyDescent="0.25">
      <c r="A140" s="2" t="s">
        <v>1501</v>
      </c>
      <c r="B140" s="2" t="s">
        <v>1168</v>
      </c>
      <c r="C140" s="17">
        <v>45861</v>
      </c>
      <c r="D140" s="2" t="s">
        <v>1360</v>
      </c>
      <c r="E140" s="18">
        <v>17308.64</v>
      </c>
      <c r="F140" s="18">
        <v>449.8</v>
      </c>
      <c r="G140" s="2" t="s">
        <v>1361</v>
      </c>
      <c r="H140" s="2" t="s">
        <v>19</v>
      </c>
    </row>
    <row r="141" spans="1:8" ht="15" customHeight="1" x14ac:dyDescent="0.25">
      <c r="A141" s="2" t="s">
        <v>1502</v>
      </c>
      <c r="B141" s="2" t="s">
        <v>1168</v>
      </c>
      <c r="C141" s="17">
        <v>45871</v>
      </c>
      <c r="D141" s="2" t="s">
        <v>1360</v>
      </c>
      <c r="E141" s="18">
        <v>8504.25</v>
      </c>
      <c r="F141" s="18">
        <v>242.82</v>
      </c>
      <c r="G141" s="2" t="s">
        <v>1361</v>
      </c>
      <c r="H141" s="2" t="s">
        <v>19</v>
      </c>
    </row>
    <row r="142" spans="1:8" ht="15" customHeight="1" x14ac:dyDescent="0.25">
      <c r="A142" s="2" t="s">
        <v>1503</v>
      </c>
      <c r="B142" s="2" t="s">
        <v>1168</v>
      </c>
      <c r="C142" s="17">
        <v>45884</v>
      </c>
      <c r="D142" s="2" t="s">
        <v>1360</v>
      </c>
      <c r="E142" s="18">
        <v>7974.12</v>
      </c>
      <c r="F142" s="18">
        <v>202.63</v>
      </c>
      <c r="G142" s="2" t="s">
        <v>1361</v>
      </c>
      <c r="H142" s="2" t="s">
        <v>19</v>
      </c>
    </row>
    <row r="143" spans="1:8" ht="15" customHeight="1" x14ac:dyDescent="0.25">
      <c r="A143" s="2" t="s">
        <v>1504</v>
      </c>
      <c r="B143" s="2" t="s">
        <v>1168</v>
      </c>
      <c r="C143" s="17">
        <v>45874</v>
      </c>
      <c r="D143" s="2" t="s">
        <v>1360</v>
      </c>
      <c r="E143" s="18">
        <v>15106.41</v>
      </c>
      <c r="F143" s="18">
        <v>336.4</v>
      </c>
      <c r="G143" s="2" t="s">
        <v>1361</v>
      </c>
      <c r="H143" s="2" t="s">
        <v>19</v>
      </c>
    </row>
    <row r="144" spans="1:8" ht="15" customHeight="1" x14ac:dyDescent="0.25">
      <c r="A144" s="2" t="s">
        <v>1505</v>
      </c>
      <c r="B144" s="2" t="s">
        <v>1168</v>
      </c>
      <c r="C144" s="17">
        <v>45929</v>
      </c>
      <c r="D144" s="2" t="s">
        <v>1360</v>
      </c>
      <c r="E144" s="18">
        <v>4319.49</v>
      </c>
      <c r="F144" s="18">
        <v>121.65</v>
      </c>
      <c r="G144" s="2" t="s">
        <v>1361</v>
      </c>
      <c r="H144" s="2" t="s">
        <v>19</v>
      </c>
    </row>
    <row r="145" spans="1:8" ht="15" customHeight="1" x14ac:dyDescent="0.25">
      <c r="A145" s="2" t="s">
        <v>1506</v>
      </c>
      <c r="B145" s="2" t="s">
        <v>1168</v>
      </c>
      <c r="C145" s="17">
        <v>45920</v>
      </c>
      <c r="D145" s="2" t="s">
        <v>1360</v>
      </c>
      <c r="E145" s="18">
        <v>17278.79</v>
      </c>
      <c r="F145" s="18">
        <v>479.23</v>
      </c>
      <c r="G145" s="2" t="s">
        <v>1361</v>
      </c>
      <c r="H145" s="2" t="s">
        <v>19</v>
      </c>
    </row>
    <row r="146" spans="1:8" ht="15" customHeight="1" x14ac:dyDescent="0.25">
      <c r="A146" s="2" t="s">
        <v>1507</v>
      </c>
      <c r="B146" s="2" t="s">
        <v>1168</v>
      </c>
      <c r="C146" s="17">
        <v>45943</v>
      </c>
      <c r="D146" s="2" t="s">
        <v>1360</v>
      </c>
      <c r="E146" s="18">
        <v>15772.49</v>
      </c>
      <c r="F146" s="18">
        <v>390.54</v>
      </c>
      <c r="G146" s="2" t="s">
        <v>1361</v>
      </c>
      <c r="H146" s="2" t="s">
        <v>19</v>
      </c>
    </row>
    <row r="147" spans="1:8" ht="15" customHeight="1" x14ac:dyDescent="0.25">
      <c r="A147" s="2" t="s">
        <v>1508</v>
      </c>
      <c r="B147" s="2" t="s">
        <v>1168</v>
      </c>
      <c r="C147" s="17">
        <v>45934</v>
      </c>
      <c r="D147" s="2" t="s">
        <v>1360</v>
      </c>
      <c r="E147" s="18">
        <v>17378.36</v>
      </c>
      <c r="F147" s="18">
        <v>437.53</v>
      </c>
      <c r="G147" s="2" t="s">
        <v>1361</v>
      </c>
      <c r="H147" s="2" t="s">
        <v>19</v>
      </c>
    </row>
    <row r="148" spans="1:8" ht="15" customHeight="1" x14ac:dyDescent="0.25">
      <c r="A148" s="2" t="s">
        <v>1509</v>
      </c>
      <c r="B148" s="2" t="s">
        <v>1168</v>
      </c>
      <c r="C148" s="17">
        <v>45937</v>
      </c>
      <c r="D148" s="2" t="s">
        <v>1360</v>
      </c>
      <c r="E148" s="18">
        <v>16429.41</v>
      </c>
      <c r="F148" s="18">
        <v>363.94</v>
      </c>
      <c r="G148" s="2" t="s">
        <v>1361</v>
      </c>
      <c r="H148" s="2" t="s">
        <v>19</v>
      </c>
    </row>
    <row r="149" spans="1:8" ht="15" customHeight="1" x14ac:dyDescent="0.25">
      <c r="A149" s="2" t="s">
        <v>1510</v>
      </c>
      <c r="B149" s="2" t="s">
        <v>1168</v>
      </c>
      <c r="C149" s="17">
        <v>45978</v>
      </c>
      <c r="D149" s="2" t="s">
        <v>1360</v>
      </c>
      <c r="E149" s="18">
        <v>6328.95</v>
      </c>
      <c r="F149" s="18">
        <v>146.27000000000001</v>
      </c>
      <c r="G149" s="2" t="s">
        <v>1361</v>
      </c>
      <c r="H149" s="2" t="s">
        <v>19</v>
      </c>
    </row>
    <row r="150" spans="1:8" ht="15" customHeight="1" x14ac:dyDescent="0.25">
      <c r="A150" s="2" t="s">
        <v>1511</v>
      </c>
      <c r="B150" s="2" t="s">
        <v>1168</v>
      </c>
      <c r="C150" s="17">
        <v>45993</v>
      </c>
      <c r="D150" s="2" t="s">
        <v>1360</v>
      </c>
      <c r="E150" s="18">
        <v>17056.05</v>
      </c>
      <c r="F150" s="18">
        <v>464.76</v>
      </c>
      <c r="G150" s="2" t="s">
        <v>1361</v>
      </c>
      <c r="H150" s="2" t="s">
        <v>19</v>
      </c>
    </row>
    <row r="151" spans="1:8" ht="15" customHeight="1" x14ac:dyDescent="0.25">
      <c r="A151" s="2" t="s">
        <v>1512</v>
      </c>
      <c r="B151" s="2" t="s">
        <v>1169</v>
      </c>
      <c r="C151" s="17">
        <v>45897</v>
      </c>
      <c r="D151" s="2" t="s">
        <v>1423</v>
      </c>
      <c r="E151" s="18">
        <v>15759.4</v>
      </c>
      <c r="F151" s="18">
        <v>541.04</v>
      </c>
      <c r="G151" s="2" t="s">
        <v>1361</v>
      </c>
      <c r="H151" s="2" t="s">
        <v>21</v>
      </c>
    </row>
    <row r="152" spans="1:8" ht="15" customHeight="1" x14ac:dyDescent="0.25">
      <c r="A152" s="2" t="s">
        <v>1513</v>
      </c>
      <c r="B152" s="2" t="s">
        <v>1169</v>
      </c>
      <c r="C152" s="17">
        <v>45898</v>
      </c>
      <c r="D152" s="2" t="s">
        <v>1423</v>
      </c>
      <c r="E152" s="18">
        <v>17720.84</v>
      </c>
      <c r="F152" s="18">
        <v>602.04</v>
      </c>
      <c r="G152" s="2" t="s">
        <v>1361</v>
      </c>
      <c r="H152" s="2" t="s">
        <v>21</v>
      </c>
    </row>
    <row r="153" spans="1:8" ht="15" customHeight="1" x14ac:dyDescent="0.25">
      <c r="A153" s="2" t="s">
        <v>1514</v>
      </c>
      <c r="B153" s="2" t="s">
        <v>1169</v>
      </c>
      <c r="C153" s="17">
        <v>45897</v>
      </c>
      <c r="D153" s="2" t="s">
        <v>1423</v>
      </c>
      <c r="E153" s="18">
        <v>5080.43</v>
      </c>
      <c r="F153" s="18">
        <v>163.04</v>
      </c>
      <c r="G153" s="2" t="s">
        <v>1361</v>
      </c>
      <c r="H153" s="2" t="s">
        <v>21</v>
      </c>
    </row>
    <row r="154" spans="1:8" ht="15" customHeight="1" x14ac:dyDescent="0.25">
      <c r="A154" s="2" t="s">
        <v>1515</v>
      </c>
      <c r="B154" s="2" t="s">
        <v>1169</v>
      </c>
      <c r="C154" s="17">
        <v>45907</v>
      </c>
      <c r="D154" s="2" t="s">
        <v>1423</v>
      </c>
      <c r="E154" s="18">
        <v>5293.15</v>
      </c>
      <c r="F154" s="18">
        <v>0</v>
      </c>
      <c r="G154" s="2" t="s">
        <v>1408</v>
      </c>
      <c r="H154" s="2" t="s">
        <v>21</v>
      </c>
    </row>
    <row r="155" spans="1:8" ht="15" customHeight="1" x14ac:dyDescent="0.25">
      <c r="A155" s="2" t="s">
        <v>1516</v>
      </c>
      <c r="B155" s="2" t="s">
        <v>1169</v>
      </c>
      <c r="C155" s="17">
        <v>45919</v>
      </c>
      <c r="D155" s="2" t="s">
        <v>1423</v>
      </c>
      <c r="E155" s="18">
        <v>14836.34</v>
      </c>
      <c r="F155" s="18">
        <v>448</v>
      </c>
      <c r="G155" s="2" t="s">
        <v>1361</v>
      </c>
      <c r="H155" s="2" t="s">
        <v>21</v>
      </c>
    </row>
    <row r="156" spans="1:8" ht="15" customHeight="1" x14ac:dyDescent="0.25">
      <c r="A156" s="2" t="s">
        <v>1517</v>
      </c>
      <c r="B156" s="2" t="s">
        <v>1169</v>
      </c>
      <c r="C156" s="17">
        <v>45920</v>
      </c>
      <c r="D156" s="2" t="s">
        <v>1423</v>
      </c>
      <c r="E156" s="18">
        <v>15118.67</v>
      </c>
      <c r="F156" s="18">
        <v>500.39</v>
      </c>
      <c r="G156" s="2" t="s">
        <v>1361</v>
      </c>
      <c r="H156" s="2" t="s">
        <v>21</v>
      </c>
    </row>
    <row r="157" spans="1:8" ht="15" customHeight="1" x14ac:dyDescent="0.25">
      <c r="A157" s="2" t="s">
        <v>1518</v>
      </c>
      <c r="B157" s="2" t="s">
        <v>1169</v>
      </c>
      <c r="C157" s="17">
        <v>45941</v>
      </c>
      <c r="D157" s="2" t="s">
        <v>1423</v>
      </c>
      <c r="E157" s="18">
        <v>6088.67</v>
      </c>
      <c r="F157" s="18">
        <v>200.66</v>
      </c>
      <c r="G157" s="2" t="s">
        <v>1361</v>
      </c>
      <c r="H157" s="2" t="s">
        <v>21</v>
      </c>
    </row>
    <row r="158" spans="1:8" ht="15" customHeight="1" x14ac:dyDescent="0.25">
      <c r="A158" s="2" t="s">
        <v>1519</v>
      </c>
      <c r="B158" s="2" t="s">
        <v>1169</v>
      </c>
      <c r="C158" s="17">
        <v>45938</v>
      </c>
      <c r="D158" s="2" t="s">
        <v>1423</v>
      </c>
      <c r="E158" s="18">
        <v>12151.06</v>
      </c>
      <c r="F158" s="18">
        <v>359.29</v>
      </c>
      <c r="G158" s="2" t="s">
        <v>1361</v>
      </c>
      <c r="H158" s="2" t="s">
        <v>21</v>
      </c>
    </row>
    <row r="159" spans="1:8" ht="15" customHeight="1" x14ac:dyDescent="0.25">
      <c r="A159" s="2" t="s">
        <v>1520</v>
      </c>
      <c r="B159" s="2" t="s">
        <v>1169</v>
      </c>
      <c r="C159" s="17">
        <v>45974</v>
      </c>
      <c r="D159" s="2" t="s">
        <v>1423</v>
      </c>
      <c r="E159" s="18">
        <v>11751.05</v>
      </c>
      <c r="F159" s="18">
        <v>368.36</v>
      </c>
      <c r="G159" s="2" t="s">
        <v>1361</v>
      </c>
      <c r="H159" s="2" t="s">
        <v>21</v>
      </c>
    </row>
    <row r="160" spans="1:8" ht="15" customHeight="1" x14ac:dyDescent="0.25">
      <c r="A160" s="2" t="s">
        <v>1521</v>
      </c>
      <c r="B160" s="2" t="s">
        <v>1169</v>
      </c>
      <c r="C160" s="17">
        <v>46015</v>
      </c>
      <c r="D160" s="2" t="s">
        <v>1423</v>
      </c>
      <c r="E160" s="18">
        <v>14095.92</v>
      </c>
      <c r="F160" s="18">
        <v>454.74</v>
      </c>
      <c r="G160" s="2" t="s">
        <v>1361</v>
      </c>
      <c r="H160" s="2" t="s">
        <v>21</v>
      </c>
    </row>
    <row r="161" spans="1:8" ht="15" customHeight="1" x14ac:dyDescent="0.25">
      <c r="A161" s="2" t="s">
        <v>1522</v>
      </c>
      <c r="B161" s="2" t="s">
        <v>1169</v>
      </c>
      <c r="C161" s="17">
        <v>46006</v>
      </c>
      <c r="D161" s="2" t="s">
        <v>1423</v>
      </c>
      <c r="E161" s="18">
        <v>11900.7</v>
      </c>
      <c r="F161" s="18">
        <v>374.27</v>
      </c>
      <c r="G161" s="2" t="s">
        <v>1361</v>
      </c>
      <c r="H161" s="2" t="s">
        <v>21</v>
      </c>
    </row>
    <row r="162" spans="1:8" ht="15" customHeight="1" x14ac:dyDescent="0.25">
      <c r="A162" s="2" t="s">
        <v>1523</v>
      </c>
      <c r="B162" s="2" t="s">
        <v>1169</v>
      </c>
      <c r="C162" s="17">
        <v>46017</v>
      </c>
      <c r="D162" s="2" t="s">
        <v>1423</v>
      </c>
      <c r="E162" s="18">
        <v>8083.27</v>
      </c>
      <c r="F162" s="18">
        <v>248.23</v>
      </c>
      <c r="G162" s="2" t="s">
        <v>1361</v>
      </c>
      <c r="H162" s="2" t="s">
        <v>21</v>
      </c>
    </row>
    <row r="163" spans="1:8" ht="15" customHeight="1" x14ac:dyDescent="0.25">
      <c r="A163" s="2" t="s">
        <v>1524</v>
      </c>
      <c r="B163" s="2" t="s">
        <v>76</v>
      </c>
      <c r="C163" s="17">
        <v>45801</v>
      </c>
      <c r="D163" s="2" t="s">
        <v>1360</v>
      </c>
      <c r="E163" s="18">
        <v>49629.48</v>
      </c>
      <c r="F163" s="18">
        <v>1410.74</v>
      </c>
      <c r="G163" s="2" t="s">
        <v>1361</v>
      </c>
      <c r="H163" s="2" t="s">
        <v>20</v>
      </c>
    </row>
    <row r="164" spans="1:8" ht="15" customHeight="1" x14ac:dyDescent="0.25">
      <c r="A164" s="2" t="s">
        <v>1525</v>
      </c>
      <c r="B164" s="2" t="s">
        <v>76</v>
      </c>
      <c r="C164" s="17">
        <v>45816</v>
      </c>
      <c r="D164" s="2" t="s">
        <v>1360</v>
      </c>
      <c r="E164" s="18">
        <v>35735.89</v>
      </c>
      <c r="F164" s="18">
        <v>824.7</v>
      </c>
      <c r="G164" s="2" t="s">
        <v>1361</v>
      </c>
      <c r="H164" s="2" t="s">
        <v>20</v>
      </c>
    </row>
    <row r="165" spans="1:8" ht="15" customHeight="1" x14ac:dyDescent="0.25">
      <c r="A165" s="2" t="s">
        <v>1526</v>
      </c>
      <c r="B165" s="2" t="s">
        <v>76</v>
      </c>
      <c r="C165" s="17">
        <v>45861</v>
      </c>
      <c r="D165" s="2" t="s">
        <v>1360</v>
      </c>
      <c r="E165" s="18">
        <v>38439.629999999997</v>
      </c>
      <c r="F165" s="18">
        <v>1085.18</v>
      </c>
      <c r="G165" s="2" t="s">
        <v>1361</v>
      </c>
      <c r="H165" s="2" t="s">
        <v>20</v>
      </c>
    </row>
    <row r="166" spans="1:8" ht="15" customHeight="1" x14ac:dyDescent="0.25">
      <c r="A166" s="2" t="s">
        <v>1527</v>
      </c>
      <c r="B166" s="2" t="s">
        <v>76</v>
      </c>
      <c r="C166" s="17">
        <v>45865</v>
      </c>
      <c r="D166" s="2" t="s">
        <v>1360</v>
      </c>
      <c r="E166" s="18">
        <v>25568.31</v>
      </c>
      <c r="F166" s="18">
        <v>632.65</v>
      </c>
      <c r="G166" s="2" t="s">
        <v>1361</v>
      </c>
      <c r="H166" s="2" t="s">
        <v>20</v>
      </c>
    </row>
    <row r="167" spans="1:8" ht="15" customHeight="1" x14ac:dyDescent="0.25">
      <c r="A167" s="2" t="s">
        <v>1528</v>
      </c>
      <c r="B167" s="2" t="s">
        <v>76</v>
      </c>
      <c r="C167" s="17">
        <v>45864</v>
      </c>
      <c r="D167" s="2" t="s">
        <v>1360</v>
      </c>
      <c r="E167" s="18">
        <v>60889.78</v>
      </c>
      <c r="F167" s="18">
        <v>1424.39</v>
      </c>
      <c r="G167" s="2" t="s">
        <v>1361</v>
      </c>
      <c r="H167" s="2" t="s">
        <v>20</v>
      </c>
    </row>
    <row r="168" spans="1:8" ht="15" customHeight="1" x14ac:dyDescent="0.25">
      <c r="A168" s="2" t="s">
        <v>1529</v>
      </c>
      <c r="B168" s="2" t="s">
        <v>76</v>
      </c>
      <c r="C168" s="17">
        <v>45874</v>
      </c>
      <c r="D168" s="2" t="s">
        <v>1360</v>
      </c>
      <c r="E168" s="18">
        <v>31053.11</v>
      </c>
      <c r="F168" s="18">
        <v>855.9</v>
      </c>
      <c r="G168" s="2" t="s">
        <v>1361</v>
      </c>
      <c r="H168" s="2" t="s">
        <v>20</v>
      </c>
    </row>
    <row r="169" spans="1:8" ht="15" customHeight="1" x14ac:dyDescent="0.25">
      <c r="A169" s="2" t="s">
        <v>1530</v>
      </c>
      <c r="B169" s="2" t="s">
        <v>76</v>
      </c>
      <c r="C169" s="17">
        <v>45875</v>
      </c>
      <c r="D169" s="2" t="s">
        <v>1360</v>
      </c>
      <c r="E169" s="18">
        <v>41334.6</v>
      </c>
      <c r="F169" s="18">
        <v>1151.1400000000001</v>
      </c>
      <c r="G169" s="2" t="s">
        <v>1361</v>
      </c>
      <c r="H169" s="2" t="s">
        <v>20</v>
      </c>
    </row>
    <row r="170" spans="1:8" ht="15" customHeight="1" x14ac:dyDescent="0.25">
      <c r="A170" s="2" t="s">
        <v>1531</v>
      </c>
      <c r="B170" s="2" t="s">
        <v>76</v>
      </c>
      <c r="C170" s="17">
        <v>45906</v>
      </c>
      <c r="D170" s="2" t="s">
        <v>1360</v>
      </c>
      <c r="E170" s="18">
        <v>32808.76</v>
      </c>
      <c r="F170" s="18">
        <v>715.15</v>
      </c>
      <c r="G170" s="2" t="s">
        <v>1361</v>
      </c>
      <c r="H170" s="2" t="s">
        <v>2963</v>
      </c>
    </row>
    <row r="171" spans="1:8" ht="15" customHeight="1" x14ac:dyDescent="0.25">
      <c r="A171" s="2" t="s">
        <v>1532</v>
      </c>
      <c r="B171" s="2" t="s">
        <v>76</v>
      </c>
      <c r="C171" s="17">
        <v>45907</v>
      </c>
      <c r="D171" s="2" t="s">
        <v>1360</v>
      </c>
      <c r="E171" s="18">
        <v>42123.09</v>
      </c>
      <c r="F171" s="18">
        <v>923.92</v>
      </c>
      <c r="G171" s="2" t="s">
        <v>1361</v>
      </c>
      <c r="H171" s="2" t="s">
        <v>20</v>
      </c>
    </row>
    <row r="172" spans="1:8" ht="15" customHeight="1" x14ac:dyDescent="0.25">
      <c r="A172" s="2" t="s">
        <v>1533</v>
      </c>
      <c r="B172" s="2" t="s">
        <v>76</v>
      </c>
      <c r="C172" s="17">
        <v>45942</v>
      </c>
      <c r="D172" s="2" t="s">
        <v>1360</v>
      </c>
      <c r="E172" s="18">
        <v>26796.95</v>
      </c>
      <c r="F172" s="18">
        <v>662.94</v>
      </c>
      <c r="G172" s="2" t="s">
        <v>1361</v>
      </c>
      <c r="H172" s="2" t="s">
        <v>20</v>
      </c>
    </row>
    <row r="173" spans="1:8" ht="15" customHeight="1" x14ac:dyDescent="0.25">
      <c r="A173" s="2" t="s">
        <v>1534</v>
      </c>
      <c r="B173" s="2" t="s">
        <v>76</v>
      </c>
      <c r="C173" s="17">
        <v>45942</v>
      </c>
      <c r="D173" s="2" t="s">
        <v>1360</v>
      </c>
      <c r="E173" s="18">
        <v>49598.7</v>
      </c>
      <c r="F173" s="18">
        <v>1056.69</v>
      </c>
      <c r="G173" s="2" t="s">
        <v>1361</v>
      </c>
      <c r="H173" s="2" t="s">
        <v>20</v>
      </c>
    </row>
    <row r="174" spans="1:8" ht="15" customHeight="1" x14ac:dyDescent="0.25">
      <c r="A174" s="2" t="s">
        <v>1535</v>
      </c>
      <c r="B174" s="2" t="s">
        <v>76</v>
      </c>
      <c r="C174" s="17">
        <v>45964</v>
      </c>
      <c r="D174" s="2" t="s">
        <v>1360</v>
      </c>
      <c r="E174" s="18">
        <v>41624.26</v>
      </c>
      <c r="F174" s="18">
        <v>1082.72</v>
      </c>
      <c r="G174" s="2" t="s">
        <v>1361</v>
      </c>
      <c r="H174" s="2" t="s">
        <v>20</v>
      </c>
    </row>
    <row r="175" spans="1:8" ht="15" customHeight="1" x14ac:dyDescent="0.25">
      <c r="A175" s="2" t="s">
        <v>1536</v>
      </c>
      <c r="B175" s="2" t="s">
        <v>76</v>
      </c>
      <c r="C175" s="17">
        <v>45991</v>
      </c>
      <c r="D175" s="2" t="s">
        <v>1360</v>
      </c>
      <c r="E175" s="18">
        <v>44515.02</v>
      </c>
      <c r="F175" s="18">
        <v>1061.96</v>
      </c>
      <c r="G175" s="2" t="s">
        <v>1361</v>
      </c>
      <c r="H175" s="2" t="s">
        <v>20</v>
      </c>
    </row>
    <row r="176" spans="1:8" ht="15" customHeight="1" x14ac:dyDescent="0.25">
      <c r="A176" s="2" t="s">
        <v>1537</v>
      </c>
      <c r="B176" s="2" t="s">
        <v>76</v>
      </c>
      <c r="C176" s="17">
        <v>45982</v>
      </c>
      <c r="D176" s="2" t="s">
        <v>1360</v>
      </c>
      <c r="E176" s="18">
        <v>18816.59</v>
      </c>
      <c r="F176" s="18">
        <v>0</v>
      </c>
      <c r="G176" s="2" t="s">
        <v>1408</v>
      </c>
      <c r="H176" s="2" t="s">
        <v>20</v>
      </c>
    </row>
    <row r="177" spans="1:8" ht="15" customHeight="1" x14ac:dyDescent="0.25">
      <c r="A177" s="2" t="s">
        <v>1538</v>
      </c>
      <c r="B177" s="2" t="s">
        <v>76</v>
      </c>
      <c r="C177" s="17">
        <v>46007</v>
      </c>
      <c r="D177" s="2" t="s">
        <v>1360</v>
      </c>
      <c r="E177" s="18">
        <v>24958.77</v>
      </c>
      <c r="F177" s="18">
        <v>587.69000000000005</v>
      </c>
      <c r="G177" s="2" t="s">
        <v>1361</v>
      </c>
      <c r="H177" s="2" t="s">
        <v>20</v>
      </c>
    </row>
    <row r="178" spans="1:8" ht="15" customHeight="1" x14ac:dyDescent="0.25">
      <c r="A178" s="2" t="s">
        <v>1539</v>
      </c>
      <c r="B178" s="2" t="s">
        <v>82</v>
      </c>
      <c r="C178" s="17">
        <v>45797</v>
      </c>
      <c r="D178" s="2" t="s">
        <v>1360</v>
      </c>
      <c r="E178" s="18">
        <v>12913.23</v>
      </c>
      <c r="F178" s="18">
        <v>340.55</v>
      </c>
      <c r="G178" s="2" t="s">
        <v>1361</v>
      </c>
      <c r="H178" s="2" t="s">
        <v>20</v>
      </c>
    </row>
    <row r="179" spans="1:8" ht="15" customHeight="1" x14ac:dyDescent="0.25">
      <c r="A179" s="2" t="s">
        <v>1540</v>
      </c>
      <c r="B179" s="2" t="s">
        <v>82</v>
      </c>
      <c r="C179" s="17">
        <v>45807</v>
      </c>
      <c r="D179" s="2" t="s">
        <v>1360</v>
      </c>
      <c r="E179" s="18">
        <v>15315.69</v>
      </c>
      <c r="F179" s="18">
        <v>428.24</v>
      </c>
      <c r="G179" s="2" t="s">
        <v>1361</v>
      </c>
      <c r="H179" s="2" t="s">
        <v>20</v>
      </c>
    </row>
    <row r="180" spans="1:8" ht="15" customHeight="1" x14ac:dyDescent="0.25">
      <c r="A180" s="2" t="s">
        <v>1541</v>
      </c>
      <c r="B180" s="2" t="s">
        <v>82</v>
      </c>
      <c r="C180" s="17">
        <v>45797</v>
      </c>
      <c r="D180" s="2" t="s">
        <v>1360</v>
      </c>
      <c r="E180" s="18">
        <v>13772.42</v>
      </c>
      <c r="F180" s="18">
        <v>352.68</v>
      </c>
      <c r="G180" s="2" t="s">
        <v>1361</v>
      </c>
      <c r="H180" s="2" t="s">
        <v>20</v>
      </c>
    </row>
    <row r="181" spans="1:8" ht="15" customHeight="1" x14ac:dyDescent="0.25">
      <c r="A181" s="2" t="s">
        <v>1542</v>
      </c>
      <c r="B181" s="2" t="s">
        <v>82</v>
      </c>
      <c r="C181" s="17">
        <v>45818</v>
      </c>
      <c r="D181" s="2" t="s">
        <v>1360</v>
      </c>
      <c r="E181" s="18">
        <v>8567.32</v>
      </c>
      <c r="F181" s="18">
        <v>191.99</v>
      </c>
      <c r="G181" s="2" t="s">
        <v>1361</v>
      </c>
      <c r="H181" s="2" t="s">
        <v>20</v>
      </c>
    </row>
    <row r="182" spans="1:8" ht="15" customHeight="1" x14ac:dyDescent="0.25">
      <c r="A182" s="2" t="s">
        <v>1543</v>
      </c>
      <c r="B182" s="2" t="s">
        <v>82</v>
      </c>
      <c r="C182" s="17">
        <v>45809</v>
      </c>
      <c r="D182" s="2" t="s">
        <v>1360</v>
      </c>
      <c r="E182" s="18">
        <v>9332.7199999999993</v>
      </c>
      <c r="F182" s="18">
        <v>245.53</v>
      </c>
      <c r="G182" s="2" t="s">
        <v>1361</v>
      </c>
      <c r="H182" s="2" t="s">
        <v>20</v>
      </c>
    </row>
    <row r="183" spans="1:8" ht="15" customHeight="1" x14ac:dyDescent="0.25">
      <c r="A183" s="2" t="s">
        <v>1544</v>
      </c>
      <c r="B183" s="2" t="s">
        <v>82</v>
      </c>
      <c r="C183" s="17">
        <v>45868</v>
      </c>
      <c r="D183" s="2" t="s">
        <v>1360</v>
      </c>
      <c r="E183" s="18">
        <v>15886.9</v>
      </c>
      <c r="F183" s="18">
        <v>362.74</v>
      </c>
      <c r="G183" s="2" t="s">
        <v>1361</v>
      </c>
      <c r="H183" s="2" t="s">
        <v>20</v>
      </c>
    </row>
    <row r="184" spans="1:8" ht="15" customHeight="1" x14ac:dyDescent="0.25">
      <c r="A184" s="2" t="s">
        <v>1545</v>
      </c>
      <c r="B184" s="2" t="s">
        <v>82</v>
      </c>
      <c r="C184" s="17">
        <v>45877</v>
      </c>
      <c r="D184" s="2" t="s">
        <v>1360</v>
      </c>
      <c r="E184" s="18">
        <v>8251.77</v>
      </c>
      <c r="F184" s="18">
        <v>187.22</v>
      </c>
      <c r="G184" s="2" t="s">
        <v>1361</v>
      </c>
      <c r="H184" s="2" t="s">
        <v>20</v>
      </c>
    </row>
    <row r="185" spans="1:8" ht="15" customHeight="1" x14ac:dyDescent="0.25">
      <c r="A185" s="2" t="s">
        <v>1546</v>
      </c>
      <c r="B185" s="2" t="s">
        <v>82</v>
      </c>
      <c r="C185" s="17">
        <v>45899</v>
      </c>
      <c r="D185" s="2" t="s">
        <v>1360</v>
      </c>
      <c r="E185" s="18">
        <v>17571.04</v>
      </c>
      <c r="F185" s="18">
        <v>483.4</v>
      </c>
      <c r="G185" s="2" t="s">
        <v>1361</v>
      </c>
      <c r="H185" s="2" t="s">
        <v>20</v>
      </c>
    </row>
    <row r="186" spans="1:8" ht="15" customHeight="1" x14ac:dyDescent="0.25">
      <c r="A186" s="2" t="s">
        <v>1547</v>
      </c>
      <c r="B186" s="2" t="s">
        <v>82</v>
      </c>
      <c r="C186" s="17">
        <v>45875</v>
      </c>
      <c r="D186" s="2" t="s">
        <v>1360</v>
      </c>
      <c r="E186" s="18">
        <v>4870.28</v>
      </c>
      <c r="F186" s="18">
        <v>136.57</v>
      </c>
      <c r="G186" s="2" t="s">
        <v>1361</v>
      </c>
      <c r="H186" s="2" t="s">
        <v>20</v>
      </c>
    </row>
    <row r="187" spans="1:8" ht="15" customHeight="1" x14ac:dyDescent="0.25">
      <c r="A187" s="2" t="s">
        <v>1548</v>
      </c>
      <c r="B187" s="2" t="s">
        <v>82</v>
      </c>
      <c r="C187" s="17">
        <v>45930</v>
      </c>
      <c r="D187" s="2" t="s">
        <v>1360</v>
      </c>
      <c r="E187" s="18">
        <v>10168.17</v>
      </c>
      <c r="F187" s="18">
        <v>248.54</v>
      </c>
      <c r="G187" s="2" t="s">
        <v>1361</v>
      </c>
      <c r="H187" s="2" t="s">
        <v>20</v>
      </c>
    </row>
    <row r="188" spans="1:8" ht="15" customHeight="1" x14ac:dyDescent="0.25">
      <c r="A188" s="2" t="s">
        <v>1549</v>
      </c>
      <c r="B188" s="2" t="s">
        <v>82</v>
      </c>
      <c r="C188" s="17">
        <v>45961</v>
      </c>
      <c r="D188" s="2" t="s">
        <v>1360</v>
      </c>
      <c r="E188" s="18">
        <v>14106.26</v>
      </c>
      <c r="F188" s="18">
        <v>353.36</v>
      </c>
      <c r="G188" s="2" t="s">
        <v>1361</v>
      </c>
      <c r="H188" s="2" t="s">
        <v>20</v>
      </c>
    </row>
    <row r="189" spans="1:8" ht="15" customHeight="1" x14ac:dyDescent="0.25">
      <c r="A189" s="2" t="s">
        <v>1550</v>
      </c>
      <c r="B189" s="2" t="s">
        <v>82</v>
      </c>
      <c r="C189" s="17">
        <v>45960</v>
      </c>
      <c r="D189" s="2" t="s">
        <v>1360</v>
      </c>
      <c r="E189" s="18">
        <v>15960.29</v>
      </c>
      <c r="F189" s="18">
        <v>393.62</v>
      </c>
      <c r="G189" s="2" t="s">
        <v>1361</v>
      </c>
      <c r="H189" s="2" t="s">
        <v>20</v>
      </c>
    </row>
    <row r="190" spans="1:8" ht="15" customHeight="1" x14ac:dyDescent="0.25">
      <c r="A190" s="2" t="s">
        <v>1551</v>
      </c>
      <c r="B190" s="2" t="s">
        <v>82</v>
      </c>
      <c r="C190" s="17">
        <v>45989</v>
      </c>
      <c r="D190" s="2" t="s">
        <v>1360</v>
      </c>
      <c r="E190" s="18">
        <v>15504.86</v>
      </c>
      <c r="F190" s="18">
        <v>396.54</v>
      </c>
      <c r="G190" s="2" t="s">
        <v>1361</v>
      </c>
      <c r="H190" s="2" t="s">
        <v>20</v>
      </c>
    </row>
    <row r="191" spans="1:8" ht="15" customHeight="1" x14ac:dyDescent="0.25">
      <c r="A191" s="2" t="s">
        <v>1552</v>
      </c>
      <c r="B191" s="2" t="s">
        <v>82</v>
      </c>
      <c r="C191" s="17">
        <v>46013</v>
      </c>
      <c r="D191" s="2" t="s">
        <v>1360</v>
      </c>
      <c r="E191" s="18">
        <v>15414.61</v>
      </c>
      <c r="F191" s="18">
        <v>357.17</v>
      </c>
      <c r="G191" s="2" t="s">
        <v>1361</v>
      </c>
      <c r="H191" s="2" t="s">
        <v>20</v>
      </c>
    </row>
    <row r="192" spans="1:8" ht="15" customHeight="1" x14ac:dyDescent="0.25">
      <c r="A192" s="2" t="s">
        <v>1553</v>
      </c>
      <c r="B192" s="2" t="s">
        <v>82</v>
      </c>
      <c r="C192" s="17">
        <v>46015</v>
      </c>
      <c r="D192" s="2" t="s">
        <v>1360</v>
      </c>
      <c r="E192" s="18">
        <v>6672.58</v>
      </c>
      <c r="F192" s="18">
        <v>176.08</v>
      </c>
      <c r="G192" s="2" t="s">
        <v>1361</v>
      </c>
      <c r="H192" s="2" t="s">
        <v>20</v>
      </c>
    </row>
    <row r="193" spans="1:8" ht="15" customHeight="1" x14ac:dyDescent="0.25">
      <c r="A193" s="2" t="s">
        <v>1554</v>
      </c>
      <c r="B193" s="2" t="s">
        <v>82</v>
      </c>
      <c r="C193" s="17">
        <v>45995</v>
      </c>
      <c r="D193" s="2" t="s">
        <v>1360</v>
      </c>
      <c r="E193" s="18">
        <v>8498</v>
      </c>
      <c r="F193" s="18">
        <v>199.93</v>
      </c>
      <c r="G193" s="2" t="s">
        <v>1361</v>
      </c>
      <c r="H193" s="2" t="s">
        <v>20</v>
      </c>
    </row>
    <row r="194" spans="1:8" ht="15" customHeight="1" x14ac:dyDescent="0.25">
      <c r="A194" s="2" t="s">
        <v>1555</v>
      </c>
      <c r="B194" s="2" t="s">
        <v>1171</v>
      </c>
      <c r="C194" s="17">
        <v>45837</v>
      </c>
      <c r="D194" s="2" t="s">
        <v>1360</v>
      </c>
      <c r="E194" s="18">
        <v>21475.45</v>
      </c>
      <c r="F194" s="18">
        <v>558.4</v>
      </c>
      <c r="G194" s="2" t="s">
        <v>1361</v>
      </c>
      <c r="H194" s="2" t="s">
        <v>21</v>
      </c>
    </row>
    <row r="195" spans="1:8" ht="15" customHeight="1" x14ac:dyDescent="0.25">
      <c r="A195" s="2" t="s">
        <v>1556</v>
      </c>
      <c r="B195" s="2" t="s">
        <v>1171</v>
      </c>
      <c r="C195" s="17">
        <v>45837</v>
      </c>
      <c r="D195" s="2" t="s">
        <v>1360</v>
      </c>
      <c r="E195" s="18">
        <v>38459.9</v>
      </c>
      <c r="F195" s="18">
        <v>1045.1400000000001</v>
      </c>
      <c r="G195" s="2" t="s">
        <v>1361</v>
      </c>
      <c r="H195" s="2" t="s">
        <v>21</v>
      </c>
    </row>
    <row r="196" spans="1:8" ht="15" customHeight="1" x14ac:dyDescent="0.25">
      <c r="A196" s="2" t="s">
        <v>1557</v>
      </c>
      <c r="B196" s="2" t="s">
        <v>1171</v>
      </c>
      <c r="C196" s="17">
        <v>45852</v>
      </c>
      <c r="D196" s="2" t="s">
        <v>1360</v>
      </c>
      <c r="E196" s="18">
        <v>62056.2</v>
      </c>
      <c r="F196" s="18">
        <v>1782.99</v>
      </c>
      <c r="G196" s="2" t="s">
        <v>1361</v>
      </c>
      <c r="H196" s="2" t="s">
        <v>21</v>
      </c>
    </row>
    <row r="197" spans="1:8" ht="15" customHeight="1" x14ac:dyDescent="0.25">
      <c r="A197" s="2" t="s">
        <v>1558</v>
      </c>
      <c r="B197" s="2" t="s">
        <v>1171</v>
      </c>
      <c r="C197" s="17">
        <v>45867</v>
      </c>
      <c r="D197" s="2" t="s">
        <v>1360</v>
      </c>
      <c r="E197" s="18">
        <v>60916.56</v>
      </c>
      <c r="F197" s="18">
        <v>1503.06</v>
      </c>
      <c r="G197" s="2" t="s">
        <v>1361</v>
      </c>
      <c r="H197" s="2" t="s">
        <v>21</v>
      </c>
    </row>
    <row r="198" spans="1:8" ht="15" customHeight="1" x14ac:dyDescent="0.25">
      <c r="A198" s="2" t="s">
        <v>1559</v>
      </c>
      <c r="B198" s="2" t="s">
        <v>1171</v>
      </c>
      <c r="C198" s="17">
        <v>45862</v>
      </c>
      <c r="D198" s="2" t="s">
        <v>1360</v>
      </c>
      <c r="E198" s="18">
        <v>21753.62</v>
      </c>
      <c r="F198" s="18">
        <v>501.3</v>
      </c>
      <c r="G198" s="2" t="s">
        <v>1361</v>
      </c>
      <c r="H198" s="2" t="s">
        <v>21</v>
      </c>
    </row>
    <row r="199" spans="1:8" ht="15" customHeight="1" x14ac:dyDescent="0.25">
      <c r="A199" s="2" t="s">
        <v>1560</v>
      </c>
      <c r="B199" s="2" t="s">
        <v>1171</v>
      </c>
      <c r="C199" s="17">
        <v>45891</v>
      </c>
      <c r="D199" s="2" t="s">
        <v>1360</v>
      </c>
      <c r="E199" s="18">
        <v>16991.68</v>
      </c>
      <c r="F199" s="18">
        <v>459.64</v>
      </c>
      <c r="G199" s="2" t="s">
        <v>1361</v>
      </c>
      <c r="H199" s="2" t="s">
        <v>21</v>
      </c>
    </row>
    <row r="200" spans="1:8" ht="15" customHeight="1" x14ac:dyDescent="0.25">
      <c r="A200" s="2" t="s">
        <v>1561</v>
      </c>
      <c r="B200" s="2" t="s">
        <v>1171</v>
      </c>
      <c r="C200" s="17">
        <v>45886</v>
      </c>
      <c r="D200" s="2" t="s">
        <v>1360</v>
      </c>
      <c r="E200" s="18">
        <v>34358.29</v>
      </c>
      <c r="F200" s="18">
        <v>968.48</v>
      </c>
      <c r="G200" s="2" t="s">
        <v>1361</v>
      </c>
      <c r="H200" s="2" t="s">
        <v>21</v>
      </c>
    </row>
    <row r="201" spans="1:8" ht="15" customHeight="1" x14ac:dyDescent="0.25">
      <c r="A201" s="2" t="s">
        <v>1562</v>
      </c>
      <c r="B201" s="2" t="s">
        <v>1171</v>
      </c>
      <c r="C201" s="17">
        <v>45913</v>
      </c>
      <c r="D201" s="2" t="s">
        <v>1360</v>
      </c>
      <c r="E201" s="18">
        <v>32184.82</v>
      </c>
      <c r="F201" s="18">
        <v>710.5</v>
      </c>
      <c r="G201" s="2" t="s">
        <v>1361</v>
      </c>
      <c r="H201" s="2" t="s">
        <v>21</v>
      </c>
    </row>
    <row r="202" spans="1:8" ht="15" customHeight="1" x14ac:dyDescent="0.25">
      <c r="A202" s="2" t="s">
        <v>1563</v>
      </c>
      <c r="B202" s="2" t="s">
        <v>1171</v>
      </c>
      <c r="C202" s="17">
        <v>45913</v>
      </c>
      <c r="D202" s="2" t="s">
        <v>1360</v>
      </c>
      <c r="E202" s="18">
        <v>41207.730000000003</v>
      </c>
      <c r="F202" s="18">
        <v>1077.1600000000001</v>
      </c>
      <c r="G202" s="2" t="s">
        <v>1361</v>
      </c>
      <c r="H202" s="2" t="s">
        <v>21</v>
      </c>
    </row>
    <row r="203" spans="1:8" ht="15" customHeight="1" x14ac:dyDescent="0.25">
      <c r="A203" s="2" t="s">
        <v>1564</v>
      </c>
      <c r="B203" s="2" t="s">
        <v>1171</v>
      </c>
      <c r="C203" s="17">
        <v>45922</v>
      </c>
      <c r="D203" s="2" t="s">
        <v>1360</v>
      </c>
      <c r="E203" s="18">
        <v>46773.93</v>
      </c>
      <c r="F203" s="18">
        <v>1285.06</v>
      </c>
      <c r="G203" s="2" t="s">
        <v>1361</v>
      </c>
      <c r="H203" s="2" t="s">
        <v>21</v>
      </c>
    </row>
    <row r="204" spans="1:8" ht="15" customHeight="1" x14ac:dyDescent="0.25">
      <c r="A204" s="2" t="s">
        <v>1565</v>
      </c>
      <c r="B204" s="2" t="s">
        <v>1171</v>
      </c>
      <c r="C204" s="17">
        <v>45933</v>
      </c>
      <c r="D204" s="2" t="s">
        <v>1360</v>
      </c>
      <c r="E204" s="18">
        <v>19359.86</v>
      </c>
      <c r="F204" s="18">
        <v>464.56</v>
      </c>
      <c r="G204" s="2" t="s">
        <v>1361</v>
      </c>
      <c r="H204" s="2" t="s">
        <v>21</v>
      </c>
    </row>
    <row r="205" spans="1:8" ht="15" customHeight="1" x14ac:dyDescent="0.25">
      <c r="A205" s="2" t="s">
        <v>1566</v>
      </c>
      <c r="B205" s="2" t="s">
        <v>1171</v>
      </c>
      <c r="C205" s="17">
        <v>45944</v>
      </c>
      <c r="D205" s="2" t="s">
        <v>1360</v>
      </c>
      <c r="E205" s="18">
        <v>27069.9</v>
      </c>
      <c r="F205" s="18">
        <v>589.33000000000004</v>
      </c>
      <c r="G205" s="2" t="s">
        <v>1361</v>
      </c>
      <c r="H205" s="2" t="s">
        <v>21</v>
      </c>
    </row>
    <row r="206" spans="1:8" ht="15" customHeight="1" x14ac:dyDescent="0.25">
      <c r="A206" s="2" t="s">
        <v>1567</v>
      </c>
      <c r="B206" s="2" t="s">
        <v>1171</v>
      </c>
      <c r="C206" s="17">
        <v>45983</v>
      </c>
      <c r="D206" s="2" t="s">
        <v>1360</v>
      </c>
      <c r="E206" s="18">
        <v>20072.919999999998</v>
      </c>
      <c r="F206" s="18">
        <v>508.35</v>
      </c>
      <c r="G206" s="2" t="s">
        <v>1361</v>
      </c>
      <c r="H206" s="2" t="s">
        <v>21</v>
      </c>
    </row>
    <row r="207" spans="1:8" ht="15" customHeight="1" x14ac:dyDescent="0.25">
      <c r="A207" s="2" t="s">
        <v>1568</v>
      </c>
      <c r="B207" s="2" t="s">
        <v>1171</v>
      </c>
      <c r="C207" s="17">
        <v>45962</v>
      </c>
      <c r="D207" s="2" t="s">
        <v>1360</v>
      </c>
      <c r="E207" s="18">
        <v>53930.41</v>
      </c>
      <c r="F207" s="18">
        <v>1174.3</v>
      </c>
      <c r="G207" s="2" t="s">
        <v>1361</v>
      </c>
      <c r="H207" s="2" t="s">
        <v>21</v>
      </c>
    </row>
    <row r="208" spans="1:8" ht="15" customHeight="1" x14ac:dyDescent="0.25">
      <c r="A208" s="2" t="s">
        <v>1569</v>
      </c>
      <c r="B208" s="2" t="s">
        <v>1171</v>
      </c>
      <c r="C208" s="17">
        <v>46013</v>
      </c>
      <c r="D208" s="2" t="s">
        <v>1360</v>
      </c>
      <c r="E208" s="18">
        <v>51045.03</v>
      </c>
      <c r="F208" s="18">
        <v>1117.93</v>
      </c>
      <c r="G208" s="2" t="s">
        <v>1361</v>
      </c>
      <c r="H208" s="2" t="s">
        <v>21</v>
      </c>
    </row>
    <row r="209" spans="1:8" ht="15" customHeight="1" x14ac:dyDescent="0.25">
      <c r="A209" s="2" t="s">
        <v>1570</v>
      </c>
      <c r="B209" s="2" t="s">
        <v>1171</v>
      </c>
      <c r="C209" s="17">
        <v>45998</v>
      </c>
      <c r="D209" s="2" t="s">
        <v>1360</v>
      </c>
      <c r="E209" s="18">
        <v>18108.75</v>
      </c>
      <c r="F209" s="18">
        <v>444.31</v>
      </c>
      <c r="G209" s="2" t="s">
        <v>1361</v>
      </c>
      <c r="H209" s="2" t="s">
        <v>21</v>
      </c>
    </row>
    <row r="210" spans="1:8" ht="15" customHeight="1" x14ac:dyDescent="0.25">
      <c r="A210" s="2" t="s">
        <v>1571</v>
      </c>
      <c r="B210" s="2" t="s">
        <v>85</v>
      </c>
      <c r="C210" s="17">
        <v>45768</v>
      </c>
      <c r="D210" s="2" t="s">
        <v>1481</v>
      </c>
      <c r="E210" s="18">
        <v>2581.37</v>
      </c>
      <c r="F210" s="18">
        <v>74.69</v>
      </c>
      <c r="G210" s="2" t="s">
        <v>1361</v>
      </c>
      <c r="H210" s="2" t="s">
        <v>21</v>
      </c>
    </row>
    <row r="211" spans="1:8" ht="15" customHeight="1" x14ac:dyDescent="0.25">
      <c r="A211" s="2" t="s">
        <v>1572</v>
      </c>
      <c r="B211" s="2" t="s">
        <v>85</v>
      </c>
      <c r="C211" s="17">
        <v>45803</v>
      </c>
      <c r="D211" s="2" t="s">
        <v>1479</v>
      </c>
      <c r="E211" s="18">
        <v>2744.65</v>
      </c>
      <c r="F211" s="18">
        <v>84.46</v>
      </c>
      <c r="G211" s="2" t="s">
        <v>1361</v>
      </c>
      <c r="H211" s="2" t="s">
        <v>21</v>
      </c>
    </row>
    <row r="212" spans="1:8" ht="15" customHeight="1" x14ac:dyDescent="0.25">
      <c r="A212" s="2" t="s">
        <v>1573</v>
      </c>
      <c r="B212" s="2" t="s">
        <v>85</v>
      </c>
      <c r="C212" s="17">
        <v>45779</v>
      </c>
      <c r="D212" s="2" t="s">
        <v>1481</v>
      </c>
      <c r="E212" s="18">
        <v>2090.4299999999998</v>
      </c>
      <c r="F212" s="18">
        <v>60.47</v>
      </c>
      <c r="G212" s="2" t="s">
        <v>1361</v>
      </c>
      <c r="H212" s="2" t="s">
        <v>21</v>
      </c>
    </row>
    <row r="213" spans="1:8" ht="15" customHeight="1" x14ac:dyDescent="0.25">
      <c r="A213" s="2" t="s">
        <v>1574</v>
      </c>
      <c r="B213" s="2" t="s">
        <v>85</v>
      </c>
      <c r="C213" s="17">
        <v>45819</v>
      </c>
      <c r="D213" s="2" t="s">
        <v>1360</v>
      </c>
      <c r="E213" s="18">
        <v>3632.05</v>
      </c>
      <c r="F213" s="18">
        <v>0</v>
      </c>
      <c r="G213" s="2" t="s">
        <v>1408</v>
      </c>
      <c r="H213" s="2" t="s">
        <v>21</v>
      </c>
    </row>
    <row r="214" spans="1:8" ht="15" customHeight="1" x14ac:dyDescent="0.25">
      <c r="A214" s="2" t="s">
        <v>1575</v>
      </c>
      <c r="B214" s="2" t="s">
        <v>85</v>
      </c>
      <c r="C214" s="17">
        <v>45816</v>
      </c>
      <c r="D214" s="2" t="s">
        <v>1360</v>
      </c>
      <c r="E214" s="18">
        <v>4065.74</v>
      </c>
      <c r="F214" s="18">
        <v>121.78</v>
      </c>
      <c r="G214" s="2" t="s">
        <v>1361</v>
      </c>
      <c r="H214" s="2" t="s">
        <v>21</v>
      </c>
    </row>
    <row r="215" spans="1:8" ht="15" customHeight="1" x14ac:dyDescent="0.25">
      <c r="A215" s="2" t="s">
        <v>134</v>
      </c>
      <c r="B215" s="2" t="s">
        <v>85</v>
      </c>
      <c r="C215" s="17">
        <v>45843</v>
      </c>
      <c r="D215" s="2" t="s">
        <v>1360</v>
      </c>
      <c r="E215" s="18" t="s">
        <v>2978</v>
      </c>
      <c r="F215" s="18">
        <v>54.1</v>
      </c>
      <c r="G215" s="2" t="s">
        <v>1361</v>
      </c>
      <c r="H215" s="2" t="s">
        <v>21</v>
      </c>
    </row>
    <row r="216" spans="1:8" ht="15" customHeight="1" x14ac:dyDescent="0.25">
      <c r="A216" s="2" t="s">
        <v>1576</v>
      </c>
      <c r="B216" s="2" t="s">
        <v>85</v>
      </c>
      <c r="C216" s="17">
        <v>45869</v>
      </c>
      <c r="D216" s="2" t="s">
        <v>1481</v>
      </c>
      <c r="E216" s="18">
        <v>2689.78</v>
      </c>
      <c r="F216" s="18">
        <v>63.73</v>
      </c>
      <c r="G216" s="2" t="s">
        <v>1361</v>
      </c>
      <c r="H216" s="2" t="s">
        <v>21</v>
      </c>
    </row>
    <row r="217" spans="1:8" ht="15" customHeight="1" x14ac:dyDescent="0.25">
      <c r="A217" s="2" t="s">
        <v>1577</v>
      </c>
      <c r="B217" s="2" t="s">
        <v>85</v>
      </c>
      <c r="C217" s="17">
        <v>45849</v>
      </c>
      <c r="D217" s="2" t="s">
        <v>1360</v>
      </c>
      <c r="E217" s="18">
        <v>5063.2700000000004</v>
      </c>
      <c r="F217" s="18">
        <v>149.57</v>
      </c>
      <c r="G217" s="2" t="s">
        <v>1361</v>
      </c>
      <c r="H217" s="2" t="s">
        <v>21</v>
      </c>
    </row>
    <row r="218" spans="1:8" ht="15" customHeight="1" x14ac:dyDescent="0.25">
      <c r="A218" s="2" t="s">
        <v>1578</v>
      </c>
      <c r="B218" s="2" t="s">
        <v>85</v>
      </c>
      <c r="C218" s="17">
        <v>45873</v>
      </c>
      <c r="D218" s="2" t="s">
        <v>1360</v>
      </c>
      <c r="E218" s="18">
        <v>5158.5200000000004</v>
      </c>
      <c r="F218" s="18">
        <v>148.22</v>
      </c>
      <c r="G218" s="2" t="s">
        <v>1361</v>
      </c>
      <c r="H218" s="2" t="s">
        <v>21</v>
      </c>
    </row>
    <row r="219" spans="1:8" ht="15" customHeight="1" x14ac:dyDescent="0.25">
      <c r="A219" s="2" t="s">
        <v>1579</v>
      </c>
      <c r="B219" s="2" t="s">
        <v>85</v>
      </c>
      <c r="C219" s="17">
        <v>45907</v>
      </c>
      <c r="D219" s="2" t="s">
        <v>1481</v>
      </c>
      <c r="E219" s="18">
        <v>2528.54</v>
      </c>
      <c r="F219" s="18">
        <v>62.17</v>
      </c>
      <c r="G219" s="2" t="s">
        <v>1361</v>
      </c>
      <c r="H219" s="2" t="s">
        <v>21</v>
      </c>
    </row>
    <row r="220" spans="1:8" ht="15" customHeight="1" x14ac:dyDescent="0.25">
      <c r="A220" s="2" t="s">
        <v>1580</v>
      </c>
      <c r="B220" s="2" t="s">
        <v>85</v>
      </c>
      <c r="C220" s="17">
        <v>45924</v>
      </c>
      <c r="D220" s="2" t="s">
        <v>1479</v>
      </c>
      <c r="E220" s="18">
        <v>3765.36</v>
      </c>
      <c r="F220" s="18">
        <v>111.26</v>
      </c>
      <c r="G220" s="2" t="s">
        <v>1361</v>
      </c>
      <c r="H220" s="2" t="s">
        <v>21</v>
      </c>
    </row>
    <row r="221" spans="1:8" ht="15" customHeight="1" x14ac:dyDescent="0.25">
      <c r="A221" s="2" t="s">
        <v>1581</v>
      </c>
      <c r="B221" s="2" t="s">
        <v>85</v>
      </c>
      <c r="C221" s="17">
        <v>45945</v>
      </c>
      <c r="D221" s="2" t="s">
        <v>1479</v>
      </c>
      <c r="E221" s="18">
        <v>1399.01</v>
      </c>
      <c r="F221" s="18">
        <v>35.58</v>
      </c>
      <c r="G221" s="2" t="s">
        <v>1361</v>
      </c>
      <c r="H221" s="2" t="s">
        <v>21</v>
      </c>
    </row>
    <row r="222" spans="1:8" ht="15" customHeight="1" x14ac:dyDescent="0.25">
      <c r="A222" s="2" t="s">
        <v>1582</v>
      </c>
      <c r="B222" s="2" t="s">
        <v>85</v>
      </c>
      <c r="C222" s="17">
        <v>45967</v>
      </c>
      <c r="D222" s="2" t="s">
        <v>1481</v>
      </c>
      <c r="E222" s="18">
        <v>5118.76</v>
      </c>
      <c r="F222" s="18">
        <v>119.02</v>
      </c>
      <c r="G222" s="2" t="s">
        <v>1361</v>
      </c>
      <c r="H222" s="2" t="s">
        <v>21</v>
      </c>
    </row>
    <row r="223" spans="1:8" ht="15" customHeight="1" x14ac:dyDescent="0.25">
      <c r="A223" s="2" t="s">
        <v>1583</v>
      </c>
      <c r="B223" s="2" t="s">
        <v>85</v>
      </c>
      <c r="C223" s="17">
        <v>45964</v>
      </c>
      <c r="D223" s="2" t="s">
        <v>1479</v>
      </c>
      <c r="E223" s="18">
        <v>1744.09</v>
      </c>
      <c r="F223" s="18">
        <v>45.41</v>
      </c>
      <c r="G223" s="2" t="s">
        <v>1361</v>
      </c>
      <c r="H223" s="2" t="s">
        <v>21</v>
      </c>
    </row>
    <row r="224" spans="1:8" ht="15" customHeight="1" x14ac:dyDescent="0.25">
      <c r="A224" s="2" t="s">
        <v>1584</v>
      </c>
      <c r="B224" s="2" t="s">
        <v>85</v>
      </c>
      <c r="C224" s="17">
        <v>46017</v>
      </c>
      <c r="D224" s="2" t="s">
        <v>1479</v>
      </c>
      <c r="E224" s="18">
        <v>1811.6</v>
      </c>
      <c r="F224" s="18">
        <v>54.76</v>
      </c>
      <c r="G224" s="2" t="s">
        <v>1361</v>
      </c>
      <c r="H224" s="2" t="s">
        <v>21</v>
      </c>
    </row>
    <row r="225" spans="1:8" ht="15" customHeight="1" x14ac:dyDescent="0.25">
      <c r="A225" s="2" t="s">
        <v>1585</v>
      </c>
      <c r="B225" s="2" t="s">
        <v>85</v>
      </c>
      <c r="C225" s="17">
        <v>46022</v>
      </c>
      <c r="D225" s="2" t="s">
        <v>1481</v>
      </c>
      <c r="E225" s="18">
        <v>1593.27</v>
      </c>
      <c r="F225" s="18">
        <v>49.09</v>
      </c>
      <c r="G225" s="2" t="s">
        <v>1361</v>
      </c>
      <c r="H225" s="2" t="s">
        <v>21</v>
      </c>
    </row>
    <row r="226" spans="1:8" ht="15" customHeight="1" x14ac:dyDescent="0.25">
      <c r="A226" s="2" t="s">
        <v>1586</v>
      </c>
      <c r="B226" s="2" t="s">
        <v>1174</v>
      </c>
      <c r="C226" s="17">
        <v>45797</v>
      </c>
      <c r="D226" s="2" t="s">
        <v>1373</v>
      </c>
      <c r="E226" s="18">
        <v>4708.63</v>
      </c>
      <c r="F226" s="18">
        <v>73.44</v>
      </c>
      <c r="G226" s="2" t="s">
        <v>1361</v>
      </c>
      <c r="H226" s="2" t="s">
        <v>19</v>
      </c>
    </row>
    <row r="227" spans="1:8" ht="15" customHeight="1" x14ac:dyDescent="0.25">
      <c r="A227" s="2" t="s">
        <v>1587</v>
      </c>
      <c r="B227" s="2" t="s">
        <v>1174</v>
      </c>
      <c r="C227" s="17">
        <v>45828</v>
      </c>
      <c r="D227" s="2" t="s">
        <v>1373</v>
      </c>
      <c r="E227" s="18">
        <v>8983.18</v>
      </c>
      <c r="F227" s="18">
        <v>149.5</v>
      </c>
      <c r="G227" s="2" t="s">
        <v>1361</v>
      </c>
      <c r="H227" s="2" t="s">
        <v>19</v>
      </c>
    </row>
    <row r="228" spans="1:8" ht="15" customHeight="1" x14ac:dyDescent="0.25">
      <c r="A228" s="2" t="s">
        <v>1588</v>
      </c>
      <c r="B228" s="2" t="s">
        <v>1174</v>
      </c>
      <c r="C228" s="17">
        <v>45835</v>
      </c>
      <c r="D228" s="2" t="s">
        <v>1373</v>
      </c>
      <c r="E228" s="18">
        <v>5323.78</v>
      </c>
      <c r="F228" s="18">
        <v>83.3</v>
      </c>
      <c r="G228" s="2" t="s">
        <v>1361</v>
      </c>
      <c r="H228" s="2" t="s">
        <v>19</v>
      </c>
    </row>
    <row r="229" spans="1:8" ht="15" customHeight="1" x14ac:dyDescent="0.25">
      <c r="A229" s="2" t="s">
        <v>129</v>
      </c>
      <c r="B229" s="2" t="s">
        <v>1174</v>
      </c>
      <c r="C229" s="17">
        <v>45817</v>
      </c>
      <c r="D229" s="2" t="s">
        <v>1373</v>
      </c>
      <c r="E229" s="18">
        <v>17671.79</v>
      </c>
      <c r="F229" s="18">
        <v>15</v>
      </c>
      <c r="G229" s="2" t="s">
        <v>1408</v>
      </c>
      <c r="H229" s="2" t="s">
        <v>19</v>
      </c>
    </row>
    <row r="230" spans="1:8" ht="15" customHeight="1" x14ac:dyDescent="0.25">
      <c r="A230" s="2" t="s">
        <v>1589</v>
      </c>
      <c r="B230" s="2" t="s">
        <v>1174</v>
      </c>
      <c r="C230" s="17">
        <v>45861</v>
      </c>
      <c r="D230" s="2" t="s">
        <v>1373</v>
      </c>
      <c r="E230" s="18">
        <v>6014.12</v>
      </c>
      <c r="F230" s="18">
        <v>102.6</v>
      </c>
      <c r="G230" s="2" t="s">
        <v>1361</v>
      </c>
      <c r="H230" s="2" t="s">
        <v>19</v>
      </c>
    </row>
    <row r="231" spans="1:8" ht="15" customHeight="1" x14ac:dyDescent="0.25">
      <c r="A231" s="2" t="s">
        <v>1590</v>
      </c>
      <c r="B231" s="2" t="s">
        <v>1174</v>
      </c>
      <c r="C231" s="17">
        <v>45868</v>
      </c>
      <c r="D231" s="2" t="s">
        <v>1373</v>
      </c>
      <c r="E231" s="18">
        <v>6143.83</v>
      </c>
      <c r="F231" s="18">
        <v>120.34</v>
      </c>
      <c r="G231" s="2" t="s">
        <v>1361</v>
      </c>
      <c r="H231" s="2" t="s">
        <v>19</v>
      </c>
    </row>
    <row r="232" spans="1:8" ht="15" customHeight="1" x14ac:dyDescent="0.25">
      <c r="A232" s="2" t="s">
        <v>1591</v>
      </c>
      <c r="B232" s="2" t="s">
        <v>1174</v>
      </c>
      <c r="C232" s="17">
        <v>45863</v>
      </c>
      <c r="D232" s="2" t="s">
        <v>1373</v>
      </c>
      <c r="E232" s="18">
        <v>7394.88</v>
      </c>
      <c r="F232" s="18">
        <v>120.11</v>
      </c>
      <c r="G232" s="2" t="s">
        <v>1361</v>
      </c>
      <c r="H232" s="2" t="s">
        <v>19</v>
      </c>
    </row>
    <row r="233" spans="1:8" ht="15" customHeight="1" x14ac:dyDescent="0.25">
      <c r="A233" s="2" t="s">
        <v>1592</v>
      </c>
      <c r="B233" s="2" t="s">
        <v>1174</v>
      </c>
      <c r="C233" s="17">
        <v>45898</v>
      </c>
      <c r="D233" s="2" t="s">
        <v>1373</v>
      </c>
      <c r="E233" s="18">
        <v>8566.6</v>
      </c>
      <c r="F233" s="18">
        <v>138.16999999999999</v>
      </c>
      <c r="G233" s="2" t="s">
        <v>1361</v>
      </c>
      <c r="H233" s="2" t="s">
        <v>19</v>
      </c>
    </row>
    <row r="234" spans="1:8" ht="15" customHeight="1" x14ac:dyDescent="0.25">
      <c r="A234" s="2" t="s">
        <v>1593</v>
      </c>
      <c r="B234" s="2" t="s">
        <v>1174</v>
      </c>
      <c r="C234" s="17">
        <v>45888</v>
      </c>
      <c r="D234" s="2" t="s">
        <v>1373</v>
      </c>
      <c r="E234" s="18">
        <v>16959.349999999999</v>
      </c>
      <c r="F234" s="18">
        <v>0</v>
      </c>
      <c r="G234" s="2" t="s">
        <v>1408</v>
      </c>
      <c r="H234" s="2" t="s">
        <v>19</v>
      </c>
    </row>
    <row r="235" spans="1:8" ht="15" customHeight="1" x14ac:dyDescent="0.25">
      <c r="A235" s="2" t="s">
        <v>1594</v>
      </c>
      <c r="B235" s="2" t="s">
        <v>1174</v>
      </c>
      <c r="C235" s="17">
        <v>45918</v>
      </c>
      <c r="D235" s="2" t="s">
        <v>1373</v>
      </c>
      <c r="E235" s="18">
        <v>6185.78</v>
      </c>
      <c r="F235" s="18">
        <v>110</v>
      </c>
      <c r="G235" s="2" t="s">
        <v>1361</v>
      </c>
      <c r="H235" s="2" t="s">
        <v>19</v>
      </c>
    </row>
    <row r="236" spans="1:8" ht="15" customHeight="1" x14ac:dyDescent="0.25">
      <c r="A236" s="2" t="s">
        <v>1595</v>
      </c>
      <c r="B236" s="2" t="s">
        <v>1174</v>
      </c>
      <c r="C236" s="17">
        <v>45944</v>
      </c>
      <c r="D236" s="2" t="s">
        <v>1373</v>
      </c>
      <c r="E236" s="18">
        <v>15404.36</v>
      </c>
      <c r="F236" s="18">
        <v>254.08</v>
      </c>
      <c r="G236" s="2" t="s">
        <v>1361</v>
      </c>
      <c r="H236" s="2" t="s">
        <v>19</v>
      </c>
    </row>
    <row r="237" spans="1:8" ht="15" customHeight="1" x14ac:dyDescent="0.25">
      <c r="A237" s="2" t="s">
        <v>1596</v>
      </c>
      <c r="B237" s="2" t="s">
        <v>1174</v>
      </c>
      <c r="C237" s="17">
        <v>45989</v>
      </c>
      <c r="D237" s="2" t="s">
        <v>1373</v>
      </c>
      <c r="E237" s="18">
        <v>10029.6</v>
      </c>
      <c r="F237" s="18">
        <v>184.65</v>
      </c>
      <c r="G237" s="2" t="s">
        <v>1361</v>
      </c>
      <c r="H237" s="2" t="s">
        <v>19</v>
      </c>
    </row>
    <row r="238" spans="1:8" ht="15" customHeight="1" x14ac:dyDescent="0.25">
      <c r="A238" s="2" t="s">
        <v>1597</v>
      </c>
      <c r="B238" s="2" t="s">
        <v>1174</v>
      </c>
      <c r="C238" s="17">
        <v>45980</v>
      </c>
      <c r="D238" s="2" t="s">
        <v>1373</v>
      </c>
      <c r="E238" s="18">
        <v>4310.25</v>
      </c>
      <c r="F238" s="18">
        <v>70.739999999999995</v>
      </c>
      <c r="G238" s="2" t="s">
        <v>1361</v>
      </c>
      <c r="H238" s="2" t="s">
        <v>19</v>
      </c>
    </row>
    <row r="239" spans="1:8" ht="15" customHeight="1" x14ac:dyDescent="0.25">
      <c r="A239" s="2" t="s">
        <v>1598</v>
      </c>
      <c r="B239" s="2" t="s">
        <v>1174</v>
      </c>
      <c r="C239" s="17">
        <v>46015</v>
      </c>
      <c r="D239" s="2" t="s">
        <v>1373</v>
      </c>
      <c r="E239" s="18">
        <v>17629.86</v>
      </c>
      <c r="F239" s="18">
        <v>278.77999999999997</v>
      </c>
      <c r="G239" s="2" t="s">
        <v>1361</v>
      </c>
      <c r="H239" s="2" t="s">
        <v>19</v>
      </c>
    </row>
    <row r="240" spans="1:8" ht="15" customHeight="1" x14ac:dyDescent="0.25">
      <c r="A240" s="2" t="s">
        <v>1599</v>
      </c>
      <c r="B240" s="2" t="s">
        <v>1174</v>
      </c>
      <c r="C240" s="17">
        <v>46004</v>
      </c>
      <c r="D240" s="2" t="s">
        <v>1373</v>
      </c>
      <c r="E240" s="18">
        <v>10589.15</v>
      </c>
      <c r="F240" s="18">
        <v>171.52</v>
      </c>
      <c r="G240" s="2" t="s">
        <v>1361</v>
      </c>
      <c r="H240" s="2" t="s">
        <v>19</v>
      </c>
    </row>
    <row r="241" spans="1:8" ht="15" customHeight="1" x14ac:dyDescent="0.25">
      <c r="A241" s="2" t="s">
        <v>1600</v>
      </c>
      <c r="B241" s="2" t="s">
        <v>1174</v>
      </c>
      <c r="C241" s="17">
        <v>46018</v>
      </c>
      <c r="D241" s="2" t="s">
        <v>1373</v>
      </c>
      <c r="E241" s="18">
        <v>13260.21</v>
      </c>
      <c r="F241" s="18">
        <v>231.66</v>
      </c>
      <c r="G241" s="2" t="s">
        <v>1361</v>
      </c>
      <c r="H241" s="2" t="s">
        <v>19</v>
      </c>
    </row>
    <row r="242" spans="1:8" ht="15" customHeight="1" x14ac:dyDescent="0.25">
      <c r="A242" s="2" t="s">
        <v>1601</v>
      </c>
      <c r="B242" s="2" t="s">
        <v>1175</v>
      </c>
      <c r="C242" s="17">
        <v>45900</v>
      </c>
      <c r="D242" s="2" t="s">
        <v>1360</v>
      </c>
      <c r="E242" s="18">
        <v>1831.95</v>
      </c>
      <c r="F242" s="18">
        <v>52.27</v>
      </c>
      <c r="G242" s="2" t="s">
        <v>1361</v>
      </c>
      <c r="H242" s="2" t="s">
        <v>21</v>
      </c>
    </row>
    <row r="243" spans="1:8" ht="15" customHeight="1" x14ac:dyDescent="0.25">
      <c r="A243" s="2" t="s">
        <v>1602</v>
      </c>
      <c r="B243" s="2" t="s">
        <v>1175</v>
      </c>
      <c r="C243" s="17">
        <v>45886</v>
      </c>
      <c r="D243" s="2" t="s">
        <v>1360</v>
      </c>
      <c r="E243" s="18">
        <v>3504.43</v>
      </c>
      <c r="F243" s="18">
        <v>101.42</v>
      </c>
      <c r="G243" s="2" t="s">
        <v>1361</v>
      </c>
      <c r="H243" s="2" t="s">
        <v>21</v>
      </c>
    </row>
    <row r="244" spans="1:8" ht="15" customHeight="1" x14ac:dyDescent="0.25">
      <c r="A244" s="2" t="s">
        <v>1603</v>
      </c>
      <c r="B244" s="2" t="s">
        <v>1175</v>
      </c>
      <c r="C244" s="17">
        <v>45889</v>
      </c>
      <c r="D244" s="2" t="s">
        <v>1481</v>
      </c>
      <c r="E244" s="18">
        <v>1801.04</v>
      </c>
      <c r="F244" s="18">
        <v>52.2</v>
      </c>
      <c r="G244" s="2" t="s">
        <v>1361</v>
      </c>
      <c r="H244" s="2" t="s">
        <v>21</v>
      </c>
    </row>
    <row r="245" spans="1:8" ht="15" customHeight="1" x14ac:dyDescent="0.25">
      <c r="A245" s="2" t="s">
        <v>1604</v>
      </c>
      <c r="B245" s="2" t="s">
        <v>1175</v>
      </c>
      <c r="C245" s="17">
        <v>45924</v>
      </c>
      <c r="D245" s="2" t="s">
        <v>1360</v>
      </c>
      <c r="E245" s="18">
        <v>1438.1</v>
      </c>
      <c r="F245" s="18">
        <v>39.76</v>
      </c>
      <c r="G245" s="2" t="s">
        <v>1361</v>
      </c>
      <c r="H245" s="2" t="s">
        <v>21</v>
      </c>
    </row>
    <row r="246" spans="1:8" ht="15" customHeight="1" x14ac:dyDescent="0.25">
      <c r="A246" s="2" t="s">
        <v>1605</v>
      </c>
      <c r="B246" s="2" t="s">
        <v>1175</v>
      </c>
      <c r="C246" s="17">
        <v>45925</v>
      </c>
      <c r="D246" s="2" t="s">
        <v>1479</v>
      </c>
      <c r="E246" s="18">
        <v>4730.82</v>
      </c>
      <c r="F246" s="18">
        <v>116.97</v>
      </c>
      <c r="G246" s="2" t="s">
        <v>1361</v>
      </c>
      <c r="H246" s="2" t="s">
        <v>21</v>
      </c>
    </row>
    <row r="247" spans="1:8" ht="15" customHeight="1" x14ac:dyDescent="0.25">
      <c r="A247" s="2" t="s">
        <v>1606</v>
      </c>
      <c r="B247" s="2" t="s">
        <v>1175</v>
      </c>
      <c r="C247" s="17">
        <v>45958</v>
      </c>
      <c r="D247" s="2" t="s">
        <v>1479</v>
      </c>
      <c r="E247" s="18">
        <v>1689.38</v>
      </c>
      <c r="F247" s="18">
        <v>0</v>
      </c>
      <c r="G247" s="2" t="s">
        <v>1408</v>
      </c>
      <c r="H247" s="2" t="s">
        <v>21</v>
      </c>
    </row>
    <row r="248" spans="1:8" ht="15" customHeight="1" x14ac:dyDescent="0.25">
      <c r="A248" s="2" t="s">
        <v>1607</v>
      </c>
      <c r="B248" s="2" t="s">
        <v>1175</v>
      </c>
      <c r="C248" s="17">
        <v>45938</v>
      </c>
      <c r="D248" s="2" t="s">
        <v>1481</v>
      </c>
      <c r="E248" s="18">
        <v>4654.4799999999996</v>
      </c>
      <c r="F248" s="18">
        <v>136.62</v>
      </c>
      <c r="G248" s="2" t="s">
        <v>1361</v>
      </c>
      <c r="H248" s="2" t="s">
        <v>21</v>
      </c>
    </row>
    <row r="249" spans="1:8" ht="15" customHeight="1" x14ac:dyDescent="0.25">
      <c r="A249" s="2" t="s">
        <v>1608</v>
      </c>
      <c r="B249" s="2" t="s">
        <v>1175</v>
      </c>
      <c r="C249" s="17">
        <v>45953</v>
      </c>
      <c r="D249" s="2" t="s">
        <v>1360</v>
      </c>
      <c r="E249" s="18">
        <v>2738.34</v>
      </c>
      <c r="F249" s="18">
        <v>84.63</v>
      </c>
      <c r="G249" s="2" t="s">
        <v>1361</v>
      </c>
      <c r="H249" s="2" t="s">
        <v>21</v>
      </c>
    </row>
    <row r="250" spans="1:8" ht="15" customHeight="1" x14ac:dyDescent="0.25">
      <c r="A250" s="2" t="s">
        <v>1609</v>
      </c>
      <c r="B250" s="2" t="s">
        <v>1175</v>
      </c>
      <c r="C250" s="17">
        <v>45971</v>
      </c>
      <c r="D250" s="2" t="s">
        <v>1481</v>
      </c>
      <c r="E250" s="18">
        <v>3602.73</v>
      </c>
      <c r="F250" s="18">
        <v>93.84</v>
      </c>
      <c r="G250" s="2" t="s">
        <v>1361</v>
      </c>
      <c r="H250" s="2" t="s">
        <v>21</v>
      </c>
    </row>
    <row r="251" spans="1:8" ht="15" customHeight="1" x14ac:dyDescent="0.25">
      <c r="A251" s="2" t="s">
        <v>1610</v>
      </c>
      <c r="B251" s="2" t="s">
        <v>1175</v>
      </c>
      <c r="C251" s="17">
        <v>45964</v>
      </c>
      <c r="D251" s="2" t="s">
        <v>1481</v>
      </c>
      <c r="E251" s="18">
        <v>2533.9899999999998</v>
      </c>
      <c r="F251" s="18">
        <v>60.08</v>
      </c>
      <c r="G251" s="2" t="s">
        <v>1361</v>
      </c>
      <c r="H251" s="2" t="s">
        <v>21</v>
      </c>
    </row>
    <row r="252" spans="1:8" ht="15" customHeight="1" x14ac:dyDescent="0.25">
      <c r="A252" s="2" t="s">
        <v>1611</v>
      </c>
      <c r="B252" s="2" t="s">
        <v>1175</v>
      </c>
      <c r="C252" s="17">
        <v>45988</v>
      </c>
      <c r="D252" s="2" t="s">
        <v>1479</v>
      </c>
      <c r="E252" s="18">
        <v>4185.87</v>
      </c>
      <c r="F252" s="18">
        <v>98.03</v>
      </c>
      <c r="G252" s="2" t="s">
        <v>1361</v>
      </c>
      <c r="H252" s="2" t="s">
        <v>21</v>
      </c>
    </row>
    <row r="253" spans="1:8" ht="15" customHeight="1" x14ac:dyDescent="0.25">
      <c r="A253" s="2" t="s">
        <v>1612</v>
      </c>
      <c r="B253" s="2" t="s">
        <v>1175</v>
      </c>
      <c r="C253" s="17">
        <v>45999</v>
      </c>
      <c r="D253" s="2" t="s">
        <v>1479</v>
      </c>
      <c r="E253" s="18">
        <v>2518.9899999999998</v>
      </c>
      <c r="F253" s="18">
        <v>59.57</v>
      </c>
      <c r="G253" s="2" t="s">
        <v>1361</v>
      </c>
      <c r="H253" s="2" t="s">
        <v>21</v>
      </c>
    </row>
    <row r="254" spans="1:8" ht="15" customHeight="1" x14ac:dyDescent="0.25">
      <c r="A254" s="2" t="s">
        <v>1613</v>
      </c>
      <c r="B254" s="2" t="s">
        <v>1177</v>
      </c>
      <c r="C254" s="17">
        <v>45926</v>
      </c>
      <c r="D254" s="2" t="s">
        <v>1360</v>
      </c>
      <c r="E254" s="18">
        <v>6798.24</v>
      </c>
      <c r="F254" s="18">
        <v>159.36000000000001</v>
      </c>
      <c r="G254" s="2" t="s">
        <v>1361</v>
      </c>
      <c r="H254" s="2" t="s">
        <v>19</v>
      </c>
    </row>
    <row r="255" spans="1:8" ht="15" customHeight="1" x14ac:dyDescent="0.25">
      <c r="A255" s="2" t="s">
        <v>1614</v>
      </c>
      <c r="B255" s="2" t="s">
        <v>1177</v>
      </c>
      <c r="C255" s="17">
        <v>45952</v>
      </c>
      <c r="D255" s="2" t="s">
        <v>1360</v>
      </c>
      <c r="E255" s="18">
        <v>7157.48</v>
      </c>
      <c r="F255" s="18">
        <v>203.45</v>
      </c>
      <c r="G255" s="2" t="s">
        <v>1361</v>
      </c>
      <c r="H255" s="2" t="s">
        <v>19</v>
      </c>
    </row>
    <row r="256" spans="1:8" ht="15" customHeight="1" x14ac:dyDescent="0.25">
      <c r="A256" s="2" t="s">
        <v>1615</v>
      </c>
      <c r="B256" s="2" t="s">
        <v>1177</v>
      </c>
      <c r="C256" s="17">
        <v>45960</v>
      </c>
      <c r="D256" s="2" t="s">
        <v>1360</v>
      </c>
      <c r="E256" s="18">
        <v>5672.69</v>
      </c>
      <c r="F256" s="18">
        <v>142.32</v>
      </c>
      <c r="G256" s="2" t="s">
        <v>1361</v>
      </c>
      <c r="H256" s="2" t="s">
        <v>19</v>
      </c>
    </row>
    <row r="257" spans="1:8" ht="15" customHeight="1" x14ac:dyDescent="0.25">
      <c r="A257" s="2" t="s">
        <v>1616</v>
      </c>
      <c r="B257" s="2" t="s">
        <v>1177</v>
      </c>
      <c r="C257" s="17">
        <v>45982</v>
      </c>
      <c r="D257" s="2" t="s">
        <v>1360</v>
      </c>
      <c r="E257" s="18">
        <v>4522.34</v>
      </c>
      <c r="F257" s="18">
        <v>97.52</v>
      </c>
      <c r="G257" s="2" t="s">
        <v>1361</v>
      </c>
      <c r="H257" s="2" t="s">
        <v>19</v>
      </c>
    </row>
    <row r="258" spans="1:8" ht="15" customHeight="1" x14ac:dyDescent="0.25">
      <c r="A258" s="2" t="s">
        <v>1617</v>
      </c>
      <c r="B258" s="2" t="s">
        <v>1177</v>
      </c>
      <c r="C258" s="17">
        <v>45963</v>
      </c>
      <c r="D258" s="2" t="s">
        <v>1360</v>
      </c>
      <c r="E258" s="18">
        <v>8413.09</v>
      </c>
      <c r="F258" s="18">
        <v>229</v>
      </c>
      <c r="G258" s="2" t="s">
        <v>1361</v>
      </c>
      <c r="H258" s="2" t="s">
        <v>19</v>
      </c>
    </row>
    <row r="259" spans="1:8" ht="15" customHeight="1" x14ac:dyDescent="0.25">
      <c r="A259" s="2" t="s">
        <v>1618</v>
      </c>
      <c r="B259" s="2" t="s">
        <v>1177</v>
      </c>
      <c r="C259" s="17">
        <v>46019</v>
      </c>
      <c r="D259" s="2" t="s">
        <v>1360</v>
      </c>
      <c r="E259" s="18">
        <v>10899.48</v>
      </c>
      <c r="F259" s="18">
        <v>270.31</v>
      </c>
      <c r="G259" s="2" t="s">
        <v>1361</v>
      </c>
      <c r="H259" s="2" t="s">
        <v>19</v>
      </c>
    </row>
    <row r="260" spans="1:8" ht="15" customHeight="1" x14ac:dyDescent="0.25">
      <c r="A260" s="2" t="s">
        <v>1619</v>
      </c>
      <c r="B260" s="2" t="s">
        <v>1177</v>
      </c>
      <c r="C260" s="17">
        <v>46016</v>
      </c>
      <c r="D260" s="2" t="s">
        <v>1360</v>
      </c>
      <c r="E260" s="18">
        <v>11524.71</v>
      </c>
      <c r="F260" s="18">
        <v>248.41</v>
      </c>
      <c r="G260" s="2" t="s">
        <v>1361</v>
      </c>
      <c r="H260" s="2" t="s">
        <v>19</v>
      </c>
    </row>
    <row r="261" spans="1:8" ht="15" customHeight="1" x14ac:dyDescent="0.25">
      <c r="A261" s="2" t="s">
        <v>1620</v>
      </c>
      <c r="B261" s="2" t="s">
        <v>1177</v>
      </c>
      <c r="C261" s="17">
        <v>46005</v>
      </c>
      <c r="D261" s="2" t="s">
        <v>1360</v>
      </c>
      <c r="E261" s="18">
        <v>10771.26</v>
      </c>
      <c r="F261" s="18">
        <v>232.79</v>
      </c>
      <c r="G261" s="2" t="s">
        <v>1361</v>
      </c>
      <c r="H261" s="2" t="s">
        <v>2966</v>
      </c>
    </row>
    <row r="262" spans="1:8" ht="15" customHeight="1" x14ac:dyDescent="0.25">
      <c r="A262" s="2" t="s">
        <v>1621</v>
      </c>
      <c r="B262" s="2" t="s">
        <v>1178</v>
      </c>
      <c r="C262" s="17">
        <v>45930</v>
      </c>
      <c r="D262" s="2" t="s">
        <v>1360</v>
      </c>
      <c r="E262" s="18">
        <v>15821.53</v>
      </c>
      <c r="F262" s="18">
        <v>412.46</v>
      </c>
      <c r="G262" s="2" t="s">
        <v>1361</v>
      </c>
      <c r="H262" s="2" t="s">
        <v>19</v>
      </c>
    </row>
    <row r="263" spans="1:8" ht="15" customHeight="1" x14ac:dyDescent="0.25">
      <c r="A263" s="2" t="s">
        <v>1622</v>
      </c>
      <c r="B263" s="2" t="s">
        <v>1178</v>
      </c>
      <c r="C263" s="17">
        <v>45924</v>
      </c>
      <c r="D263" s="2" t="s">
        <v>1360</v>
      </c>
      <c r="E263" s="18">
        <v>13461.97</v>
      </c>
      <c r="F263" s="18">
        <v>380.92</v>
      </c>
      <c r="G263" s="2" t="s">
        <v>1361</v>
      </c>
      <c r="H263" s="2" t="s">
        <v>19</v>
      </c>
    </row>
    <row r="264" spans="1:8" ht="15" customHeight="1" x14ac:dyDescent="0.25">
      <c r="A264" s="2" t="s">
        <v>1623</v>
      </c>
      <c r="B264" s="2" t="s">
        <v>1178</v>
      </c>
      <c r="C264" s="17">
        <v>45925</v>
      </c>
      <c r="D264" s="2" t="s">
        <v>1360</v>
      </c>
      <c r="E264" s="18">
        <v>6439.38</v>
      </c>
      <c r="F264" s="18">
        <v>182.33</v>
      </c>
      <c r="G264" s="2" t="s">
        <v>1361</v>
      </c>
      <c r="H264" s="2" t="s">
        <v>19</v>
      </c>
    </row>
    <row r="265" spans="1:8" ht="15" customHeight="1" x14ac:dyDescent="0.25">
      <c r="A265" s="2" t="s">
        <v>1624</v>
      </c>
      <c r="B265" s="2" t="s">
        <v>1178</v>
      </c>
      <c r="C265" s="17">
        <v>45951</v>
      </c>
      <c r="D265" s="2" t="s">
        <v>1360</v>
      </c>
      <c r="E265" s="18">
        <v>9850.75</v>
      </c>
      <c r="F265" s="18">
        <v>262.73</v>
      </c>
      <c r="G265" s="2" t="s">
        <v>1361</v>
      </c>
      <c r="H265" s="2" t="s">
        <v>19</v>
      </c>
    </row>
    <row r="266" spans="1:8" ht="15" customHeight="1" x14ac:dyDescent="0.25">
      <c r="A266" s="2" t="s">
        <v>1625</v>
      </c>
      <c r="B266" s="2" t="s">
        <v>1178</v>
      </c>
      <c r="C266" s="17">
        <v>45934</v>
      </c>
      <c r="D266" s="2" t="s">
        <v>1360</v>
      </c>
      <c r="E266" s="18">
        <v>6578.99</v>
      </c>
      <c r="F266" s="18">
        <v>149.93</v>
      </c>
      <c r="G266" s="2" t="s">
        <v>1361</v>
      </c>
      <c r="H266" s="2" t="s">
        <v>19</v>
      </c>
    </row>
    <row r="267" spans="1:8" ht="15" customHeight="1" x14ac:dyDescent="0.25">
      <c r="A267" s="2" t="s">
        <v>1626</v>
      </c>
      <c r="B267" s="2" t="s">
        <v>1178</v>
      </c>
      <c r="C267" s="17">
        <v>45988</v>
      </c>
      <c r="D267" s="2" t="s">
        <v>1360</v>
      </c>
      <c r="E267" s="18">
        <v>13212.58</v>
      </c>
      <c r="F267" s="18">
        <v>330.89</v>
      </c>
      <c r="G267" s="2" t="s">
        <v>1361</v>
      </c>
      <c r="H267" s="2" t="s">
        <v>19</v>
      </c>
    </row>
    <row r="268" spans="1:8" ht="15" customHeight="1" x14ac:dyDescent="0.25">
      <c r="A268" s="2" t="s">
        <v>1627</v>
      </c>
      <c r="B268" s="2" t="s">
        <v>1178</v>
      </c>
      <c r="C268" s="17">
        <v>45974</v>
      </c>
      <c r="D268" s="2" t="s">
        <v>1360</v>
      </c>
      <c r="E268" s="18">
        <v>10854.22</v>
      </c>
      <c r="F268" s="18">
        <v>250.98</v>
      </c>
      <c r="G268" s="2" t="s">
        <v>1361</v>
      </c>
      <c r="H268" s="2" t="s">
        <v>19</v>
      </c>
    </row>
    <row r="269" spans="1:8" ht="15" customHeight="1" x14ac:dyDescent="0.25">
      <c r="A269" s="2" t="s">
        <v>1628</v>
      </c>
      <c r="B269" s="2" t="s">
        <v>1178</v>
      </c>
      <c r="C269" s="17">
        <v>45985</v>
      </c>
      <c r="D269" s="2" t="s">
        <v>1360</v>
      </c>
      <c r="E269" s="18">
        <v>7865.26</v>
      </c>
      <c r="F269" s="18">
        <v>0</v>
      </c>
      <c r="G269" s="2" t="s">
        <v>1408</v>
      </c>
      <c r="H269" s="2" t="s">
        <v>19</v>
      </c>
    </row>
    <row r="270" spans="1:8" ht="15" customHeight="1" x14ac:dyDescent="0.25">
      <c r="A270" s="2" t="s">
        <v>1629</v>
      </c>
      <c r="B270" s="2" t="s">
        <v>1178</v>
      </c>
      <c r="C270" s="17">
        <v>46012</v>
      </c>
      <c r="D270" s="2" t="s">
        <v>1360</v>
      </c>
      <c r="E270" s="18">
        <v>10749.55</v>
      </c>
      <c r="F270" s="18">
        <v>302.25</v>
      </c>
      <c r="G270" s="2" t="s">
        <v>1361</v>
      </c>
      <c r="H270" s="2" t="s">
        <v>19</v>
      </c>
    </row>
    <row r="271" spans="1:8" ht="15" customHeight="1" x14ac:dyDescent="0.25">
      <c r="A271" s="2" t="s">
        <v>105</v>
      </c>
      <c r="B271" s="2" t="s">
        <v>86</v>
      </c>
      <c r="C271" s="17">
        <v>45836</v>
      </c>
      <c r="D271" s="2" t="s">
        <v>1360</v>
      </c>
      <c r="E271" s="18">
        <v>2238.19</v>
      </c>
      <c r="F271" s="18">
        <v>61.75</v>
      </c>
      <c r="G271" s="2" t="s">
        <v>1361</v>
      </c>
      <c r="H271" s="2" t="s">
        <v>21</v>
      </c>
    </row>
    <row r="272" spans="1:8" ht="15" customHeight="1" x14ac:dyDescent="0.25">
      <c r="A272" s="2" t="s">
        <v>1630</v>
      </c>
      <c r="B272" s="2" t="s">
        <v>86</v>
      </c>
      <c r="C272" s="17">
        <v>45833</v>
      </c>
      <c r="D272" s="2" t="s">
        <v>1360</v>
      </c>
      <c r="E272" s="18">
        <v>3996.86</v>
      </c>
      <c r="F272" s="18">
        <v>104</v>
      </c>
      <c r="G272" s="2" t="s">
        <v>1361</v>
      </c>
      <c r="H272" s="2" t="s">
        <v>21</v>
      </c>
    </row>
    <row r="273" spans="1:8" ht="15" customHeight="1" x14ac:dyDescent="0.25">
      <c r="A273" s="2" t="s">
        <v>1631</v>
      </c>
      <c r="B273" s="2" t="s">
        <v>86</v>
      </c>
      <c r="C273" s="17">
        <v>45848</v>
      </c>
      <c r="D273" s="2" t="s">
        <v>1360</v>
      </c>
      <c r="E273" s="18">
        <v>1765.09</v>
      </c>
      <c r="F273" s="18">
        <v>49.92</v>
      </c>
      <c r="G273" s="2" t="s">
        <v>1361</v>
      </c>
      <c r="H273" s="2" t="s">
        <v>21</v>
      </c>
    </row>
    <row r="274" spans="1:8" ht="15" customHeight="1" x14ac:dyDescent="0.25">
      <c r="A274" s="2" t="s">
        <v>1632</v>
      </c>
      <c r="B274" s="2" t="s">
        <v>86</v>
      </c>
      <c r="C274" s="17">
        <v>45813</v>
      </c>
      <c r="D274" s="2" t="s">
        <v>1360</v>
      </c>
      <c r="E274" s="18">
        <v>4310.04</v>
      </c>
      <c r="F274" s="18">
        <v>102.09</v>
      </c>
      <c r="G274" s="2" t="s">
        <v>1361</v>
      </c>
      <c r="H274" s="2" t="s">
        <v>21</v>
      </c>
    </row>
    <row r="275" spans="1:8" ht="15" customHeight="1" x14ac:dyDescent="0.25">
      <c r="A275" s="2" t="s">
        <v>1633</v>
      </c>
      <c r="B275" s="2" t="s">
        <v>86</v>
      </c>
      <c r="C275" s="17">
        <v>45841</v>
      </c>
      <c r="D275" s="2" t="s">
        <v>1360</v>
      </c>
      <c r="E275" s="18">
        <v>1974</v>
      </c>
      <c r="F275" s="18">
        <v>56.5</v>
      </c>
      <c r="G275" s="2" t="s">
        <v>1361</v>
      </c>
      <c r="H275" s="2" t="s">
        <v>21</v>
      </c>
    </row>
    <row r="276" spans="1:8" ht="15" customHeight="1" x14ac:dyDescent="0.25">
      <c r="A276" s="2" t="s">
        <v>1634</v>
      </c>
      <c r="B276" s="2" t="s">
        <v>86</v>
      </c>
      <c r="C276" s="17">
        <v>45882</v>
      </c>
      <c r="D276" s="2" t="s">
        <v>1360</v>
      </c>
      <c r="E276" s="18">
        <v>3260.84</v>
      </c>
      <c r="F276" s="18">
        <v>84.6</v>
      </c>
      <c r="G276" s="2" t="s">
        <v>1361</v>
      </c>
      <c r="H276" s="2" t="s">
        <v>21</v>
      </c>
    </row>
    <row r="277" spans="1:8" ht="15" customHeight="1" x14ac:dyDescent="0.25">
      <c r="A277" s="2" t="s">
        <v>1635</v>
      </c>
      <c r="B277" s="2" t="s">
        <v>1179</v>
      </c>
      <c r="C277" s="17">
        <v>45989</v>
      </c>
      <c r="D277" s="2" t="s">
        <v>1423</v>
      </c>
      <c r="E277" s="18">
        <v>5239.6499999999996</v>
      </c>
      <c r="F277" s="18">
        <v>162.91</v>
      </c>
      <c r="G277" s="2" t="s">
        <v>1361</v>
      </c>
      <c r="H277" s="2" t="s">
        <v>22</v>
      </c>
    </row>
    <row r="278" spans="1:8" ht="15" customHeight="1" x14ac:dyDescent="0.25">
      <c r="A278" s="2" t="s">
        <v>1636</v>
      </c>
      <c r="B278" s="2" t="s">
        <v>1179</v>
      </c>
      <c r="C278" s="17">
        <v>46014</v>
      </c>
      <c r="D278" s="2" t="s">
        <v>1423</v>
      </c>
      <c r="E278" s="18">
        <v>3711.23</v>
      </c>
      <c r="F278" s="18">
        <v>115.05</v>
      </c>
      <c r="G278" s="2" t="s">
        <v>1361</v>
      </c>
      <c r="H278" s="2" t="s">
        <v>22</v>
      </c>
    </row>
    <row r="279" spans="1:8" ht="15" customHeight="1" x14ac:dyDescent="0.25">
      <c r="A279" s="2" t="s">
        <v>1637</v>
      </c>
      <c r="B279" s="2" t="s">
        <v>1180</v>
      </c>
      <c r="C279" s="17">
        <v>45771</v>
      </c>
      <c r="D279" s="2" t="s">
        <v>1360</v>
      </c>
      <c r="E279" s="18">
        <v>1541.65</v>
      </c>
      <c r="F279" s="18">
        <v>40.090000000000003</v>
      </c>
      <c r="G279" s="2" t="s">
        <v>1361</v>
      </c>
      <c r="H279" s="2" t="s">
        <v>20</v>
      </c>
    </row>
    <row r="280" spans="1:8" ht="15" customHeight="1" x14ac:dyDescent="0.25">
      <c r="A280" s="2" t="s">
        <v>1638</v>
      </c>
      <c r="B280" s="2" t="s">
        <v>1180</v>
      </c>
      <c r="C280" s="17">
        <v>45769</v>
      </c>
      <c r="D280" s="2" t="s">
        <v>1360</v>
      </c>
      <c r="E280" s="18">
        <v>3372.17</v>
      </c>
      <c r="F280" s="18">
        <v>96.42</v>
      </c>
      <c r="G280" s="2" t="s">
        <v>1361</v>
      </c>
      <c r="H280" s="2" t="s">
        <v>20</v>
      </c>
    </row>
    <row r="281" spans="1:8" ht="15" customHeight="1" x14ac:dyDescent="0.25">
      <c r="A281" s="2" t="s">
        <v>1639</v>
      </c>
      <c r="B281" s="2" t="s">
        <v>1180</v>
      </c>
      <c r="C281" s="17">
        <v>45793</v>
      </c>
      <c r="D281" s="2" t="s">
        <v>1360</v>
      </c>
      <c r="E281" s="18">
        <v>3966.57</v>
      </c>
      <c r="F281" s="18">
        <v>0</v>
      </c>
      <c r="G281" s="2" t="s">
        <v>1408</v>
      </c>
      <c r="H281" s="2" t="s">
        <v>20</v>
      </c>
    </row>
    <row r="282" spans="1:8" ht="15" customHeight="1" x14ac:dyDescent="0.25">
      <c r="A282" s="2" t="s">
        <v>1640</v>
      </c>
      <c r="B282" s="2" t="s">
        <v>1180</v>
      </c>
      <c r="C282" s="17">
        <v>45833</v>
      </c>
      <c r="D282" s="2" t="s">
        <v>1360</v>
      </c>
      <c r="E282" s="18">
        <v>2543.9</v>
      </c>
      <c r="F282" s="18">
        <v>57.79</v>
      </c>
      <c r="G282" s="2" t="s">
        <v>1361</v>
      </c>
      <c r="H282" s="2" t="s">
        <v>20</v>
      </c>
    </row>
    <row r="283" spans="1:8" ht="15" customHeight="1" x14ac:dyDescent="0.25">
      <c r="A283" s="2" t="s">
        <v>1641</v>
      </c>
      <c r="B283" s="2" t="s">
        <v>1180</v>
      </c>
      <c r="C283" s="17">
        <v>45854</v>
      </c>
      <c r="D283" s="2" t="s">
        <v>1360</v>
      </c>
      <c r="E283" s="18">
        <v>2360.8000000000002</v>
      </c>
      <c r="F283" s="18">
        <v>54.96</v>
      </c>
      <c r="G283" s="2" t="s">
        <v>1361</v>
      </c>
      <c r="H283" s="2" t="s">
        <v>2965</v>
      </c>
    </row>
    <row r="284" spans="1:8" ht="15" customHeight="1" x14ac:dyDescent="0.25">
      <c r="A284" s="2" t="s">
        <v>1642</v>
      </c>
      <c r="B284" s="2" t="s">
        <v>1180</v>
      </c>
      <c r="C284" s="17">
        <v>45844</v>
      </c>
      <c r="D284" s="2" t="s">
        <v>1360</v>
      </c>
      <c r="E284" s="18">
        <v>4004.13</v>
      </c>
      <c r="F284" s="18">
        <v>109.63</v>
      </c>
      <c r="G284" s="2" t="s">
        <v>1361</v>
      </c>
      <c r="H284" s="2" t="s">
        <v>20</v>
      </c>
    </row>
    <row r="285" spans="1:8" ht="15" customHeight="1" x14ac:dyDescent="0.25">
      <c r="A285" s="2" t="s">
        <v>1643</v>
      </c>
      <c r="B285" s="2" t="s">
        <v>1180</v>
      </c>
      <c r="C285" s="17">
        <v>45883</v>
      </c>
      <c r="D285" s="2" t="s">
        <v>1360</v>
      </c>
      <c r="E285" s="18">
        <v>3419.51</v>
      </c>
      <c r="F285" s="18">
        <v>87.15</v>
      </c>
      <c r="G285" s="2" t="s">
        <v>1361</v>
      </c>
      <c r="H285" s="2" t="s">
        <v>20</v>
      </c>
    </row>
    <row r="286" spans="1:8" ht="15" customHeight="1" x14ac:dyDescent="0.25">
      <c r="A286" s="2" t="s">
        <v>1644</v>
      </c>
      <c r="B286" s="2" t="s">
        <v>1180</v>
      </c>
      <c r="C286" s="17">
        <v>45905</v>
      </c>
      <c r="D286" s="2" t="s">
        <v>1360</v>
      </c>
      <c r="E286" s="18">
        <v>5176.75</v>
      </c>
      <c r="F286" s="18">
        <v>124.24</v>
      </c>
      <c r="G286" s="2" t="s">
        <v>1361</v>
      </c>
      <c r="H286" s="2" t="s">
        <v>20</v>
      </c>
    </row>
    <row r="287" spans="1:8" ht="15" customHeight="1" x14ac:dyDescent="0.25">
      <c r="A287" s="2" t="s">
        <v>1645</v>
      </c>
      <c r="B287" s="2" t="s">
        <v>1180</v>
      </c>
      <c r="C287" s="17">
        <v>45902</v>
      </c>
      <c r="D287" s="2" t="s">
        <v>1360</v>
      </c>
      <c r="E287" s="18">
        <v>3479.73</v>
      </c>
      <c r="F287" s="18">
        <v>87.1</v>
      </c>
      <c r="G287" s="2" t="s">
        <v>1361</v>
      </c>
      <c r="H287" s="2" t="s">
        <v>20</v>
      </c>
    </row>
    <row r="288" spans="1:8" ht="15" customHeight="1" x14ac:dyDescent="0.25">
      <c r="A288" s="2" t="s">
        <v>1646</v>
      </c>
      <c r="B288" s="2" t="s">
        <v>1180</v>
      </c>
      <c r="C288" s="17">
        <v>45930</v>
      </c>
      <c r="D288" s="2" t="s">
        <v>1360</v>
      </c>
      <c r="E288" s="18">
        <v>1995.85</v>
      </c>
      <c r="F288" s="18">
        <v>55.17</v>
      </c>
      <c r="G288" s="2" t="s">
        <v>1361</v>
      </c>
      <c r="H288" s="2" t="s">
        <v>20</v>
      </c>
    </row>
    <row r="289" spans="1:8" ht="15" customHeight="1" x14ac:dyDescent="0.25">
      <c r="A289" s="2" t="s">
        <v>1647</v>
      </c>
      <c r="B289" s="2" t="s">
        <v>1180</v>
      </c>
      <c r="C289" s="17">
        <v>45943</v>
      </c>
      <c r="D289" s="2" t="s">
        <v>1360</v>
      </c>
      <c r="E289" s="18">
        <v>2351.66</v>
      </c>
      <c r="F289" s="18">
        <v>60.59</v>
      </c>
      <c r="G289" s="2" t="s">
        <v>1361</v>
      </c>
      <c r="H289" s="2" t="s">
        <v>20</v>
      </c>
    </row>
    <row r="290" spans="1:8" ht="15" customHeight="1" x14ac:dyDescent="0.25">
      <c r="A290" s="2" t="s">
        <v>1648</v>
      </c>
      <c r="B290" s="2" t="s">
        <v>1180</v>
      </c>
      <c r="C290" s="17">
        <v>45967</v>
      </c>
      <c r="D290" s="2" t="s">
        <v>1360</v>
      </c>
      <c r="E290" s="18">
        <v>2971.42</v>
      </c>
      <c r="F290" s="18">
        <v>77.23</v>
      </c>
      <c r="G290" s="2" t="s">
        <v>1361</v>
      </c>
      <c r="H290" s="2" t="s">
        <v>20</v>
      </c>
    </row>
    <row r="291" spans="1:8" ht="15" customHeight="1" x14ac:dyDescent="0.25">
      <c r="A291" s="2" t="s">
        <v>1649</v>
      </c>
      <c r="B291" s="2" t="s">
        <v>1180</v>
      </c>
      <c r="C291" s="17">
        <v>45981</v>
      </c>
      <c r="D291" s="2" t="s">
        <v>1360</v>
      </c>
      <c r="E291" s="18">
        <v>2874.52</v>
      </c>
      <c r="F291" s="18">
        <v>61.19</v>
      </c>
      <c r="G291" s="2" t="s">
        <v>1361</v>
      </c>
      <c r="H291" s="2" t="s">
        <v>20</v>
      </c>
    </row>
    <row r="292" spans="1:8" ht="15" customHeight="1" x14ac:dyDescent="0.25">
      <c r="A292" s="2" t="s">
        <v>1650</v>
      </c>
      <c r="B292" s="2" t="s">
        <v>1180</v>
      </c>
      <c r="C292" s="17">
        <v>45997</v>
      </c>
      <c r="D292" s="2" t="s">
        <v>1360</v>
      </c>
      <c r="E292" s="18">
        <v>4018.71</v>
      </c>
      <c r="F292" s="18">
        <v>105.21</v>
      </c>
      <c r="G292" s="2" t="s">
        <v>1361</v>
      </c>
      <c r="H292" s="2" t="s">
        <v>20</v>
      </c>
    </row>
    <row r="293" spans="1:8" ht="15" customHeight="1" x14ac:dyDescent="0.25">
      <c r="A293" s="2" t="s">
        <v>1651</v>
      </c>
      <c r="B293" s="2" t="s">
        <v>1180</v>
      </c>
      <c r="C293" s="17">
        <v>46000</v>
      </c>
      <c r="D293" s="2" t="s">
        <v>1360</v>
      </c>
      <c r="E293" s="18">
        <v>4029.68</v>
      </c>
      <c r="F293" s="18">
        <v>109.23</v>
      </c>
      <c r="G293" s="2" t="s">
        <v>1361</v>
      </c>
      <c r="H293" s="2" t="s">
        <v>20</v>
      </c>
    </row>
    <row r="294" spans="1:8" ht="15" customHeight="1" x14ac:dyDescent="0.25">
      <c r="A294" s="2" t="s">
        <v>1652</v>
      </c>
      <c r="B294" s="2" t="s">
        <v>1181</v>
      </c>
      <c r="C294" s="17">
        <v>46022</v>
      </c>
      <c r="D294" s="2" t="s">
        <v>1360</v>
      </c>
      <c r="E294" s="18">
        <v>55762.05</v>
      </c>
      <c r="F294" s="18">
        <v>1432.1</v>
      </c>
      <c r="G294" s="2" t="s">
        <v>1361</v>
      </c>
      <c r="H294" s="2" t="s">
        <v>20</v>
      </c>
    </row>
    <row r="295" spans="1:8" ht="15" customHeight="1" x14ac:dyDescent="0.25">
      <c r="A295" s="2" t="s">
        <v>1653</v>
      </c>
      <c r="B295" s="2" t="s">
        <v>1181</v>
      </c>
      <c r="C295" s="17">
        <v>46018</v>
      </c>
      <c r="D295" s="2" t="s">
        <v>1360</v>
      </c>
      <c r="E295" s="18">
        <v>23045.43</v>
      </c>
      <c r="F295" s="18">
        <v>637.39</v>
      </c>
      <c r="G295" s="2" t="s">
        <v>1361</v>
      </c>
      <c r="H295" s="2" t="s">
        <v>20</v>
      </c>
    </row>
    <row r="296" spans="1:8" ht="15" customHeight="1" x14ac:dyDescent="0.25">
      <c r="A296" s="2" t="s">
        <v>1654</v>
      </c>
      <c r="B296" s="2" t="s">
        <v>1182</v>
      </c>
      <c r="C296" s="17">
        <v>45913</v>
      </c>
      <c r="D296" s="2" t="s">
        <v>1360</v>
      </c>
      <c r="E296" s="18">
        <v>3252.77</v>
      </c>
      <c r="F296" s="18">
        <v>92.1</v>
      </c>
      <c r="G296" s="2" t="s">
        <v>1361</v>
      </c>
      <c r="H296" s="2" t="s">
        <v>18</v>
      </c>
    </row>
    <row r="297" spans="1:8" ht="15" customHeight="1" x14ac:dyDescent="0.25">
      <c r="A297" s="2" t="s">
        <v>1655</v>
      </c>
      <c r="B297" s="2" t="s">
        <v>1182</v>
      </c>
      <c r="C297" s="17">
        <v>45910</v>
      </c>
      <c r="D297" s="2" t="s">
        <v>1360</v>
      </c>
      <c r="E297" s="18">
        <v>1377.05</v>
      </c>
      <c r="F297" s="18">
        <v>30.81</v>
      </c>
      <c r="G297" s="2" t="s">
        <v>1361</v>
      </c>
      <c r="H297" s="2" t="s">
        <v>18</v>
      </c>
    </row>
    <row r="298" spans="1:8" ht="15" customHeight="1" x14ac:dyDescent="0.25">
      <c r="A298" s="2" t="s">
        <v>1656</v>
      </c>
      <c r="B298" s="2" t="s">
        <v>1182</v>
      </c>
      <c r="C298" s="17">
        <v>45922</v>
      </c>
      <c r="D298" s="2" t="s">
        <v>1360</v>
      </c>
      <c r="E298" s="18">
        <v>4022.5</v>
      </c>
      <c r="F298" s="18">
        <v>98.89</v>
      </c>
      <c r="G298" s="2" t="s">
        <v>1361</v>
      </c>
      <c r="H298" s="2" t="s">
        <v>18</v>
      </c>
    </row>
    <row r="299" spans="1:8" ht="15" customHeight="1" x14ac:dyDescent="0.25">
      <c r="A299" s="2" t="s">
        <v>1657</v>
      </c>
      <c r="B299" s="2" t="s">
        <v>1182</v>
      </c>
      <c r="C299" s="17">
        <v>45950</v>
      </c>
      <c r="D299" s="2" t="s">
        <v>1360</v>
      </c>
      <c r="E299" s="18">
        <v>5185.1000000000004</v>
      </c>
      <c r="F299" s="18">
        <v>116.06</v>
      </c>
      <c r="G299" s="2" t="s">
        <v>1361</v>
      </c>
      <c r="H299" s="2" t="s">
        <v>18</v>
      </c>
    </row>
    <row r="300" spans="1:8" ht="15" customHeight="1" x14ac:dyDescent="0.25">
      <c r="A300" s="2" t="s">
        <v>1658</v>
      </c>
      <c r="B300" s="2" t="s">
        <v>1182</v>
      </c>
      <c r="C300" s="17">
        <v>45984</v>
      </c>
      <c r="D300" s="2" t="s">
        <v>1360</v>
      </c>
      <c r="E300" s="18">
        <v>1640.27</v>
      </c>
      <c r="F300" s="18">
        <v>43.01</v>
      </c>
      <c r="G300" s="2" t="s">
        <v>1361</v>
      </c>
      <c r="H300" s="2" t="s">
        <v>18</v>
      </c>
    </row>
    <row r="301" spans="1:8" ht="15" customHeight="1" x14ac:dyDescent="0.25">
      <c r="A301" s="2" t="s">
        <v>1659</v>
      </c>
      <c r="B301" s="2" t="s">
        <v>1182</v>
      </c>
      <c r="C301" s="17">
        <v>45966</v>
      </c>
      <c r="D301" s="2" t="s">
        <v>1360</v>
      </c>
      <c r="E301" s="18">
        <v>3554.51</v>
      </c>
      <c r="F301" s="18">
        <v>80.17</v>
      </c>
      <c r="G301" s="2" t="s">
        <v>1361</v>
      </c>
      <c r="H301" s="2" t="s">
        <v>18</v>
      </c>
    </row>
    <row r="302" spans="1:8" ht="15" customHeight="1" x14ac:dyDescent="0.25">
      <c r="A302" s="2" t="s">
        <v>1660</v>
      </c>
      <c r="B302" s="2" t="s">
        <v>1182</v>
      </c>
      <c r="C302" s="17">
        <v>45981</v>
      </c>
      <c r="D302" s="2" t="s">
        <v>1360</v>
      </c>
      <c r="E302" s="18">
        <v>2205.59</v>
      </c>
      <c r="F302" s="18">
        <v>56.87</v>
      </c>
      <c r="G302" s="2" t="s">
        <v>1361</v>
      </c>
      <c r="H302" s="2" t="s">
        <v>18</v>
      </c>
    </row>
    <row r="303" spans="1:8" ht="15" customHeight="1" x14ac:dyDescent="0.25">
      <c r="A303" s="2" t="s">
        <v>1661</v>
      </c>
      <c r="B303" s="2" t="s">
        <v>1182</v>
      </c>
      <c r="C303" s="17">
        <v>45996</v>
      </c>
      <c r="D303" s="2" t="s">
        <v>1360</v>
      </c>
      <c r="E303" s="18">
        <v>3381.69</v>
      </c>
      <c r="F303" s="18">
        <v>85.49</v>
      </c>
      <c r="G303" s="2" t="s">
        <v>1361</v>
      </c>
      <c r="H303" s="2" t="s">
        <v>18</v>
      </c>
    </row>
    <row r="304" spans="1:8" ht="15" customHeight="1" x14ac:dyDescent="0.25">
      <c r="A304" s="2" t="s">
        <v>1662</v>
      </c>
      <c r="B304" s="2" t="s">
        <v>1183</v>
      </c>
      <c r="C304" s="17">
        <v>45789</v>
      </c>
      <c r="D304" s="2" t="s">
        <v>1373</v>
      </c>
      <c r="E304" s="18">
        <v>6880.47</v>
      </c>
      <c r="F304" s="18">
        <v>139.66</v>
      </c>
      <c r="G304" s="2" t="s">
        <v>1361</v>
      </c>
      <c r="H304" s="2" t="s">
        <v>19</v>
      </c>
    </row>
    <row r="305" spans="1:8" ht="15" customHeight="1" x14ac:dyDescent="0.25">
      <c r="A305" s="2" t="s">
        <v>1663</v>
      </c>
      <c r="B305" s="2" t="s">
        <v>1183</v>
      </c>
      <c r="C305" s="17">
        <v>45789</v>
      </c>
      <c r="D305" s="2" t="s">
        <v>1373</v>
      </c>
      <c r="E305" s="18">
        <v>6880.2</v>
      </c>
      <c r="F305" s="18">
        <v>124.07</v>
      </c>
      <c r="G305" s="2" t="s">
        <v>1361</v>
      </c>
      <c r="H305" s="2" t="s">
        <v>19</v>
      </c>
    </row>
    <row r="306" spans="1:8" ht="15" customHeight="1" x14ac:dyDescent="0.25">
      <c r="A306" s="2" t="s">
        <v>1664</v>
      </c>
      <c r="B306" s="2" t="s">
        <v>1183</v>
      </c>
      <c r="C306" s="17">
        <v>45827</v>
      </c>
      <c r="D306" s="2" t="s">
        <v>1373</v>
      </c>
      <c r="E306" s="18">
        <v>6614.62</v>
      </c>
      <c r="F306" s="18">
        <v>107.78</v>
      </c>
      <c r="G306" s="2" t="s">
        <v>1361</v>
      </c>
      <c r="H306" s="2" t="s">
        <v>19</v>
      </c>
    </row>
    <row r="307" spans="1:8" ht="15" customHeight="1" x14ac:dyDescent="0.25">
      <c r="A307" s="2" t="s">
        <v>1665</v>
      </c>
      <c r="B307" s="2" t="s">
        <v>1183</v>
      </c>
      <c r="C307" s="17">
        <v>45809</v>
      </c>
      <c r="D307" s="2" t="s">
        <v>1373</v>
      </c>
      <c r="E307" s="18">
        <v>11921.74</v>
      </c>
      <c r="F307" s="18">
        <v>240.43</v>
      </c>
      <c r="G307" s="2" t="s">
        <v>1361</v>
      </c>
      <c r="H307" s="2" t="s">
        <v>19</v>
      </c>
    </row>
    <row r="308" spans="1:8" ht="15" customHeight="1" x14ac:dyDescent="0.25">
      <c r="A308" s="2" t="s">
        <v>1666</v>
      </c>
      <c r="B308" s="2" t="s">
        <v>1183</v>
      </c>
      <c r="C308" s="17">
        <v>45836</v>
      </c>
      <c r="D308" s="2" t="s">
        <v>1373</v>
      </c>
      <c r="E308" s="18">
        <v>12653.88</v>
      </c>
      <c r="F308" s="18">
        <v>243.03</v>
      </c>
      <c r="G308" s="2" t="s">
        <v>1361</v>
      </c>
      <c r="H308" s="2" t="s">
        <v>19</v>
      </c>
    </row>
    <row r="309" spans="1:8" ht="15" customHeight="1" x14ac:dyDescent="0.25">
      <c r="A309" s="2" t="s">
        <v>1667</v>
      </c>
      <c r="B309" s="2" t="s">
        <v>1183</v>
      </c>
      <c r="C309" s="17">
        <v>45865</v>
      </c>
      <c r="D309" s="2" t="s">
        <v>1373</v>
      </c>
      <c r="E309" s="18">
        <v>7612.21</v>
      </c>
      <c r="F309" s="18">
        <v>126.84</v>
      </c>
      <c r="G309" s="2" t="s">
        <v>1361</v>
      </c>
      <c r="H309" s="2" t="s">
        <v>19</v>
      </c>
    </row>
    <row r="310" spans="1:8" ht="15" customHeight="1" x14ac:dyDescent="0.25">
      <c r="A310" s="2" t="s">
        <v>1668</v>
      </c>
      <c r="B310" s="2" t="s">
        <v>1183</v>
      </c>
      <c r="C310" s="17">
        <v>45858</v>
      </c>
      <c r="D310" s="2" t="s">
        <v>1373</v>
      </c>
      <c r="E310" s="18">
        <v>4308.37</v>
      </c>
      <c r="F310" s="18">
        <v>73.69</v>
      </c>
      <c r="G310" s="2" t="s">
        <v>1361</v>
      </c>
      <c r="H310" s="2" t="s">
        <v>19</v>
      </c>
    </row>
    <row r="311" spans="1:8" ht="15" customHeight="1" x14ac:dyDescent="0.25">
      <c r="A311" s="2" t="s">
        <v>1669</v>
      </c>
      <c r="B311" s="2" t="s">
        <v>1183</v>
      </c>
      <c r="C311" s="17">
        <v>45877</v>
      </c>
      <c r="D311" s="2" t="s">
        <v>1373</v>
      </c>
      <c r="E311" s="18">
        <v>4942.74</v>
      </c>
      <c r="F311" s="18">
        <v>82.85</v>
      </c>
      <c r="G311" s="2" t="s">
        <v>1361</v>
      </c>
      <c r="H311" s="2" t="s">
        <v>19</v>
      </c>
    </row>
    <row r="312" spans="1:8" ht="15" customHeight="1" x14ac:dyDescent="0.25">
      <c r="A312" s="2" t="s">
        <v>1670</v>
      </c>
      <c r="B312" s="2" t="s">
        <v>1183</v>
      </c>
      <c r="C312" s="17">
        <v>45897</v>
      </c>
      <c r="D312" s="2" t="s">
        <v>1373</v>
      </c>
      <c r="E312" s="18">
        <v>13712.27</v>
      </c>
      <c r="F312" s="18">
        <v>280.22000000000003</v>
      </c>
      <c r="G312" s="2" t="s">
        <v>1361</v>
      </c>
      <c r="H312" s="2" t="s">
        <v>19</v>
      </c>
    </row>
    <row r="313" spans="1:8" ht="15" customHeight="1" x14ac:dyDescent="0.25">
      <c r="A313" s="2" t="s">
        <v>1671</v>
      </c>
      <c r="B313" s="2" t="s">
        <v>1183</v>
      </c>
      <c r="C313" s="17">
        <v>45871</v>
      </c>
      <c r="D313" s="2" t="s">
        <v>1373</v>
      </c>
      <c r="E313" s="18">
        <v>8304.1299999999992</v>
      </c>
      <c r="F313" s="18">
        <v>165.28</v>
      </c>
      <c r="G313" s="2" t="s">
        <v>1361</v>
      </c>
      <c r="H313" s="2" t="s">
        <v>19</v>
      </c>
    </row>
    <row r="314" spans="1:8" ht="15" customHeight="1" x14ac:dyDescent="0.25">
      <c r="A314" s="2" t="s">
        <v>124</v>
      </c>
      <c r="B314" s="2" t="s">
        <v>1183</v>
      </c>
      <c r="C314" s="17">
        <v>45924</v>
      </c>
      <c r="D314" s="2" t="s">
        <v>1373</v>
      </c>
      <c r="E314" s="18">
        <v>15689.38</v>
      </c>
      <c r="F314" s="18">
        <v>-288.02</v>
      </c>
      <c r="G314" s="2" t="s">
        <v>1361</v>
      </c>
      <c r="H314" s="2" t="s">
        <v>19</v>
      </c>
    </row>
    <row r="315" spans="1:8" ht="15" customHeight="1" x14ac:dyDescent="0.25">
      <c r="A315" s="2" t="s">
        <v>1672</v>
      </c>
      <c r="B315" s="2" t="s">
        <v>1183</v>
      </c>
      <c r="C315" s="17">
        <v>45909</v>
      </c>
      <c r="D315" s="2" t="s">
        <v>1373</v>
      </c>
      <c r="E315" s="18">
        <v>15177.07</v>
      </c>
      <c r="F315" s="18">
        <v>276.95</v>
      </c>
      <c r="G315" s="2" t="s">
        <v>1361</v>
      </c>
      <c r="H315" s="2" t="s">
        <v>19</v>
      </c>
    </row>
    <row r="316" spans="1:8" ht="15" customHeight="1" x14ac:dyDescent="0.25">
      <c r="A316" s="2" t="s">
        <v>1673</v>
      </c>
      <c r="B316" s="2" t="s">
        <v>1183</v>
      </c>
      <c r="C316" s="17">
        <v>45930</v>
      </c>
      <c r="D316" s="2" t="s">
        <v>1373</v>
      </c>
      <c r="E316" s="18">
        <v>14910.66</v>
      </c>
      <c r="F316" s="18">
        <v>253.17</v>
      </c>
      <c r="G316" s="2" t="s">
        <v>1361</v>
      </c>
      <c r="H316" s="2" t="s">
        <v>19</v>
      </c>
    </row>
    <row r="317" spans="1:8" ht="15" customHeight="1" x14ac:dyDescent="0.25">
      <c r="A317" s="2" t="s">
        <v>1674</v>
      </c>
      <c r="B317" s="2" t="s">
        <v>1183</v>
      </c>
      <c r="C317" s="17">
        <v>45947</v>
      </c>
      <c r="D317" s="2" t="s">
        <v>1373</v>
      </c>
      <c r="E317" s="18">
        <v>15806.11</v>
      </c>
      <c r="F317" s="18">
        <v>270.8</v>
      </c>
      <c r="G317" s="2" t="s">
        <v>1361</v>
      </c>
      <c r="H317" s="2" t="s">
        <v>19</v>
      </c>
    </row>
    <row r="318" spans="1:8" ht="15" customHeight="1" x14ac:dyDescent="0.25">
      <c r="A318" s="2" t="s">
        <v>1675</v>
      </c>
      <c r="B318" s="2" t="s">
        <v>1183</v>
      </c>
      <c r="C318" s="17">
        <v>45960</v>
      </c>
      <c r="D318" s="2" t="s">
        <v>1373</v>
      </c>
      <c r="E318" s="18">
        <v>15176.56</v>
      </c>
      <c r="F318" s="18">
        <v>282.76</v>
      </c>
      <c r="G318" s="2" t="s">
        <v>1361</v>
      </c>
      <c r="H318" s="2" t="s">
        <v>19</v>
      </c>
    </row>
    <row r="319" spans="1:8" ht="15" customHeight="1" x14ac:dyDescent="0.25">
      <c r="A319" s="2" t="s">
        <v>1676</v>
      </c>
      <c r="B319" s="2" t="s">
        <v>1183</v>
      </c>
      <c r="C319" s="17">
        <v>45959</v>
      </c>
      <c r="D319" s="2" t="s">
        <v>1373</v>
      </c>
      <c r="E319" s="18">
        <v>13285.84</v>
      </c>
      <c r="F319" s="18">
        <v>226.01</v>
      </c>
      <c r="G319" s="2" t="s">
        <v>1361</v>
      </c>
      <c r="H319" s="2" t="s">
        <v>19</v>
      </c>
    </row>
    <row r="320" spans="1:8" ht="15" customHeight="1" x14ac:dyDescent="0.25">
      <c r="A320" s="2" t="s">
        <v>1677</v>
      </c>
      <c r="B320" s="2" t="s">
        <v>1183</v>
      </c>
      <c r="C320" s="17">
        <v>45966</v>
      </c>
      <c r="D320" s="2" t="s">
        <v>1373</v>
      </c>
      <c r="E320" s="18">
        <v>12865.21</v>
      </c>
      <c r="F320" s="18">
        <v>257.39</v>
      </c>
      <c r="G320" s="2" t="s">
        <v>1361</v>
      </c>
      <c r="H320" s="2" t="s">
        <v>19</v>
      </c>
    </row>
    <row r="321" spans="1:8" ht="15" customHeight="1" x14ac:dyDescent="0.25">
      <c r="A321" s="2" t="s">
        <v>1678</v>
      </c>
      <c r="B321" s="2" t="s">
        <v>1183</v>
      </c>
      <c r="C321" s="17">
        <v>45982</v>
      </c>
      <c r="D321" s="2" t="s">
        <v>1373</v>
      </c>
      <c r="E321" s="18">
        <v>17707.05</v>
      </c>
      <c r="F321" s="18">
        <v>322.99</v>
      </c>
      <c r="G321" s="2" t="s">
        <v>1361</v>
      </c>
      <c r="H321" s="2" t="s">
        <v>19</v>
      </c>
    </row>
    <row r="322" spans="1:8" ht="15" customHeight="1" x14ac:dyDescent="0.25">
      <c r="A322" s="2" t="s">
        <v>1679</v>
      </c>
      <c r="B322" s="2" t="s">
        <v>1183</v>
      </c>
      <c r="C322" s="17">
        <v>45983</v>
      </c>
      <c r="D322" s="2" t="s">
        <v>1373</v>
      </c>
      <c r="E322" s="18">
        <v>11999.86</v>
      </c>
      <c r="F322" s="18">
        <v>244.13</v>
      </c>
      <c r="G322" s="2" t="s">
        <v>1361</v>
      </c>
      <c r="H322" s="2" t="s">
        <v>19</v>
      </c>
    </row>
    <row r="323" spans="1:8" ht="15" customHeight="1" x14ac:dyDescent="0.25">
      <c r="A323" s="2" t="s">
        <v>1680</v>
      </c>
      <c r="B323" s="2" t="s">
        <v>1183</v>
      </c>
      <c r="C323" s="17">
        <v>46005</v>
      </c>
      <c r="D323" s="2" t="s">
        <v>1373</v>
      </c>
      <c r="E323" s="18">
        <v>13093.37</v>
      </c>
      <c r="F323" s="18">
        <v>233.21</v>
      </c>
      <c r="G323" s="2" t="s">
        <v>1361</v>
      </c>
      <c r="H323" s="2" t="s">
        <v>19</v>
      </c>
    </row>
    <row r="324" spans="1:8" ht="15" customHeight="1" x14ac:dyDescent="0.25">
      <c r="A324" s="2" t="s">
        <v>1681</v>
      </c>
      <c r="B324" s="2" t="s">
        <v>1183</v>
      </c>
      <c r="C324" s="17">
        <v>46000</v>
      </c>
      <c r="D324" s="2" t="s">
        <v>1373</v>
      </c>
      <c r="E324" s="18">
        <v>12349.52</v>
      </c>
      <c r="F324" s="18">
        <v>227.87</v>
      </c>
      <c r="G324" s="2" t="s">
        <v>1361</v>
      </c>
      <c r="H324" s="2" t="s">
        <v>19</v>
      </c>
    </row>
    <row r="325" spans="1:8" ht="15" customHeight="1" x14ac:dyDescent="0.25">
      <c r="A325" s="2" t="s">
        <v>116</v>
      </c>
      <c r="B325" s="2" t="s">
        <v>1437</v>
      </c>
      <c r="C325" s="17">
        <v>45822</v>
      </c>
      <c r="D325" s="2" t="s">
        <v>1360</v>
      </c>
      <c r="E325" s="18">
        <v>30265.56</v>
      </c>
      <c r="F325" s="18">
        <v>838.88</v>
      </c>
      <c r="G325" s="2" t="s">
        <v>1361</v>
      </c>
      <c r="H325" s="2" t="s">
        <v>18</v>
      </c>
    </row>
    <row r="326" spans="1:8" ht="15" customHeight="1" x14ac:dyDescent="0.25">
      <c r="A326" s="2" t="s">
        <v>1682</v>
      </c>
      <c r="B326" s="2" t="s">
        <v>1184</v>
      </c>
      <c r="C326" s="17">
        <v>45830</v>
      </c>
      <c r="D326" s="2" t="s">
        <v>1360</v>
      </c>
      <c r="E326" s="18">
        <v>36484.74</v>
      </c>
      <c r="F326" s="18">
        <v>800.62</v>
      </c>
      <c r="G326" s="2" t="s">
        <v>1361</v>
      </c>
      <c r="H326" s="2" t="s">
        <v>18</v>
      </c>
    </row>
    <row r="327" spans="1:8" ht="15" customHeight="1" x14ac:dyDescent="0.25">
      <c r="A327" s="2" t="s">
        <v>1683</v>
      </c>
      <c r="B327" s="2" t="s">
        <v>1184</v>
      </c>
      <c r="C327" s="17">
        <v>45835</v>
      </c>
      <c r="D327" s="2" t="s">
        <v>1360</v>
      </c>
      <c r="E327" s="18">
        <v>41527.22</v>
      </c>
      <c r="F327" s="18">
        <v>935.7</v>
      </c>
      <c r="G327" s="2" t="s">
        <v>1361</v>
      </c>
      <c r="H327" s="2" t="s">
        <v>18</v>
      </c>
    </row>
    <row r="328" spans="1:8" ht="15" customHeight="1" x14ac:dyDescent="0.25">
      <c r="A328" s="2" t="s">
        <v>1684</v>
      </c>
      <c r="B328" s="2" t="s">
        <v>1184</v>
      </c>
      <c r="C328" s="17">
        <v>45843</v>
      </c>
      <c r="D328" s="2" t="s">
        <v>1360</v>
      </c>
      <c r="E328" s="18">
        <v>17272.099999999999</v>
      </c>
      <c r="F328" s="18">
        <v>477.56</v>
      </c>
      <c r="G328" s="2" t="s">
        <v>1361</v>
      </c>
      <c r="H328" s="2" t="s">
        <v>18</v>
      </c>
    </row>
    <row r="329" spans="1:8" ht="15" customHeight="1" x14ac:dyDescent="0.25">
      <c r="A329" s="2" t="s">
        <v>1685</v>
      </c>
      <c r="B329" s="2" t="s">
        <v>1184</v>
      </c>
      <c r="C329" s="17">
        <v>45853</v>
      </c>
      <c r="D329" s="2" t="s">
        <v>1360</v>
      </c>
      <c r="E329" s="18">
        <v>35257.07</v>
      </c>
      <c r="F329" s="18">
        <v>848.82</v>
      </c>
      <c r="G329" s="2" t="s">
        <v>1361</v>
      </c>
      <c r="H329" s="2" t="s">
        <v>18</v>
      </c>
    </row>
    <row r="330" spans="1:8" ht="15" customHeight="1" x14ac:dyDescent="0.25">
      <c r="A330" s="2" t="s">
        <v>1686</v>
      </c>
      <c r="B330" s="2" t="s">
        <v>1184</v>
      </c>
      <c r="C330" s="17">
        <v>45887</v>
      </c>
      <c r="D330" s="2" t="s">
        <v>1360</v>
      </c>
      <c r="E330" s="18">
        <v>43554.17</v>
      </c>
      <c r="F330" s="18">
        <v>1083.25</v>
      </c>
      <c r="G330" s="2" t="s">
        <v>1361</v>
      </c>
      <c r="H330" s="2" t="s">
        <v>18</v>
      </c>
    </row>
    <row r="331" spans="1:8" ht="15" customHeight="1" x14ac:dyDescent="0.25">
      <c r="A331" s="2" t="s">
        <v>1687</v>
      </c>
      <c r="B331" s="2" t="s">
        <v>1184</v>
      </c>
      <c r="C331" s="17">
        <v>45894</v>
      </c>
      <c r="D331" s="2" t="s">
        <v>1360</v>
      </c>
      <c r="E331" s="18">
        <v>19940.22</v>
      </c>
      <c r="F331" s="18">
        <v>426.21</v>
      </c>
      <c r="G331" s="2" t="s">
        <v>1361</v>
      </c>
      <c r="H331" s="2" t="s">
        <v>18</v>
      </c>
    </row>
    <row r="332" spans="1:8" ht="15" customHeight="1" x14ac:dyDescent="0.25">
      <c r="A332" s="2" t="s">
        <v>1688</v>
      </c>
      <c r="B332" s="2" t="s">
        <v>1184</v>
      </c>
      <c r="C332" s="17">
        <v>45918</v>
      </c>
      <c r="D332" s="2" t="s">
        <v>1360</v>
      </c>
      <c r="E332" s="18">
        <v>52695.03</v>
      </c>
      <c r="F332" s="18">
        <v>1124.05</v>
      </c>
      <c r="G332" s="2" t="s">
        <v>1361</v>
      </c>
      <c r="H332" s="2" t="s">
        <v>18</v>
      </c>
    </row>
    <row r="333" spans="1:8" ht="15" customHeight="1" x14ac:dyDescent="0.25">
      <c r="A333" s="2" t="s">
        <v>1689</v>
      </c>
      <c r="B333" s="2" t="s">
        <v>1184</v>
      </c>
      <c r="C333" s="17">
        <v>45910</v>
      </c>
      <c r="D333" s="2" t="s">
        <v>1360</v>
      </c>
      <c r="E333" s="18">
        <v>16759.099999999999</v>
      </c>
      <c r="F333" s="18">
        <v>0</v>
      </c>
      <c r="G333" s="2" t="s">
        <v>1408</v>
      </c>
      <c r="H333" s="2" t="s">
        <v>18</v>
      </c>
    </row>
    <row r="334" spans="1:8" ht="15" customHeight="1" x14ac:dyDescent="0.25">
      <c r="A334" s="2" t="s">
        <v>1690</v>
      </c>
      <c r="B334" s="2" t="s">
        <v>1184</v>
      </c>
      <c r="C334" s="17">
        <v>45922</v>
      </c>
      <c r="D334" s="2" t="s">
        <v>1360</v>
      </c>
      <c r="E334" s="18">
        <v>59801.66</v>
      </c>
      <c r="F334" s="18">
        <v>1308.7</v>
      </c>
      <c r="G334" s="2" t="s">
        <v>1361</v>
      </c>
      <c r="H334" s="2" t="s">
        <v>18</v>
      </c>
    </row>
    <row r="335" spans="1:8" ht="15" customHeight="1" x14ac:dyDescent="0.25">
      <c r="A335" s="2" t="s">
        <v>1691</v>
      </c>
      <c r="B335" s="2" t="s">
        <v>1184</v>
      </c>
      <c r="C335" s="17">
        <v>45944</v>
      </c>
      <c r="D335" s="2" t="s">
        <v>1360</v>
      </c>
      <c r="E335" s="18">
        <v>31970.14</v>
      </c>
      <c r="F335" s="18">
        <v>882.25</v>
      </c>
      <c r="G335" s="2" t="s">
        <v>1361</v>
      </c>
      <c r="H335" s="2" t="s">
        <v>18</v>
      </c>
    </row>
    <row r="336" spans="1:8" ht="15" customHeight="1" x14ac:dyDescent="0.25">
      <c r="A336" s="2" t="s">
        <v>1692</v>
      </c>
      <c r="B336" s="2" t="s">
        <v>1184</v>
      </c>
      <c r="C336" s="17">
        <v>45952</v>
      </c>
      <c r="D336" s="2" t="s">
        <v>1360</v>
      </c>
      <c r="E336" s="18">
        <v>21090.77</v>
      </c>
      <c r="F336" s="18">
        <v>466.76</v>
      </c>
      <c r="G336" s="2" t="s">
        <v>1361</v>
      </c>
      <c r="H336" s="2" t="s">
        <v>18</v>
      </c>
    </row>
    <row r="337" spans="1:8" ht="15" customHeight="1" x14ac:dyDescent="0.25">
      <c r="A337" s="2" t="s">
        <v>1693</v>
      </c>
      <c r="B337" s="2" t="s">
        <v>1184</v>
      </c>
      <c r="C337" s="17">
        <v>45943</v>
      </c>
      <c r="D337" s="2" t="s">
        <v>1360</v>
      </c>
      <c r="E337" s="18">
        <v>42413.4</v>
      </c>
      <c r="F337" s="18">
        <v>942.96</v>
      </c>
      <c r="G337" s="2" t="s">
        <v>1361</v>
      </c>
      <c r="H337" s="2" t="s">
        <v>18</v>
      </c>
    </row>
    <row r="338" spans="1:8" ht="15" customHeight="1" x14ac:dyDescent="0.25">
      <c r="A338" s="2" t="s">
        <v>1694</v>
      </c>
      <c r="B338" s="2" t="s">
        <v>1184</v>
      </c>
      <c r="C338" s="17">
        <v>45965</v>
      </c>
      <c r="D338" s="2" t="s">
        <v>1360</v>
      </c>
      <c r="E338" s="18">
        <v>14855.34</v>
      </c>
      <c r="F338" s="18">
        <v>349.17</v>
      </c>
      <c r="G338" s="2" t="s">
        <v>1361</v>
      </c>
      <c r="H338" s="2" t="s">
        <v>18</v>
      </c>
    </row>
    <row r="339" spans="1:8" ht="15" customHeight="1" x14ac:dyDescent="0.25">
      <c r="A339" s="2" t="s">
        <v>1695</v>
      </c>
      <c r="B339" s="2" t="s">
        <v>1184</v>
      </c>
      <c r="C339" s="17">
        <v>46003</v>
      </c>
      <c r="D339" s="2" t="s">
        <v>1360</v>
      </c>
      <c r="E339" s="18">
        <v>31100.84</v>
      </c>
      <c r="F339" s="18">
        <v>676.9</v>
      </c>
      <c r="G339" s="2" t="s">
        <v>1361</v>
      </c>
      <c r="H339" s="2" t="s">
        <v>18</v>
      </c>
    </row>
    <row r="340" spans="1:8" ht="15" customHeight="1" x14ac:dyDescent="0.25">
      <c r="A340" s="2" t="s">
        <v>1696</v>
      </c>
      <c r="B340" s="2" t="s">
        <v>1184</v>
      </c>
      <c r="C340" s="17">
        <v>45997</v>
      </c>
      <c r="D340" s="2" t="s">
        <v>1360</v>
      </c>
      <c r="E340" s="18">
        <v>37406.32</v>
      </c>
      <c r="F340" s="18">
        <v>1013.33</v>
      </c>
      <c r="G340" s="2" t="s">
        <v>1361</v>
      </c>
      <c r="H340" s="2" t="s">
        <v>18</v>
      </c>
    </row>
    <row r="341" spans="1:8" ht="15" customHeight="1" x14ac:dyDescent="0.25">
      <c r="A341" s="2" t="s">
        <v>1697</v>
      </c>
      <c r="B341" s="2" t="s">
        <v>1185</v>
      </c>
      <c r="C341" s="17">
        <v>46021</v>
      </c>
      <c r="D341" s="2" t="s">
        <v>1360</v>
      </c>
      <c r="E341" s="18">
        <v>4282.6899999999996</v>
      </c>
      <c r="F341" s="18">
        <v>97.62</v>
      </c>
      <c r="G341" s="2" t="s">
        <v>1361</v>
      </c>
      <c r="H341" s="2" t="s">
        <v>19</v>
      </c>
    </row>
    <row r="342" spans="1:8" ht="15" customHeight="1" x14ac:dyDescent="0.25">
      <c r="A342" s="2" t="s">
        <v>1698</v>
      </c>
      <c r="B342" s="2" t="s">
        <v>1185</v>
      </c>
      <c r="C342" s="17">
        <v>46019</v>
      </c>
      <c r="D342" s="2" t="s">
        <v>1360</v>
      </c>
      <c r="E342" s="18">
        <v>5493.53</v>
      </c>
      <c r="F342" s="18">
        <v>140.63999999999999</v>
      </c>
      <c r="G342" s="2" t="s">
        <v>1361</v>
      </c>
      <c r="H342" s="2" t="s">
        <v>19</v>
      </c>
    </row>
    <row r="343" spans="1:8" ht="15" customHeight="1" x14ac:dyDescent="0.25">
      <c r="A343" s="2" t="s">
        <v>1699</v>
      </c>
      <c r="B343" s="2" t="s">
        <v>1185</v>
      </c>
      <c r="C343" s="17">
        <v>46015</v>
      </c>
      <c r="D343" s="2" t="s">
        <v>1360</v>
      </c>
      <c r="E343" s="18">
        <v>8764.42</v>
      </c>
      <c r="F343" s="18">
        <v>236.59</v>
      </c>
      <c r="G343" s="2" t="s">
        <v>1361</v>
      </c>
      <c r="H343" s="2" t="s">
        <v>19</v>
      </c>
    </row>
    <row r="344" spans="1:8" ht="15" customHeight="1" x14ac:dyDescent="0.25">
      <c r="A344" s="2" t="s">
        <v>130</v>
      </c>
      <c r="B344" s="2" t="s">
        <v>1186</v>
      </c>
      <c r="C344" s="17">
        <v>45838</v>
      </c>
      <c r="D344" s="2" t="s">
        <v>1423</v>
      </c>
      <c r="E344" s="18">
        <v>3372.11</v>
      </c>
      <c r="F344" s="18">
        <v>129.47</v>
      </c>
      <c r="G344" s="2" t="s">
        <v>1408</v>
      </c>
      <c r="H344" s="2" t="s">
        <v>22</v>
      </c>
    </row>
    <row r="345" spans="1:8" ht="15" customHeight="1" x14ac:dyDescent="0.25">
      <c r="A345" s="2" t="s">
        <v>1700</v>
      </c>
      <c r="B345" s="2" t="s">
        <v>1186</v>
      </c>
      <c r="C345" s="17">
        <v>45857</v>
      </c>
      <c r="D345" s="2" t="s">
        <v>1423</v>
      </c>
      <c r="E345" s="18">
        <v>4081.24</v>
      </c>
      <c r="F345" s="18">
        <v>133.65</v>
      </c>
      <c r="G345" s="2" t="s">
        <v>1361</v>
      </c>
      <c r="H345" s="2" t="s">
        <v>22</v>
      </c>
    </row>
    <row r="346" spans="1:8" ht="15" customHeight="1" x14ac:dyDescent="0.25">
      <c r="A346" s="2" t="s">
        <v>1701</v>
      </c>
      <c r="B346" s="2" t="s">
        <v>1186</v>
      </c>
      <c r="C346" s="17">
        <v>45877</v>
      </c>
      <c r="D346" s="2" t="s">
        <v>1423</v>
      </c>
      <c r="E346" s="18">
        <v>2512.52</v>
      </c>
      <c r="F346" s="18">
        <v>88.39</v>
      </c>
      <c r="G346" s="2" t="s">
        <v>1361</v>
      </c>
      <c r="H346" s="2" t="s">
        <v>22</v>
      </c>
    </row>
    <row r="347" spans="1:8" ht="15" customHeight="1" x14ac:dyDescent="0.25">
      <c r="A347" s="2" t="s">
        <v>1702</v>
      </c>
      <c r="B347" s="2" t="s">
        <v>1186</v>
      </c>
      <c r="C347" s="17">
        <v>45876</v>
      </c>
      <c r="D347" s="2" t="s">
        <v>1423</v>
      </c>
      <c r="E347" s="18">
        <v>3999.11</v>
      </c>
      <c r="F347" s="18">
        <v>128.97</v>
      </c>
      <c r="G347" s="2" t="s">
        <v>1361</v>
      </c>
      <c r="H347" s="2" t="s">
        <v>22</v>
      </c>
    </row>
    <row r="348" spans="1:8" ht="15" customHeight="1" x14ac:dyDescent="0.25">
      <c r="A348" s="2" t="s">
        <v>1703</v>
      </c>
      <c r="B348" s="2" t="s">
        <v>1186</v>
      </c>
      <c r="C348" s="17">
        <v>45895</v>
      </c>
      <c r="D348" s="2" t="s">
        <v>1423</v>
      </c>
      <c r="E348" s="18">
        <v>1252.99</v>
      </c>
      <c r="F348" s="18">
        <v>40.1</v>
      </c>
      <c r="G348" s="2" t="s">
        <v>1361</v>
      </c>
      <c r="H348" s="2" t="s">
        <v>22</v>
      </c>
    </row>
    <row r="349" spans="1:8" ht="15" customHeight="1" x14ac:dyDescent="0.25">
      <c r="A349" s="2" t="s">
        <v>1704</v>
      </c>
      <c r="B349" s="2" t="s">
        <v>1186</v>
      </c>
      <c r="C349" s="17">
        <v>45917</v>
      </c>
      <c r="D349" s="2" t="s">
        <v>1423</v>
      </c>
      <c r="E349" s="18">
        <v>4381.13</v>
      </c>
      <c r="F349" s="18">
        <v>129.25</v>
      </c>
      <c r="G349" s="2" t="s">
        <v>1361</v>
      </c>
      <c r="H349" s="2" t="s">
        <v>22</v>
      </c>
    </row>
    <row r="350" spans="1:8" ht="15" customHeight="1" x14ac:dyDescent="0.25">
      <c r="A350" s="2" t="s">
        <v>1705</v>
      </c>
      <c r="B350" s="2" t="s">
        <v>1186</v>
      </c>
      <c r="C350" s="17">
        <v>45902</v>
      </c>
      <c r="D350" s="2" t="s">
        <v>1423</v>
      </c>
      <c r="E350" s="18">
        <v>1487.07</v>
      </c>
      <c r="F350" s="18">
        <v>0</v>
      </c>
      <c r="G350" s="2" t="s">
        <v>1408</v>
      </c>
      <c r="H350" s="2" t="s">
        <v>22</v>
      </c>
    </row>
    <row r="351" spans="1:8" ht="15" customHeight="1" x14ac:dyDescent="0.25">
      <c r="A351" s="2" t="s">
        <v>1706</v>
      </c>
      <c r="B351" s="2" t="s">
        <v>1186</v>
      </c>
      <c r="C351" s="17">
        <v>45951</v>
      </c>
      <c r="D351" s="2" t="s">
        <v>1423</v>
      </c>
      <c r="E351" s="18">
        <v>2645.48</v>
      </c>
      <c r="F351" s="18">
        <v>90.97</v>
      </c>
      <c r="G351" s="2" t="s">
        <v>1361</v>
      </c>
      <c r="H351" s="2" t="s">
        <v>22</v>
      </c>
    </row>
    <row r="352" spans="1:8" ht="15" customHeight="1" x14ac:dyDescent="0.25">
      <c r="A352" s="2" t="s">
        <v>1707</v>
      </c>
      <c r="B352" s="2" t="s">
        <v>1186</v>
      </c>
      <c r="C352" s="17">
        <v>45946</v>
      </c>
      <c r="D352" s="2" t="s">
        <v>1423</v>
      </c>
      <c r="E352" s="18">
        <v>2596.02</v>
      </c>
      <c r="F352" s="18">
        <v>74.7</v>
      </c>
      <c r="G352" s="2" t="s">
        <v>1361</v>
      </c>
      <c r="H352" s="2" t="s">
        <v>22</v>
      </c>
    </row>
    <row r="353" spans="1:8" ht="15" customHeight="1" x14ac:dyDescent="0.25">
      <c r="A353" s="2" t="s">
        <v>1708</v>
      </c>
      <c r="B353" s="2" t="s">
        <v>1186</v>
      </c>
      <c r="C353" s="17">
        <v>45977</v>
      </c>
      <c r="D353" s="2" t="s">
        <v>1423</v>
      </c>
      <c r="E353" s="18">
        <v>1679.91</v>
      </c>
      <c r="F353" s="18">
        <v>59.77</v>
      </c>
      <c r="G353" s="2" t="s">
        <v>1361</v>
      </c>
      <c r="H353" s="2" t="s">
        <v>22</v>
      </c>
    </row>
    <row r="354" spans="1:8" ht="15" customHeight="1" x14ac:dyDescent="0.25">
      <c r="A354" s="2" t="s">
        <v>1709</v>
      </c>
      <c r="B354" s="2" t="s">
        <v>1186</v>
      </c>
      <c r="C354" s="17">
        <v>46008</v>
      </c>
      <c r="D354" s="2" t="s">
        <v>1423</v>
      </c>
      <c r="E354" s="18">
        <v>1436.84</v>
      </c>
      <c r="F354" s="18">
        <v>49.13</v>
      </c>
      <c r="G354" s="2" t="s">
        <v>1361</v>
      </c>
      <c r="H354" s="2" t="s">
        <v>22</v>
      </c>
    </row>
    <row r="355" spans="1:8" ht="15" customHeight="1" x14ac:dyDescent="0.25">
      <c r="A355" s="2" t="s">
        <v>1710</v>
      </c>
      <c r="B355" s="2" t="s">
        <v>1186</v>
      </c>
      <c r="C355" s="17">
        <v>46015</v>
      </c>
      <c r="D355" s="2" t="s">
        <v>1423</v>
      </c>
      <c r="E355" s="18">
        <v>2070.4899999999998</v>
      </c>
      <c r="F355" s="18">
        <v>56.37</v>
      </c>
      <c r="G355" s="2" t="s">
        <v>1361</v>
      </c>
      <c r="H355" s="2" t="s">
        <v>22</v>
      </c>
    </row>
    <row r="356" spans="1:8" ht="15" customHeight="1" x14ac:dyDescent="0.25">
      <c r="A356" s="2" t="s">
        <v>1711</v>
      </c>
      <c r="B356" s="2" t="s">
        <v>1186</v>
      </c>
      <c r="C356" s="17">
        <v>45995</v>
      </c>
      <c r="D356" s="2" t="s">
        <v>1423</v>
      </c>
      <c r="E356" s="18">
        <v>3357.99</v>
      </c>
      <c r="F356" s="18">
        <v>96.82</v>
      </c>
      <c r="G356" s="2" t="s">
        <v>1361</v>
      </c>
      <c r="H356" s="2" t="s">
        <v>22</v>
      </c>
    </row>
    <row r="357" spans="1:8" ht="15" customHeight="1" x14ac:dyDescent="0.25">
      <c r="A357" s="2" t="s">
        <v>1712</v>
      </c>
      <c r="B357" s="2" t="s">
        <v>1187</v>
      </c>
      <c r="C357" s="17">
        <v>45774</v>
      </c>
      <c r="D357" s="2" t="s">
        <v>1360</v>
      </c>
      <c r="E357" s="18">
        <v>3398.55</v>
      </c>
      <c r="F357" s="18">
        <v>72.930000000000007</v>
      </c>
      <c r="G357" s="2" t="s">
        <v>1361</v>
      </c>
      <c r="H357" s="2" t="s">
        <v>21</v>
      </c>
    </row>
    <row r="358" spans="1:8" ht="15" customHeight="1" x14ac:dyDescent="0.25">
      <c r="A358" s="2" t="s">
        <v>1713</v>
      </c>
      <c r="B358" s="2" t="s">
        <v>1187</v>
      </c>
      <c r="C358" s="17">
        <v>45775</v>
      </c>
      <c r="D358" s="2" t="s">
        <v>1360</v>
      </c>
      <c r="E358" s="18">
        <v>3409.85</v>
      </c>
      <c r="F358" s="18">
        <v>94.1</v>
      </c>
      <c r="G358" s="2" t="s">
        <v>1361</v>
      </c>
      <c r="H358" s="2" t="s">
        <v>21</v>
      </c>
    </row>
    <row r="359" spans="1:8" ht="15" customHeight="1" x14ac:dyDescent="0.25">
      <c r="A359" s="2" t="s">
        <v>1714</v>
      </c>
      <c r="B359" s="2" t="s">
        <v>1187</v>
      </c>
      <c r="C359" s="17">
        <v>45790</v>
      </c>
      <c r="D359" s="2" t="s">
        <v>1360</v>
      </c>
      <c r="E359" s="18">
        <v>4979.68</v>
      </c>
      <c r="F359" s="18">
        <v>106.95</v>
      </c>
      <c r="G359" s="2" t="s">
        <v>1361</v>
      </c>
      <c r="H359" s="2" t="s">
        <v>21</v>
      </c>
    </row>
    <row r="360" spans="1:8" ht="15" customHeight="1" x14ac:dyDescent="0.25">
      <c r="A360" s="2" t="s">
        <v>1715</v>
      </c>
      <c r="B360" s="2" t="s">
        <v>1187</v>
      </c>
      <c r="C360" s="17">
        <v>45790</v>
      </c>
      <c r="D360" s="2" t="s">
        <v>1360</v>
      </c>
      <c r="E360" s="18">
        <v>5027.76</v>
      </c>
      <c r="F360" s="18">
        <v>124.72</v>
      </c>
      <c r="G360" s="2" t="s">
        <v>1361</v>
      </c>
      <c r="H360" s="2" t="s">
        <v>21</v>
      </c>
    </row>
    <row r="361" spans="1:8" ht="15" customHeight="1" x14ac:dyDescent="0.25">
      <c r="A361" s="2" t="s">
        <v>1716</v>
      </c>
      <c r="B361" s="2" t="s">
        <v>1187</v>
      </c>
      <c r="C361" s="17">
        <v>45818</v>
      </c>
      <c r="D361" s="2" t="s">
        <v>1360</v>
      </c>
      <c r="E361" s="18">
        <v>4422.71</v>
      </c>
      <c r="F361" s="18">
        <v>105.16</v>
      </c>
      <c r="G361" s="2" t="s">
        <v>1361</v>
      </c>
      <c r="H361" s="2" t="s">
        <v>21</v>
      </c>
    </row>
    <row r="362" spans="1:8" ht="15" customHeight="1" x14ac:dyDescent="0.25">
      <c r="A362" s="2" t="s">
        <v>1717</v>
      </c>
      <c r="B362" s="2" t="s">
        <v>1187</v>
      </c>
      <c r="C362" s="17">
        <v>45854</v>
      </c>
      <c r="D362" s="2" t="s">
        <v>1360</v>
      </c>
      <c r="E362" s="18">
        <v>1261.19</v>
      </c>
      <c r="F362" s="18">
        <v>36.21</v>
      </c>
      <c r="G362" s="2" t="s">
        <v>1361</v>
      </c>
      <c r="H362" s="2" t="s">
        <v>21</v>
      </c>
    </row>
    <row r="363" spans="1:8" ht="15" customHeight="1" x14ac:dyDescent="0.25">
      <c r="A363" s="2" t="s">
        <v>1718</v>
      </c>
      <c r="B363" s="2" t="s">
        <v>1187</v>
      </c>
      <c r="C363" s="17">
        <v>45850</v>
      </c>
      <c r="D363" s="2" t="s">
        <v>1360</v>
      </c>
      <c r="E363" s="18">
        <v>3584.14</v>
      </c>
      <c r="F363" s="18">
        <v>90.31</v>
      </c>
      <c r="G363" s="2" t="s">
        <v>1361</v>
      </c>
      <c r="H363" s="2" t="s">
        <v>21</v>
      </c>
    </row>
    <row r="364" spans="1:8" ht="15" customHeight="1" x14ac:dyDescent="0.25">
      <c r="A364" s="2" t="s">
        <v>1719</v>
      </c>
      <c r="B364" s="2" t="s">
        <v>1187</v>
      </c>
      <c r="C364" s="17">
        <v>45883</v>
      </c>
      <c r="D364" s="2" t="s">
        <v>1360</v>
      </c>
      <c r="E364" s="18">
        <v>2382.4699999999998</v>
      </c>
      <c r="F364" s="18">
        <v>60.05</v>
      </c>
      <c r="G364" s="2" t="s">
        <v>1361</v>
      </c>
      <c r="H364" s="2" t="s">
        <v>21</v>
      </c>
    </row>
    <row r="365" spans="1:8" ht="15" customHeight="1" x14ac:dyDescent="0.25">
      <c r="A365" s="2" t="s">
        <v>1720</v>
      </c>
      <c r="B365" s="2" t="s">
        <v>1187</v>
      </c>
      <c r="C365" s="17">
        <v>45886</v>
      </c>
      <c r="D365" s="2" t="s">
        <v>1360</v>
      </c>
      <c r="E365" s="18">
        <v>3805.43</v>
      </c>
      <c r="F365" s="18">
        <v>94.83</v>
      </c>
      <c r="G365" s="2" t="s">
        <v>1361</v>
      </c>
      <c r="H365" s="2" t="s">
        <v>21</v>
      </c>
    </row>
    <row r="366" spans="1:8" ht="15" customHeight="1" x14ac:dyDescent="0.25">
      <c r="A366" s="2" t="s">
        <v>1721</v>
      </c>
      <c r="B366" s="2" t="s">
        <v>1187</v>
      </c>
      <c r="C366" s="17">
        <v>45925</v>
      </c>
      <c r="D366" s="2" t="s">
        <v>1360</v>
      </c>
      <c r="E366" s="18">
        <v>1708.35</v>
      </c>
      <c r="F366" s="18">
        <v>45.48</v>
      </c>
      <c r="G366" s="2" t="s">
        <v>1361</v>
      </c>
      <c r="H366" s="2" t="s">
        <v>21</v>
      </c>
    </row>
    <row r="367" spans="1:8" ht="15" customHeight="1" x14ac:dyDescent="0.25">
      <c r="A367" s="2" t="s">
        <v>1722</v>
      </c>
      <c r="B367" s="2" t="s">
        <v>1187</v>
      </c>
      <c r="C367" s="17">
        <v>45924</v>
      </c>
      <c r="D367" s="2" t="s">
        <v>1360</v>
      </c>
      <c r="E367" s="18">
        <v>1714.34</v>
      </c>
      <c r="F367" s="18">
        <v>41.53</v>
      </c>
      <c r="G367" s="2" t="s">
        <v>1361</v>
      </c>
      <c r="H367" s="2" t="s">
        <v>21</v>
      </c>
    </row>
    <row r="368" spans="1:8" ht="15" customHeight="1" x14ac:dyDescent="0.25">
      <c r="A368" s="2" t="s">
        <v>1723</v>
      </c>
      <c r="B368" s="2" t="s">
        <v>1187</v>
      </c>
      <c r="C368" s="17">
        <v>45901</v>
      </c>
      <c r="D368" s="2" t="s">
        <v>1360</v>
      </c>
      <c r="E368" s="18">
        <v>3786.66</v>
      </c>
      <c r="F368" s="18">
        <v>107.64</v>
      </c>
      <c r="G368" s="2" t="s">
        <v>1361</v>
      </c>
      <c r="H368" s="2" t="s">
        <v>21</v>
      </c>
    </row>
    <row r="369" spans="1:8" ht="15" customHeight="1" x14ac:dyDescent="0.25">
      <c r="A369" s="2" t="s">
        <v>1724</v>
      </c>
      <c r="B369" s="2" t="s">
        <v>1187</v>
      </c>
      <c r="C369" s="17">
        <v>45951</v>
      </c>
      <c r="D369" s="2" t="s">
        <v>1360</v>
      </c>
      <c r="E369" s="18">
        <v>1547.09</v>
      </c>
      <c r="F369" s="18">
        <v>36.29</v>
      </c>
      <c r="G369" s="2" t="s">
        <v>1361</v>
      </c>
      <c r="H369" s="2" t="s">
        <v>21</v>
      </c>
    </row>
    <row r="370" spans="1:8" ht="15" customHeight="1" x14ac:dyDescent="0.25">
      <c r="A370" s="2" t="s">
        <v>1725</v>
      </c>
      <c r="B370" s="2" t="s">
        <v>1187</v>
      </c>
      <c r="C370" s="17">
        <v>45939</v>
      </c>
      <c r="D370" s="2" t="s">
        <v>1360</v>
      </c>
      <c r="E370" s="18">
        <v>2029.03</v>
      </c>
      <c r="F370" s="18">
        <v>56.11</v>
      </c>
      <c r="G370" s="2" t="s">
        <v>1361</v>
      </c>
      <c r="H370" s="2" t="s">
        <v>21</v>
      </c>
    </row>
    <row r="371" spans="1:8" ht="15" customHeight="1" x14ac:dyDescent="0.25">
      <c r="A371" s="2" t="s">
        <v>1726</v>
      </c>
      <c r="B371" s="2" t="s">
        <v>1187</v>
      </c>
      <c r="C371" s="17">
        <v>45935</v>
      </c>
      <c r="D371" s="2" t="s">
        <v>1360</v>
      </c>
      <c r="E371" s="18">
        <v>1268.3599999999999</v>
      </c>
      <c r="F371" s="18">
        <v>28.95</v>
      </c>
      <c r="G371" s="2" t="s">
        <v>1361</v>
      </c>
      <c r="H371" s="2" t="s">
        <v>21</v>
      </c>
    </row>
    <row r="372" spans="1:8" ht="15" customHeight="1" x14ac:dyDescent="0.25">
      <c r="A372" s="2" t="s">
        <v>1727</v>
      </c>
      <c r="B372" s="2" t="s">
        <v>1187</v>
      </c>
      <c r="C372" s="17">
        <v>45987</v>
      </c>
      <c r="D372" s="2" t="s">
        <v>1360</v>
      </c>
      <c r="E372" s="18">
        <v>3332.63</v>
      </c>
      <c r="F372" s="18">
        <v>81.98</v>
      </c>
      <c r="G372" s="2" t="s">
        <v>1361</v>
      </c>
      <c r="H372" s="2" t="s">
        <v>21</v>
      </c>
    </row>
    <row r="373" spans="1:8" ht="15" customHeight="1" x14ac:dyDescent="0.25">
      <c r="A373" s="2" t="s">
        <v>1728</v>
      </c>
      <c r="B373" s="2" t="s">
        <v>1187</v>
      </c>
      <c r="C373" s="17">
        <v>46006</v>
      </c>
      <c r="D373" s="2" t="s">
        <v>1360</v>
      </c>
      <c r="E373" s="18">
        <v>4125.3</v>
      </c>
      <c r="F373" s="18">
        <v>102.06</v>
      </c>
      <c r="G373" s="2" t="s">
        <v>1361</v>
      </c>
      <c r="H373" s="2" t="s">
        <v>21</v>
      </c>
    </row>
    <row r="374" spans="1:8" ht="15" customHeight="1" x14ac:dyDescent="0.25">
      <c r="A374" s="2" t="s">
        <v>1729</v>
      </c>
      <c r="B374" s="2" t="s">
        <v>1187</v>
      </c>
      <c r="C374" s="17">
        <v>46001</v>
      </c>
      <c r="D374" s="2" t="s">
        <v>1360</v>
      </c>
      <c r="E374" s="18">
        <v>3632.2</v>
      </c>
      <c r="F374" s="18">
        <v>83.62</v>
      </c>
      <c r="G374" s="2" t="s">
        <v>1361</v>
      </c>
      <c r="H374" s="2" t="s">
        <v>21</v>
      </c>
    </row>
    <row r="375" spans="1:8" ht="15" customHeight="1" x14ac:dyDescent="0.25">
      <c r="A375" s="2" t="s">
        <v>1730</v>
      </c>
      <c r="B375" s="2" t="s">
        <v>1190</v>
      </c>
      <c r="C375" s="17">
        <v>45961</v>
      </c>
      <c r="D375" s="2" t="s">
        <v>1360</v>
      </c>
      <c r="E375" s="18">
        <v>17533.37</v>
      </c>
      <c r="F375" s="18">
        <v>482.08</v>
      </c>
      <c r="G375" s="2" t="s">
        <v>1361</v>
      </c>
      <c r="H375" s="2" t="s">
        <v>20</v>
      </c>
    </row>
    <row r="376" spans="1:8" ht="15" customHeight="1" x14ac:dyDescent="0.25">
      <c r="A376" s="2" t="s">
        <v>1731</v>
      </c>
      <c r="B376" s="2" t="s">
        <v>1190</v>
      </c>
      <c r="C376" s="17">
        <v>45942</v>
      </c>
      <c r="D376" s="2" t="s">
        <v>1479</v>
      </c>
      <c r="E376" s="18">
        <v>14681.46</v>
      </c>
      <c r="F376" s="18">
        <v>409.95</v>
      </c>
      <c r="G376" s="2" t="s">
        <v>1361</v>
      </c>
      <c r="H376" s="2" t="s">
        <v>20</v>
      </c>
    </row>
    <row r="377" spans="1:8" ht="15" customHeight="1" x14ac:dyDescent="0.25">
      <c r="A377" s="2" t="s">
        <v>1732</v>
      </c>
      <c r="B377" s="2" t="s">
        <v>1190</v>
      </c>
      <c r="C377" s="17">
        <v>45956</v>
      </c>
      <c r="D377" s="2" t="s">
        <v>1481</v>
      </c>
      <c r="E377" s="18">
        <v>14564.89</v>
      </c>
      <c r="F377" s="18">
        <v>352.54</v>
      </c>
      <c r="G377" s="2" t="s">
        <v>1361</v>
      </c>
      <c r="H377" s="2" t="s">
        <v>20</v>
      </c>
    </row>
    <row r="378" spans="1:8" ht="15" customHeight="1" x14ac:dyDescent="0.25">
      <c r="A378" s="2" t="s">
        <v>1733</v>
      </c>
      <c r="B378" s="2" t="s">
        <v>1190</v>
      </c>
      <c r="C378" s="17">
        <v>45978</v>
      </c>
      <c r="D378" s="2" t="s">
        <v>1479</v>
      </c>
      <c r="E378" s="18">
        <v>7815.13</v>
      </c>
      <c r="F378" s="18">
        <v>207.61</v>
      </c>
      <c r="G378" s="2" t="s">
        <v>1361</v>
      </c>
      <c r="H378" s="2" t="s">
        <v>20</v>
      </c>
    </row>
    <row r="379" spans="1:8" ht="15" customHeight="1" x14ac:dyDescent="0.25">
      <c r="A379" s="2" t="s">
        <v>1734</v>
      </c>
      <c r="B379" s="2" t="s">
        <v>1190</v>
      </c>
      <c r="C379" s="17">
        <v>45996</v>
      </c>
      <c r="D379" s="2" t="s">
        <v>1360</v>
      </c>
      <c r="E379" s="18">
        <v>8886.49</v>
      </c>
      <c r="F379" s="18">
        <v>239.35</v>
      </c>
      <c r="G379" s="2" t="s">
        <v>1361</v>
      </c>
      <c r="H379" s="2" t="s">
        <v>20</v>
      </c>
    </row>
    <row r="380" spans="1:8" ht="15" customHeight="1" x14ac:dyDescent="0.25">
      <c r="A380" s="2" t="s">
        <v>1735</v>
      </c>
      <c r="B380" s="2" t="s">
        <v>1190</v>
      </c>
      <c r="C380" s="17">
        <v>46008</v>
      </c>
      <c r="D380" s="2" t="s">
        <v>1481</v>
      </c>
      <c r="E380" s="18">
        <v>6622.59</v>
      </c>
      <c r="F380" s="18">
        <v>181.47</v>
      </c>
      <c r="G380" s="2" t="s">
        <v>1361</v>
      </c>
      <c r="H380" s="2" t="s">
        <v>20</v>
      </c>
    </row>
    <row r="381" spans="1:8" ht="15" customHeight="1" x14ac:dyDescent="0.25">
      <c r="A381" s="2" t="s">
        <v>1736</v>
      </c>
      <c r="B381" s="2" t="s">
        <v>1190</v>
      </c>
      <c r="C381" s="17">
        <v>45999</v>
      </c>
      <c r="D381" s="2" t="s">
        <v>1360</v>
      </c>
      <c r="E381" s="18">
        <v>7728.29</v>
      </c>
      <c r="F381" s="18">
        <v>235.54</v>
      </c>
      <c r="G381" s="2" t="s">
        <v>1361</v>
      </c>
      <c r="H381" s="2" t="s">
        <v>20</v>
      </c>
    </row>
    <row r="382" spans="1:8" ht="15" customHeight="1" x14ac:dyDescent="0.25">
      <c r="A382" s="2" t="s">
        <v>1737</v>
      </c>
      <c r="B382" s="2" t="s">
        <v>1191</v>
      </c>
      <c r="C382" s="17">
        <v>45866</v>
      </c>
      <c r="D382" s="2" t="s">
        <v>1373</v>
      </c>
      <c r="E382" s="18">
        <v>17272.669999999998</v>
      </c>
      <c r="F382" s="18">
        <v>319.7</v>
      </c>
      <c r="G382" s="2" t="s">
        <v>1361</v>
      </c>
      <c r="H382" s="2" t="s">
        <v>21</v>
      </c>
    </row>
    <row r="383" spans="1:8" ht="15" customHeight="1" x14ac:dyDescent="0.25">
      <c r="A383" s="2" t="s">
        <v>1738</v>
      </c>
      <c r="B383" s="2" t="s">
        <v>1191</v>
      </c>
      <c r="C383" s="17">
        <v>45856</v>
      </c>
      <c r="D383" s="2" t="s">
        <v>1373</v>
      </c>
      <c r="E383" s="18">
        <v>8223.93</v>
      </c>
      <c r="F383" s="18">
        <v>140.86000000000001</v>
      </c>
      <c r="G383" s="2" t="s">
        <v>1361</v>
      </c>
      <c r="H383" s="2" t="s">
        <v>21</v>
      </c>
    </row>
    <row r="384" spans="1:8" ht="15" customHeight="1" x14ac:dyDescent="0.25">
      <c r="A384" s="2" t="s">
        <v>1739</v>
      </c>
      <c r="B384" s="2" t="s">
        <v>1191</v>
      </c>
      <c r="C384" s="17">
        <v>45894</v>
      </c>
      <c r="D384" s="2" t="s">
        <v>1373</v>
      </c>
      <c r="E384" s="18">
        <v>14036.8</v>
      </c>
      <c r="F384" s="18">
        <v>279.47000000000003</v>
      </c>
      <c r="G384" s="2" t="s">
        <v>1361</v>
      </c>
      <c r="H384" s="2" t="s">
        <v>21</v>
      </c>
    </row>
    <row r="385" spans="1:8" ht="15" customHeight="1" x14ac:dyDescent="0.25">
      <c r="A385" s="2" t="s">
        <v>1740</v>
      </c>
      <c r="B385" s="2" t="s">
        <v>1191</v>
      </c>
      <c r="C385" s="17">
        <v>45921</v>
      </c>
      <c r="D385" s="2" t="s">
        <v>1373</v>
      </c>
      <c r="E385" s="18">
        <v>13354</v>
      </c>
      <c r="F385" s="18">
        <v>208.91</v>
      </c>
      <c r="G385" s="2" t="s">
        <v>1361</v>
      </c>
      <c r="H385" s="2" t="s">
        <v>21</v>
      </c>
    </row>
    <row r="386" spans="1:8" ht="15" customHeight="1" x14ac:dyDescent="0.25">
      <c r="A386" s="2" t="s">
        <v>1741</v>
      </c>
      <c r="B386" s="2" t="s">
        <v>1191</v>
      </c>
      <c r="C386" s="17">
        <v>45926</v>
      </c>
      <c r="D386" s="2" t="s">
        <v>1373</v>
      </c>
      <c r="E386" s="18">
        <v>16050.68</v>
      </c>
      <c r="F386" s="18">
        <v>264.33</v>
      </c>
      <c r="G386" s="2" t="s">
        <v>1361</v>
      </c>
      <c r="H386" s="2" t="s">
        <v>21</v>
      </c>
    </row>
    <row r="387" spans="1:8" ht="15" customHeight="1" x14ac:dyDescent="0.25">
      <c r="A387" s="2" t="s">
        <v>1742</v>
      </c>
      <c r="B387" s="2" t="s">
        <v>1191</v>
      </c>
      <c r="C387" s="17">
        <v>45938</v>
      </c>
      <c r="D387" s="2" t="s">
        <v>1373</v>
      </c>
      <c r="E387" s="18">
        <v>7695.31</v>
      </c>
      <c r="F387" s="18">
        <v>145.94</v>
      </c>
      <c r="G387" s="2" t="s">
        <v>1361</v>
      </c>
      <c r="H387" s="2" t="s">
        <v>21</v>
      </c>
    </row>
    <row r="388" spans="1:8" ht="15" customHeight="1" x14ac:dyDescent="0.25">
      <c r="A388" s="2" t="s">
        <v>1743</v>
      </c>
      <c r="B388" s="2" t="s">
        <v>1191</v>
      </c>
      <c r="C388" s="17">
        <v>45950</v>
      </c>
      <c r="D388" s="2" t="s">
        <v>1373</v>
      </c>
      <c r="E388" s="18">
        <v>7767.68</v>
      </c>
      <c r="F388" s="18">
        <v>128.5</v>
      </c>
      <c r="G388" s="2" t="s">
        <v>1361</v>
      </c>
      <c r="H388" s="2" t="s">
        <v>21</v>
      </c>
    </row>
    <row r="389" spans="1:8" ht="15" customHeight="1" x14ac:dyDescent="0.25">
      <c r="A389" s="2" t="s">
        <v>1744</v>
      </c>
      <c r="B389" s="2" t="s">
        <v>1191</v>
      </c>
      <c r="C389" s="17">
        <v>45984</v>
      </c>
      <c r="D389" s="2" t="s">
        <v>1373</v>
      </c>
      <c r="E389" s="18">
        <v>5901.94</v>
      </c>
      <c r="F389" s="18">
        <v>110.6</v>
      </c>
      <c r="G389" s="2" t="s">
        <v>1361</v>
      </c>
      <c r="H389" s="2" t="s">
        <v>21</v>
      </c>
    </row>
    <row r="390" spans="1:8" ht="15" customHeight="1" x14ac:dyDescent="0.25">
      <c r="A390" s="2" t="s">
        <v>1745</v>
      </c>
      <c r="B390" s="2" t="s">
        <v>1191</v>
      </c>
      <c r="C390" s="17">
        <v>45991</v>
      </c>
      <c r="D390" s="2" t="s">
        <v>1373</v>
      </c>
      <c r="E390" s="18">
        <v>11347.06</v>
      </c>
      <c r="F390" s="18">
        <v>233.85</v>
      </c>
      <c r="G390" s="2" t="s">
        <v>1361</v>
      </c>
      <c r="H390" s="2" t="s">
        <v>21</v>
      </c>
    </row>
    <row r="391" spans="1:8" ht="15" customHeight="1" x14ac:dyDescent="0.25">
      <c r="A391" s="2" t="s">
        <v>1746</v>
      </c>
      <c r="B391" s="2" t="s">
        <v>1191</v>
      </c>
      <c r="C391" s="17">
        <v>46021</v>
      </c>
      <c r="D391" s="2" t="s">
        <v>1373</v>
      </c>
      <c r="E391" s="18">
        <v>9274.65</v>
      </c>
      <c r="F391" s="18">
        <v>161.97999999999999</v>
      </c>
      <c r="G391" s="2" t="s">
        <v>1361</v>
      </c>
      <c r="H391" s="2" t="s">
        <v>21</v>
      </c>
    </row>
    <row r="392" spans="1:8" ht="15" customHeight="1" x14ac:dyDescent="0.25">
      <c r="A392" s="2" t="s">
        <v>1747</v>
      </c>
      <c r="B392" s="2" t="s">
        <v>101</v>
      </c>
      <c r="C392" s="17">
        <v>45926</v>
      </c>
      <c r="D392" s="2" t="s">
        <v>1373</v>
      </c>
      <c r="E392" s="18">
        <v>15737.86</v>
      </c>
      <c r="F392" s="18">
        <v>315.98</v>
      </c>
      <c r="G392" s="2" t="s">
        <v>1361</v>
      </c>
      <c r="H392" s="2" t="s">
        <v>20</v>
      </c>
    </row>
    <row r="393" spans="1:8" ht="15" customHeight="1" x14ac:dyDescent="0.25">
      <c r="A393" s="2" t="s">
        <v>1748</v>
      </c>
      <c r="B393" s="2" t="s">
        <v>101</v>
      </c>
      <c r="C393" s="17">
        <v>45938</v>
      </c>
      <c r="D393" s="2" t="s">
        <v>1373</v>
      </c>
      <c r="E393" s="18">
        <v>8505</v>
      </c>
      <c r="F393" s="18">
        <v>172.57</v>
      </c>
      <c r="G393" s="2" t="s">
        <v>1361</v>
      </c>
      <c r="H393" s="2" t="s">
        <v>20</v>
      </c>
    </row>
    <row r="394" spans="1:8" ht="15" customHeight="1" x14ac:dyDescent="0.25">
      <c r="A394" s="2" t="s">
        <v>1749</v>
      </c>
      <c r="B394" s="2" t="s">
        <v>101</v>
      </c>
      <c r="C394" s="17">
        <v>45956</v>
      </c>
      <c r="D394" s="2" t="s">
        <v>1373</v>
      </c>
      <c r="E394" s="18">
        <v>15882.13</v>
      </c>
      <c r="F394" s="18">
        <v>269.97000000000003</v>
      </c>
      <c r="G394" s="2" t="s">
        <v>1361</v>
      </c>
      <c r="H394" s="2" t="s">
        <v>20</v>
      </c>
    </row>
    <row r="395" spans="1:8" ht="15" customHeight="1" x14ac:dyDescent="0.25">
      <c r="A395" s="2" t="s">
        <v>1750</v>
      </c>
      <c r="B395" s="2" t="s">
        <v>101</v>
      </c>
      <c r="C395" s="17">
        <v>45976</v>
      </c>
      <c r="D395" s="2" t="s">
        <v>1373</v>
      </c>
      <c r="E395" s="18">
        <v>17068.63</v>
      </c>
      <c r="F395" s="18">
        <v>337.73</v>
      </c>
      <c r="G395" s="2" t="s">
        <v>1361</v>
      </c>
      <c r="H395" s="2" t="s">
        <v>20</v>
      </c>
    </row>
    <row r="396" spans="1:8" ht="15" customHeight="1" x14ac:dyDescent="0.25">
      <c r="A396" s="2" t="s">
        <v>1751</v>
      </c>
      <c r="B396" s="2" t="s">
        <v>101</v>
      </c>
      <c r="C396" s="17">
        <v>45978</v>
      </c>
      <c r="D396" s="2" t="s">
        <v>1373</v>
      </c>
      <c r="E396" s="18">
        <v>15874.19</v>
      </c>
      <c r="F396" s="18">
        <v>271.07</v>
      </c>
      <c r="G396" s="2" t="s">
        <v>1361</v>
      </c>
      <c r="H396" s="2" t="s">
        <v>20</v>
      </c>
    </row>
    <row r="397" spans="1:8" ht="15" customHeight="1" x14ac:dyDescent="0.25">
      <c r="A397" s="2" t="s">
        <v>1752</v>
      </c>
      <c r="B397" s="2" t="s">
        <v>101</v>
      </c>
      <c r="C397" s="17">
        <v>45973</v>
      </c>
      <c r="D397" s="2" t="s">
        <v>1373</v>
      </c>
      <c r="E397" s="18">
        <v>5738.72</v>
      </c>
      <c r="F397" s="18">
        <v>96.45</v>
      </c>
      <c r="G397" s="2" t="s">
        <v>1361</v>
      </c>
      <c r="H397" s="2" t="s">
        <v>20</v>
      </c>
    </row>
    <row r="398" spans="1:8" ht="15" customHeight="1" x14ac:dyDescent="0.25">
      <c r="A398" s="2" t="s">
        <v>1753</v>
      </c>
      <c r="B398" s="2" t="s">
        <v>101</v>
      </c>
      <c r="C398" s="17">
        <v>45998</v>
      </c>
      <c r="D398" s="2" t="s">
        <v>1373</v>
      </c>
      <c r="E398" s="18">
        <v>16348.03</v>
      </c>
      <c r="F398" s="18">
        <v>323.75</v>
      </c>
      <c r="G398" s="2" t="s">
        <v>1361</v>
      </c>
      <c r="H398" s="2" t="s">
        <v>20</v>
      </c>
    </row>
    <row r="399" spans="1:8" ht="15" customHeight="1" x14ac:dyDescent="0.25">
      <c r="A399" s="2" t="s">
        <v>1754</v>
      </c>
      <c r="B399" s="2" t="s">
        <v>1192</v>
      </c>
      <c r="C399" s="17">
        <v>45930</v>
      </c>
      <c r="D399" s="2" t="s">
        <v>1479</v>
      </c>
      <c r="E399" s="18">
        <v>12358.79</v>
      </c>
      <c r="F399" s="18">
        <v>359.77</v>
      </c>
      <c r="G399" s="2" t="s">
        <v>1361</v>
      </c>
      <c r="H399" s="2" t="s">
        <v>20</v>
      </c>
    </row>
    <row r="400" spans="1:8" ht="15" customHeight="1" x14ac:dyDescent="0.25">
      <c r="A400" s="2" t="s">
        <v>1755</v>
      </c>
      <c r="B400" s="2" t="s">
        <v>1192</v>
      </c>
      <c r="C400" s="17">
        <v>45927</v>
      </c>
      <c r="D400" s="2" t="s">
        <v>1479</v>
      </c>
      <c r="E400" s="18">
        <v>6138</v>
      </c>
      <c r="F400" s="18">
        <v>166.6</v>
      </c>
      <c r="G400" s="2" t="s">
        <v>1361</v>
      </c>
      <c r="H400" s="2" t="s">
        <v>20</v>
      </c>
    </row>
    <row r="401" spans="1:8" ht="15" customHeight="1" x14ac:dyDescent="0.25">
      <c r="A401" s="2" t="s">
        <v>1756</v>
      </c>
      <c r="B401" s="2" t="s">
        <v>1192</v>
      </c>
      <c r="C401" s="17">
        <v>45933</v>
      </c>
      <c r="D401" s="2" t="s">
        <v>1481</v>
      </c>
      <c r="E401" s="18">
        <v>17527.189999999999</v>
      </c>
      <c r="F401" s="18">
        <v>498.96</v>
      </c>
      <c r="G401" s="2" t="s">
        <v>1361</v>
      </c>
      <c r="H401" s="2" t="s">
        <v>20</v>
      </c>
    </row>
    <row r="402" spans="1:8" ht="15" customHeight="1" x14ac:dyDescent="0.25">
      <c r="A402" s="2" t="s">
        <v>1757</v>
      </c>
      <c r="B402" s="2" t="s">
        <v>1192</v>
      </c>
      <c r="C402" s="17">
        <v>45942</v>
      </c>
      <c r="D402" s="2" t="s">
        <v>1360</v>
      </c>
      <c r="E402" s="18">
        <v>11305.54</v>
      </c>
      <c r="F402" s="18">
        <v>333.82</v>
      </c>
      <c r="G402" s="2" t="s">
        <v>1361</v>
      </c>
      <c r="H402" s="2" t="s">
        <v>20</v>
      </c>
    </row>
    <row r="403" spans="1:8" ht="15" customHeight="1" x14ac:dyDescent="0.25">
      <c r="A403" s="2" t="s">
        <v>1758</v>
      </c>
      <c r="B403" s="2" t="s">
        <v>1192</v>
      </c>
      <c r="C403" s="17">
        <v>45981</v>
      </c>
      <c r="D403" s="2" t="s">
        <v>1360</v>
      </c>
      <c r="E403" s="18">
        <v>5810.5</v>
      </c>
      <c r="F403" s="18">
        <v>164.78</v>
      </c>
      <c r="G403" s="2" t="s">
        <v>1361</v>
      </c>
      <c r="H403" s="2" t="s">
        <v>20</v>
      </c>
    </row>
    <row r="404" spans="1:8" ht="15" customHeight="1" x14ac:dyDescent="0.25">
      <c r="A404" s="2" t="s">
        <v>1759</v>
      </c>
      <c r="B404" s="2" t="s">
        <v>1192</v>
      </c>
      <c r="C404" s="17">
        <v>45981</v>
      </c>
      <c r="D404" s="2" t="s">
        <v>1481</v>
      </c>
      <c r="E404" s="18">
        <v>6247.56</v>
      </c>
      <c r="F404" s="18">
        <v>190.19</v>
      </c>
      <c r="G404" s="2" t="s">
        <v>1361</v>
      </c>
      <c r="H404" s="2" t="s">
        <v>20</v>
      </c>
    </row>
    <row r="405" spans="1:8" ht="15" customHeight="1" x14ac:dyDescent="0.25">
      <c r="A405" s="2" t="s">
        <v>1760</v>
      </c>
      <c r="B405" s="2" t="s">
        <v>1192</v>
      </c>
      <c r="C405" s="17">
        <v>46008</v>
      </c>
      <c r="D405" s="2" t="s">
        <v>1479</v>
      </c>
      <c r="E405" s="18">
        <v>17989.419999999998</v>
      </c>
      <c r="F405" s="18">
        <v>436.65</v>
      </c>
      <c r="G405" s="2" t="s">
        <v>1361</v>
      </c>
      <c r="H405" s="2" t="s">
        <v>20</v>
      </c>
    </row>
    <row r="406" spans="1:8" ht="15" customHeight="1" x14ac:dyDescent="0.25">
      <c r="A406" s="2" t="s">
        <v>1761</v>
      </c>
      <c r="B406" s="2" t="s">
        <v>1192</v>
      </c>
      <c r="C406" s="17">
        <v>46021</v>
      </c>
      <c r="D406" s="2" t="s">
        <v>1360</v>
      </c>
      <c r="E406" s="18">
        <v>13225.53</v>
      </c>
      <c r="F406" s="18">
        <v>409.95</v>
      </c>
      <c r="G406" s="2" t="s">
        <v>1361</v>
      </c>
      <c r="H406" s="2" t="s">
        <v>20</v>
      </c>
    </row>
    <row r="407" spans="1:8" ht="15" customHeight="1" x14ac:dyDescent="0.25">
      <c r="A407" s="2" t="s">
        <v>1762</v>
      </c>
      <c r="B407" s="2" t="s">
        <v>1192</v>
      </c>
      <c r="C407" s="17">
        <v>46002</v>
      </c>
      <c r="D407" s="2" t="s">
        <v>1481</v>
      </c>
      <c r="E407" s="18">
        <v>13716.16</v>
      </c>
      <c r="F407" s="18">
        <v>388.94</v>
      </c>
      <c r="G407" s="2" t="s">
        <v>1361</v>
      </c>
      <c r="H407" s="2" t="s">
        <v>20</v>
      </c>
    </row>
    <row r="408" spans="1:8" ht="15" customHeight="1" x14ac:dyDescent="0.25">
      <c r="A408" s="2" t="s">
        <v>1763</v>
      </c>
      <c r="B408" s="2" t="s">
        <v>1193</v>
      </c>
      <c r="C408" s="17">
        <v>45804</v>
      </c>
      <c r="D408" s="2" t="s">
        <v>1360</v>
      </c>
      <c r="E408" s="18">
        <v>3477.55</v>
      </c>
      <c r="F408" s="18">
        <v>87.68</v>
      </c>
      <c r="G408" s="2" t="s">
        <v>1361</v>
      </c>
      <c r="H408" s="2" t="s">
        <v>20</v>
      </c>
    </row>
    <row r="409" spans="1:8" ht="15" customHeight="1" x14ac:dyDescent="0.25">
      <c r="A409" s="2" t="s">
        <v>1764</v>
      </c>
      <c r="B409" s="2" t="s">
        <v>1193</v>
      </c>
      <c r="C409" s="17">
        <v>45815</v>
      </c>
      <c r="D409" s="2" t="s">
        <v>1360</v>
      </c>
      <c r="E409" s="18">
        <v>3202.4</v>
      </c>
      <c r="F409" s="18">
        <v>72.569999999999993</v>
      </c>
      <c r="G409" s="2" t="s">
        <v>1361</v>
      </c>
      <c r="H409" s="2" t="s">
        <v>20</v>
      </c>
    </row>
    <row r="410" spans="1:8" ht="15" customHeight="1" x14ac:dyDescent="0.25">
      <c r="A410" s="2" t="s">
        <v>1765</v>
      </c>
      <c r="B410" s="2" t="s">
        <v>1193</v>
      </c>
      <c r="C410" s="17">
        <v>45860</v>
      </c>
      <c r="D410" s="2" t="s">
        <v>1360</v>
      </c>
      <c r="E410" s="18">
        <v>3382.52</v>
      </c>
      <c r="F410" s="18">
        <v>82.52</v>
      </c>
      <c r="G410" s="2" t="s">
        <v>1361</v>
      </c>
      <c r="H410" s="2" t="s">
        <v>20</v>
      </c>
    </row>
    <row r="411" spans="1:8" ht="15" customHeight="1" x14ac:dyDescent="0.25">
      <c r="A411" s="2" t="s">
        <v>1766</v>
      </c>
      <c r="B411" s="2" t="s">
        <v>1193</v>
      </c>
      <c r="C411" s="17">
        <v>45842</v>
      </c>
      <c r="D411" s="2" t="s">
        <v>1360</v>
      </c>
      <c r="E411" s="18">
        <v>3840.53</v>
      </c>
      <c r="F411" s="18">
        <v>91.45</v>
      </c>
      <c r="G411" s="2" t="s">
        <v>1361</v>
      </c>
      <c r="H411" s="2" t="s">
        <v>20</v>
      </c>
    </row>
    <row r="412" spans="1:8" ht="15" customHeight="1" x14ac:dyDescent="0.25">
      <c r="A412" s="2" t="s">
        <v>1767</v>
      </c>
      <c r="B412" s="2" t="s">
        <v>1193</v>
      </c>
      <c r="C412" s="17">
        <v>45881</v>
      </c>
      <c r="D412" s="2" t="s">
        <v>1360</v>
      </c>
      <c r="E412" s="18">
        <v>2303.0700000000002</v>
      </c>
      <c r="F412" s="18">
        <v>51.78</v>
      </c>
      <c r="G412" s="2" t="s">
        <v>1361</v>
      </c>
      <c r="H412" s="2" t="s">
        <v>20</v>
      </c>
    </row>
    <row r="413" spans="1:8" ht="15" customHeight="1" x14ac:dyDescent="0.25">
      <c r="A413" s="2" t="s">
        <v>1768</v>
      </c>
      <c r="B413" s="2" t="s">
        <v>1193</v>
      </c>
      <c r="C413" s="17">
        <v>45877</v>
      </c>
      <c r="D413" s="2" t="s">
        <v>1360</v>
      </c>
      <c r="E413" s="18">
        <v>2681.66</v>
      </c>
      <c r="F413" s="18">
        <v>64.040000000000006</v>
      </c>
      <c r="G413" s="2" t="s">
        <v>1361</v>
      </c>
      <c r="H413" s="2" t="s">
        <v>20</v>
      </c>
    </row>
    <row r="414" spans="1:8" ht="15" customHeight="1" x14ac:dyDescent="0.25">
      <c r="A414" s="2" t="s">
        <v>1769</v>
      </c>
      <c r="B414" s="2" t="s">
        <v>1193</v>
      </c>
      <c r="C414" s="17">
        <v>45889</v>
      </c>
      <c r="D414" s="2" t="s">
        <v>1360</v>
      </c>
      <c r="E414" s="18">
        <v>5108.04</v>
      </c>
      <c r="F414" s="18">
        <v>125.61</v>
      </c>
      <c r="G414" s="2" t="s">
        <v>1361</v>
      </c>
      <c r="H414" s="2" t="s">
        <v>20</v>
      </c>
    </row>
    <row r="415" spans="1:8" ht="15" customHeight="1" x14ac:dyDescent="0.25">
      <c r="A415" s="2" t="s">
        <v>1770</v>
      </c>
      <c r="B415" s="2" t="s">
        <v>1193</v>
      </c>
      <c r="C415" s="17">
        <v>45914</v>
      </c>
      <c r="D415" s="2" t="s">
        <v>1360</v>
      </c>
      <c r="E415" s="18">
        <v>2972.81</v>
      </c>
      <c r="F415" s="18">
        <v>85.25</v>
      </c>
      <c r="G415" s="2" t="s">
        <v>1361</v>
      </c>
      <c r="H415" s="2" t="s">
        <v>20</v>
      </c>
    </row>
    <row r="416" spans="1:8" ht="15" customHeight="1" x14ac:dyDescent="0.25">
      <c r="A416" s="2" t="s">
        <v>1771</v>
      </c>
      <c r="B416" s="2" t="s">
        <v>1193</v>
      </c>
      <c r="C416" s="17">
        <v>45909</v>
      </c>
      <c r="D416" s="2" t="s">
        <v>1360</v>
      </c>
      <c r="E416" s="18">
        <v>5232.1400000000003</v>
      </c>
      <c r="F416" s="18">
        <v>123.76</v>
      </c>
      <c r="G416" s="2" t="s">
        <v>1361</v>
      </c>
      <c r="H416" s="2" t="s">
        <v>20</v>
      </c>
    </row>
    <row r="417" spans="1:8" ht="15" customHeight="1" x14ac:dyDescent="0.25">
      <c r="A417" s="2" t="s">
        <v>1772</v>
      </c>
      <c r="B417" s="2" t="s">
        <v>1193</v>
      </c>
      <c r="C417" s="17">
        <v>45928</v>
      </c>
      <c r="D417" s="2" t="s">
        <v>1360</v>
      </c>
      <c r="E417" s="18">
        <v>4901.84</v>
      </c>
      <c r="F417" s="18">
        <v>111.88</v>
      </c>
      <c r="G417" s="2" t="s">
        <v>1361</v>
      </c>
      <c r="H417" s="2" t="s">
        <v>20</v>
      </c>
    </row>
    <row r="418" spans="1:8" ht="15" customHeight="1" x14ac:dyDescent="0.25">
      <c r="A418" s="2" t="s">
        <v>1773</v>
      </c>
      <c r="B418" s="2" t="s">
        <v>1193</v>
      </c>
      <c r="C418" s="17">
        <v>45937</v>
      </c>
      <c r="D418" s="2" t="s">
        <v>1360</v>
      </c>
      <c r="E418" s="18">
        <v>4303.53</v>
      </c>
      <c r="F418" s="18">
        <v>121.52</v>
      </c>
      <c r="G418" s="2" t="s">
        <v>1361</v>
      </c>
      <c r="H418" s="2" t="s">
        <v>20</v>
      </c>
    </row>
    <row r="419" spans="1:8" ht="15" customHeight="1" x14ac:dyDescent="0.25">
      <c r="A419" s="2" t="s">
        <v>1774</v>
      </c>
      <c r="B419" s="2" t="s">
        <v>1193</v>
      </c>
      <c r="C419" s="17">
        <v>45973</v>
      </c>
      <c r="D419" s="2" t="s">
        <v>1360</v>
      </c>
      <c r="E419" s="18">
        <v>3055.9</v>
      </c>
      <c r="F419" s="18">
        <v>83.78</v>
      </c>
      <c r="G419" s="2" t="s">
        <v>1361</v>
      </c>
      <c r="H419" s="2" t="s">
        <v>20</v>
      </c>
    </row>
    <row r="420" spans="1:8" ht="15" customHeight="1" x14ac:dyDescent="0.25">
      <c r="A420" s="2" t="s">
        <v>1775</v>
      </c>
      <c r="B420" s="2" t="s">
        <v>1193</v>
      </c>
      <c r="C420" s="17">
        <v>45998</v>
      </c>
      <c r="D420" s="2" t="s">
        <v>1360</v>
      </c>
      <c r="E420" s="18">
        <v>2603.44</v>
      </c>
      <c r="F420" s="18">
        <v>0</v>
      </c>
      <c r="G420" s="2" t="s">
        <v>1408</v>
      </c>
      <c r="H420" s="2" t="s">
        <v>20</v>
      </c>
    </row>
    <row r="421" spans="1:8" ht="15" customHeight="1" x14ac:dyDescent="0.25">
      <c r="A421" s="2" t="s">
        <v>1776</v>
      </c>
      <c r="B421" s="2" t="s">
        <v>1193</v>
      </c>
      <c r="C421" s="17">
        <v>45994</v>
      </c>
      <c r="D421" s="2" t="s">
        <v>1360</v>
      </c>
      <c r="E421" s="18">
        <v>4890.8599999999997</v>
      </c>
      <c r="F421" s="18">
        <v>107.49</v>
      </c>
      <c r="G421" s="2" t="s">
        <v>1361</v>
      </c>
      <c r="H421" s="2" t="s">
        <v>20</v>
      </c>
    </row>
    <row r="422" spans="1:8" ht="15" customHeight="1" x14ac:dyDescent="0.25">
      <c r="A422" s="2" t="s">
        <v>1777</v>
      </c>
      <c r="B422" s="2" t="s">
        <v>1196</v>
      </c>
      <c r="C422" s="17">
        <v>45921</v>
      </c>
      <c r="D422" s="2" t="s">
        <v>1360</v>
      </c>
      <c r="E422" s="18">
        <v>4738.1400000000003</v>
      </c>
      <c r="F422" s="18">
        <v>123.91</v>
      </c>
      <c r="G422" s="2" t="s">
        <v>1361</v>
      </c>
      <c r="H422" s="2" t="s">
        <v>19</v>
      </c>
    </row>
    <row r="423" spans="1:8" ht="15" customHeight="1" x14ac:dyDescent="0.25">
      <c r="A423" s="2" t="s">
        <v>1778</v>
      </c>
      <c r="B423" s="2" t="s">
        <v>1196</v>
      </c>
      <c r="C423" s="17">
        <v>45923</v>
      </c>
      <c r="D423" s="2" t="s">
        <v>1360</v>
      </c>
      <c r="E423" s="18">
        <v>2814.03</v>
      </c>
      <c r="F423" s="18">
        <v>71.75</v>
      </c>
      <c r="G423" s="2" t="s">
        <v>1361</v>
      </c>
      <c r="H423" s="2" t="s">
        <v>19</v>
      </c>
    </row>
    <row r="424" spans="1:8" ht="15" customHeight="1" x14ac:dyDescent="0.25">
      <c r="A424" s="2" t="s">
        <v>1779</v>
      </c>
      <c r="B424" s="2" t="s">
        <v>1196</v>
      </c>
      <c r="C424" s="17">
        <v>45921</v>
      </c>
      <c r="D424" s="2" t="s">
        <v>1360</v>
      </c>
      <c r="E424" s="18">
        <v>5145.66</v>
      </c>
      <c r="F424" s="18">
        <v>141.03</v>
      </c>
      <c r="G424" s="2" t="s">
        <v>1361</v>
      </c>
      <c r="H424" s="2" t="s">
        <v>19</v>
      </c>
    </row>
    <row r="425" spans="1:8" ht="15" customHeight="1" x14ac:dyDescent="0.25">
      <c r="A425" s="2" t="s">
        <v>1780</v>
      </c>
      <c r="B425" s="2" t="s">
        <v>1196</v>
      </c>
      <c r="C425" s="17">
        <v>45944</v>
      </c>
      <c r="D425" s="2" t="s">
        <v>1360</v>
      </c>
      <c r="E425" s="18">
        <v>2539.59</v>
      </c>
      <c r="F425" s="18">
        <v>0</v>
      </c>
      <c r="G425" s="2" t="s">
        <v>1408</v>
      </c>
      <c r="H425" s="2" t="s">
        <v>19</v>
      </c>
    </row>
    <row r="426" spans="1:8" ht="15" customHeight="1" x14ac:dyDescent="0.25">
      <c r="A426" s="2" t="s">
        <v>1781</v>
      </c>
      <c r="B426" s="2" t="s">
        <v>1196</v>
      </c>
      <c r="C426" s="17">
        <v>45968</v>
      </c>
      <c r="D426" s="2" t="s">
        <v>1360</v>
      </c>
      <c r="E426" s="18">
        <v>1645.29</v>
      </c>
      <c r="F426" s="18">
        <v>40.450000000000003</v>
      </c>
      <c r="G426" s="2" t="s">
        <v>1361</v>
      </c>
      <c r="H426" s="2" t="s">
        <v>19</v>
      </c>
    </row>
    <row r="427" spans="1:8" ht="15" customHeight="1" x14ac:dyDescent="0.25">
      <c r="A427" s="2" t="s">
        <v>1782</v>
      </c>
      <c r="B427" s="2" t="s">
        <v>1196</v>
      </c>
      <c r="C427" s="17">
        <v>45987</v>
      </c>
      <c r="D427" s="2" t="s">
        <v>1360</v>
      </c>
      <c r="E427" s="18">
        <v>1770.38</v>
      </c>
      <c r="F427" s="18">
        <v>40.770000000000003</v>
      </c>
      <c r="G427" s="2" t="s">
        <v>1361</v>
      </c>
      <c r="H427" s="2" t="s">
        <v>19</v>
      </c>
    </row>
    <row r="428" spans="1:8" ht="15" customHeight="1" x14ac:dyDescent="0.25">
      <c r="A428" s="2" t="s">
        <v>1783</v>
      </c>
      <c r="B428" s="2" t="s">
        <v>1196</v>
      </c>
      <c r="C428" s="17">
        <v>45995</v>
      </c>
      <c r="D428" s="2" t="s">
        <v>1360</v>
      </c>
      <c r="E428" s="18">
        <v>4021.32</v>
      </c>
      <c r="F428" s="18">
        <v>92.36</v>
      </c>
      <c r="G428" s="2" t="s">
        <v>1361</v>
      </c>
      <c r="H428" s="2" t="s">
        <v>19</v>
      </c>
    </row>
    <row r="429" spans="1:8" ht="15" customHeight="1" x14ac:dyDescent="0.25">
      <c r="A429" s="2" t="s">
        <v>1784</v>
      </c>
      <c r="B429" s="2" t="s">
        <v>1196</v>
      </c>
      <c r="C429" s="17">
        <v>46003</v>
      </c>
      <c r="D429" s="2" t="s">
        <v>1360</v>
      </c>
      <c r="E429" s="18">
        <v>2604.5300000000002</v>
      </c>
      <c r="F429" s="18">
        <v>67.48</v>
      </c>
      <c r="G429" s="2" t="s">
        <v>1361</v>
      </c>
      <c r="H429" s="2" t="s">
        <v>19</v>
      </c>
    </row>
    <row r="430" spans="1:8" ht="15" customHeight="1" x14ac:dyDescent="0.25">
      <c r="A430" s="2" t="s">
        <v>1785</v>
      </c>
      <c r="B430" s="2" t="s">
        <v>1196</v>
      </c>
      <c r="C430" s="17">
        <v>46020</v>
      </c>
      <c r="D430" s="2" t="s">
        <v>1360</v>
      </c>
      <c r="E430" s="18">
        <v>2925.43</v>
      </c>
      <c r="F430" s="18">
        <v>71.73</v>
      </c>
      <c r="G430" s="2" t="s">
        <v>1361</v>
      </c>
      <c r="H430" s="2" t="s">
        <v>19</v>
      </c>
    </row>
    <row r="431" spans="1:8" ht="15" customHeight="1" x14ac:dyDescent="0.25">
      <c r="A431" s="2" t="s">
        <v>1786</v>
      </c>
      <c r="B431" s="2" t="s">
        <v>1197</v>
      </c>
      <c r="C431" s="17">
        <v>45852</v>
      </c>
      <c r="D431" s="2" t="s">
        <v>1423</v>
      </c>
      <c r="E431" s="18">
        <v>4034.42</v>
      </c>
      <c r="F431" s="18">
        <v>132.12</v>
      </c>
      <c r="G431" s="2" t="s">
        <v>1361</v>
      </c>
      <c r="H431" s="2" t="s">
        <v>22</v>
      </c>
    </row>
    <row r="432" spans="1:8" ht="15" customHeight="1" x14ac:dyDescent="0.25">
      <c r="A432" s="2" t="s">
        <v>1787</v>
      </c>
      <c r="B432" s="2" t="s">
        <v>1197</v>
      </c>
      <c r="C432" s="17">
        <v>45866</v>
      </c>
      <c r="D432" s="2" t="s">
        <v>1423</v>
      </c>
      <c r="E432" s="18">
        <v>2458.67</v>
      </c>
      <c r="F432" s="18">
        <v>75.7</v>
      </c>
      <c r="G432" s="2" t="s">
        <v>1361</v>
      </c>
      <c r="H432" s="2" t="s">
        <v>22</v>
      </c>
    </row>
    <row r="433" spans="1:8" ht="15" customHeight="1" x14ac:dyDescent="0.25">
      <c r="A433" s="2" t="s">
        <v>1788</v>
      </c>
      <c r="B433" s="2" t="s">
        <v>1197</v>
      </c>
      <c r="C433" s="17">
        <v>45860</v>
      </c>
      <c r="D433" s="2" t="s">
        <v>1423</v>
      </c>
      <c r="E433" s="18">
        <v>3888.79</v>
      </c>
      <c r="F433" s="18">
        <v>130.24</v>
      </c>
      <c r="G433" s="2" t="s">
        <v>1361</v>
      </c>
      <c r="H433" s="2" t="s">
        <v>22</v>
      </c>
    </row>
    <row r="434" spans="1:8" ht="15" customHeight="1" x14ac:dyDescent="0.25">
      <c r="A434" s="2" t="s">
        <v>1789</v>
      </c>
      <c r="B434" s="2" t="s">
        <v>1197</v>
      </c>
      <c r="C434" s="17">
        <v>45879</v>
      </c>
      <c r="D434" s="2" t="s">
        <v>1423</v>
      </c>
      <c r="E434" s="18">
        <v>2879.28</v>
      </c>
      <c r="F434" s="18">
        <v>94</v>
      </c>
      <c r="G434" s="2" t="s">
        <v>1361</v>
      </c>
      <c r="H434" s="2" t="s">
        <v>22</v>
      </c>
    </row>
    <row r="435" spans="1:8" ht="15" customHeight="1" x14ac:dyDescent="0.25">
      <c r="A435" s="2" t="s">
        <v>1790</v>
      </c>
      <c r="B435" s="2" t="s">
        <v>1197</v>
      </c>
      <c r="C435" s="17">
        <v>45877</v>
      </c>
      <c r="D435" s="2" t="s">
        <v>1423</v>
      </c>
      <c r="E435" s="18">
        <v>4069.73</v>
      </c>
      <c r="F435" s="18">
        <v>117.06</v>
      </c>
      <c r="G435" s="2" t="s">
        <v>1361</v>
      </c>
      <c r="H435" s="2" t="s">
        <v>22</v>
      </c>
    </row>
    <row r="436" spans="1:8" ht="15" customHeight="1" x14ac:dyDescent="0.25">
      <c r="A436" s="2" t="s">
        <v>1791</v>
      </c>
      <c r="B436" s="2" t="s">
        <v>1197</v>
      </c>
      <c r="C436" s="17">
        <v>45918</v>
      </c>
      <c r="D436" s="2" t="s">
        <v>1423</v>
      </c>
      <c r="E436" s="18">
        <v>3764.98</v>
      </c>
      <c r="F436" s="18">
        <v>100.93</v>
      </c>
      <c r="G436" s="2" t="s">
        <v>1361</v>
      </c>
      <c r="H436" s="2" t="s">
        <v>22</v>
      </c>
    </row>
    <row r="437" spans="1:8" ht="15" customHeight="1" x14ac:dyDescent="0.25">
      <c r="A437" s="2" t="s">
        <v>1792</v>
      </c>
      <c r="B437" s="2" t="s">
        <v>1197</v>
      </c>
      <c r="C437" s="17">
        <v>45939</v>
      </c>
      <c r="D437" s="2" t="s">
        <v>1423</v>
      </c>
      <c r="E437" s="18">
        <v>1690.76</v>
      </c>
      <c r="F437" s="18">
        <v>50.55</v>
      </c>
      <c r="G437" s="2" t="s">
        <v>1361</v>
      </c>
      <c r="H437" s="2" t="s">
        <v>22</v>
      </c>
    </row>
    <row r="438" spans="1:8" ht="15" customHeight="1" x14ac:dyDescent="0.25">
      <c r="A438" s="2" t="s">
        <v>1793</v>
      </c>
      <c r="B438" s="2" t="s">
        <v>1197</v>
      </c>
      <c r="C438" s="17">
        <v>45952</v>
      </c>
      <c r="D438" s="2" t="s">
        <v>1423</v>
      </c>
      <c r="E438" s="18">
        <v>3815.3</v>
      </c>
      <c r="F438" s="18">
        <v>100.93</v>
      </c>
      <c r="G438" s="2" t="s">
        <v>1361</v>
      </c>
      <c r="H438" s="2" t="s">
        <v>22</v>
      </c>
    </row>
    <row r="439" spans="1:8" ht="15" customHeight="1" x14ac:dyDescent="0.25">
      <c r="A439" s="2" t="s">
        <v>1794</v>
      </c>
      <c r="B439" s="2" t="s">
        <v>1197</v>
      </c>
      <c r="C439" s="17">
        <v>45983</v>
      </c>
      <c r="D439" s="2" t="s">
        <v>1423</v>
      </c>
      <c r="E439" s="18">
        <v>2098.62</v>
      </c>
      <c r="F439" s="18">
        <v>68.08</v>
      </c>
      <c r="G439" s="2" t="s">
        <v>1361</v>
      </c>
      <c r="H439" s="2" t="s">
        <v>22</v>
      </c>
    </row>
    <row r="440" spans="1:8" ht="15" customHeight="1" x14ac:dyDescent="0.25">
      <c r="A440" s="2" t="s">
        <v>1795</v>
      </c>
      <c r="B440" s="2" t="s">
        <v>1197</v>
      </c>
      <c r="C440" s="17">
        <v>45974</v>
      </c>
      <c r="D440" s="2" t="s">
        <v>1423</v>
      </c>
      <c r="E440" s="18">
        <v>2638.84</v>
      </c>
      <c r="F440" s="18">
        <v>71.97</v>
      </c>
      <c r="G440" s="2" t="s">
        <v>1361</v>
      </c>
      <c r="H440" s="2" t="s">
        <v>22</v>
      </c>
    </row>
    <row r="441" spans="1:8" ht="15" customHeight="1" x14ac:dyDescent="0.25">
      <c r="A441" s="2" t="s">
        <v>1796</v>
      </c>
      <c r="B441" s="2" t="s">
        <v>1197</v>
      </c>
      <c r="C441" s="17">
        <v>46010</v>
      </c>
      <c r="D441" s="2" t="s">
        <v>1423</v>
      </c>
      <c r="E441" s="18">
        <v>4397.42</v>
      </c>
      <c r="F441" s="18">
        <v>122.93</v>
      </c>
      <c r="G441" s="2" t="s">
        <v>1361</v>
      </c>
      <c r="H441" s="2" t="s">
        <v>22</v>
      </c>
    </row>
    <row r="442" spans="1:8" ht="15" customHeight="1" x14ac:dyDescent="0.25">
      <c r="A442" s="2" t="s">
        <v>1797</v>
      </c>
      <c r="B442" s="2" t="s">
        <v>1197</v>
      </c>
      <c r="C442" s="17">
        <v>46005</v>
      </c>
      <c r="D442" s="2" t="s">
        <v>1423</v>
      </c>
      <c r="E442" s="18">
        <v>3849.39</v>
      </c>
      <c r="F442" s="18">
        <v>125.14</v>
      </c>
      <c r="G442" s="2" t="s">
        <v>1361</v>
      </c>
      <c r="H442" s="2" t="s">
        <v>22</v>
      </c>
    </row>
    <row r="443" spans="1:8" ht="15" customHeight="1" x14ac:dyDescent="0.25">
      <c r="A443" s="2" t="s">
        <v>1798</v>
      </c>
      <c r="B443" s="2" t="s">
        <v>1198</v>
      </c>
      <c r="C443" s="17">
        <v>45925</v>
      </c>
      <c r="D443" s="2" t="s">
        <v>1360</v>
      </c>
      <c r="E443" s="18">
        <v>2046.38</v>
      </c>
      <c r="F443" s="18">
        <v>46.06</v>
      </c>
      <c r="G443" s="2" t="s">
        <v>1361</v>
      </c>
      <c r="H443" s="2" t="s">
        <v>22</v>
      </c>
    </row>
    <row r="444" spans="1:8" ht="15" customHeight="1" x14ac:dyDescent="0.25">
      <c r="A444" s="2" t="s">
        <v>1799</v>
      </c>
      <c r="B444" s="2" t="s">
        <v>1198</v>
      </c>
      <c r="C444" s="17">
        <v>45920</v>
      </c>
      <c r="D444" s="2" t="s">
        <v>1360</v>
      </c>
      <c r="E444" s="18">
        <v>4567.97</v>
      </c>
      <c r="F444" s="18">
        <v>100.18</v>
      </c>
      <c r="G444" s="2" t="s">
        <v>1361</v>
      </c>
      <c r="H444" s="2" t="s">
        <v>22</v>
      </c>
    </row>
    <row r="445" spans="1:8" ht="15" customHeight="1" x14ac:dyDescent="0.25">
      <c r="A445" s="2" t="s">
        <v>1800</v>
      </c>
      <c r="B445" s="2" t="s">
        <v>1198</v>
      </c>
      <c r="C445" s="17">
        <v>45923</v>
      </c>
      <c r="D445" s="2" t="s">
        <v>1360</v>
      </c>
      <c r="E445" s="18">
        <v>3780.77</v>
      </c>
      <c r="F445" s="18">
        <v>0</v>
      </c>
      <c r="G445" s="2" t="s">
        <v>1408</v>
      </c>
      <c r="H445" s="2" t="s">
        <v>22</v>
      </c>
    </row>
    <row r="446" spans="1:8" ht="15" customHeight="1" x14ac:dyDescent="0.25">
      <c r="A446" s="2" t="s">
        <v>1801</v>
      </c>
      <c r="B446" s="2" t="s">
        <v>1198</v>
      </c>
      <c r="C446" s="17">
        <v>45952</v>
      </c>
      <c r="D446" s="2" t="s">
        <v>1360</v>
      </c>
      <c r="E446" s="18">
        <v>4050.86</v>
      </c>
      <c r="F446" s="18">
        <v>103.22</v>
      </c>
      <c r="G446" s="2" t="s">
        <v>1361</v>
      </c>
      <c r="H446" s="2" t="s">
        <v>22</v>
      </c>
    </row>
    <row r="447" spans="1:8" ht="15" customHeight="1" x14ac:dyDescent="0.25">
      <c r="A447" s="2" t="s">
        <v>1802</v>
      </c>
      <c r="B447" s="2" t="s">
        <v>1198</v>
      </c>
      <c r="C447" s="17">
        <v>45934</v>
      </c>
      <c r="D447" s="2" t="s">
        <v>1360</v>
      </c>
      <c r="E447" s="18">
        <v>2033.79</v>
      </c>
      <c r="F447" s="18">
        <v>50.32</v>
      </c>
      <c r="G447" s="2" t="s">
        <v>1361</v>
      </c>
      <c r="H447" s="2" t="s">
        <v>22</v>
      </c>
    </row>
    <row r="448" spans="1:8" ht="15" customHeight="1" x14ac:dyDescent="0.25">
      <c r="A448" s="2" t="s">
        <v>1803</v>
      </c>
      <c r="B448" s="2" t="s">
        <v>1198</v>
      </c>
      <c r="C448" s="17">
        <v>45977</v>
      </c>
      <c r="D448" s="2" t="s">
        <v>1360</v>
      </c>
      <c r="E448" s="18">
        <v>2798.24</v>
      </c>
      <c r="F448" s="18">
        <v>78.25</v>
      </c>
      <c r="G448" s="2" t="s">
        <v>1361</v>
      </c>
      <c r="H448" s="2" t="s">
        <v>22</v>
      </c>
    </row>
    <row r="449" spans="1:8" ht="15" customHeight="1" x14ac:dyDescent="0.25">
      <c r="A449" s="2" t="s">
        <v>1804</v>
      </c>
      <c r="B449" s="2" t="s">
        <v>1198</v>
      </c>
      <c r="C449" s="17">
        <v>46000</v>
      </c>
      <c r="D449" s="2" t="s">
        <v>1360</v>
      </c>
      <c r="E449" s="18">
        <v>4901.87</v>
      </c>
      <c r="F449" s="18">
        <v>123.51</v>
      </c>
      <c r="G449" s="2" t="s">
        <v>1361</v>
      </c>
      <c r="H449" s="2" t="s">
        <v>22</v>
      </c>
    </row>
    <row r="450" spans="1:8" ht="15" customHeight="1" x14ac:dyDescent="0.25">
      <c r="A450" s="2" t="s">
        <v>1805</v>
      </c>
      <c r="B450" s="2" t="s">
        <v>1198</v>
      </c>
      <c r="C450" s="17">
        <v>46015</v>
      </c>
      <c r="D450" s="2" t="s">
        <v>1360</v>
      </c>
      <c r="E450" s="18">
        <v>4057.72</v>
      </c>
      <c r="F450" s="18">
        <v>100.46</v>
      </c>
      <c r="G450" s="2" t="s">
        <v>1361</v>
      </c>
      <c r="H450" s="2" t="s">
        <v>22</v>
      </c>
    </row>
    <row r="451" spans="1:8" ht="15" customHeight="1" x14ac:dyDescent="0.25">
      <c r="A451" s="2" t="s">
        <v>1806</v>
      </c>
      <c r="B451" s="2" t="s">
        <v>1201</v>
      </c>
      <c r="C451" s="17">
        <v>45795</v>
      </c>
      <c r="D451" s="2" t="s">
        <v>1423</v>
      </c>
      <c r="E451" s="18">
        <v>4627.5200000000004</v>
      </c>
      <c r="F451" s="18">
        <v>128.35</v>
      </c>
      <c r="G451" s="2" t="s">
        <v>1361</v>
      </c>
      <c r="H451" s="2" t="s">
        <v>20</v>
      </c>
    </row>
    <row r="452" spans="1:8" ht="15" customHeight="1" x14ac:dyDescent="0.25">
      <c r="A452" s="2" t="s">
        <v>1807</v>
      </c>
      <c r="B452" s="2" t="s">
        <v>1201</v>
      </c>
      <c r="C452" s="17">
        <v>45809</v>
      </c>
      <c r="D452" s="2" t="s">
        <v>1423</v>
      </c>
      <c r="E452" s="18">
        <v>16271.19</v>
      </c>
      <c r="F452" s="18">
        <v>466.26</v>
      </c>
      <c r="G452" s="2" t="s">
        <v>1361</v>
      </c>
      <c r="H452" s="2" t="s">
        <v>20</v>
      </c>
    </row>
    <row r="453" spans="1:8" ht="15" customHeight="1" x14ac:dyDescent="0.25">
      <c r="A453" s="2" t="s">
        <v>1808</v>
      </c>
      <c r="B453" s="2" t="s">
        <v>1201</v>
      </c>
      <c r="C453" s="17">
        <v>45869</v>
      </c>
      <c r="D453" s="2" t="s">
        <v>1423</v>
      </c>
      <c r="E453" s="18">
        <v>13214.45</v>
      </c>
      <c r="F453" s="18">
        <v>350.07</v>
      </c>
      <c r="G453" s="2" t="s">
        <v>1361</v>
      </c>
      <c r="H453" s="2" t="s">
        <v>20</v>
      </c>
    </row>
    <row r="454" spans="1:8" ht="15" customHeight="1" x14ac:dyDescent="0.25">
      <c r="A454" s="2" t="s">
        <v>1809</v>
      </c>
      <c r="B454" s="2" t="s">
        <v>1201</v>
      </c>
      <c r="C454" s="17">
        <v>45848</v>
      </c>
      <c r="D454" s="2" t="s">
        <v>1423</v>
      </c>
      <c r="E454" s="18">
        <v>7973.52</v>
      </c>
      <c r="F454" s="18">
        <v>257.08</v>
      </c>
      <c r="G454" s="2" t="s">
        <v>1361</v>
      </c>
      <c r="H454" s="2" t="s">
        <v>20</v>
      </c>
    </row>
    <row r="455" spans="1:8" ht="15" customHeight="1" x14ac:dyDescent="0.25">
      <c r="A455" s="2" t="s">
        <v>1810</v>
      </c>
      <c r="B455" s="2" t="s">
        <v>1201</v>
      </c>
      <c r="C455" s="17">
        <v>45899</v>
      </c>
      <c r="D455" s="2" t="s">
        <v>1423</v>
      </c>
      <c r="E455" s="18">
        <v>16621.45</v>
      </c>
      <c r="F455" s="18">
        <v>578.88</v>
      </c>
      <c r="G455" s="2" t="s">
        <v>1361</v>
      </c>
      <c r="H455" s="2" t="s">
        <v>20</v>
      </c>
    </row>
    <row r="456" spans="1:8" ht="15" customHeight="1" x14ac:dyDescent="0.25">
      <c r="A456" s="2" t="s">
        <v>1811</v>
      </c>
      <c r="B456" s="2" t="s">
        <v>1201</v>
      </c>
      <c r="C456" s="17">
        <v>45888</v>
      </c>
      <c r="D456" s="2" t="s">
        <v>1423</v>
      </c>
      <c r="E456" s="18">
        <v>12536.3</v>
      </c>
      <c r="F456" s="18">
        <v>360.81</v>
      </c>
      <c r="G456" s="2" t="s">
        <v>1361</v>
      </c>
      <c r="H456" s="2" t="s">
        <v>20</v>
      </c>
    </row>
    <row r="457" spans="1:8" ht="15" customHeight="1" x14ac:dyDescent="0.25">
      <c r="A457" s="2" t="s">
        <v>1812</v>
      </c>
      <c r="B457" s="2" t="s">
        <v>1201</v>
      </c>
      <c r="C457" s="17">
        <v>45916</v>
      </c>
      <c r="D457" s="2" t="s">
        <v>1423</v>
      </c>
      <c r="E457" s="18">
        <v>9326.65</v>
      </c>
      <c r="F457" s="18">
        <v>247.31</v>
      </c>
      <c r="G457" s="2" t="s">
        <v>1361</v>
      </c>
      <c r="H457" s="2" t="s">
        <v>20</v>
      </c>
    </row>
    <row r="458" spans="1:8" ht="15" customHeight="1" x14ac:dyDescent="0.25">
      <c r="A458" s="2" t="s">
        <v>1813</v>
      </c>
      <c r="B458" s="2" t="s">
        <v>1201</v>
      </c>
      <c r="C458" s="17">
        <v>45910</v>
      </c>
      <c r="D458" s="2" t="s">
        <v>1423</v>
      </c>
      <c r="E458" s="18">
        <v>11575.25</v>
      </c>
      <c r="F458" s="18">
        <v>331.71</v>
      </c>
      <c r="G458" s="2" t="s">
        <v>1361</v>
      </c>
      <c r="H458" s="2" t="s">
        <v>20</v>
      </c>
    </row>
    <row r="459" spans="1:8" ht="15" customHeight="1" x14ac:dyDescent="0.25">
      <c r="A459" s="2" t="s">
        <v>1814</v>
      </c>
      <c r="B459" s="2" t="s">
        <v>1201</v>
      </c>
      <c r="C459" s="17">
        <v>45954</v>
      </c>
      <c r="D459" s="2" t="s">
        <v>1423</v>
      </c>
      <c r="E459" s="18">
        <v>4902.4399999999996</v>
      </c>
      <c r="F459" s="18">
        <v>171.17</v>
      </c>
      <c r="G459" s="2" t="s">
        <v>1361</v>
      </c>
      <c r="H459" s="2" t="s">
        <v>20</v>
      </c>
    </row>
    <row r="460" spans="1:8" ht="15" customHeight="1" x14ac:dyDescent="0.25">
      <c r="A460" s="2" t="s">
        <v>1815</v>
      </c>
      <c r="B460" s="2" t="s">
        <v>1201</v>
      </c>
      <c r="C460" s="17">
        <v>45985</v>
      </c>
      <c r="D460" s="2" t="s">
        <v>1423</v>
      </c>
      <c r="E460" s="18">
        <v>5690.88</v>
      </c>
      <c r="F460" s="18">
        <v>179.93</v>
      </c>
      <c r="G460" s="2" t="s">
        <v>1361</v>
      </c>
      <c r="H460" s="2" t="s">
        <v>20</v>
      </c>
    </row>
    <row r="461" spans="1:8" ht="15" customHeight="1" x14ac:dyDescent="0.25">
      <c r="A461" s="2" t="s">
        <v>1816</v>
      </c>
      <c r="B461" s="2" t="s">
        <v>1201</v>
      </c>
      <c r="C461" s="17">
        <v>45977</v>
      </c>
      <c r="D461" s="2" t="s">
        <v>1423</v>
      </c>
      <c r="E461" s="18">
        <v>14696.54</v>
      </c>
      <c r="F461" s="18">
        <v>421.58</v>
      </c>
      <c r="G461" s="2" t="s">
        <v>1361</v>
      </c>
      <c r="H461" s="2" t="s">
        <v>20</v>
      </c>
    </row>
    <row r="462" spans="1:8" ht="15" customHeight="1" x14ac:dyDescent="0.25">
      <c r="A462" s="2" t="s">
        <v>1817</v>
      </c>
      <c r="B462" s="2" t="s">
        <v>1201</v>
      </c>
      <c r="C462" s="17">
        <v>46002</v>
      </c>
      <c r="D462" s="2" t="s">
        <v>1423</v>
      </c>
      <c r="E462" s="18">
        <v>17766.59</v>
      </c>
      <c r="F462" s="18">
        <v>574.66</v>
      </c>
      <c r="G462" s="2" t="s">
        <v>1361</v>
      </c>
      <c r="H462" s="2" t="s">
        <v>20</v>
      </c>
    </row>
    <row r="463" spans="1:8" ht="15" customHeight="1" x14ac:dyDescent="0.25">
      <c r="A463" s="2" t="s">
        <v>1818</v>
      </c>
      <c r="B463" s="2" t="s">
        <v>1201</v>
      </c>
      <c r="C463" s="17">
        <v>46010</v>
      </c>
      <c r="D463" s="2" t="s">
        <v>1423</v>
      </c>
      <c r="E463" s="18">
        <v>11724.54</v>
      </c>
      <c r="F463" s="18">
        <v>317.3</v>
      </c>
      <c r="G463" s="2" t="s">
        <v>1361</v>
      </c>
      <c r="H463" s="2" t="s">
        <v>20</v>
      </c>
    </row>
    <row r="464" spans="1:8" ht="15" customHeight="1" x14ac:dyDescent="0.25">
      <c r="A464" s="2" t="s">
        <v>1819</v>
      </c>
      <c r="B464" s="2" t="s">
        <v>1201</v>
      </c>
      <c r="C464" s="17">
        <v>46007</v>
      </c>
      <c r="D464" s="2" t="s">
        <v>1423</v>
      </c>
      <c r="E464" s="18">
        <v>13848.54</v>
      </c>
      <c r="F464" s="18">
        <v>0</v>
      </c>
      <c r="G464" s="2" t="s">
        <v>1408</v>
      </c>
      <c r="H464" s="2" t="s">
        <v>20</v>
      </c>
    </row>
    <row r="465" spans="1:8" ht="15" customHeight="1" x14ac:dyDescent="0.25">
      <c r="A465" s="2" t="s">
        <v>1820</v>
      </c>
      <c r="B465" s="2" t="s">
        <v>1203</v>
      </c>
      <c r="C465" s="17">
        <v>45954</v>
      </c>
      <c r="D465" s="2" t="s">
        <v>1423</v>
      </c>
      <c r="E465" s="18">
        <v>53421.8</v>
      </c>
      <c r="F465" s="18">
        <v>1528</v>
      </c>
      <c r="G465" s="2" t="s">
        <v>1361</v>
      </c>
      <c r="H465" s="2" t="s">
        <v>18</v>
      </c>
    </row>
    <row r="466" spans="1:8" ht="15" customHeight="1" x14ac:dyDescent="0.25">
      <c r="A466" s="2" t="s">
        <v>1821</v>
      </c>
      <c r="B466" s="2" t="s">
        <v>1203</v>
      </c>
      <c r="C466" s="17">
        <v>45944</v>
      </c>
      <c r="D466" s="2" t="s">
        <v>1423</v>
      </c>
      <c r="E466" s="18">
        <v>35813.379999999997</v>
      </c>
      <c r="F466" s="18">
        <v>1212.0899999999999</v>
      </c>
      <c r="G466" s="2" t="s">
        <v>1361</v>
      </c>
      <c r="H466" s="2" t="s">
        <v>18</v>
      </c>
    </row>
    <row r="467" spans="1:8" ht="15" customHeight="1" x14ac:dyDescent="0.25">
      <c r="A467" s="2" t="s">
        <v>106</v>
      </c>
      <c r="B467" s="2" t="s">
        <v>1203</v>
      </c>
      <c r="C467" s="17">
        <v>45941</v>
      </c>
      <c r="D467" s="2" t="s">
        <v>1423</v>
      </c>
      <c r="E467" s="18">
        <v>15307.18</v>
      </c>
      <c r="F467" s="18">
        <v>505.9</v>
      </c>
      <c r="G467" s="2" t="s">
        <v>1361</v>
      </c>
      <c r="H467" s="2" t="s">
        <v>18</v>
      </c>
    </row>
    <row r="468" spans="1:8" ht="15" customHeight="1" x14ac:dyDescent="0.25">
      <c r="A468" s="2" t="s">
        <v>1822</v>
      </c>
      <c r="B468" s="2" t="s">
        <v>1203</v>
      </c>
      <c r="C468" s="17">
        <v>45986</v>
      </c>
      <c r="D468" s="2" t="s">
        <v>1423</v>
      </c>
      <c r="E468" s="18">
        <v>48483.08</v>
      </c>
      <c r="F468" s="18">
        <v>1329.59</v>
      </c>
      <c r="G468" s="2" t="s">
        <v>1361</v>
      </c>
      <c r="H468" s="2" t="s">
        <v>18</v>
      </c>
    </row>
    <row r="469" spans="1:8" ht="15" customHeight="1" x14ac:dyDescent="0.25">
      <c r="A469" s="2" t="s">
        <v>1823</v>
      </c>
      <c r="B469" s="2" t="s">
        <v>1203</v>
      </c>
      <c r="C469" s="17">
        <v>46005</v>
      </c>
      <c r="D469" s="2" t="s">
        <v>1423</v>
      </c>
      <c r="E469" s="18">
        <v>40135.24</v>
      </c>
      <c r="F469" s="18">
        <v>1414.19</v>
      </c>
      <c r="G469" s="2" t="s">
        <v>1361</v>
      </c>
      <c r="H469" s="2" t="s">
        <v>18</v>
      </c>
    </row>
    <row r="470" spans="1:8" ht="15" customHeight="1" x14ac:dyDescent="0.25">
      <c r="A470" s="2" t="s">
        <v>1824</v>
      </c>
      <c r="B470" s="2" t="s">
        <v>1203</v>
      </c>
      <c r="C470" s="17">
        <v>45996</v>
      </c>
      <c r="D470" s="2" t="s">
        <v>1423</v>
      </c>
      <c r="E470" s="18">
        <v>30281.03</v>
      </c>
      <c r="F470" s="18">
        <v>859.41</v>
      </c>
      <c r="G470" s="2" t="s">
        <v>1361</v>
      </c>
      <c r="H470" s="2" t="s">
        <v>18</v>
      </c>
    </row>
    <row r="471" spans="1:8" ht="15" customHeight="1" x14ac:dyDescent="0.25">
      <c r="A471" s="2" t="s">
        <v>1825</v>
      </c>
      <c r="B471" s="2" t="s">
        <v>1204</v>
      </c>
      <c r="C471" s="17">
        <v>45766</v>
      </c>
      <c r="D471" s="2" t="s">
        <v>1423</v>
      </c>
      <c r="E471" s="18">
        <v>1237.97</v>
      </c>
      <c r="F471" s="18">
        <v>35.42</v>
      </c>
      <c r="G471" s="2" t="s">
        <v>1361</v>
      </c>
      <c r="H471" s="2" t="s">
        <v>20</v>
      </c>
    </row>
    <row r="472" spans="1:8" ht="15" customHeight="1" x14ac:dyDescent="0.25">
      <c r="A472" s="2" t="s">
        <v>1826</v>
      </c>
      <c r="B472" s="2" t="s">
        <v>1204</v>
      </c>
      <c r="C472" s="17">
        <v>45763</v>
      </c>
      <c r="D472" s="2" t="s">
        <v>1423</v>
      </c>
      <c r="E472" s="18">
        <v>5154.68</v>
      </c>
      <c r="F472" s="18">
        <v>179.31</v>
      </c>
      <c r="G472" s="2" t="s">
        <v>1361</v>
      </c>
      <c r="H472" s="2" t="s">
        <v>20</v>
      </c>
    </row>
    <row r="473" spans="1:8" ht="15" customHeight="1" x14ac:dyDescent="0.25">
      <c r="A473" s="2" t="s">
        <v>1827</v>
      </c>
      <c r="B473" s="2" t="s">
        <v>1204</v>
      </c>
      <c r="C473" s="17">
        <v>45767</v>
      </c>
      <c r="D473" s="2" t="s">
        <v>1423</v>
      </c>
      <c r="E473" s="18">
        <v>2533.89</v>
      </c>
      <c r="F473" s="18">
        <v>72.62</v>
      </c>
      <c r="G473" s="2" t="s">
        <v>1361</v>
      </c>
      <c r="H473" s="2" t="s">
        <v>20</v>
      </c>
    </row>
    <row r="474" spans="1:8" ht="15" customHeight="1" x14ac:dyDescent="0.25">
      <c r="A474" s="2" t="s">
        <v>1828</v>
      </c>
      <c r="B474" s="2" t="s">
        <v>1204</v>
      </c>
      <c r="C474" s="17">
        <v>45782</v>
      </c>
      <c r="D474" s="2" t="s">
        <v>1423</v>
      </c>
      <c r="E474" s="18">
        <v>4838.84</v>
      </c>
      <c r="F474" s="18">
        <v>141.13999999999999</v>
      </c>
      <c r="G474" s="2" t="s">
        <v>1361</v>
      </c>
      <c r="H474" s="2" t="s">
        <v>20</v>
      </c>
    </row>
    <row r="475" spans="1:8" ht="15" customHeight="1" x14ac:dyDescent="0.25">
      <c r="A475" s="2" t="s">
        <v>1829</v>
      </c>
      <c r="B475" s="2" t="s">
        <v>1204</v>
      </c>
      <c r="C475" s="17">
        <v>45793</v>
      </c>
      <c r="D475" s="2" t="s">
        <v>1423</v>
      </c>
      <c r="E475" s="18">
        <v>5005.08</v>
      </c>
      <c r="F475" s="18">
        <v>166.1</v>
      </c>
      <c r="G475" s="2" t="s">
        <v>1361</v>
      </c>
      <c r="H475" s="2" t="s">
        <v>20</v>
      </c>
    </row>
    <row r="476" spans="1:8" ht="15" customHeight="1" x14ac:dyDescent="0.25">
      <c r="A476" s="2" t="s">
        <v>1830</v>
      </c>
      <c r="B476" s="2" t="s">
        <v>1204</v>
      </c>
      <c r="C476" s="17">
        <v>45834</v>
      </c>
      <c r="D476" s="2" t="s">
        <v>1423</v>
      </c>
      <c r="E476" s="18">
        <v>2825.51</v>
      </c>
      <c r="F476" s="18">
        <v>80.64</v>
      </c>
      <c r="G476" s="2" t="s">
        <v>1361</v>
      </c>
      <c r="H476" s="2" t="s">
        <v>20</v>
      </c>
    </row>
    <row r="477" spans="1:8" ht="15" customHeight="1" x14ac:dyDescent="0.25">
      <c r="A477" s="2" t="s">
        <v>1831</v>
      </c>
      <c r="B477" s="2" t="s">
        <v>1204</v>
      </c>
      <c r="C477" s="17">
        <v>45809</v>
      </c>
      <c r="D477" s="2" t="s">
        <v>1423</v>
      </c>
      <c r="E477" s="18">
        <v>2416.36</v>
      </c>
      <c r="F477" s="18">
        <v>63.96</v>
      </c>
      <c r="G477" s="2" t="s">
        <v>1361</v>
      </c>
      <c r="H477" s="2" t="s">
        <v>20</v>
      </c>
    </row>
    <row r="478" spans="1:8" ht="15" customHeight="1" x14ac:dyDescent="0.25">
      <c r="A478" s="2" t="s">
        <v>1832</v>
      </c>
      <c r="B478" s="2" t="s">
        <v>1204</v>
      </c>
      <c r="C478" s="17">
        <v>45827</v>
      </c>
      <c r="D478" s="2" t="s">
        <v>1423</v>
      </c>
      <c r="E478" s="18">
        <v>3076.61</v>
      </c>
      <c r="F478" s="18">
        <v>106.72</v>
      </c>
      <c r="G478" s="2" t="s">
        <v>1361</v>
      </c>
      <c r="H478" s="2" t="s">
        <v>20</v>
      </c>
    </row>
    <row r="479" spans="1:8" ht="15" customHeight="1" x14ac:dyDescent="0.25">
      <c r="A479" s="2" t="s">
        <v>1833</v>
      </c>
      <c r="B479" s="2" t="s">
        <v>1204</v>
      </c>
      <c r="C479" s="17">
        <v>45850</v>
      </c>
      <c r="D479" s="2" t="s">
        <v>1423</v>
      </c>
      <c r="E479" s="18">
        <v>4885.78</v>
      </c>
      <c r="F479" s="18">
        <v>134.5</v>
      </c>
      <c r="G479" s="2" t="s">
        <v>1361</v>
      </c>
      <c r="H479" s="2" t="s">
        <v>20</v>
      </c>
    </row>
    <row r="480" spans="1:8" ht="15" customHeight="1" x14ac:dyDescent="0.25">
      <c r="A480" s="2" t="s">
        <v>1834</v>
      </c>
      <c r="B480" s="2" t="s">
        <v>1204</v>
      </c>
      <c r="C480" s="17">
        <v>45894</v>
      </c>
      <c r="D480" s="2" t="s">
        <v>1423</v>
      </c>
      <c r="E480" s="18">
        <v>1744.96</v>
      </c>
      <c r="F480" s="18">
        <v>55.44</v>
      </c>
      <c r="G480" s="2" t="s">
        <v>1361</v>
      </c>
      <c r="H480" s="2" t="s">
        <v>20</v>
      </c>
    </row>
    <row r="481" spans="1:8" ht="15" customHeight="1" x14ac:dyDescent="0.25">
      <c r="A481" s="2" t="s">
        <v>117</v>
      </c>
      <c r="B481" s="2" t="s">
        <v>1437</v>
      </c>
      <c r="C481" s="17">
        <v>45889</v>
      </c>
      <c r="D481" s="2" t="s">
        <v>1423</v>
      </c>
      <c r="E481" s="18">
        <v>1338.5</v>
      </c>
      <c r="F481" s="18">
        <v>44.92</v>
      </c>
      <c r="G481" s="2" t="s">
        <v>1361</v>
      </c>
      <c r="H481" s="2" t="s">
        <v>20</v>
      </c>
    </row>
    <row r="482" spans="1:8" ht="15" customHeight="1" x14ac:dyDescent="0.25">
      <c r="A482" s="2" t="s">
        <v>1835</v>
      </c>
      <c r="B482" s="2" t="s">
        <v>1204</v>
      </c>
      <c r="C482" s="17">
        <v>45904</v>
      </c>
      <c r="D482" s="2" t="s">
        <v>1423</v>
      </c>
      <c r="E482" s="18">
        <v>3492.8</v>
      </c>
      <c r="F482" s="18">
        <v>123.78</v>
      </c>
      <c r="G482" s="2" t="s">
        <v>1361</v>
      </c>
      <c r="H482" s="2" t="s">
        <v>20</v>
      </c>
    </row>
    <row r="483" spans="1:8" ht="15" customHeight="1" x14ac:dyDescent="0.25">
      <c r="A483" s="2" t="s">
        <v>1836</v>
      </c>
      <c r="B483" s="2" t="s">
        <v>1204</v>
      </c>
      <c r="C483" s="17">
        <v>45907</v>
      </c>
      <c r="D483" s="2" t="s">
        <v>1423</v>
      </c>
      <c r="E483" s="18">
        <v>3067.08</v>
      </c>
      <c r="F483" s="18">
        <v>0</v>
      </c>
      <c r="G483" s="2" t="s">
        <v>1408</v>
      </c>
      <c r="H483" s="2" t="s">
        <v>20</v>
      </c>
    </row>
    <row r="484" spans="1:8" ht="15" customHeight="1" x14ac:dyDescent="0.25">
      <c r="A484" s="2" t="s">
        <v>1837</v>
      </c>
      <c r="B484" s="2" t="s">
        <v>1204</v>
      </c>
      <c r="C484" s="17">
        <v>45909</v>
      </c>
      <c r="D484" s="2" t="s">
        <v>1423</v>
      </c>
      <c r="E484" s="18">
        <v>5202.84</v>
      </c>
      <c r="F484" s="18">
        <v>145.09</v>
      </c>
      <c r="G484" s="2" t="s">
        <v>1361</v>
      </c>
      <c r="H484" s="2" t="s">
        <v>20</v>
      </c>
    </row>
    <row r="485" spans="1:8" ht="15" customHeight="1" x14ac:dyDescent="0.25">
      <c r="A485" s="2" t="s">
        <v>1838</v>
      </c>
      <c r="B485" s="2" t="s">
        <v>1204</v>
      </c>
      <c r="C485" s="17">
        <v>45932</v>
      </c>
      <c r="D485" s="2" t="s">
        <v>1423</v>
      </c>
      <c r="E485" s="18">
        <v>1999.62</v>
      </c>
      <c r="F485" s="18">
        <v>67.27</v>
      </c>
      <c r="G485" s="2" t="s">
        <v>1361</v>
      </c>
      <c r="H485" s="2" t="s">
        <v>20</v>
      </c>
    </row>
    <row r="486" spans="1:8" ht="15" customHeight="1" x14ac:dyDescent="0.25">
      <c r="A486" s="2" t="s">
        <v>1839</v>
      </c>
      <c r="B486" s="2" t="s">
        <v>1204</v>
      </c>
      <c r="C486" s="17">
        <v>45954</v>
      </c>
      <c r="D486" s="2" t="s">
        <v>1423</v>
      </c>
      <c r="E486" s="18">
        <v>2713.91</v>
      </c>
      <c r="F486" s="18">
        <v>93.48</v>
      </c>
      <c r="G486" s="2" t="s">
        <v>1361</v>
      </c>
      <c r="H486" s="2" t="s">
        <v>20</v>
      </c>
    </row>
    <row r="487" spans="1:8" ht="15" customHeight="1" x14ac:dyDescent="0.25">
      <c r="A487" s="2" t="s">
        <v>1840</v>
      </c>
      <c r="B487" s="2" t="s">
        <v>1204</v>
      </c>
      <c r="C487" s="17">
        <v>45970</v>
      </c>
      <c r="D487" s="2" t="s">
        <v>1423</v>
      </c>
      <c r="E487" s="18">
        <v>2066.02</v>
      </c>
      <c r="F487" s="18">
        <v>72.87</v>
      </c>
      <c r="G487" s="2" t="s">
        <v>1361</v>
      </c>
      <c r="H487" s="2" t="s">
        <v>20</v>
      </c>
    </row>
    <row r="488" spans="1:8" ht="15" customHeight="1" x14ac:dyDescent="0.25">
      <c r="A488" s="2" t="s">
        <v>1841</v>
      </c>
      <c r="B488" s="2" t="s">
        <v>1204</v>
      </c>
      <c r="C488" s="17">
        <v>45986</v>
      </c>
      <c r="D488" s="2" t="s">
        <v>1423</v>
      </c>
      <c r="E488" s="18">
        <v>5190.6099999999997</v>
      </c>
      <c r="F488" s="18">
        <v>155.1</v>
      </c>
      <c r="G488" s="2" t="s">
        <v>1361</v>
      </c>
      <c r="H488" s="2" t="s">
        <v>20</v>
      </c>
    </row>
    <row r="489" spans="1:8" ht="15" customHeight="1" x14ac:dyDescent="0.25">
      <c r="A489" s="2" t="s">
        <v>1842</v>
      </c>
      <c r="B489" s="2" t="s">
        <v>1204</v>
      </c>
      <c r="C489" s="17">
        <v>46019</v>
      </c>
      <c r="D489" s="2" t="s">
        <v>1423</v>
      </c>
      <c r="E489" s="18">
        <v>3146.63</v>
      </c>
      <c r="F489" s="18">
        <v>84.1</v>
      </c>
      <c r="G489" s="2" t="s">
        <v>1361</v>
      </c>
      <c r="H489" s="2" t="s">
        <v>20</v>
      </c>
    </row>
    <row r="490" spans="1:8" ht="15" customHeight="1" x14ac:dyDescent="0.25">
      <c r="A490" s="2" t="s">
        <v>1843</v>
      </c>
      <c r="B490" s="2" t="s">
        <v>1204</v>
      </c>
      <c r="C490" s="17">
        <v>46004</v>
      </c>
      <c r="D490" s="2" t="s">
        <v>1423</v>
      </c>
      <c r="E490" s="18">
        <v>4240.3100000000004</v>
      </c>
      <c r="F490" s="18">
        <v>134.71</v>
      </c>
      <c r="G490" s="2" t="s">
        <v>1361</v>
      </c>
      <c r="H490" s="2" t="s">
        <v>20</v>
      </c>
    </row>
    <row r="491" spans="1:8" ht="15" customHeight="1" x14ac:dyDescent="0.25">
      <c r="A491" s="2" t="s">
        <v>1844</v>
      </c>
      <c r="B491" s="2" t="s">
        <v>94</v>
      </c>
      <c r="C491" s="17">
        <v>45990</v>
      </c>
      <c r="D491" s="2" t="s">
        <v>1423</v>
      </c>
      <c r="E491" s="18">
        <v>11010.89</v>
      </c>
      <c r="F491" s="18">
        <v>346.52</v>
      </c>
      <c r="G491" s="2" t="s">
        <v>1361</v>
      </c>
      <c r="H491" s="2" t="s">
        <v>21</v>
      </c>
    </row>
    <row r="492" spans="1:8" ht="15" customHeight="1" x14ac:dyDescent="0.25">
      <c r="A492" s="2" t="s">
        <v>1845</v>
      </c>
      <c r="B492" s="2" t="s">
        <v>94</v>
      </c>
      <c r="C492" s="17">
        <v>45990</v>
      </c>
      <c r="D492" s="2" t="s">
        <v>1423</v>
      </c>
      <c r="E492" s="18">
        <v>4637.42</v>
      </c>
      <c r="F492" s="18">
        <v>161.34</v>
      </c>
      <c r="G492" s="2" t="s">
        <v>1361</v>
      </c>
      <c r="H492" s="2" t="s">
        <v>21</v>
      </c>
    </row>
    <row r="493" spans="1:8" ht="15" customHeight="1" x14ac:dyDescent="0.25">
      <c r="A493" s="2" t="s">
        <v>1846</v>
      </c>
      <c r="B493" s="2" t="s">
        <v>94</v>
      </c>
      <c r="C493" s="17">
        <v>46003</v>
      </c>
      <c r="D493" s="2" t="s">
        <v>1423</v>
      </c>
      <c r="E493" s="18">
        <v>8186.35</v>
      </c>
      <c r="F493" s="18">
        <v>219.11</v>
      </c>
      <c r="G493" s="2" t="s">
        <v>1361</v>
      </c>
      <c r="H493" s="2" t="s">
        <v>21</v>
      </c>
    </row>
    <row r="494" spans="1:8" ht="15" customHeight="1" x14ac:dyDescent="0.25">
      <c r="A494" s="2" t="s">
        <v>1847</v>
      </c>
      <c r="B494" s="2" t="s">
        <v>94</v>
      </c>
      <c r="C494" s="17">
        <v>46017</v>
      </c>
      <c r="D494" s="2" t="s">
        <v>1423</v>
      </c>
      <c r="E494" s="18">
        <v>13199.5</v>
      </c>
      <c r="F494" s="18">
        <v>439.86</v>
      </c>
      <c r="G494" s="2" t="s">
        <v>1361</v>
      </c>
      <c r="H494" s="2" t="s">
        <v>21</v>
      </c>
    </row>
    <row r="495" spans="1:8" ht="15" customHeight="1" x14ac:dyDescent="0.25">
      <c r="A495" s="2" t="s">
        <v>1848</v>
      </c>
      <c r="B495" s="2" t="s">
        <v>94</v>
      </c>
      <c r="C495" s="17">
        <v>46022</v>
      </c>
      <c r="D495" s="2" t="s">
        <v>1423</v>
      </c>
      <c r="E495" s="18">
        <v>13291.54</v>
      </c>
      <c r="F495" s="18">
        <v>429.22</v>
      </c>
      <c r="G495" s="2" t="s">
        <v>1361</v>
      </c>
      <c r="H495" s="2" t="s">
        <v>21</v>
      </c>
    </row>
    <row r="496" spans="1:8" ht="15" customHeight="1" x14ac:dyDescent="0.25">
      <c r="A496" s="2" t="s">
        <v>1849</v>
      </c>
      <c r="B496" s="2" t="s">
        <v>1205</v>
      </c>
      <c r="C496" s="17">
        <v>45922</v>
      </c>
      <c r="D496" s="2" t="s">
        <v>1373</v>
      </c>
      <c r="E496" s="18">
        <v>50811.839999999997</v>
      </c>
      <c r="F496" s="18">
        <v>819.83</v>
      </c>
      <c r="G496" s="2" t="s">
        <v>1361</v>
      </c>
      <c r="H496" s="2" t="s">
        <v>2963</v>
      </c>
    </row>
    <row r="497" spans="1:8" ht="15" customHeight="1" x14ac:dyDescent="0.25">
      <c r="A497" s="2" t="s">
        <v>1850</v>
      </c>
      <c r="B497" s="2" t="s">
        <v>1205</v>
      </c>
      <c r="C497" s="17">
        <v>45921</v>
      </c>
      <c r="D497" s="2" t="s">
        <v>1373</v>
      </c>
      <c r="E497" s="18">
        <v>51230.75</v>
      </c>
      <c r="F497" s="18">
        <v>1054.3</v>
      </c>
      <c r="G497" s="2" t="s">
        <v>1361</v>
      </c>
      <c r="H497" s="2" t="s">
        <v>2963</v>
      </c>
    </row>
    <row r="498" spans="1:8" ht="15" customHeight="1" x14ac:dyDescent="0.25">
      <c r="A498" s="2" t="s">
        <v>1851</v>
      </c>
      <c r="B498" s="2" t="s">
        <v>1205</v>
      </c>
      <c r="C498" s="17">
        <v>45920</v>
      </c>
      <c r="D498" s="2" t="s">
        <v>1373</v>
      </c>
      <c r="E498" s="18">
        <v>17204.93</v>
      </c>
      <c r="F498" s="18">
        <v>304.27999999999997</v>
      </c>
      <c r="G498" s="2" t="s">
        <v>1361</v>
      </c>
      <c r="H498" s="2" t="s">
        <v>2963</v>
      </c>
    </row>
    <row r="499" spans="1:8" ht="15" customHeight="1" x14ac:dyDescent="0.25">
      <c r="A499" s="2" t="s">
        <v>1852</v>
      </c>
      <c r="B499" s="2" t="s">
        <v>1205</v>
      </c>
      <c r="C499" s="17">
        <v>45950</v>
      </c>
      <c r="D499" s="2" t="s">
        <v>1373</v>
      </c>
      <c r="E499" s="18">
        <v>30496.7</v>
      </c>
      <c r="F499" s="18">
        <v>598.75</v>
      </c>
      <c r="G499" s="2" t="s">
        <v>1361</v>
      </c>
      <c r="H499" s="2" t="s">
        <v>2963</v>
      </c>
    </row>
    <row r="500" spans="1:8" ht="15" customHeight="1" x14ac:dyDescent="0.25">
      <c r="A500" s="2" t="s">
        <v>1853</v>
      </c>
      <c r="B500" s="2" t="s">
        <v>1205</v>
      </c>
      <c r="C500" s="17">
        <v>45949</v>
      </c>
      <c r="D500" s="2" t="s">
        <v>1373</v>
      </c>
      <c r="E500" s="18">
        <v>60094.64</v>
      </c>
      <c r="F500" s="18">
        <v>1054.57</v>
      </c>
      <c r="G500" s="2" t="s">
        <v>1361</v>
      </c>
      <c r="H500" s="2" t="s">
        <v>2963</v>
      </c>
    </row>
    <row r="501" spans="1:8" ht="15" customHeight="1" x14ac:dyDescent="0.25">
      <c r="A501" s="2" t="s">
        <v>1854</v>
      </c>
      <c r="B501" s="2" t="s">
        <v>1205</v>
      </c>
      <c r="C501" s="17">
        <v>45953</v>
      </c>
      <c r="D501" s="2" t="s">
        <v>1373</v>
      </c>
      <c r="E501" s="18">
        <v>34451.21</v>
      </c>
      <c r="F501" s="18">
        <v>0</v>
      </c>
      <c r="G501" s="2" t="s">
        <v>1408</v>
      </c>
      <c r="H501" s="2" t="s">
        <v>2963</v>
      </c>
    </row>
    <row r="502" spans="1:8" ht="15" customHeight="1" x14ac:dyDescent="0.25">
      <c r="A502" s="2" t="s">
        <v>1855</v>
      </c>
      <c r="B502" s="2" t="s">
        <v>1205</v>
      </c>
      <c r="C502" s="17">
        <v>45973</v>
      </c>
      <c r="D502" s="2" t="s">
        <v>1373</v>
      </c>
      <c r="E502" s="18">
        <v>38026.28</v>
      </c>
      <c r="F502" s="18">
        <v>740.06</v>
      </c>
      <c r="G502" s="2" t="s">
        <v>1361</v>
      </c>
      <c r="H502" s="2" t="s">
        <v>2963</v>
      </c>
    </row>
    <row r="503" spans="1:8" ht="15" customHeight="1" x14ac:dyDescent="0.25">
      <c r="A503" s="2" t="s">
        <v>1856</v>
      </c>
      <c r="B503" s="2" t="s">
        <v>1205</v>
      </c>
      <c r="C503" s="17">
        <v>45977</v>
      </c>
      <c r="D503" s="2" t="s">
        <v>1373</v>
      </c>
      <c r="E503" s="18">
        <v>55032.35</v>
      </c>
      <c r="F503" s="18">
        <v>944.3</v>
      </c>
      <c r="G503" s="2" t="s">
        <v>1361</v>
      </c>
      <c r="H503" s="2" t="s">
        <v>2963</v>
      </c>
    </row>
    <row r="504" spans="1:8" ht="15" customHeight="1" x14ac:dyDescent="0.25">
      <c r="A504" s="2" t="s">
        <v>1857</v>
      </c>
      <c r="B504" s="2" t="s">
        <v>1205</v>
      </c>
      <c r="C504" s="17">
        <v>46020</v>
      </c>
      <c r="D504" s="2" t="s">
        <v>1373</v>
      </c>
      <c r="E504" s="18">
        <v>15581.21</v>
      </c>
      <c r="F504" s="18">
        <v>308.11</v>
      </c>
      <c r="G504" s="2" t="s">
        <v>1361</v>
      </c>
      <c r="H504" s="2" t="s">
        <v>2963</v>
      </c>
    </row>
    <row r="505" spans="1:8" ht="15" customHeight="1" x14ac:dyDescent="0.25">
      <c r="A505" s="2" t="s">
        <v>1858</v>
      </c>
      <c r="B505" s="2" t="s">
        <v>1205</v>
      </c>
      <c r="C505" s="17">
        <v>45919</v>
      </c>
      <c r="D505" s="2" t="s">
        <v>1373</v>
      </c>
      <c r="E505" s="18">
        <v>20638.63</v>
      </c>
      <c r="F505" s="18">
        <v>375.81</v>
      </c>
      <c r="G505" s="2" t="s">
        <v>1361</v>
      </c>
      <c r="H505" s="2" t="s">
        <v>2963</v>
      </c>
    </row>
    <row r="506" spans="1:8" ht="15" customHeight="1" x14ac:dyDescent="0.25">
      <c r="A506" s="2" t="s">
        <v>1859</v>
      </c>
      <c r="B506" s="2" t="s">
        <v>1205</v>
      </c>
      <c r="C506" s="17">
        <v>46014</v>
      </c>
      <c r="D506" s="2" t="s">
        <v>1373</v>
      </c>
      <c r="E506" s="18">
        <v>57371.63</v>
      </c>
      <c r="F506" s="18">
        <v>906.23</v>
      </c>
      <c r="G506" s="2" t="s">
        <v>1361</v>
      </c>
      <c r="H506" s="2" t="s">
        <v>2963</v>
      </c>
    </row>
    <row r="507" spans="1:8" ht="15" customHeight="1" x14ac:dyDescent="0.25">
      <c r="A507" s="2" t="s">
        <v>1860</v>
      </c>
      <c r="B507" s="2" t="s">
        <v>1206</v>
      </c>
      <c r="C507" s="17">
        <v>45712</v>
      </c>
      <c r="D507" s="2" t="s">
        <v>1360</v>
      </c>
      <c r="E507" s="18">
        <v>1813.01</v>
      </c>
      <c r="F507" s="18">
        <v>43.26</v>
      </c>
      <c r="G507" s="2" t="s">
        <v>1361</v>
      </c>
      <c r="H507" s="2" t="s">
        <v>19</v>
      </c>
    </row>
    <row r="508" spans="1:8" ht="15" customHeight="1" x14ac:dyDescent="0.25">
      <c r="A508" s="2" t="s">
        <v>1861</v>
      </c>
      <c r="B508" s="2" t="s">
        <v>1206</v>
      </c>
      <c r="C508" s="17">
        <v>45717</v>
      </c>
      <c r="D508" s="2" t="s">
        <v>1360</v>
      </c>
      <c r="E508" s="18">
        <v>1286.73</v>
      </c>
      <c r="F508" s="18">
        <v>36.159999999999997</v>
      </c>
      <c r="G508" s="2" t="s">
        <v>1361</v>
      </c>
      <c r="H508" s="2" t="s">
        <v>19</v>
      </c>
    </row>
    <row r="509" spans="1:8" ht="15" customHeight="1" x14ac:dyDescent="0.25">
      <c r="A509" s="2" t="s">
        <v>1862</v>
      </c>
      <c r="B509" s="2" t="s">
        <v>1206</v>
      </c>
      <c r="C509" s="17">
        <v>45738</v>
      </c>
      <c r="D509" s="2" t="s">
        <v>1360</v>
      </c>
      <c r="E509" s="18">
        <v>1494.65</v>
      </c>
      <c r="F509" s="18">
        <v>42.8</v>
      </c>
      <c r="G509" s="2" t="s">
        <v>1361</v>
      </c>
      <c r="H509" s="2" t="s">
        <v>19</v>
      </c>
    </row>
    <row r="510" spans="1:8" ht="15" customHeight="1" x14ac:dyDescent="0.25">
      <c r="A510" s="2" t="s">
        <v>1863</v>
      </c>
      <c r="B510" s="2" t="s">
        <v>1206</v>
      </c>
      <c r="C510" s="17">
        <v>45738</v>
      </c>
      <c r="D510" s="2" t="s">
        <v>1360</v>
      </c>
      <c r="E510" s="18">
        <v>4232.7700000000004</v>
      </c>
      <c r="F510" s="18">
        <v>102.27</v>
      </c>
      <c r="G510" s="2" t="s">
        <v>1361</v>
      </c>
      <c r="H510" s="2" t="s">
        <v>19</v>
      </c>
    </row>
    <row r="511" spans="1:8" ht="15" customHeight="1" x14ac:dyDescent="0.25">
      <c r="A511" s="2" t="s">
        <v>1864</v>
      </c>
      <c r="B511" s="2" t="s">
        <v>1206</v>
      </c>
      <c r="C511" s="17">
        <v>45753</v>
      </c>
      <c r="D511" s="2" t="s">
        <v>1360</v>
      </c>
      <c r="E511" s="18">
        <v>1734.55</v>
      </c>
      <c r="F511" s="18">
        <v>37.630000000000003</v>
      </c>
      <c r="G511" s="2" t="s">
        <v>1361</v>
      </c>
      <c r="H511" s="2" t="s">
        <v>19</v>
      </c>
    </row>
    <row r="512" spans="1:8" ht="15" customHeight="1" x14ac:dyDescent="0.25">
      <c r="A512" s="2" t="s">
        <v>1865</v>
      </c>
      <c r="B512" s="2" t="s">
        <v>1206</v>
      </c>
      <c r="C512" s="17">
        <v>45769</v>
      </c>
      <c r="D512" s="2" t="s">
        <v>1360</v>
      </c>
      <c r="E512" s="18">
        <v>1701.39</v>
      </c>
      <c r="F512" s="18">
        <v>41.02</v>
      </c>
      <c r="G512" s="2" t="s">
        <v>1361</v>
      </c>
      <c r="H512" s="2" t="s">
        <v>19</v>
      </c>
    </row>
    <row r="513" spans="1:8" ht="15" customHeight="1" x14ac:dyDescent="0.25">
      <c r="A513" s="2" t="s">
        <v>1866</v>
      </c>
      <c r="B513" s="2" t="s">
        <v>1206</v>
      </c>
      <c r="C513" s="17">
        <v>45759</v>
      </c>
      <c r="D513" s="2" t="s">
        <v>1360</v>
      </c>
      <c r="E513" s="18">
        <v>4325.62</v>
      </c>
      <c r="F513" s="18">
        <v>103.54</v>
      </c>
      <c r="G513" s="2" t="s">
        <v>1361</v>
      </c>
      <c r="H513" s="2" t="s">
        <v>19</v>
      </c>
    </row>
    <row r="514" spans="1:8" ht="15" customHeight="1" x14ac:dyDescent="0.25">
      <c r="A514" s="2" t="s">
        <v>1867</v>
      </c>
      <c r="B514" s="2" t="s">
        <v>1206</v>
      </c>
      <c r="C514" s="17">
        <v>45780</v>
      </c>
      <c r="D514" s="2" t="s">
        <v>1360</v>
      </c>
      <c r="E514" s="18">
        <v>5144.8500000000004</v>
      </c>
      <c r="F514" s="18">
        <v>146.94</v>
      </c>
      <c r="G514" s="2" t="s">
        <v>1361</v>
      </c>
      <c r="H514" s="2" t="s">
        <v>19</v>
      </c>
    </row>
    <row r="515" spans="1:8" ht="15" customHeight="1" x14ac:dyDescent="0.25">
      <c r="A515" s="2" t="s">
        <v>1868</v>
      </c>
      <c r="B515" s="2" t="s">
        <v>1206</v>
      </c>
      <c r="C515" s="17">
        <v>45838</v>
      </c>
      <c r="D515" s="2" t="s">
        <v>1360</v>
      </c>
      <c r="E515" s="18">
        <v>2512.96</v>
      </c>
      <c r="F515" s="18">
        <v>53.77</v>
      </c>
      <c r="G515" s="2" t="s">
        <v>1361</v>
      </c>
      <c r="H515" s="2" t="s">
        <v>19</v>
      </c>
    </row>
    <row r="516" spans="1:8" ht="15" customHeight="1" x14ac:dyDescent="0.25">
      <c r="A516" s="2" t="s">
        <v>1869</v>
      </c>
      <c r="B516" s="2" t="s">
        <v>1206</v>
      </c>
      <c r="C516" s="17">
        <v>45846</v>
      </c>
      <c r="D516" s="2" t="s">
        <v>1360</v>
      </c>
      <c r="E516" s="18">
        <v>4768.4799999999996</v>
      </c>
      <c r="F516" s="18">
        <v>132.81</v>
      </c>
      <c r="G516" s="2" t="s">
        <v>1361</v>
      </c>
      <c r="H516" s="2" t="s">
        <v>19</v>
      </c>
    </row>
    <row r="517" spans="1:8" ht="15" customHeight="1" x14ac:dyDescent="0.25">
      <c r="A517" s="2" t="s">
        <v>1870</v>
      </c>
      <c r="B517" s="2" t="s">
        <v>1206</v>
      </c>
      <c r="C517" s="17">
        <v>45858</v>
      </c>
      <c r="D517" s="2" t="s">
        <v>1360</v>
      </c>
      <c r="E517" s="18">
        <v>2455.89</v>
      </c>
      <c r="F517" s="18">
        <v>66.849999999999994</v>
      </c>
      <c r="G517" s="2" t="s">
        <v>1361</v>
      </c>
      <c r="H517" s="2" t="s">
        <v>19</v>
      </c>
    </row>
    <row r="518" spans="1:8" ht="15" customHeight="1" x14ac:dyDescent="0.25">
      <c r="A518" s="2" t="s">
        <v>1871</v>
      </c>
      <c r="B518" s="2" t="s">
        <v>1206</v>
      </c>
      <c r="C518" s="17">
        <v>45890</v>
      </c>
      <c r="D518" s="2" t="s">
        <v>1360</v>
      </c>
      <c r="E518" s="18">
        <v>2231.7600000000002</v>
      </c>
      <c r="F518" s="18">
        <v>0</v>
      </c>
      <c r="G518" s="2" t="s">
        <v>1408</v>
      </c>
      <c r="H518" s="2" t="s">
        <v>19</v>
      </c>
    </row>
    <row r="519" spans="1:8" ht="15" customHeight="1" x14ac:dyDescent="0.25">
      <c r="A519" s="2" t="s">
        <v>1872</v>
      </c>
      <c r="B519" s="2" t="s">
        <v>1206</v>
      </c>
      <c r="C519" s="17">
        <v>45908</v>
      </c>
      <c r="D519" s="2" t="s">
        <v>1360</v>
      </c>
      <c r="E519" s="18">
        <v>1363.03</v>
      </c>
      <c r="F519" s="18">
        <v>30.83</v>
      </c>
      <c r="G519" s="2" t="s">
        <v>1361</v>
      </c>
      <c r="H519" s="2" t="s">
        <v>19</v>
      </c>
    </row>
    <row r="520" spans="1:8" ht="15" customHeight="1" x14ac:dyDescent="0.25">
      <c r="A520" s="2" t="s">
        <v>1873</v>
      </c>
      <c r="B520" s="2" t="s">
        <v>1206</v>
      </c>
      <c r="C520" s="17">
        <v>45941</v>
      </c>
      <c r="D520" s="2" t="s">
        <v>1360</v>
      </c>
      <c r="E520" s="18">
        <v>2216.69</v>
      </c>
      <c r="F520" s="18">
        <v>49.21</v>
      </c>
      <c r="G520" s="2" t="s">
        <v>1361</v>
      </c>
      <c r="H520" s="2" t="s">
        <v>19</v>
      </c>
    </row>
    <row r="521" spans="1:8" ht="15" customHeight="1" x14ac:dyDescent="0.25">
      <c r="A521" s="2" t="s">
        <v>1874</v>
      </c>
      <c r="B521" s="2" t="s">
        <v>1206</v>
      </c>
      <c r="C521" s="17">
        <v>45986</v>
      </c>
      <c r="D521" s="2" t="s">
        <v>1360</v>
      </c>
      <c r="E521" s="18">
        <v>4287.74</v>
      </c>
      <c r="F521" s="18">
        <v>93.41</v>
      </c>
      <c r="G521" s="2" t="s">
        <v>1361</v>
      </c>
      <c r="H521" s="2" t="s">
        <v>19</v>
      </c>
    </row>
    <row r="522" spans="1:8" ht="15" customHeight="1" x14ac:dyDescent="0.25">
      <c r="A522" s="2" t="s">
        <v>1875</v>
      </c>
      <c r="B522" s="2" t="s">
        <v>1206</v>
      </c>
      <c r="C522" s="17">
        <v>45975</v>
      </c>
      <c r="D522" s="2" t="s">
        <v>1360</v>
      </c>
      <c r="E522" s="18">
        <v>3601.79</v>
      </c>
      <c r="F522" s="18">
        <v>0</v>
      </c>
      <c r="G522" s="2" t="s">
        <v>1408</v>
      </c>
      <c r="H522" s="2" t="s">
        <v>19</v>
      </c>
    </row>
    <row r="523" spans="1:8" ht="15" customHeight="1" x14ac:dyDescent="0.25">
      <c r="A523" s="2" t="s">
        <v>1876</v>
      </c>
      <c r="B523" s="2" t="s">
        <v>1206</v>
      </c>
      <c r="C523" s="17">
        <v>45988</v>
      </c>
      <c r="D523" s="2" t="s">
        <v>1360</v>
      </c>
      <c r="E523" s="18">
        <v>1352.73</v>
      </c>
      <c r="F523" s="18">
        <v>35.479999999999997</v>
      </c>
      <c r="G523" s="2" t="s">
        <v>1361</v>
      </c>
      <c r="H523" s="2" t="s">
        <v>19</v>
      </c>
    </row>
    <row r="524" spans="1:8" ht="15" customHeight="1" x14ac:dyDescent="0.25">
      <c r="A524" s="2" t="s">
        <v>1877</v>
      </c>
      <c r="B524" s="2" t="s">
        <v>1206</v>
      </c>
      <c r="C524" s="17">
        <v>46015</v>
      </c>
      <c r="D524" s="2" t="s">
        <v>1360</v>
      </c>
      <c r="E524" s="18">
        <v>3042.44</v>
      </c>
      <c r="F524" s="18">
        <v>83.75</v>
      </c>
      <c r="G524" s="2" t="s">
        <v>1361</v>
      </c>
      <c r="H524" s="2" t="s">
        <v>19</v>
      </c>
    </row>
    <row r="525" spans="1:8" ht="15" customHeight="1" x14ac:dyDescent="0.25">
      <c r="A525" s="2" t="s">
        <v>1878</v>
      </c>
      <c r="B525" s="2" t="s">
        <v>1208</v>
      </c>
      <c r="C525" s="17">
        <v>45869</v>
      </c>
      <c r="D525" s="2" t="s">
        <v>1373</v>
      </c>
      <c r="E525" s="18">
        <v>2589.4899999999998</v>
      </c>
      <c r="F525" s="18">
        <v>42.1</v>
      </c>
      <c r="G525" s="2" t="s">
        <v>1361</v>
      </c>
      <c r="H525" s="2" t="s">
        <v>20</v>
      </c>
    </row>
    <row r="526" spans="1:8" ht="15" customHeight="1" x14ac:dyDescent="0.25">
      <c r="A526" s="2" t="s">
        <v>1879</v>
      </c>
      <c r="B526" s="2" t="s">
        <v>1208</v>
      </c>
      <c r="C526" s="17">
        <v>45869</v>
      </c>
      <c r="D526" s="2" t="s">
        <v>1373</v>
      </c>
      <c r="E526" s="18">
        <v>3110.59</v>
      </c>
      <c r="F526" s="18">
        <v>0</v>
      </c>
      <c r="G526" s="2" t="s">
        <v>1408</v>
      </c>
      <c r="H526" s="2" t="s">
        <v>20</v>
      </c>
    </row>
    <row r="527" spans="1:8" ht="15" customHeight="1" x14ac:dyDescent="0.25">
      <c r="A527" s="2" t="s">
        <v>1880</v>
      </c>
      <c r="B527" s="2" t="s">
        <v>1208</v>
      </c>
      <c r="C527" s="17">
        <v>45885</v>
      </c>
      <c r="D527" s="2" t="s">
        <v>1373</v>
      </c>
      <c r="E527" s="18">
        <v>2725.74</v>
      </c>
      <c r="F527" s="18">
        <v>47.07</v>
      </c>
      <c r="G527" s="2" t="s">
        <v>1361</v>
      </c>
      <c r="H527" s="2" t="s">
        <v>20</v>
      </c>
    </row>
    <row r="528" spans="1:8" ht="15" customHeight="1" x14ac:dyDescent="0.25">
      <c r="A528" s="2" t="s">
        <v>1881</v>
      </c>
      <c r="B528" s="2" t="s">
        <v>1208</v>
      </c>
      <c r="C528" s="17">
        <v>45886</v>
      </c>
      <c r="D528" s="2" t="s">
        <v>1373</v>
      </c>
      <c r="E528" s="18">
        <v>3207.95</v>
      </c>
      <c r="F528" s="18">
        <v>64.52</v>
      </c>
      <c r="G528" s="2" t="s">
        <v>1361</v>
      </c>
      <c r="H528" s="2" t="s">
        <v>20</v>
      </c>
    </row>
    <row r="529" spans="1:8" ht="15" customHeight="1" x14ac:dyDescent="0.25">
      <c r="A529" s="2" t="s">
        <v>107</v>
      </c>
      <c r="B529" s="2" t="s">
        <v>1208</v>
      </c>
      <c r="C529" s="17">
        <v>45910</v>
      </c>
      <c r="D529" s="2" t="s">
        <v>1373</v>
      </c>
      <c r="E529" s="18">
        <v>1755.57</v>
      </c>
      <c r="F529" s="18">
        <v>33.26</v>
      </c>
      <c r="G529" s="2" t="s">
        <v>1361</v>
      </c>
      <c r="H529" s="2" t="s">
        <v>20</v>
      </c>
    </row>
    <row r="530" spans="1:8" ht="15" customHeight="1" x14ac:dyDescent="0.25">
      <c r="A530" s="2" t="s">
        <v>1882</v>
      </c>
      <c r="B530" s="2" t="s">
        <v>1208</v>
      </c>
      <c r="C530" s="17">
        <v>45926</v>
      </c>
      <c r="D530" s="2" t="s">
        <v>1373</v>
      </c>
      <c r="E530" s="18">
        <v>3653.62</v>
      </c>
      <c r="F530" s="18">
        <v>64.709999999999994</v>
      </c>
      <c r="G530" s="2" t="s">
        <v>1361</v>
      </c>
      <c r="H530" s="2" t="s">
        <v>20</v>
      </c>
    </row>
    <row r="531" spans="1:8" ht="15" customHeight="1" x14ac:dyDescent="0.25">
      <c r="A531" s="2" t="s">
        <v>1883</v>
      </c>
      <c r="B531" s="2" t="s">
        <v>1208</v>
      </c>
      <c r="C531" s="17">
        <v>45928</v>
      </c>
      <c r="D531" s="2" t="s">
        <v>1373</v>
      </c>
      <c r="E531" s="18">
        <v>2919.19</v>
      </c>
      <c r="F531" s="18">
        <v>54.07</v>
      </c>
      <c r="G531" s="2" t="s">
        <v>1361</v>
      </c>
      <c r="H531" s="2" t="s">
        <v>20</v>
      </c>
    </row>
    <row r="532" spans="1:8" ht="15" customHeight="1" x14ac:dyDescent="0.25">
      <c r="A532" s="2" t="s">
        <v>1884</v>
      </c>
      <c r="B532" s="2" t="s">
        <v>1208</v>
      </c>
      <c r="C532" s="17">
        <v>45956</v>
      </c>
      <c r="D532" s="2" t="s">
        <v>1373</v>
      </c>
      <c r="E532" s="18">
        <v>1857.23</v>
      </c>
      <c r="F532" s="18">
        <v>35.479999999999997</v>
      </c>
      <c r="G532" s="2" t="s">
        <v>1361</v>
      </c>
      <c r="H532" s="2" t="s">
        <v>20</v>
      </c>
    </row>
    <row r="533" spans="1:8" ht="15" customHeight="1" x14ac:dyDescent="0.25">
      <c r="A533" s="2" t="s">
        <v>1885</v>
      </c>
      <c r="B533" s="2" t="s">
        <v>1208</v>
      </c>
      <c r="C533" s="17">
        <v>45950</v>
      </c>
      <c r="D533" s="2" t="s">
        <v>1373</v>
      </c>
      <c r="E533" s="18">
        <v>4565.8900000000003</v>
      </c>
      <c r="F533" s="18">
        <v>78.47</v>
      </c>
      <c r="G533" s="2" t="s">
        <v>1361</v>
      </c>
      <c r="H533" s="2" t="s">
        <v>20</v>
      </c>
    </row>
    <row r="534" spans="1:8" ht="15" customHeight="1" x14ac:dyDescent="0.25">
      <c r="A534" s="2" t="s">
        <v>1886</v>
      </c>
      <c r="B534" s="2" t="s">
        <v>1208</v>
      </c>
      <c r="C534" s="17">
        <v>45967</v>
      </c>
      <c r="D534" s="2" t="s">
        <v>1373</v>
      </c>
      <c r="E534" s="18">
        <v>3834.72</v>
      </c>
      <c r="F534" s="18">
        <v>69.84</v>
      </c>
      <c r="G534" s="2" t="s">
        <v>1361</v>
      </c>
      <c r="H534" s="2" t="s">
        <v>20</v>
      </c>
    </row>
    <row r="535" spans="1:8" ht="15" customHeight="1" x14ac:dyDescent="0.25">
      <c r="A535" s="2" t="s">
        <v>1887</v>
      </c>
      <c r="B535" s="2" t="s">
        <v>1208</v>
      </c>
      <c r="C535" s="17">
        <v>46008</v>
      </c>
      <c r="D535" s="2" t="s">
        <v>1373</v>
      </c>
      <c r="E535" s="18">
        <v>1558.04</v>
      </c>
      <c r="F535" s="18">
        <v>27.21</v>
      </c>
      <c r="G535" s="2" t="s">
        <v>1361</v>
      </c>
      <c r="H535" s="2" t="s">
        <v>20</v>
      </c>
    </row>
    <row r="536" spans="1:8" ht="15" customHeight="1" x14ac:dyDescent="0.25">
      <c r="A536" s="2" t="s">
        <v>1888</v>
      </c>
      <c r="B536" s="2" t="s">
        <v>1208</v>
      </c>
      <c r="C536" s="17">
        <v>46021</v>
      </c>
      <c r="D536" s="2" t="s">
        <v>1373</v>
      </c>
      <c r="E536" s="18">
        <v>2904.83</v>
      </c>
      <c r="F536" s="18">
        <v>59.19</v>
      </c>
      <c r="G536" s="2" t="s">
        <v>1361</v>
      </c>
      <c r="H536" s="2" t="s">
        <v>20</v>
      </c>
    </row>
    <row r="537" spans="1:8" ht="15" customHeight="1" x14ac:dyDescent="0.25">
      <c r="A537" s="2" t="s">
        <v>1889</v>
      </c>
      <c r="B537" s="2" t="s">
        <v>1209</v>
      </c>
      <c r="C537" s="17">
        <v>45898</v>
      </c>
      <c r="D537" s="2" t="s">
        <v>1360</v>
      </c>
      <c r="E537" s="18">
        <v>4275.6400000000003</v>
      </c>
      <c r="F537" s="18">
        <v>91.09</v>
      </c>
      <c r="G537" s="2" t="s">
        <v>1361</v>
      </c>
      <c r="H537" s="2" t="s">
        <v>19</v>
      </c>
    </row>
    <row r="538" spans="1:8" ht="15" customHeight="1" x14ac:dyDescent="0.25">
      <c r="A538" s="2" t="s">
        <v>1890</v>
      </c>
      <c r="B538" s="2" t="s">
        <v>1209</v>
      </c>
      <c r="C538" s="17">
        <v>45919</v>
      </c>
      <c r="D538" s="2" t="s">
        <v>1360</v>
      </c>
      <c r="E538" s="18">
        <v>1540.63</v>
      </c>
      <c r="F538" s="18">
        <v>40.9</v>
      </c>
      <c r="G538" s="2" t="s">
        <v>1361</v>
      </c>
      <c r="H538" s="2" t="s">
        <v>19</v>
      </c>
    </row>
    <row r="539" spans="1:8" ht="15" customHeight="1" x14ac:dyDescent="0.25">
      <c r="A539" s="2" t="s">
        <v>1891</v>
      </c>
      <c r="B539" s="2" t="s">
        <v>1209</v>
      </c>
      <c r="C539" s="17">
        <v>45936</v>
      </c>
      <c r="D539" s="2" t="s">
        <v>1360</v>
      </c>
      <c r="E539" s="18">
        <v>4393.16</v>
      </c>
      <c r="F539" s="18">
        <v>126.06</v>
      </c>
      <c r="G539" s="2" t="s">
        <v>1361</v>
      </c>
      <c r="H539" s="2" t="s">
        <v>19</v>
      </c>
    </row>
    <row r="540" spans="1:8" ht="15" customHeight="1" x14ac:dyDescent="0.25">
      <c r="A540" s="2" t="s">
        <v>1892</v>
      </c>
      <c r="B540" s="2" t="s">
        <v>1209</v>
      </c>
      <c r="C540" s="17">
        <v>45954</v>
      </c>
      <c r="D540" s="2" t="s">
        <v>1360</v>
      </c>
      <c r="E540" s="18">
        <v>4929.09</v>
      </c>
      <c r="F540" s="18">
        <v>127.69</v>
      </c>
      <c r="G540" s="2" t="s">
        <v>1361</v>
      </c>
      <c r="H540" s="2" t="s">
        <v>19</v>
      </c>
    </row>
    <row r="541" spans="1:8" ht="15" customHeight="1" x14ac:dyDescent="0.25">
      <c r="A541" s="2" t="s">
        <v>1893</v>
      </c>
      <c r="B541" s="2" t="s">
        <v>1209</v>
      </c>
      <c r="C541" s="17">
        <v>45932</v>
      </c>
      <c r="D541" s="2" t="s">
        <v>1360</v>
      </c>
      <c r="E541" s="18">
        <v>2136.69</v>
      </c>
      <c r="F541" s="18">
        <v>0</v>
      </c>
      <c r="G541" s="2" t="s">
        <v>1408</v>
      </c>
      <c r="H541" s="2" t="s">
        <v>19</v>
      </c>
    </row>
    <row r="542" spans="1:8" ht="15" customHeight="1" x14ac:dyDescent="0.25">
      <c r="A542" s="2" t="s">
        <v>1894</v>
      </c>
      <c r="B542" s="2" t="s">
        <v>1210</v>
      </c>
      <c r="C542" s="17">
        <v>46018</v>
      </c>
      <c r="D542" s="2" t="s">
        <v>1479</v>
      </c>
      <c r="E542" s="18">
        <v>2803.51</v>
      </c>
      <c r="F542" s="18">
        <v>72.72</v>
      </c>
      <c r="G542" s="2" t="s">
        <v>1361</v>
      </c>
      <c r="H542" s="2" t="s">
        <v>22</v>
      </c>
    </row>
    <row r="543" spans="1:8" ht="15" customHeight="1" x14ac:dyDescent="0.25">
      <c r="A543" s="2" t="s">
        <v>1895</v>
      </c>
      <c r="B543" s="2" t="s">
        <v>1211</v>
      </c>
      <c r="C543" s="17">
        <v>45862</v>
      </c>
      <c r="D543" s="2" t="s">
        <v>1360</v>
      </c>
      <c r="E543" s="18">
        <v>37987.57</v>
      </c>
      <c r="F543" s="18">
        <v>909.84</v>
      </c>
      <c r="G543" s="2" t="s">
        <v>1361</v>
      </c>
      <c r="H543" s="2" t="s">
        <v>19</v>
      </c>
    </row>
    <row r="544" spans="1:8" ht="15" customHeight="1" x14ac:dyDescent="0.25">
      <c r="A544" s="2" t="s">
        <v>1896</v>
      </c>
      <c r="B544" s="2" t="s">
        <v>1211</v>
      </c>
      <c r="C544" s="17">
        <v>45866</v>
      </c>
      <c r="D544" s="2" t="s">
        <v>1360</v>
      </c>
      <c r="E544" s="18">
        <v>47562.28</v>
      </c>
      <c r="F544" s="18">
        <v>1121.07</v>
      </c>
      <c r="G544" s="2" t="s">
        <v>1361</v>
      </c>
      <c r="H544" s="2" t="s">
        <v>19</v>
      </c>
    </row>
    <row r="545" spans="1:8" ht="15" customHeight="1" x14ac:dyDescent="0.25">
      <c r="A545" s="2" t="s">
        <v>1897</v>
      </c>
      <c r="B545" s="2" t="s">
        <v>1211</v>
      </c>
      <c r="C545" s="17">
        <v>45863</v>
      </c>
      <c r="D545" s="2" t="s">
        <v>1360</v>
      </c>
      <c r="E545" s="18">
        <v>18263.060000000001</v>
      </c>
      <c r="F545" s="18">
        <v>389.61</v>
      </c>
      <c r="G545" s="2" t="s">
        <v>1361</v>
      </c>
      <c r="H545" s="2" t="s">
        <v>19</v>
      </c>
    </row>
    <row r="546" spans="1:8" ht="15" customHeight="1" x14ac:dyDescent="0.25">
      <c r="A546" s="2" t="s">
        <v>1898</v>
      </c>
      <c r="B546" s="2" t="s">
        <v>1211</v>
      </c>
      <c r="C546" s="17">
        <v>45895</v>
      </c>
      <c r="D546" s="2" t="s">
        <v>1360</v>
      </c>
      <c r="E546" s="18">
        <v>53244.76</v>
      </c>
      <c r="F546" s="18">
        <v>1421.91</v>
      </c>
      <c r="G546" s="2" t="s">
        <v>1361</v>
      </c>
      <c r="H546" s="2" t="s">
        <v>19</v>
      </c>
    </row>
    <row r="547" spans="1:8" ht="15" customHeight="1" x14ac:dyDescent="0.25">
      <c r="A547" s="2" t="s">
        <v>1899</v>
      </c>
      <c r="B547" s="2" t="s">
        <v>1211</v>
      </c>
      <c r="C547" s="17">
        <v>45884</v>
      </c>
      <c r="D547" s="2" t="s">
        <v>1360</v>
      </c>
      <c r="E547" s="18">
        <v>25300.32</v>
      </c>
      <c r="F547" s="18">
        <v>552.91999999999996</v>
      </c>
      <c r="G547" s="2" t="s">
        <v>1361</v>
      </c>
      <c r="H547" s="2" t="s">
        <v>19</v>
      </c>
    </row>
    <row r="548" spans="1:8" ht="15" customHeight="1" x14ac:dyDescent="0.25">
      <c r="A548" s="2" t="s">
        <v>1900</v>
      </c>
      <c r="B548" s="2" t="s">
        <v>1211</v>
      </c>
      <c r="C548" s="17">
        <v>45870</v>
      </c>
      <c r="D548" s="2" t="s">
        <v>1360</v>
      </c>
      <c r="E548" s="18">
        <v>35816.25</v>
      </c>
      <c r="F548" s="18">
        <v>780.21</v>
      </c>
      <c r="G548" s="2" t="s">
        <v>1361</v>
      </c>
      <c r="H548" s="2" t="s">
        <v>19</v>
      </c>
    </row>
    <row r="549" spans="1:8" ht="15" customHeight="1" x14ac:dyDescent="0.25">
      <c r="A549" s="2" t="s">
        <v>1901</v>
      </c>
      <c r="B549" s="2" t="s">
        <v>1211</v>
      </c>
      <c r="C549" s="17">
        <v>45929</v>
      </c>
      <c r="D549" s="2" t="s">
        <v>1360</v>
      </c>
      <c r="E549" s="18">
        <v>34410.58</v>
      </c>
      <c r="F549" s="18">
        <v>838.96</v>
      </c>
      <c r="G549" s="2" t="s">
        <v>1361</v>
      </c>
      <c r="H549" s="2" t="s">
        <v>19</v>
      </c>
    </row>
    <row r="550" spans="1:8" ht="15" customHeight="1" x14ac:dyDescent="0.25">
      <c r="A550" s="2" t="s">
        <v>1902</v>
      </c>
      <c r="B550" s="2" t="s">
        <v>1211</v>
      </c>
      <c r="C550" s="17">
        <v>45924</v>
      </c>
      <c r="D550" s="2" t="s">
        <v>1360</v>
      </c>
      <c r="E550" s="18">
        <v>46528.22</v>
      </c>
      <c r="F550" s="18">
        <v>1110.22</v>
      </c>
      <c r="G550" s="2" t="s">
        <v>1361</v>
      </c>
      <c r="H550" s="2" t="s">
        <v>19</v>
      </c>
    </row>
    <row r="551" spans="1:8" ht="15" customHeight="1" x14ac:dyDescent="0.25">
      <c r="A551" s="2" t="s">
        <v>1903</v>
      </c>
      <c r="B551" s="2" t="s">
        <v>1211</v>
      </c>
      <c r="C551" s="17">
        <v>45930</v>
      </c>
      <c r="D551" s="2" t="s">
        <v>1360</v>
      </c>
      <c r="E551" s="18">
        <v>25809.59</v>
      </c>
      <c r="F551" s="18">
        <v>707.3</v>
      </c>
      <c r="G551" s="2" t="s">
        <v>1361</v>
      </c>
      <c r="H551" s="2" t="s">
        <v>19</v>
      </c>
    </row>
    <row r="552" spans="1:8" ht="15" customHeight="1" x14ac:dyDescent="0.25">
      <c r="A552" s="2" t="s">
        <v>1904</v>
      </c>
      <c r="B552" s="2" t="s">
        <v>1211</v>
      </c>
      <c r="C552" s="17">
        <v>45951</v>
      </c>
      <c r="D552" s="2" t="s">
        <v>1360</v>
      </c>
      <c r="E552" s="18">
        <v>38567.96</v>
      </c>
      <c r="F552" s="18">
        <v>883.2</v>
      </c>
      <c r="G552" s="2" t="s">
        <v>1361</v>
      </c>
      <c r="H552" s="2" t="s">
        <v>19</v>
      </c>
    </row>
    <row r="553" spans="1:8" ht="15" customHeight="1" x14ac:dyDescent="0.25">
      <c r="A553" s="2" t="s">
        <v>1905</v>
      </c>
      <c r="B553" s="2" t="s">
        <v>1211</v>
      </c>
      <c r="C553" s="17">
        <v>45962</v>
      </c>
      <c r="D553" s="2" t="s">
        <v>1360</v>
      </c>
      <c r="E553" s="18">
        <v>44922.92</v>
      </c>
      <c r="F553" s="18">
        <v>1257.76</v>
      </c>
      <c r="G553" s="2" t="s">
        <v>1361</v>
      </c>
      <c r="H553" s="2" t="s">
        <v>19</v>
      </c>
    </row>
    <row r="554" spans="1:8" ht="15" customHeight="1" x14ac:dyDescent="0.25">
      <c r="A554" s="2" t="s">
        <v>1906</v>
      </c>
      <c r="B554" s="2" t="s">
        <v>1211</v>
      </c>
      <c r="C554" s="17">
        <v>45968</v>
      </c>
      <c r="D554" s="2" t="s">
        <v>1360</v>
      </c>
      <c r="E554" s="18">
        <v>31470.93</v>
      </c>
      <c r="F554" s="18">
        <v>793.06</v>
      </c>
      <c r="G554" s="2" t="s">
        <v>1361</v>
      </c>
      <c r="H554" s="2" t="s">
        <v>19</v>
      </c>
    </row>
    <row r="555" spans="1:8" ht="15" customHeight="1" x14ac:dyDescent="0.25">
      <c r="A555" s="2" t="s">
        <v>1907</v>
      </c>
      <c r="B555" s="2" t="s">
        <v>1211</v>
      </c>
      <c r="C555" s="17">
        <v>46007</v>
      </c>
      <c r="D555" s="2" t="s">
        <v>1360</v>
      </c>
      <c r="E555" s="18">
        <v>40571.21</v>
      </c>
      <c r="F555" s="18">
        <v>1062.1600000000001</v>
      </c>
      <c r="G555" s="2" t="s">
        <v>1361</v>
      </c>
      <c r="H555" s="2" t="s">
        <v>19</v>
      </c>
    </row>
    <row r="556" spans="1:8" ht="15" customHeight="1" x14ac:dyDescent="0.25">
      <c r="A556" s="2" t="s">
        <v>1908</v>
      </c>
      <c r="B556" s="2" t="s">
        <v>1211</v>
      </c>
      <c r="C556" s="17">
        <v>45993</v>
      </c>
      <c r="D556" s="2" t="s">
        <v>1360</v>
      </c>
      <c r="E556" s="18">
        <v>15695.47</v>
      </c>
      <c r="F556" s="18">
        <v>437.87</v>
      </c>
      <c r="G556" s="2" t="s">
        <v>1361</v>
      </c>
      <c r="H556" s="2" t="s">
        <v>19</v>
      </c>
    </row>
    <row r="557" spans="1:8" ht="15" customHeight="1" x14ac:dyDescent="0.25">
      <c r="A557" s="2" t="s">
        <v>1909</v>
      </c>
      <c r="B557" s="2" t="s">
        <v>1212</v>
      </c>
      <c r="C557" s="17">
        <v>45859</v>
      </c>
      <c r="D557" s="2" t="s">
        <v>1360</v>
      </c>
      <c r="E557" s="18">
        <v>17969.78</v>
      </c>
      <c r="F557" s="18">
        <v>554.37</v>
      </c>
      <c r="G557" s="2" t="s">
        <v>1361</v>
      </c>
      <c r="H557" s="2" t="s">
        <v>19</v>
      </c>
    </row>
    <row r="558" spans="1:8" ht="15" customHeight="1" x14ac:dyDescent="0.25">
      <c r="A558" s="2" t="s">
        <v>1910</v>
      </c>
      <c r="B558" s="2" t="s">
        <v>1212</v>
      </c>
      <c r="C558" s="17">
        <v>45887</v>
      </c>
      <c r="D558" s="2" t="s">
        <v>1479</v>
      </c>
      <c r="E558" s="18">
        <v>9431.17</v>
      </c>
      <c r="F558" s="18">
        <v>256.36</v>
      </c>
      <c r="G558" s="2" t="s">
        <v>1361</v>
      </c>
      <c r="H558" s="2" t="s">
        <v>19</v>
      </c>
    </row>
    <row r="559" spans="1:8" ht="15" customHeight="1" x14ac:dyDescent="0.25">
      <c r="A559" s="2" t="s">
        <v>1911</v>
      </c>
      <c r="B559" s="2" t="s">
        <v>1212</v>
      </c>
      <c r="C559" s="17">
        <v>45878</v>
      </c>
      <c r="D559" s="2" t="s">
        <v>1360</v>
      </c>
      <c r="E559" s="18">
        <v>7761.74</v>
      </c>
      <c r="F559" s="18">
        <v>216.55</v>
      </c>
      <c r="G559" s="2" t="s">
        <v>1361</v>
      </c>
      <c r="H559" s="2" t="s">
        <v>19</v>
      </c>
    </row>
    <row r="560" spans="1:8" ht="15" customHeight="1" x14ac:dyDescent="0.25">
      <c r="A560" s="2" t="s">
        <v>1912</v>
      </c>
      <c r="B560" s="2" t="s">
        <v>1212</v>
      </c>
      <c r="C560" s="17">
        <v>45872</v>
      </c>
      <c r="D560" s="2" t="s">
        <v>1481</v>
      </c>
      <c r="E560" s="18">
        <v>14157.53</v>
      </c>
      <c r="F560" s="18">
        <v>374.8</v>
      </c>
      <c r="G560" s="2" t="s">
        <v>1361</v>
      </c>
      <c r="H560" s="2" t="s">
        <v>19</v>
      </c>
    </row>
    <row r="561" spans="1:8" ht="15" customHeight="1" x14ac:dyDescent="0.25">
      <c r="A561" s="2" t="s">
        <v>1913</v>
      </c>
      <c r="B561" s="2" t="s">
        <v>1212</v>
      </c>
      <c r="C561" s="17">
        <v>45903</v>
      </c>
      <c r="D561" s="2" t="s">
        <v>1479</v>
      </c>
      <c r="E561" s="18">
        <v>9221.6</v>
      </c>
      <c r="F561" s="18">
        <v>280.35000000000002</v>
      </c>
      <c r="G561" s="2" t="s">
        <v>1361</v>
      </c>
      <c r="H561" s="2" t="s">
        <v>19</v>
      </c>
    </row>
    <row r="562" spans="1:8" ht="15" customHeight="1" x14ac:dyDescent="0.25">
      <c r="A562" s="2" t="s">
        <v>1914</v>
      </c>
      <c r="B562" s="2" t="s">
        <v>1212</v>
      </c>
      <c r="C562" s="17">
        <v>45942</v>
      </c>
      <c r="D562" s="2" t="s">
        <v>1479</v>
      </c>
      <c r="E562" s="18">
        <v>12233.72</v>
      </c>
      <c r="F562" s="18">
        <v>302.10000000000002</v>
      </c>
      <c r="G562" s="2" t="s">
        <v>1361</v>
      </c>
      <c r="H562" s="2" t="s">
        <v>19</v>
      </c>
    </row>
    <row r="563" spans="1:8" ht="15" customHeight="1" x14ac:dyDescent="0.25">
      <c r="A563" s="2" t="s">
        <v>1915</v>
      </c>
      <c r="B563" s="2" t="s">
        <v>1212</v>
      </c>
      <c r="C563" s="17">
        <v>45967</v>
      </c>
      <c r="D563" s="2" t="s">
        <v>1479</v>
      </c>
      <c r="E563" s="18">
        <v>8652.51</v>
      </c>
      <c r="F563" s="18">
        <v>227.79</v>
      </c>
      <c r="G563" s="2" t="s">
        <v>1361</v>
      </c>
      <c r="H563" s="2" t="s">
        <v>19</v>
      </c>
    </row>
    <row r="564" spans="1:8" ht="15" customHeight="1" x14ac:dyDescent="0.25">
      <c r="A564" s="2" t="s">
        <v>1916</v>
      </c>
      <c r="B564" s="2" t="s">
        <v>1212</v>
      </c>
      <c r="C564" s="17">
        <v>46004</v>
      </c>
      <c r="D564" s="2" t="s">
        <v>1481</v>
      </c>
      <c r="E564" s="18">
        <v>14234.34</v>
      </c>
      <c r="F564" s="18">
        <v>426.76</v>
      </c>
      <c r="G564" s="2" t="s">
        <v>1361</v>
      </c>
      <c r="H564" s="2" t="s">
        <v>19</v>
      </c>
    </row>
    <row r="565" spans="1:8" ht="15" customHeight="1" x14ac:dyDescent="0.25">
      <c r="A565" s="2" t="s">
        <v>1917</v>
      </c>
      <c r="B565" s="2" t="s">
        <v>1212</v>
      </c>
      <c r="C565" s="17">
        <v>46011</v>
      </c>
      <c r="D565" s="2" t="s">
        <v>1360</v>
      </c>
      <c r="E565" s="18">
        <v>7467.22</v>
      </c>
      <c r="F565" s="18">
        <v>184.9</v>
      </c>
      <c r="G565" s="2" t="s">
        <v>1361</v>
      </c>
      <c r="H565" s="2" t="s">
        <v>19</v>
      </c>
    </row>
    <row r="566" spans="1:8" ht="15" customHeight="1" x14ac:dyDescent="0.25">
      <c r="A566" s="2" t="s">
        <v>1918</v>
      </c>
      <c r="B566" s="2" t="s">
        <v>1212</v>
      </c>
      <c r="C566" s="17">
        <v>45997</v>
      </c>
      <c r="D566" s="2" t="s">
        <v>1479</v>
      </c>
      <c r="E566" s="18">
        <v>14091.4</v>
      </c>
      <c r="F566" s="18">
        <v>405.08</v>
      </c>
      <c r="G566" s="2" t="s">
        <v>1361</v>
      </c>
      <c r="H566" s="2" t="s">
        <v>19</v>
      </c>
    </row>
    <row r="567" spans="1:8" ht="15" customHeight="1" x14ac:dyDescent="0.25">
      <c r="A567" s="2" t="s">
        <v>1919</v>
      </c>
      <c r="B567" s="2" t="s">
        <v>1213</v>
      </c>
      <c r="C567" s="17">
        <v>45855</v>
      </c>
      <c r="D567" s="2" t="s">
        <v>1360</v>
      </c>
      <c r="E567" s="18">
        <v>5013.28</v>
      </c>
      <c r="F567" s="18">
        <v>130.97</v>
      </c>
      <c r="G567" s="2" t="s">
        <v>1361</v>
      </c>
      <c r="H567" s="2" t="s">
        <v>18</v>
      </c>
    </row>
    <row r="568" spans="1:8" ht="15" customHeight="1" x14ac:dyDescent="0.25">
      <c r="A568" s="2" t="s">
        <v>1920</v>
      </c>
      <c r="B568" s="2" t="s">
        <v>1213</v>
      </c>
      <c r="C568" s="17">
        <v>45882</v>
      </c>
      <c r="D568" s="2" t="s">
        <v>1360</v>
      </c>
      <c r="E568" s="18">
        <v>2134.46</v>
      </c>
      <c r="F568" s="18">
        <v>56.9</v>
      </c>
      <c r="G568" s="2" t="s">
        <v>1361</v>
      </c>
      <c r="H568" s="2" t="s">
        <v>18</v>
      </c>
    </row>
    <row r="569" spans="1:8" ht="15" customHeight="1" x14ac:dyDescent="0.25">
      <c r="A569" s="2" t="s">
        <v>1921</v>
      </c>
      <c r="B569" s="2" t="s">
        <v>1213</v>
      </c>
      <c r="C569" s="17">
        <v>45893</v>
      </c>
      <c r="D569" s="2" t="s">
        <v>1360</v>
      </c>
      <c r="E569" s="18">
        <v>2271.38</v>
      </c>
      <c r="F569" s="18">
        <v>64.37</v>
      </c>
      <c r="G569" s="2" t="s">
        <v>1361</v>
      </c>
      <c r="H569" s="2" t="s">
        <v>18</v>
      </c>
    </row>
    <row r="570" spans="1:8" ht="15" customHeight="1" x14ac:dyDescent="0.25">
      <c r="A570" s="2" t="s">
        <v>1922</v>
      </c>
      <c r="B570" s="2" t="s">
        <v>1213</v>
      </c>
      <c r="C570" s="17">
        <v>45898</v>
      </c>
      <c r="D570" s="2" t="s">
        <v>1360</v>
      </c>
      <c r="E570" s="18">
        <v>5052.47</v>
      </c>
      <c r="F570" s="18">
        <v>138.84</v>
      </c>
      <c r="G570" s="2" t="s">
        <v>1361</v>
      </c>
      <c r="H570" s="2" t="s">
        <v>18</v>
      </c>
    </row>
    <row r="571" spans="1:8" ht="15" customHeight="1" x14ac:dyDescent="0.25">
      <c r="A571" s="2" t="s">
        <v>1923</v>
      </c>
      <c r="B571" s="2" t="s">
        <v>1213</v>
      </c>
      <c r="C571" s="17">
        <v>45909</v>
      </c>
      <c r="D571" s="2" t="s">
        <v>1360</v>
      </c>
      <c r="E571" s="18">
        <v>2438.62</v>
      </c>
      <c r="F571" s="18">
        <v>60.11</v>
      </c>
      <c r="G571" s="2" t="s">
        <v>1361</v>
      </c>
      <c r="H571" s="2" t="s">
        <v>18</v>
      </c>
    </row>
    <row r="572" spans="1:8" ht="15" customHeight="1" x14ac:dyDescent="0.25">
      <c r="A572" s="2" t="s">
        <v>1924</v>
      </c>
      <c r="B572" s="2" t="s">
        <v>1213</v>
      </c>
      <c r="C572" s="17">
        <v>45945</v>
      </c>
      <c r="D572" s="2" t="s">
        <v>1360</v>
      </c>
      <c r="E572" s="18">
        <v>3998.79</v>
      </c>
      <c r="F572" s="18">
        <v>97.68</v>
      </c>
      <c r="G572" s="2" t="s">
        <v>1361</v>
      </c>
      <c r="H572" s="2" t="s">
        <v>18</v>
      </c>
    </row>
    <row r="573" spans="1:8" ht="15" customHeight="1" x14ac:dyDescent="0.25">
      <c r="A573" s="2" t="s">
        <v>1925</v>
      </c>
      <c r="B573" s="2" t="s">
        <v>1213</v>
      </c>
      <c r="C573" s="17">
        <v>45946</v>
      </c>
      <c r="D573" s="2" t="s">
        <v>1360</v>
      </c>
      <c r="E573" s="18">
        <v>2461.6999999999998</v>
      </c>
      <c r="F573" s="18">
        <v>57.52</v>
      </c>
      <c r="G573" s="2" t="s">
        <v>1361</v>
      </c>
      <c r="H573" s="2" t="s">
        <v>18</v>
      </c>
    </row>
    <row r="574" spans="1:8" ht="15" customHeight="1" x14ac:dyDescent="0.25">
      <c r="A574" s="2" t="s">
        <v>1926</v>
      </c>
      <c r="B574" s="2" t="s">
        <v>1213</v>
      </c>
      <c r="C574" s="17">
        <v>45982</v>
      </c>
      <c r="D574" s="2" t="s">
        <v>1360</v>
      </c>
      <c r="E574" s="18">
        <v>3822.13</v>
      </c>
      <c r="F574" s="18">
        <v>109.11</v>
      </c>
      <c r="G574" s="2" t="s">
        <v>1361</v>
      </c>
      <c r="H574" s="2" t="s">
        <v>18</v>
      </c>
    </row>
    <row r="575" spans="1:8" ht="15" customHeight="1" x14ac:dyDescent="0.25">
      <c r="A575" s="2" t="s">
        <v>1927</v>
      </c>
      <c r="B575" s="2" t="s">
        <v>1213</v>
      </c>
      <c r="C575" s="17">
        <v>45970</v>
      </c>
      <c r="D575" s="2" t="s">
        <v>1360</v>
      </c>
      <c r="E575" s="18">
        <v>1884.24</v>
      </c>
      <c r="F575" s="18">
        <v>53.15</v>
      </c>
      <c r="G575" s="2" t="s">
        <v>1361</v>
      </c>
      <c r="H575" s="2" t="s">
        <v>18</v>
      </c>
    </row>
    <row r="576" spans="1:8" ht="15" customHeight="1" x14ac:dyDescent="0.25">
      <c r="A576" s="2" t="s">
        <v>1928</v>
      </c>
      <c r="B576" s="2" t="s">
        <v>1213</v>
      </c>
      <c r="C576" s="17">
        <v>46021</v>
      </c>
      <c r="D576" s="2" t="s">
        <v>1360</v>
      </c>
      <c r="E576" s="18">
        <v>2457.58</v>
      </c>
      <c r="F576" s="18">
        <v>58.35</v>
      </c>
      <c r="G576" s="2" t="s">
        <v>1361</v>
      </c>
      <c r="H576" s="2" t="s">
        <v>18</v>
      </c>
    </row>
    <row r="577" spans="1:8" ht="15" customHeight="1" x14ac:dyDescent="0.25">
      <c r="A577" s="2" t="s">
        <v>1929</v>
      </c>
      <c r="B577" s="2" t="s">
        <v>1214</v>
      </c>
      <c r="C577" s="17">
        <v>45892</v>
      </c>
      <c r="D577" s="2" t="s">
        <v>1373</v>
      </c>
      <c r="E577" s="18">
        <v>2800.22</v>
      </c>
      <c r="F577" s="18">
        <v>55.08</v>
      </c>
      <c r="G577" s="2" t="s">
        <v>1361</v>
      </c>
      <c r="H577" s="2" t="s">
        <v>20</v>
      </c>
    </row>
    <row r="578" spans="1:8" ht="15" customHeight="1" x14ac:dyDescent="0.25">
      <c r="A578" s="2" t="s">
        <v>1930</v>
      </c>
      <c r="B578" s="2" t="s">
        <v>1214</v>
      </c>
      <c r="C578" s="17">
        <v>45909</v>
      </c>
      <c r="D578" s="2" t="s">
        <v>1373</v>
      </c>
      <c r="E578" s="18">
        <v>2472.37</v>
      </c>
      <c r="F578" s="18">
        <v>49.33</v>
      </c>
      <c r="G578" s="2" t="s">
        <v>1361</v>
      </c>
      <c r="H578" s="2" t="s">
        <v>20</v>
      </c>
    </row>
    <row r="579" spans="1:8" ht="15" customHeight="1" x14ac:dyDescent="0.25">
      <c r="A579" s="2" t="s">
        <v>1931</v>
      </c>
      <c r="B579" s="2" t="s">
        <v>1214</v>
      </c>
      <c r="C579" s="17">
        <v>45904</v>
      </c>
      <c r="D579" s="2" t="s">
        <v>1373</v>
      </c>
      <c r="E579" s="18">
        <v>2636.9</v>
      </c>
      <c r="F579" s="18">
        <v>51.33</v>
      </c>
      <c r="G579" s="2" t="s">
        <v>1361</v>
      </c>
      <c r="H579" s="2" t="s">
        <v>20</v>
      </c>
    </row>
    <row r="580" spans="1:8" ht="15" customHeight="1" x14ac:dyDescent="0.25">
      <c r="A580" s="2" t="s">
        <v>1932</v>
      </c>
      <c r="B580" s="2" t="s">
        <v>1214</v>
      </c>
      <c r="C580" s="17">
        <v>45939</v>
      </c>
      <c r="D580" s="2" t="s">
        <v>1373</v>
      </c>
      <c r="E580" s="18">
        <v>1977.64</v>
      </c>
      <c r="F580" s="18">
        <v>38.99</v>
      </c>
      <c r="G580" s="2" t="s">
        <v>1361</v>
      </c>
      <c r="H580" s="2" t="s">
        <v>20</v>
      </c>
    </row>
    <row r="581" spans="1:8" ht="15" customHeight="1" x14ac:dyDescent="0.25">
      <c r="A581" s="2" t="s">
        <v>1933</v>
      </c>
      <c r="B581" s="2" t="s">
        <v>1214</v>
      </c>
      <c r="C581" s="17">
        <v>45957</v>
      </c>
      <c r="D581" s="2" t="s">
        <v>1373</v>
      </c>
      <c r="E581" s="18">
        <v>4443.55</v>
      </c>
      <c r="F581" s="18">
        <v>91.19</v>
      </c>
      <c r="G581" s="2" t="s">
        <v>1361</v>
      </c>
      <c r="H581" s="2" t="s">
        <v>20</v>
      </c>
    </row>
    <row r="582" spans="1:8" ht="15" customHeight="1" x14ac:dyDescent="0.25">
      <c r="A582" s="2" t="s">
        <v>1934</v>
      </c>
      <c r="B582" s="2" t="s">
        <v>1214</v>
      </c>
      <c r="C582" s="17">
        <v>45961</v>
      </c>
      <c r="D582" s="2" t="s">
        <v>1373</v>
      </c>
      <c r="E582" s="18">
        <v>2394.92</v>
      </c>
      <c r="F582" s="18">
        <v>41.35</v>
      </c>
      <c r="G582" s="2" t="s">
        <v>1361</v>
      </c>
      <c r="H582" s="2" t="s">
        <v>20</v>
      </c>
    </row>
    <row r="583" spans="1:8" ht="15" customHeight="1" x14ac:dyDescent="0.25">
      <c r="A583" s="2" t="s">
        <v>125</v>
      </c>
      <c r="B583" s="2" t="s">
        <v>1214</v>
      </c>
      <c r="C583" s="17">
        <v>45991</v>
      </c>
      <c r="D583" s="2" t="s">
        <v>1373</v>
      </c>
      <c r="E583" s="18">
        <v>5098.3</v>
      </c>
      <c r="F583" s="18">
        <v>-90.82</v>
      </c>
      <c r="G583" s="2" t="s">
        <v>1361</v>
      </c>
      <c r="H583" s="2" t="s">
        <v>20</v>
      </c>
    </row>
    <row r="584" spans="1:8" ht="15" customHeight="1" x14ac:dyDescent="0.25">
      <c r="A584" s="2" t="s">
        <v>1935</v>
      </c>
      <c r="B584" s="2" t="s">
        <v>1214</v>
      </c>
      <c r="C584" s="17">
        <v>45970</v>
      </c>
      <c r="D584" s="2" t="s">
        <v>1373</v>
      </c>
      <c r="E584" s="18">
        <v>2565.3200000000002</v>
      </c>
      <c r="F584" s="18">
        <v>51.36</v>
      </c>
      <c r="G584" s="2" t="s">
        <v>1361</v>
      </c>
      <c r="H584" s="2" t="s">
        <v>20</v>
      </c>
    </row>
    <row r="585" spans="1:8" ht="15" customHeight="1" x14ac:dyDescent="0.25">
      <c r="A585" s="2" t="s">
        <v>1936</v>
      </c>
      <c r="B585" s="2" t="s">
        <v>1214</v>
      </c>
      <c r="C585" s="17">
        <v>46001</v>
      </c>
      <c r="D585" s="2" t="s">
        <v>1373</v>
      </c>
      <c r="E585" s="18">
        <v>4418.6499999999996</v>
      </c>
      <c r="F585" s="18">
        <v>0</v>
      </c>
      <c r="G585" s="2" t="s">
        <v>1408</v>
      </c>
      <c r="H585" s="2" t="s">
        <v>20</v>
      </c>
    </row>
    <row r="586" spans="1:8" ht="15" customHeight="1" x14ac:dyDescent="0.25">
      <c r="A586" s="2" t="s">
        <v>1937</v>
      </c>
      <c r="B586" s="2" t="s">
        <v>1214</v>
      </c>
      <c r="C586" s="17">
        <v>45996</v>
      </c>
      <c r="D586" s="2" t="s">
        <v>1373</v>
      </c>
      <c r="E586" s="18">
        <v>1849.6</v>
      </c>
      <c r="F586" s="18">
        <v>33.44</v>
      </c>
      <c r="G586" s="2" t="s">
        <v>1361</v>
      </c>
      <c r="H586" s="2" t="s">
        <v>20</v>
      </c>
    </row>
    <row r="587" spans="1:8" ht="15" customHeight="1" x14ac:dyDescent="0.25">
      <c r="A587" s="2" t="s">
        <v>1938</v>
      </c>
      <c r="B587" s="2" t="s">
        <v>1216</v>
      </c>
      <c r="C587" s="17">
        <v>45808</v>
      </c>
      <c r="D587" s="2" t="s">
        <v>1373</v>
      </c>
      <c r="E587" s="18">
        <v>56225.65</v>
      </c>
      <c r="F587" s="18">
        <v>984.19</v>
      </c>
      <c r="G587" s="2" t="s">
        <v>1361</v>
      </c>
      <c r="H587" s="2" t="s">
        <v>20</v>
      </c>
    </row>
    <row r="588" spans="1:8" ht="15" customHeight="1" x14ac:dyDescent="0.25">
      <c r="A588" s="2" t="s">
        <v>1939</v>
      </c>
      <c r="B588" s="2" t="s">
        <v>1216</v>
      </c>
      <c r="C588" s="17">
        <v>45823</v>
      </c>
      <c r="D588" s="2" t="s">
        <v>1373</v>
      </c>
      <c r="E588" s="18">
        <v>56669.19</v>
      </c>
      <c r="F588" s="18">
        <v>974.65</v>
      </c>
      <c r="G588" s="2" t="s">
        <v>1361</v>
      </c>
      <c r="H588" s="2" t="s">
        <v>20</v>
      </c>
    </row>
    <row r="589" spans="1:8" ht="15" customHeight="1" x14ac:dyDescent="0.25">
      <c r="A589" s="2" t="s">
        <v>1940</v>
      </c>
      <c r="B589" s="2" t="s">
        <v>1216</v>
      </c>
      <c r="C589" s="17">
        <v>45828</v>
      </c>
      <c r="D589" s="2" t="s">
        <v>1373</v>
      </c>
      <c r="E589" s="18">
        <v>15339.09</v>
      </c>
      <c r="F589" s="18">
        <v>0</v>
      </c>
      <c r="G589" s="2" t="s">
        <v>1408</v>
      </c>
      <c r="H589" s="2" t="s">
        <v>20</v>
      </c>
    </row>
    <row r="590" spans="1:8" ht="15" customHeight="1" x14ac:dyDescent="0.25">
      <c r="A590" s="2" t="s">
        <v>1941</v>
      </c>
      <c r="B590" s="2" t="s">
        <v>1216</v>
      </c>
      <c r="C590" s="17">
        <v>45829</v>
      </c>
      <c r="D590" s="2" t="s">
        <v>1373</v>
      </c>
      <c r="E590" s="18">
        <v>27926.59</v>
      </c>
      <c r="F590" s="18">
        <v>492.18</v>
      </c>
      <c r="G590" s="2" t="s">
        <v>1361</v>
      </c>
      <c r="H590" s="2" t="s">
        <v>20</v>
      </c>
    </row>
    <row r="591" spans="1:8" ht="15" customHeight="1" x14ac:dyDescent="0.25">
      <c r="A591" s="2" t="s">
        <v>1942</v>
      </c>
      <c r="B591" s="2" t="s">
        <v>1216</v>
      </c>
      <c r="C591" s="17">
        <v>45852</v>
      </c>
      <c r="D591" s="2" t="s">
        <v>1373</v>
      </c>
      <c r="E591" s="18">
        <v>39912.35</v>
      </c>
      <c r="F591" s="18">
        <v>771.29</v>
      </c>
      <c r="G591" s="2" t="s">
        <v>1361</v>
      </c>
      <c r="H591" s="2" t="s">
        <v>20</v>
      </c>
    </row>
    <row r="592" spans="1:8" ht="15" customHeight="1" x14ac:dyDescent="0.25">
      <c r="A592" s="2" t="s">
        <v>1943</v>
      </c>
      <c r="B592" s="2" t="s">
        <v>1216</v>
      </c>
      <c r="C592" s="17">
        <v>45900</v>
      </c>
      <c r="D592" s="2" t="s">
        <v>1373</v>
      </c>
      <c r="E592" s="18">
        <v>60204.07</v>
      </c>
      <c r="F592" s="18">
        <v>955.22</v>
      </c>
      <c r="G592" s="2" t="s">
        <v>1361</v>
      </c>
      <c r="H592" s="2" t="s">
        <v>20</v>
      </c>
    </row>
    <row r="593" spans="1:8" ht="15" customHeight="1" x14ac:dyDescent="0.25">
      <c r="A593" s="2" t="s">
        <v>1944</v>
      </c>
      <c r="B593" s="2" t="s">
        <v>1216</v>
      </c>
      <c r="C593" s="17">
        <v>45919</v>
      </c>
      <c r="D593" s="2" t="s">
        <v>1373</v>
      </c>
      <c r="E593" s="18">
        <v>23249.53</v>
      </c>
      <c r="F593" s="18">
        <v>0</v>
      </c>
      <c r="G593" s="2" t="s">
        <v>1408</v>
      </c>
      <c r="H593" s="2" t="s">
        <v>20</v>
      </c>
    </row>
    <row r="594" spans="1:8" ht="15" customHeight="1" x14ac:dyDescent="0.25">
      <c r="A594" s="2" t="s">
        <v>1945</v>
      </c>
      <c r="B594" s="2" t="s">
        <v>1216</v>
      </c>
      <c r="C594" s="17">
        <v>45921</v>
      </c>
      <c r="D594" s="2" t="s">
        <v>1373</v>
      </c>
      <c r="E594" s="18">
        <v>34919.21</v>
      </c>
      <c r="F594" s="18">
        <v>689.77</v>
      </c>
      <c r="G594" s="2" t="s">
        <v>1361</v>
      </c>
      <c r="H594" s="2" t="s">
        <v>20</v>
      </c>
    </row>
    <row r="595" spans="1:8" ht="15" customHeight="1" x14ac:dyDescent="0.25">
      <c r="A595" s="2" t="s">
        <v>1946</v>
      </c>
      <c r="B595" s="2" t="s">
        <v>1216</v>
      </c>
      <c r="C595" s="17">
        <v>45936</v>
      </c>
      <c r="D595" s="2" t="s">
        <v>1373</v>
      </c>
      <c r="E595" s="18">
        <v>16735.97</v>
      </c>
      <c r="F595" s="18">
        <v>282.77</v>
      </c>
      <c r="G595" s="2" t="s">
        <v>1361</v>
      </c>
      <c r="H595" s="2" t="s">
        <v>20</v>
      </c>
    </row>
    <row r="596" spans="1:8" ht="15" customHeight="1" x14ac:dyDescent="0.25">
      <c r="A596" s="2" t="s">
        <v>1947</v>
      </c>
      <c r="B596" s="2" t="s">
        <v>1216</v>
      </c>
      <c r="C596" s="17">
        <v>45978</v>
      </c>
      <c r="D596" s="2" t="s">
        <v>1373</v>
      </c>
      <c r="E596" s="18">
        <v>31628.29</v>
      </c>
      <c r="F596" s="18">
        <v>595.49</v>
      </c>
      <c r="G596" s="2" t="s">
        <v>1361</v>
      </c>
      <c r="H596" s="2" t="s">
        <v>20</v>
      </c>
    </row>
    <row r="597" spans="1:8" ht="15" customHeight="1" x14ac:dyDescent="0.25">
      <c r="A597" s="2" t="s">
        <v>1948</v>
      </c>
      <c r="B597" s="2" t="s">
        <v>1216</v>
      </c>
      <c r="C597" s="17">
        <v>45966</v>
      </c>
      <c r="D597" s="2" t="s">
        <v>1373</v>
      </c>
      <c r="E597" s="18">
        <v>43674.29</v>
      </c>
      <c r="F597" s="18">
        <v>850.14</v>
      </c>
      <c r="G597" s="2" t="s">
        <v>1361</v>
      </c>
      <c r="H597" s="2" t="s">
        <v>20</v>
      </c>
    </row>
    <row r="598" spans="1:8" ht="15" customHeight="1" x14ac:dyDescent="0.25">
      <c r="A598" s="2" t="s">
        <v>1949</v>
      </c>
      <c r="B598" s="2" t="s">
        <v>1216</v>
      </c>
      <c r="C598" s="17">
        <v>46015</v>
      </c>
      <c r="D598" s="2" t="s">
        <v>1373</v>
      </c>
      <c r="E598" s="18">
        <v>58074.16</v>
      </c>
      <c r="F598" s="18">
        <v>1156.3</v>
      </c>
      <c r="G598" s="2" t="s">
        <v>1361</v>
      </c>
      <c r="H598" s="2" t="s">
        <v>20</v>
      </c>
    </row>
    <row r="599" spans="1:8" ht="15" customHeight="1" x14ac:dyDescent="0.25">
      <c r="A599" s="2" t="s">
        <v>1950</v>
      </c>
      <c r="B599" s="2" t="s">
        <v>1216</v>
      </c>
      <c r="C599" s="17">
        <v>46015</v>
      </c>
      <c r="D599" s="2" t="s">
        <v>1373</v>
      </c>
      <c r="E599" s="18">
        <v>31697.05</v>
      </c>
      <c r="F599" s="18">
        <v>607.33000000000004</v>
      </c>
      <c r="G599" s="2" t="s">
        <v>1361</v>
      </c>
      <c r="H599" s="2" t="s">
        <v>20</v>
      </c>
    </row>
    <row r="600" spans="1:8" ht="15" customHeight="1" x14ac:dyDescent="0.25">
      <c r="A600" s="2" t="s">
        <v>1951</v>
      </c>
      <c r="B600" s="2" t="s">
        <v>1216</v>
      </c>
      <c r="C600" s="17">
        <v>46000</v>
      </c>
      <c r="D600" s="2" t="s">
        <v>1373</v>
      </c>
      <c r="E600" s="18">
        <v>41116.11</v>
      </c>
      <c r="F600" s="18">
        <v>782.3</v>
      </c>
      <c r="G600" s="2" t="s">
        <v>1361</v>
      </c>
      <c r="H600" s="2" t="s">
        <v>20</v>
      </c>
    </row>
    <row r="601" spans="1:8" ht="15" customHeight="1" x14ac:dyDescent="0.25">
      <c r="A601" s="2" t="s">
        <v>1952</v>
      </c>
      <c r="B601" s="2" t="s">
        <v>1219</v>
      </c>
      <c r="C601" s="17">
        <v>45859</v>
      </c>
      <c r="D601" s="2" t="s">
        <v>1481</v>
      </c>
      <c r="E601" s="18">
        <v>15975.37</v>
      </c>
      <c r="F601" s="18">
        <v>369.56</v>
      </c>
      <c r="G601" s="2" t="s">
        <v>1361</v>
      </c>
      <c r="H601" s="2" t="s">
        <v>21</v>
      </c>
    </row>
    <row r="602" spans="1:8" ht="15" customHeight="1" x14ac:dyDescent="0.25">
      <c r="A602" s="2" t="s">
        <v>1953</v>
      </c>
      <c r="B602" s="2" t="s">
        <v>1219</v>
      </c>
      <c r="C602" s="17">
        <v>45868</v>
      </c>
      <c r="D602" s="2" t="s">
        <v>1481</v>
      </c>
      <c r="E602" s="18">
        <v>14357.06</v>
      </c>
      <c r="F602" s="18">
        <v>391.13</v>
      </c>
      <c r="G602" s="2" t="s">
        <v>1361</v>
      </c>
      <c r="H602" s="2" t="s">
        <v>21</v>
      </c>
    </row>
    <row r="603" spans="1:8" ht="15" customHeight="1" x14ac:dyDescent="0.25">
      <c r="A603" s="2" t="s">
        <v>1954</v>
      </c>
      <c r="B603" s="2" t="s">
        <v>1219</v>
      </c>
      <c r="C603" s="17">
        <v>45896</v>
      </c>
      <c r="D603" s="2" t="s">
        <v>1479</v>
      </c>
      <c r="E603" s="18">
        <v>11478.48</v>
      </c>
      <c r="F603" s="18">
        <v>301.35000000000002</v>
      </c>
      <c r="G603" s="2" t="s">
        <v>1361</v>
      </c>
      <c r="H603" s="2" t="s">
        <v>21</v>
      </c>
    </row>
    <row r="604" spans="1:8" ht="15" customHeight="1" x14ac:dyDescent="0.25">
      <c r="A604" s="2" t="s">
        <v>1955</v>
      </c>
      <c r="B604" s="2" t="s">
        <v>1219</v>
      </c>
      <c r="C604" s="17">
        <v>45895</v>
      </c>
      <c r="D604" s="2" t="s">
        <v>1481</v>
      </c>
      <c r="E604" s="18">
        <v>14420.11</v>
      </c>
      <c r="F604" s="18">
        <v>408.9</v>
      </c>
      <c r="G604" s="2" t="s">
        <v>1361</v>
      </c>
      <c r="H604" s="2" t="s">
        <v>21</v>
      </c>
    </row>
    <row r="605" spans="1:8" ht="15" customHeight="1" x14ac:dyDescent="0.25">
      <c r="A605" s="2" t="s">
        <v>1956</v>
      </c>
      <c r="B605" s="2" t="s">
        <v>1219</v>
      </c>
      <c r="C605" s="17">
        <v>45925</v>
      </c>
      <c r="D605" s="2" t="s">
        <v>1360</v>
      </c>
      <c r="E605" s="18">
        <v>12585.21</v>
      </c>
      <c r="F605" s="18">
        <v>342.69</v>
      </c>
      <c r="G605" s="2" t="s">
        <v>1361</v>
      </c>
      <c r="H605" s="2" t="s">
        <v>21</v>
      </c>
    </row>
    <row r="606" spans="1:8" ht="15" customHeight="1" x14ac:dyDescent="0.25">
      <c r="A606" s="2" t="s">
        <v>1957</v>
      </c>
      <c r="B606" s="2" t="s">
        <v>1219</v>
      </c>
      <c r="C606" s="17">
        <v>45901</v>
      </c>
      <c r="D606" s="2" t="s">
        <v>1479</v>
      </c>
      <c r="E606" s="18">
        <v>6548.72</v>
      </c>
      <c r="F606" s="18">
        <v>176.47</v>
      </c>
      <c r="G606" s="2" t="s">
        <v>1361</v>
      </c>
      <c r="H606" s="2" t="s">
        <v>21</v>
      </c>
    </row>
    <row r="607" spans="1:8" ht="15" customHeight="1" x14ac:dyDescent="0.25">
      <c r="A607" s="2" t="s">
        <v>1958</v>
      </c>
      <c r="B607" s="2" t="s">
        <v>1219</v>
      </c>
      <c r="C607" s="17">
        <v>45925</v>
      </c>
      <c r="D607" s="2" t="s">
        <v>1479</v>
      </c>
      <c r="E607" s="18">
        <v>15267.89</v>
      </c>
      <c r="F607" s="18">
        <v>359.61</v>
      </c>
      <c r="G607" s="2" t="s">
        <v>1361</v>
      </c>
      <c r="H607" s="2" t="s">
        <v>21</v>
      </c>
    </row>
    <row r="608" spans="1:8" ht="15" customHeight="1" x14ac:dyDescent="0.25">
      <c r="A608" s="2" t="s">
        <v>1959</v>
      </c>
      <c r="B608" s="2" t="s">
        <v>1219</v>
      </c>
      <c r="C608" s="17">
        <v>45951</v>
      </c>
      <c r="D608" s="2" t="s">
        <v>1360</v>
      </c>
      <c r="E608" s="18">
        <v>9568.2199999999993</v>
      </c>
      <c r="F608" s="18">
        <v>255</v>
      </c>
      <c r="G608" s="2" t="s">
        <v>1361</v>
      </c>
      <c r="H608" s="2" t="s">
        <v>21</v>
      </c>
    </row>
    <row r="609" spans="1:8" ht="15" customHeight="1" x14ac:dyDescent="0.25">
      <c r="A609" s="2" t="s">
        <v>108</v>
      </c>
      <c r="B609" s="2" t="s">
        <v>1219</v>
      </c>
      <c r="C609" s="17">
        <v>45938</v>
      </c>
      <c r="D609" s="2" t="s">
        <v>1481</v>
      </c>
      <c r="E609" s="18">
        <v>6620.41</v>
      </c>
      <c r="F609" s="18">
        <v>182.16</v>
      </c>
      <c r="G609" s="2" t="s">
        <v>1361</v>
      </c>
      <c r="H609" s="2" t="s">
        <v>21</v>
      </c>
    </row>
    <row r="610" spans="1:8" ht="15" customHeight="1" x14ac:dyDescent="0.25">
      <c r="A610" s="2" t="s">
        <v>1960</v>
      </c>
      <c r="B610" s="2" t="s">
        <v>1219</v>
      </c>
      <c r="C610" s="17">
        <v>45931</v>
      </c>
      <c r="D610" s="2" t="s">
        <v>1479</v>
      </c>
      <c r="E610" s="18">
        <v>9780.0300000000007</v>
      </c>
      <c r="F610" s="18">
        <v>302.52999999999997</v>
      </c>
      <c r="G610" s="2" t="s">
        <v>1361</v>
      </c>
      <c r="H610" s="2" t="s">
        <v>21</v>
      </c>
    </row>
    <row r="611" spans="1:8" ht="15" customHeight="1" x14ac:dyDescent="0.25">
      <c r="A611" s="2" t="s">
        <v>1961</v>
      </c>
      <c r="B611" s="2" t="s">
        <v>1219</v>
      </c>
      <c r="C611" s="17">
        <v>45978</v>
      </c>
      <c r="D611" s="2" t="s">
        <v>1479</v>
      </c>
      <c r="E611" s="18">
        <v>16698.560000000001</v>
      </c>
      <c r="F611" s="18">
        <v>0</v>
      </c>
      <c r="G611" s="2" t="s">
        <v>1408</v>
      </c>
      <c r="H611" s="2" t="s">
        <v>21</v>
      </c>
    </row>
    <row r="612" spans="1:8" ht="15" customHeight="1" x14ac:dyDescent="0.25">
      <c r="A612" s="2" t="s">
        <v>1962</v>
      </c>
      <c r="B612" s="2" t="s">
        <v>1219</v>
      </c>
      <c r="C612" s="17">
        <v>45994</v>
      </c>
      <c r="D612" s="2" t="s">
        <v>1360</v>
      </c>
      <c r="E612" s="18">
        <v>15969.5</v>
      </c>
      <c r="F612" s="18">
        <v>443.83</v>
      </c>
      <c r="G612" s="2" t="s">
        <v>1361</v>
      </c>
      <c r="H612" s="2" t="s">
        <v>21</v>
      </c>
    </row>
    <row r="613" spans="1:8" ht="15" customHeight="1" x14ac:dyDescent="0.25">
      <c r="A613" s="2" t="s">
        <v>1963</v>
      </c>
      <c r="B613" s="2" t="s">
        <v>1219</v>
      </c>
      <c r="C613" s="17">
        <v>46004</v>
      </c>
      <c r="D613" s="2" t="s">
        <v>1360</v>
      </c>
      <c r="E613" s="18">
        <v>16917.43</v>
      </c>
      <c r="F613" s="18">
        <v>446.46</v>
      </c>
      <c r="G613" s="2" t="s">
        <v>1361</v>
      </c>
      <c r="H613" s="2" t="s">
        <v>21</v>
      </c>
    </row>
    <row r="614" spans="1:8" ht="15" customHeight="1" x14ac:dyDescent="0.25">
      <c r="A614" s="2" t="s">
        <v>1964</v>
      </c>
      <c r="B614" s="2" t="s">
        <v>1221</v>
      </c>
      <c r="C614" s="17">
        <v>45837</v>
      </c>
      <c r="D614" s="2" t="s">
        <v>1423</v>
      </c>
      <c r="E614" s="18">
        <v>1593.99</v>
      </c>
      <c r="F614" s="18">
        <v>54.03</v>
      </c>
      <c r="G614" s="2" t="s">
        <v>1361</v>
      </c>
      <c r="H614" s="2" t="s">
        <v>18</v>
      </c>
    </row>
    <row r="615" spans="1:8" ht="15" customHeight="1" x14ac:dyDescent="0.25">
      <c r="A615" s="2" t="s">
        <v>1965</v>
      </c>
      <c r="B615" s="2" t="s">
        <v>1221</v>
      </c>
      <c r="C615" s="17">
        <v>45858</v>
      </c>
      <c r="D615" s="2" t="s">
        <v>1423</v>
      </c>
      <c r="E615" s="18">
        <v>2919.04</v>
      </c>
      <c r="F615" s="18">
        <v>85.85</v>
      </c>
      <c r="G615" s="2" t="s">
        <v>1361</v>
      </c>
      <c r="H615" s="2" t="s">
        <v>18</v>
      </c>
    </row>
    <row r="616" spans="1:8" ht="15" customHeight="1" x14ac:dyDescent="0.25">
      <c r="A616" s="2" t="s">
        <v>1966</v>
      </c>
      <c r="B616" s="2" t="s">
        <v>1221</v>
      </c>
      <c r="C616" s="17">
        <v>45859</v>
      </c>
      <c r="D616" s="2" t="s">
        <v>1423</v>
      </c>
      <c r="E616" s="18">
        <v>5191.6899999999996</v>
      </c>
      <c r="F616" s="18">
        <v>180.62</v>
      </c>
      <c r="G616" s="2" t="s">
        <v>1361</v>
      </c>
      <c r="H616" s="2" t="s">
        <v>18</v>
      </c>
    </row>
    <row r="617" spans="1:8" ht="15" customHeight="1" x14ac:dyDescent="0.25">
      <c r="A617" s="2" t="s">
        <v>1967</v>
      </c>
      <c r="B617" s="2" t="s">
        <v>1221</v>
      </c>
      <c r="C617" s="17">
        <v>45856</v>
      </c>
      <c r="D617" s="2" t="s">
        <v>1423</v>
      </c>
      <c r="E617" s="18">
        <v>1819.06</v>
      </c>
      <c r="F617" s="18">
        <v>54.49</v>
      </c>
      <c r="G617" s="2" t="s">
        <v>1361</v>
      </c>
      <c r="H617" s="2" t="s">
        <v>18</v>
      </c>
    </row>
    <row r="618" spans="1:8" ht="15" customHeight="1" x14ac:dyDescent="0.25">
      <c r="A618" s="2" t="s">
        <v>1968</v>
      </c>
      <c r="B618" s="2" t="s">
        <v>1221</v>
      </c>
      <c r="C618" s="17">
        <v>45892</v>
      </c>
      <c r="D618" s="2" t="s">
        <v>1423</v>
      </c>
      <c r="E618" s="18">
        <v>1475.99</v>
      </c>
      <c r="F618" s="18">
        <v>0</v>
      </c>
      <c r="G618" s="2" t="s">
        <v>1408</v>
      </c>
      <c r="H618" s="2" t="s">
        <v>18</v>
      </c>
    </row>
    <row r="619" spans="1:8" ht="15" customHeight="1" x14ac:dyDescent="0.25">
      <c r="A619" s="2" t="s">
        <v>1969</v>
      </c>
      <c r="B619" s="2" t="s">
        <v>1221</v>
      </c>
      <c r="C619" s="17">
        <v>45898</v>
      </c>
      <c r="D619" s="2" t="s">
        <v>1423</v>
      </c>
      <c r="E619" s="18">
        <v>2550.7600000000002</v>
      </c>
      <c r="F619" s="18">
        <v>86.69</v>
      </c>
      <c r="G619" s="2" t="s">
        <v>1361</v>
      </c>
      <c r="H619" s="2" t="s">
        <v>18</v>
      </c>
    </row>
    <row r="620" spans="1:8" ht="15" customHeight="1" x14ac:dyDescent="0.25">
      <c r="A620" s="2" t="s">
        <v>1970</v>
      </c>
      <c r="B620" s="2" t="s">
        <v>1221</v>
      </c>
      <c r="C620" s="17">
        <v>45899</v>
      </c>
      <c r="D620" s="2" t="s">
        <v>1423</v>
      </c>
      <c r="E620" s="18">
        <v>1645.47</v>
      </c>
      <c r="F620" s="18">
        <v>43.96</v>
      </c>
      <c r="G620" s="2" t="s">
        <v>1361</v>
      </c>
      <c r="H620" s="2" t="s">
        <v>18</v>
      </c>
    </row>
    <row r="621" spans="1:8" ht="15" customHeight="1" x14ac:dyDescent="0.25">
      <c r="A621" s="2" t="s">
        <v>1971</v>
      </c>
      <c r="B621" s="2" t="s">
        <v>1221</v>
      </c>
      <c r="C621" s="17">
        <v>45905</v>
      </c>
      <c r="D621" s="2" t="s">
        <v>1423</v>
      </c>
      <c r="E621" s="18">
        <v>2874.64</v>
      </c>
      <c r="F621" s="18">
        <v>76.03</v>
      </c>
      <c r="G621" s="2" t="s">
        <v>1361</v>
      </c>
      <c r="H621" s="2" t="s">
        <v>18</v>
      </c>
    </row>
    <row r="622" spans="1:8" ht="15" customHeight="1" x14ac:dyDescent="0.25">
      <c r="A622" s="2" t="s">
        <v>1972</v>
      </c>
      <c r="B622" s="2" t="s">
        <v>1222</v>
      </c>
      <c r="C622" s="17">
        <v>45732</v>
      </c>
      <c r="D622" s="2" t="s">
        <v>1423</v>
      </c>
      <c r="E622" s="18">
        <v>20513.14</v>
      </c>
      <c r="F622" s="18">
        <v>579.96</v>
      </c>
      <c r="G622" s="2" t="s">
        <v>1361</v>
      </c>
      <c r="H622" s="2" t="s">
        <v>22</v>
      </c>
    </row>
    <row r="623" spans="1:8" ht="15" customHeight="1" x14ac:dyDescent="0.25">
      <c r="A623" s="2" t="s">
        <v>1973</v>
      </c>
      <c r="B623" s="2" t="s">
        <v>1222</v>
      </c>
      <c r="C623" s="17">
        <v>45744</v>
      </c>
      <c r="D623" s="2" t="s">
        <v>1423</v>
      </c>
      <c r="E623" s="18">
        <v>43907.519999999997</v>
      </c>
      <c r="F623" s="18">
        <v>1412.13</v>
      </c>
      <c r="G623" s="2" t="s">
        <v>1361</v>
      </c>
      <c r="H623" s="2" t="s">
        <v>22</v>
      </c>
    </row>
    <row r="624" spans="1:8" ht="15" customHeight="1" x14ac:dyDescent="0.25">
      <c r="A624" s="2" t="s">
        <v>1974</v>
      </c>
      <c r="B624" s="2" t="s">
        <v>1222</v>
      </c>
      <c r="C624" s="17">
        <v>45719</v>
      </c>
      <c r="D624" s="2" t="s">
        <v>1423</v>
      </c>
      <c r="E624" s="18">
        <v>21214.14</v>
      </c>
      <c r="F624" s="18">
        <v>709.16</v>
      </c>
      <c r="G624" s="2" t="s">
        <v>1361</v>
      </c>
      <c r="H624" s="2" t="s">
        <v>22</v>
      </c>
    </row>
    <row r="625" spans="1:8" ht="15" customHeight="1" x14ac:dyDescent="0.25">
      <c r="A625" s="2" t="s">
        <v>1975</v>
      </c>
      <c r="B625" s="2" t="s">
        <v>1222</v>
      </c>
      <c r="C625" s="17">
        <v>45749</v>
      </c>
      <c r="D625" s="2" t="s">
        <v>1423</v>
      </c>
      <c r="E625" s="18">
        <v>61389.01</v>
      </c>
      <c r="F625" s="18">
        <v>1843.28</v>
      </c>
      <c r="G625" s="2" t="s">
        <v>1361</v>
      </c>
      <c r="H625" s="2" t="s">
        <v>22</v>
      </c>
    </row>
    <row r="626" spans="1:8" ht="15" customHeight="1" x14ac:dyDescent="0.25">
      <c r="A626" s="2" t="s">
        <v>1976</v>
      </c>
      <c r="B626" s="2" t="s">
        <v>1222</v>
      </c>
      <c r="C626" s="17">
        <v>45763</v>
      </c>
      <c r="D626" s="2" t="s">
        <v>1423</v>
      </c>
      <c r="E626" s="18">
        <v>33447.85</v>
      </c>
      <c r="F626" s="18">
        <v>1037</v>
      </c>
      <c r="G626" s="2" t="s">
        <v>1361</v>
      </c>
      <c r="H626" s="2" t="s">
        <v>22</v>
      </c>
    </row>
    <row r="627" spans="1:8" ht="15" customHeight="1" x14ac:dyDescent="0.25">
      <c r="A627" s="2" t="s">
        <v>1977</v>
      </c>
      <c r="B627" s="2" t="s">
        <v>1222</v>
      </c>
      <c r="C627" s="17">
        <v>45759</v>
      </c>
      <c r="D627" s="2" t="s">
        <v>1423</v>
      </c>
      <c r="E627" s="18">
        <v>30110.48</v>
      </c>
      <c r="F627" s="18">
        <v>882.18</v>
      </c>
      <c r="G627" s="2" t="s">
        <v>1361</v>
      </c>
      <c r="H627" s="2" t="s">
        <v>22</v>
      </c>
    </row>
    <row r="628" spans="1:8" ht="15" customHeight="1" x14ac:dyDescent="0.25">
      <c r="A628" s="2" t="s">
        <v>1978</v>
      </c>
      <c r="B628" s="2" t="s">
        <v>1222</v>
      </c>
      <c r="C628" s="17">
        <v>45785</v>
      </c>
      <c r="D628" s="2" t="s">
        <v>1423</v>
      </c>
      <c r="E628" s="18">
        <v>52810.46</v>
      </c>
      <c r="F628" s="18">
        <v>1817.63</v>
      </c>
      <c r="G628" s="2" t="s">
        <v>1361</v>
      </c>
      <c r="H628" s="2" t="s">
        <v>22</v>
      </c>
    </row>
    <row r="629" spans="1:8" ht="15" customHeight="1" x14ac:dyDescent="0.25">
      <c r="A629" s="2" t="s">
        <v>1979</v>
      </c>
      <c r="B629" s="2" t="s">
        <v>1222</v>
      </c>
      <c r="C629" s="17">
        <v>45829</v>
      </c>
      <c r="D629" s="2" t="s">
        <v>1423</v>
      </c>
      <c r="E629" s="18">
        <v>39770.93</v>
      </c>
      <c r="F629" s="18">
        <v>1227.29</v>
      </c>
      <c r="G629" s="2" t="s">
        <v>1361</v>
      </c>
      <c r="H629" s="2" t="s">
        <v>22</v>
      </c>
    </row>
    <row r="630" spans="1:8" ht="15" customHeight="1" x14ac:dyDescent="0.25">
      <c r="A630" s="2" t="s">
        <v>1980</v>
      </c>
      <c r="B630" s="2" t="s">
        <v>1222</v>
      </c>
      <c r="C630" s="17">
        <v>45813</v>
      </c>
      <c r="D630" s="2" t="s">
        <v>1423</v>
      </c>
      <c r="E630" s="18">
        <v>17743.77</v>
      </c>
      <c r="F630" s="18">
        <v>534.91</v>
      </c>
      <c r="G630" s="2" t="s">
        <v>1361</v>
      </c>
      <c r="H630" s="2" t="s">
        <v>22</v>
      </c>
    </row>
    <row r="631" spans="1:8" ht="15" customHeight="1" x14ac:dyDescent="0.25">
      <c r="A631" s="2" t="s">
        <v>1981</v>
      </c>
      <c r="B631" s="2" t="s">
        <v>1222</v>
      </c>
      <c r="C631" s="17">
        <v>45849</v>
      </c>
      <c r="D631" s="2" t="s">
        <v>1423</v>
      </c>
      <c r="E631" s="18">
        <v>14962.59</v>
      </c>
      <c r="F631" s="18">
        <v>476.43</v>
      </c>
      <c r="G631" s="2" t="s">
        <v>1361</v>
      </c>
      <c r="H631" s="2" t="s">
        <v>22</v>
      </c>
    </row>
    <row r="632" spans="1:8" ht="15" customHeight="1" x14ac:dyDescent="0.25">
      <c r="A632" s="2" t="s">
        <v>1982</v>
      </c>
      <c r="B632" s="2" t="s">
        <v>1222</v>
      </c>
      <c r="C632" s="17">
        <v>45854</v>
      </c>
      <c r="D632" s="2" t="s">
        <v>1423</v>
      </c>
      <c r="E632" s="18">
        <v>27480.04</v>
      </c>
      <c r="F632" s="18">
        <v>836.63</v>
      </c>
      <c r="G632" s="2" t="s">
        <v>1361</v>
      </c>
      <c r="H632" s="2" t="s">
        <v>22</v>
      </c>
    </row>
    <row r="633" spans="1:8" ht="15" customHeight="1" x14ac:dyDescent="0.25">
      <c r="A633" s="2" t="s">
        <v>1983</v>
      </c>
      <c r="B633" s="2" t="s">
        <v>1222</v>
      </c>
      <c r="C633" s="17">
        <v>45876</v>
      </c>
      <c r="D633" s="2" t="s">
        <v>1423</v>
      </c>
      <c r="E633" s="18">
        <v>45926.51</v>
      </c>
      <c r="F633" s="18">
        <v>1636.29</v>
      </c>
      <c r="G633" s="2" t="s">
        <v>1361</v>
      </c>
      <c r="H633" s="2" t="s">
        <v>22</v>
      </c>
    </row>
    <row r="634" spans="1:8" ht="15" customHeight="1" x14ac:dyDescent="0.25">
      <c r="A634" s="2" t="s">
        <v>1984</v>
      </c>
      <c r="B634" s="2" t="s">
        <v>1222</v>
      </c>
      <c r="C634" s="17">
        <v>45909</v>
      </c>
      <c r="D634" s="2" t="s">
        <v>1423</v>
      </c>
      <c r="E634" s="18">
        <v>51436.57</v>
      </c>
      <c r="F634" s="18">
        <v>1411.11</v>
      </c>
      <c r="G634" s="2" t="s">
        <v>1361</v>
      </c>
      <c r="H634" s="2" t="s">
        <v>22</v>
      </c>
    </row>
    <row r="635" spans="1:8" ht="15" customHeight="1" x14ac:dyDescent="0.25">
      <c r="A635" s="2" t="s">
        <v>1985</v>
      </c>
      <c r="B635" s="2" t="s">
        <v>1222</v>
      </c>
      <c r="C635" s="17">
        <v>45912</v>
      </c>
      <c r="D635" s="2" t="s">
        <v>1423</v>
      </c>
      <c r="E635" s="18">
        <v>58642.85</v>
      </c>
      <c r="F635" s="18">
        <v>1995.22</v>
      </c>
      <c r="G635" s="2" t="s">
        <v>1361</v>
      </c>
      <c r="H635" s="2" t="s">
        <v>22</v>
      </c>
    </row>
    <row r="636" spans="1:8" ht="15" customHeight="1" x14ac:dyDescent="0.25">
      <c r="A636" s="2" t="s">
        <v>1986</v>
      </c>
      <c r="B636" s="2" t="s">
        <v>1222</v>
      </c>
      <c r="C636" s="17">
        <v>45957</v>
      </c>
      <c r="D636" s="2" t="s">
        <v>1423</v>
      </c>
      <c r="E636" s="18">
        <v>47200.46</v>
      </c>
      <c r="F636" s="18">
        <v>1327</v>
      </c>
      <c r="G636" s="2" t="s">
        <v>1361</v>
      </c>
      <c r="H636" s="2" t="s">
        <v>22</v>
      </c>
    </row>
    <row r="637" spans="1:8" ht="15" customHeight="1" x14ac:dyDescent="0.25">
      <c r="A637" s="2" t="s">
        <v>1987</v>
      </c>
      <c r="B637" s="2" t="s">
        <v>1222</v>
      </c>
      <c r="C637" s="17">
        <v>45957</v>
      </c>
      <c r="D637" s="2" t="s">
        <v>1423</v>
      </c>
      <c r="E637" s="18">
        <v>43241.7</v>
      </c>
      <c r="F637" s="18">
        <v>1247.2</v>
      </c>
      <c r="G637" s="2" t="s">
        <v>1361</v>
      </c>
      <c r="H637" s="2" t="s">
        <v>22</v>
      </c>
    </row>
    <row r="638" spans="1:8" ht="15" customHeight="1" x14ac:dyDescent="0.25">
      <c r="A638" s="2" t="s">
        <v>1988</v>
      </c>
      <c r="B638" s="2" t="s">
        <v>1222</v>
      </c>
      <c r="C638" s="17">
        <v>45966</v>
      </c>
      <c r="D638" s="2" t="s">
        <v>1423</v>
      </c>
      <c r="E638" s="18">
        <v>44266.11</v>
      </c>
      <c r="F638" s="18">
        <v>1515.56</v>
      </c>
      <c r="G638" s="2" t="s">
        <v>1361</v>
      </c>
      <c r="H638" s="2" t="s">
        <v>22</v>
      </c>
    </row>
    <row r="639" spans="1:8" ht="15" customHeight="1" x14ac:dyDescent="0.25">
      <c r="A639" s="2" t="s">
        <v>1989</v>
      </c>
      <c r="B639" s="2" t="s">
        <v>1222</v>
      </c>
      <c r="C639" s="17">
        <v>46010</v>
      </c>
      <c r="D639" s="2" t="s">
        <v>1423</v>
      </c>
      <c r="E639" s="18">
        <v>61626.37</v>
      </c>
      <c r="F639" s="18">
        <v>1666.09</v>
      </c>
      <c r="G639" s="2" t="s">
        <v>1361</v>
      </c>
      <c r="H639" s="2" t="s">
        <v>22</v>
      </c>
    </row>
    <row r="640" spans="1:8" ht="15" customHeight="1" x14ac:dyDescent="0.25">
      <c r="A640" s="2" t="s">
        <v>136</v>
      </c>
      <c r="B640" s="2" t="s">
        <v>1222</v>
      </c>
      <c r="C640" s="17">
        <v>46002</v>
      </c>
      <c r="D640" s="2" t="s">
        <v>1423</v>
      </c>
      <c r="E640" s="18" t="s">
        <v>2979</v>
      </c>
      <c r="F640" s="18">
        <v>1325.61</v>
      </c>
      <c r="G640" s="2" t="s">
        <v>1361</v>
      </c>
      <c r="H640" s="2" t="s">
        <v>22</v>
      </c>
    </row>
    <row r="641" spans="1:8" ht="15" customHeight="1" x14ac:dyDescent="0.25">
      <c r="A641" s="2" t="s">
        <v>1990</v>
      </c>
      <c r="B641" s="2" t="s">
        <v>1222</v>
      </c>
      <c r="C641" s="17">
        <v>46008</v>
      </c>
      <c r="D641" s="2" t="s">
        <v>1423</v>
      </c>
      <c r="E641" s="18">
        <v>28579.11</v>
      </c>
      <c r="F641" s="18">
        <v>1016.09</v>
      </c>
      <c r="G641" s="2" t="s">
        <v>1361</v>
      </c>
      <c r="H641" s="2" t="s">
        <v>22</v>
      </c>
    </row>
    <row r="642" spans="1:8" ht="15" customHeight="1" x14ac:dyDescent="0.25">
      <c r="A642" s="2" t="s">
        <v>1991</v>
      </c>
      <c r="B642" s="2" t="s">
        <v>1223</v>
      </c>
      <c r="C642" s="17">
        <v>45802</v>
      </c>
      <c r="D642" s="2" t="s">
        <v>1423</v>
      </c>
      <c r="E642" s="18">
        <v>34733.68</v>
      </c>
      <c r="F642" s="18">
        <v>995.94</v>
      </c>
      <c r="G642" s="2" t="s">
        <v>1361</v>
      </c>
      <c r="H642" s="2" t="s">
        <v>22</v>
      </c>
    </row>
    <row r="643" spans="1:8" ht="15" customHeight="1" x14ac:dyDescent="0.25">
      <c r="A643" s="2" t="s">
        <v>1992</v>
      </c>
      <c r="B643" s="2" t="s">
        <v>1223</v>
      </c>
      <c r="C643" s="17">
        <v>45803</v>
      </c>
      <c r="D643" s="2" t="s">
        <v>1423</v>
      </c>
      <c r="E643" s="18">
        <v>21756.35</v>
      </c>
      <c r="F643" s="18">
        <v>0</v>
      </c>
      <c r="G643" s="2" t="s">
        <v>1408</v>
      </c>
      <c r="H643" s="2" t="s">
        <v>22</v>
      </c>
    </row>
    <row r="644" spans="1:8" ht="15" customHeight="1" x14ac:dyDescent="0.25">
      <c r="A644" s="2" t="s">
        <v>1993</v>
      </c>
      <c r="B644" s="2" t="s">
        <v>1223</v>
      </c>
      <c r="C644" s="17">
        <v>45805</v>
      </c>
      <c r="D644" s="2" t="s">
        <v>1423</v>
      </c>
      <c r="E644" s="18">
        <v>43626.67</v>
      </c>
      <c r="F644" s="18">
        <v>1457.28</v>
      </c>
      <c r="G644" s="2" t="s">
        <v>1361</v>
      </c>
      <c r="H644" s="2" t="s">
        <v>22</v>
      </c>
    </row>
    <row r="645" spans="1:8" ht="15" customHeight="1" x14ac:dyDescent="0.25">
      <c r="A645" s="2" t="s">
        <v>1994</v>
      </c>
      <c r="B645" s="2" t="s">
        <v>1223</v>
      </c>
      <c r="C645" s="17">
        <v>45823</v>
      </c>
      <c r="D645" s="2" t="s">
        <v>1423</v>
      </c>
      <c r="E645" s="18">
        <v>42115.64</v>
      </c>
      <c r="F645" s="18">
        <v>1116.67</v>
      </c>
      <c r="G645" s="2" t="s">
        <v>1361</v>
      </c>
      <c r="H645" s="2" t="s">
        <v>22</v>
      </c>
    </row>
    <row r="646" spans="1:8" ht="15" customHeight="1" x14ac:dyDescent="0.25">
      <c r="A646" s="2" t="s">
        <v>1995</v>
      </c>
      <c r="B646" s="2" t="s">
        <v>1223</v>
      </c>
      <c r="C646" s="17">
        <v>45837</v>
      </c>
      <c r="D646" s="2" t="s">
        <v>1423</v>
      </c>
      <c r="E646" s="18">
        <v>22336.55</v>
      </c>
      <c r="F646" s="18">
        <v>722.1</v>
      </c>
      <c r="G646" s="2" t="s">
        <v>1361</v>
      </c>
      <c r="H646" s="2" t="s">
        <v>22</v>
      </c>
    </row>
    <row r="647" spans="1:8" ht="15" customHeight="1" x14ac:dyDescent="0.25">
      <c r="A647" s="2" t="s">
        <v>1996</v>
      </c>
      <c r="B647" s="2" t="s">
        <v>1223</v>
      </c>
      <c r="C647" s="17">
        <v>45866</v>
      </c>
      <c r="D647" s="2" t="s">
        <v>1423</v>
      </c>
      <c r="E647" s="18">
        <v>59510.52</v>
      </c>
      <c r="F647" s="18">
        <v>1939.4</v>
      </c>
      <c r="G647" s="2" t="s">
        <v>1361</v>
      </c>
      <c r="H647" s="2" t="s">
        <v>22</v>
      </c>
    </row>
    <row r="648" spans="1:8" ht="15" customHeight="1" x14ac:dyDescent="0.25">
      <c r="A648" s="2" t="s">
        <v>1997</v>
      </c>
      <c r="B648" s="2" t="s">
        <v>1223</v>
      </c>
      <c r="C648" s="17">
        <v>45849</v>
      </c>
      <c r="D648" s="2" t="s">
        <v>1423</v>
      </c>
      <c r="E648" s="18">
        <v>52978.37</v>
      </c>
      <c r="F648" s="18">
        <v>1404.96</v>
      </c>
      <c r="G648" s="2" t="s">
        <v>1361</v>
      </c>
      <c r="H648" s="2" t="s">
        <v>22</v>
      </c>
    </row>
    <row r="649" spans="1:8" ht="15" customHeight="1" x14ac:dyDescent="0.25">
      <c r="A649" s="2" t="s">
        <v>1998</v>
      </c>
      <c r="B649" s="2" t="s">
        <v>1223</v>
      </c>
      <c r="C649" s="17">
        <v>45847</v>
      </c>
      <c r="D649" s="2" t="s">
        <v>1423</v>
      </c>
      <c r="E649" s="18">
        <v>55771.07</v>
      </c>
      <c r="F649" s="18">
        <v>1865.25</v>
      </c>
      <c r="G649" s="2" t="s">
        <v>1361</v>
      </c>
      <c r="H649" s="2" t="s">
        <v>2961</v>
      </c>
    </row>
    <row r="650" spans="1:8" ht="15" customHeight="1" x14ac:dyDescent="0.25">
      <c r="A650" s="2" t="s">
        <v>1999</v>
      </c>
      <c r="B650" s="2" t="s">
        <v>1223</v>
      </c>
      <c r="C650" s="17">
        <v>45897</v>
      </c>
      <c r="D650" s="2" t="s">
        <v>1423</v>
      </c>
      <c r="E650" s="18">
        <v>15748.66</v>
      </c>
      <c r="F650" s="18">
        <v>0</v>
      </c>
      <c r="G650" s="2" t="s">
        <v>1408</v>
      </c>
      <c r="H650" s="2" t="s">
        <v>22</v>
      </c>
    </row>
    <row r="651" spans="1:8" ht="15" customHeight="1" x14ac:dyDescent="0.25">
      <c r="A651" s="2" t="s">
        <v>118</v>
      </c>
      <c r="B651" s="2" t="s">
        <v>1437</v>
      </c>
      <c r="C651" s="17">
        <v>45916</v>
      </c>
      <c r="D651" s="2" t="s">
        <v>1423</v>
      </c>
      <c r="E651" s="18">
        <v>21874.94</v>
      </c>
      <c r="F651" s="18">
        <v>604.19000000000005</v>
      </c>
      <c r="G651" s="2" t="s">
        <v>1361</v>
      </c>
      <c r="H651" s="2" t="s">
        <v>22</v>
      </c>
    </row>
    <row r="652" spans="1:8" ht="15" customHeight="1" x14ac:dyDescent="0.25">
      <c r="A652" s="2" t="s">
        <v>2000</v>
      </c>
      <c r="B652" s="2" t="s">
        <v>1223</v>
      </c>
      <c r="C652" s="17">
        <v>45928</v>
      </c>
      <c r="D652" s="2" t="s">
        <v>1423</v>
      </c>
      <c r="E652" s="18">
        <v>25073.93</v>
      </c>
      <c r="F652" s="18">
        <v>888.96</v>
      </c>
      <c r="G652" s="2" t="s">
        <v>1361</v>
      </c>
      <c r="H652" s="2" t="s">
        <v>22</v>
      </c>
    </row>
    <row r="653" spans="1:8" ht="15" customHeight="1" x14ac:dyDescent="0.25">
      <c r="A653" s="2" t="s">
        <v>2001</v>
      </c>
      <c r="B653" s="2" t="s">
        <v>1223</v>
      </c>
      <c r="C653" s="17">
        <v>45960</v>
      </c>
      <c r="D653" s="2" t="s">
        <v>1423</v>
      </c>
      <c r="E653" s="18">
        <v>45273.75</v>
      </c>
      <c r="F653" s="18">
        <v>1565.5</v>
      </c>
      <c r="G653" s="2" t="s">
        <v>1361</v>
      </c>
      <c r="H653" s="2" t="s">
        <v>22</v>
      </c>
    </row>
    <row r="654" spans="1:8" ht="15" customHeight="1" x14ac:dyDescent="0.25">
      <c r="A654" s="2" t="s">
        <v>2002</v>
      </c>
      <c r="B654" s="2" t="s">
        <v>1223</v>
      </c>
      <c r="C654" s="17">
        <v>45962</v>
      </c>
      <c r="D654" s="2" t="s">
        <v>1423</v>
      </c>
      <c r="E654" s="18">
        <v>44161.91</v>
      </c>
      <c r="F654" s="18">
        <v>1367.24</v>
      </c>
      <c r="G654" s="2" t="s">
        <v>1361</v>
      </c>
      <c r="H654" s="2" t="s">
        <v>22</v>
      </c>
    </row>
    <row r="655" spans="1:8" ht="15" customHeight="1" x14ac:dyDescent="0.25">
      <c r="A655" s="2" t="s">
        <v>2003</v>
      </c>
      <c r="B655" s="2" t="s">
        <v>1223</v>
      </c>
      <c r="C655" s="17">
        <v>46006</v>
      </c>
      <c r="D655" s="2" t="s">
        <v>1423</v>
      </c>
      <c r="E655" s="18">
        <v>31028.799999999999</v>
      </c>
      <c r="F655" s="18">
        <v>0</v>
      </c>
      <c r="G655" s="2" t="s">
        <v>1408</v>
      </c>
      <c r="H655" s="2" t="s">
        <v>22</v>
      </c>
    </row>
    <row r="656" spans="1:8" ht="15" customHeight="1" x14ac:dyDescent="0.25">
      <c r="A656" s="2" t="s">
        <v>2004</v>
      </c>
      <c r="B656" s="2" t="s">
        <v>1223</v>
      </c>
      <c r="C656" s="17">
        <v>46005</v>
      </c>
      <c r="D656" s="2" t="s">
        <v>1423</v>
      </c>
      <c r="E656" s="18">
        <v>34981.25</v>
      </c>
      <c r="F656" s="18">
        <v>944.38</v>
      </c>
      <c r="G656" s="2" t="s">
        <v>1361</v>
      </c>
      <c r="H656" s="2" t="s">
        <v>22</v>
      </c>
    </row>
    <row r="657" spans="1:8" ht="15" customHeight="1" x14ac:dyDescent="0.25">
      <c r="A657" s="2" t="s">
        <v>2005</v>
      </c>
      <c r="B657" s="2" t="s">
        <v>1226</v>
      </c>
      <c r="C657" s="17">
        <v>46020</v>
      </c>
      <c r="D657" s="2" t="s">
        <v>1360</v>
      </c>
      <c r="E657" s="18">
        <v>51147.08</v>
      </c>
      <c r="F657" s="18">
        <v>1367.58</v>
      </c>
      <c r="G657" s="2" t="s">
        <v>1361</v>
      </c>
      <c r="H657" s="2" t="s">
        <v>18</v>
      </c>
    </row>
    <row r="658" spans="1:8" ht="15" customHeight="1" x14ac:dyDescent="0.25">
      <c r="A658" s="2" t="s">
        <v>2006</v>
      </c>
      <c r="B658" s="2" t="s">
        <v>1226</v>
      </c>
      <c r="C658" s="17">
        <v>46021</v>
      </c>
      <c r="D658" s="2" t="s">
        <v>1360</v>
      </c>
      <c r="E658" s="18">
        <v>32353.16</v>
      </c>
      <c r="F658" s="18">
        <v>862.72</v>
      </c>
      <c r="G658" s="2" t="s">
        <v>1361</v>
      </c>
      <c r="H658" s="2" t="s">
        <v>18</v>
      </c>
    </row>
    <row r="659" spans="1:8" ht="15" customHeight="1" x14ac:dyDescent="0.25">
      <c r="A659" s="2" t="s">
        <v>2007</v>
      </c>
      <c r="B659" s="2" t="s">
        <v>1227</v>
      </c>
      <c r="C659" s="17">
        <v>45948</v>
      </c>
      <c r="D659" s="2" t="s">
        <v>1360</v>
      </c>
      <c r="E659" s="18">
        <v>14942.11</v>
      </c>
      <c r="F659" s="18">
        <v>410.75</v>
      </c>
      <c r="G659" s="2" t="s">
        <v>1361</v>
      </c>
      <c r="H659" s="2" t="s">
        <v>20</v>
      </c>
    </row>
    <row r="660" spans="1:8" ht="15" customHeight="1" x14ac:dyDescent="0.25">
      <c r="A660" s="2" t="s">
        <v>2008</v>
      </c>
      <c r="B660" s="2" t="s">
        <v>1227</v>
      </c>
      <c r="C660" s="17">
        <v>45976</v>
      </c>
      <c r="D660" s="2" t="s">
        <v>1360</v>
      </c>
      <c r="E660" s="18">
        <v>15541.42</v>
      </c>
      <c r="F660" s="18">
        <v>368.8</v>
      </c>
      <c r="G660" s="2" t="s">
        <v>1361</v>
      </c>
      <c r="H660" s="2" t="s">
        <v>20</v>
      </c>
    </row>
    <row r="661" spans="1:8" ht="15" customHeight="1" x14ac:dyDescent="0.25">
      <c r="A661" s="2" t="s">
        <v>2009</v>
      </c>
      <c r="B661" s="2" t="s">
        <v>1227</v>
      </c>
      <c r="C661" s="17">
        <v>45984</v>
      </c>
      <c r="D661" s="2" t="s">
        <v>1360</v>
      </c>
      <c r="E661" s="18">
        <v>43088.37</v>
      </c>
      <c r="F661" s="18">
        <v>1052.3</v>
      </c>
      <c r="G661" s="2" t="s">
        <v>1361</v>
      </c>
      <c r="H661" s="2" t="s">
        <v>20</v>
      </c>
    </row>
    <row r="662" spans="1:8" ht="15" customHeight="1" x14ac:dyDescent="0.25">
      <c r="A662" s="2" t="s">
        <v>2010</v>
      </c>
      <c r="B662" s="2" t="s">
        <v>1227</v>
      </c>
      <c r="C662" s="17">
        <v>46016</v>
      </c>
      <c r="D662" s="2" t="s">
        <v>1360</v>
      </c>
      <c r="E662" s="18">
        <v>19206.740000000002</v>
      </c>
      <c r="F662" s="18">
        <v>464.2</v>
      </c>
      <c r="G662" s="2" t="s">
        <v>1361</v>
      </c>
      <c r="H662" s="2" t="s">
        <v>20</v>
      </c>
    </row>
    <row r="663" spans="1:8" ht="15" customHeight="1" x14ac:dyDescent="0.25">
      <c r="A663" s="2" t="s">
        <v>2011</v>
      </c>
      <c r="B663" s="2" t="s">
        <v>1227</v>
      </c>
      <c r="C663" s="17">
        <v>45996</v>
      </c>
      <c r="D663" s="2" t="s">
        <v>1360</v>
      </c>
      <c r="E663" s="18">
        <v>61546.18</v>
      </c>
      <c r="F663" s="18">
        <v>1387.34</v>
      </c>
      <c r="G663" s="2" t="s">
        <v>1361</v>
      </c>
      <c r="H663" s="2" t="s">
        <v>20</v>
      </c>
    </row>
    <row r="664" spans="1:8" ht="15" customHeight="1" x14ac:dyDescent="0.25">
      <c r="A664" s="2" t="s">
        <v>2012</v>
      </c>
      <c r="B664" s="2" t="s">
        <v>79</v>
      </c>
      <c r="C664" s="17">
        <v>45773</v>
      </c>
      <c r="D664" s="2" t="s">
        <v>1423</v>
      </c>
      <c r="E664" s="18">
        <v>17300.62</v>
      </c>
      <c r="F664" s="18">
        <v>531.70000000000005</v>
      </c>
      <c r="G664" s="2" t="s">
        <v>1361</v>
      </c>
      <c r="H664" s="2" t="s">
        <v>21</v>
      </c>
    </row>
    <row r="665" spans="1:8" ht="15" customHeight="1" x14ac:dyDescent="0.25">
      <c r="A665" s="2" t="s">
        <v>2013</v>
      </c>
      <c r="B665" s="2" t="s">
        <v>79</v>
      </c>
      <c r="C665" s="17">
        <v>45774</v>
      </c>
      <c r="D665" s="2" t="s">
        <v>1423</v>
      </c>
      <c r="E665" s="18">
        <v>4841.59</v>
      </c>
      <c r="F665" s="18">
        <v>154.12</v>
      </c>
      <c r="G665" s="2" t="s">
        <v>1361</v>
      </c>
      <c r="H665" s="2" t="s">
        <v>21</v>
      </c>
    </row>
    <row r="666" spans="1:8" ht="15" customHeight="1" x14ac:dyDescent="0.25">
      <c r="A666" s="2" t="s">
        <v>2014</v>
      </c>
      <c r="B666" s="2" t="s">
        <v>79</v>
      </c>
      <c r="C666" s="17">
        <v>45779</v>
      </c>
      <c r="D666" s="2" t="s">
        <v>1423</v>
      </c>
      <c r="E666" s="18">
        <v>4598.66</v>
      </c>
      <c r="F666" s="18">
        <v>126.75</v>
      </c>
      <c r="G666" s="2" t="s">
        <v>1361</v>
      </c>
      <c r="H666" s="2" t="s">
        <v>21</v>
      </c>
    </row>
    <row r="667" spans="1:8" ht="15" customHeight="1" x14ac:dyDescent="0.25">
      <c r="A667" s="2" t="s">
        <v>2015</v>
      </c>
      <c r="B667" s="2" t="s">
        <v>79</v>
      </c>
      <c r="C667" s="17">
        <v>45783</v>
      </c>
      <c r="D667" s="2" t="s">
        <v>1423</v>
      </c>
      <c r="E667" s="18">
        <v>10825.92</v>
      </c>
      <c r="F667" s="18">
        <v>296.76</v>
      </c>
      <c r="G667" s="2" t="s">
        <v>1361</v>
      </c>
      <c r="H667" s="2" t="s">
        <v>21</v>
      </c>
    </row>
    <row r="668" spans="1:8" ht="15" customHeight="1" x14ac:dyDescent="0.25">
      <c r="A668" s="2" t="s">
        <v>2016</v>
      </c>
      <c r="B668" s="2" t="s">
        <v>79</v>
      </c>
      <c r="C668" s="17">
        <v>45824</v>
      </c>
      <c r="D668" s="2" t="s">
        <v>1423</v>
      </c>
      <c r="E668" s="18">
        <v>13133.25</v>
      </c>
      <c r="F668" s="18">
        <v>419.99</v>
      </c>
      <c r="G668" s="2" t="s">
        <v>1361</v>
      </c>
      <c r="H668" s="2" t="s">
        <v>21</v>
      </c>
    </row>
    <row r="669" spans="1:8" ht="15" customHeight="1" x14ac:dyDescent="0.25">
      <c r="A669" s="2" t="s">
        <v>2017</v>
      </c>
      <c r="B669" s="2" t="s">
        <v>79</v>
      </c>
      <c r="C669" s="17">
        <v>45843</v>
      </c>
      <c r="D669" s="2" t="s">
        <v>1423</v>
      </c>
      <c r="E669" s="18">
        <v>16226.96</v>
      </c>
      <c r="F669" s="18">
        <v>519.87</v>
      </c>
      <c r="G669" s="2" t="s">
        <v>1361</v>
      </c>
      <c r="H669" s="2" t="s">
        <v>21</v>
      </c>
    </row>
    <row r="670" spans="1:8" ht="15" customHeight="1" x14ac:dyDescent="0.25">
      <c r="A670" s="2" t="s">
        <v>2018</v>
      </c>
      <c r="B670" s="2" t="s">
        <v>79</v>
      </c>
      <c r="C670" s="17">
        <v>45847</v>
      </c>
      <c r="D670" s="2" t="s">
        <v>1423</v>
      </c>
      <c r="E670" s="18">
        <v>13636.67</v>
      </c>
      <c r="F670" s="18">
        <v>458.89</v>
      </c>
      <c r="G670" s="2" t="s">
        <v>1361</v>
      </c>
      <c r="H670" s="2" t="s">
        <v>21</v>
      </c>
    </row>
    <row r="671" spans="1:8" ht="15" customHeight="1" x14ac:dyDescent="0.25">
      <c r="A671" s="2" t="s">
        <v>2019</v>
      </c>
      <c r="B671" s="2" t="s">
        <v>79</v>
      </c>
      <c r="C671" s="17">
        <v>45860</v>
      </c>
      <c r="D671" s="2" t="s">
        <v>1423</v>
      </c>
      <c r="E671" s="18">
        <v>4717.59</v>
      </c>
      <c r="F671" s="18">
        <v>129.71</v>
      </c>
      <c r="G671" s="2" t="s">
        <v>1361</v>
      </c>
      <c r="H671" s="2" t="s">
        <v>21</v>
      </c>
    </row>
    <row r="672" spans="1:8" ht="15" customHeight="1" x14ac:dyDescent="0.25">
      <c r="A672" s="2" t="s">
        <v>2020</v>
      </c>
      <c r="B672" s="2" t="s">
        <v>79</v>
      </c>
      <c r="C672" s="17">
        <v>45873</v>
      </c>
      <c r="D672" s="2" t="s">
        <v>1423</v>
      </c>
      <c r="E672" s="18">
        <v>15800.94</v>
      </c>
      <c r="F672" s="18">
        <v>528.74</v>
      </c>
      <c r="G672" s="2" t="s">
        <v>1361</v>
      </c>
      <c r="H672" s="2" t="s">
        <v>21</v>
      </c>
    </row>
    <row r="673" spans="1:8" ht="15" customHeight="1" x14ac:dyDescent="0.25">
      <c r="A673" s="2" t="s">
        <v>2021</v>
      </c>
      <c r="B673" s="2" t="s">
        <v>79</v>
      </c>
      <c r="C673" s="17">
        <v>45879</v>
      </c>
      <c r="D673" s="2" t="s">
        <v>1423</v>
      </c>
      <c r="E673" s="18">
        <v>14089.16</v>
      </c>
      <c r="F673" s="18">
        <v>376.28</v>
      </c>
      <c r="G673" s="2" t="s">
        <v>1361</v>
      </c>
      <c r="H673" s="2" t="s">
        <v>21</v>
      </c>
    </row>
    <row r="674" spans="1:8" ht="15" customHeight="1" x14ac:dyDescent="0.25">
      <c r="A674" s="2" t="s">
        <v>2022</v>
      </c>
      <c r="B674" s="2" t="s">
        <v>1228</v>
      </c>
      <c r="C674" s="17">
        <v>45757</v>
      </c>
      <c r="D674" s="2" t="s">
        <v>1373</v>
      </c>
      <c r="E674" s="18">
        <v>32871.18</v>
      </c>
      <c r="F674" s="18">
        <v>636.11</v>
      </c>
      <c r="G674" s="2" t="s">
        <v>1361</v>
      </c>
      <c r="H674" s="2" t="s">
        <v>19</v>
      </c>
    </row>
    <row r="675" spans="1:8" ht="15" customHeight="1" x14ac:dyDescent="0.25">
      <c r="A675" s="2" t="s">
        <v>2023</v>
      </c>
      <c r="B675" s="2" t="s">
        <v>1228</v>
      </c>
      <c r="C675" s="17">
        <v>45770</v>
      </c>
      <c r="D675" s="2" t="s">
        <v>1373</v>
      </c>
      <c r="E675" s="18">
        <v>34819.78</v>
      </c>
      <c r="F675" s="18">
        <v>536.66999999999996</v>
      </c>
      <c r="G675" s="2" t="s">
        <v>1361</v>
      </c>
      <c r="H675" s="2" t="s">
        <v>19</v>
      </c>
    </row>
    <row r="676" spans="1:8" ht="15" customHeight="1" x14ac:dyDescent="0.25">
      <c r="A676" s="2" t="s">
        <v>2024</v>
      </c>
      <c r="B676" s="2" t="s">
        <v>1228</v>
      </c>
      <c r="C676" s="17">
        <v>45793</v>
      </c>
      <c r="D676" s="2" t="s">
        <v>1373</v>
      </c>
      <c r="E676" s="18">
        <v>21434.68</v>
      </c>
      <c r="F676" s="18">
        <v>441.37</v>
      </c>
      <c r="G676" s="2" t="s">
        <v>1361</v>
      </c>
      <c r="H676" s="2" t="s">
        <v>19</v>
      </c>
    </row>
    <row r="677" spans="1:8" ht="15" customHeight="1" x14ac:dyDescent="0.25">
      <c r="A677" s="2" t="s">
        <v>2025</v>
      </c>
      <c r="B677" s="2" t="s">
        <v>1228</v>
      </c>
      <c r="C677" s="17">
        <v>45793</v>
      </c>
      <c r="D677" s="2" t="s">
        <v>1373</v>
      </c>
      <c r="E677" s="18">
        <v>56457.08</v>
      </c>
      <c r="F677" s="18">
        <v>1043.8499999999999</v>
      </c>
      <c r="G677" s="2" t="s">
        <v>1361</v>
      </c>
      <c r="H677" s="2" t="s">
        <v>19</v>
      </c>
    </row>
    <row r="678" spans="1:8" ht="15" customHeight="1" x14ac:dyDescent="0.25">
      <c r="A678" s="2" t="s">
        <v>2026</v>
      </c>
      <c r="B678" s="2" t="s">
        <v>1228</v>
      </c>
      <c r="C678" s="17">
        <v>45781</v>
      </c>
      <c r="D678" s="2" t="s">
        <v>1373</v>
      </c>
      <c r="E678" s="18">
        <v>58228.04</v>
      </c>
      <c r="F678" s="18">
        <v>1179.81</v>
      </c>
      <c r="G678" s="2" t="s">
        <v>1361</v>
      </c>
      <c r="H678" s="2" t="s">
        <v>19</v>
      </c>
    </row>
    <row r="679" spans="1:8" ht="15" customHeight="1" x14ac:dyDescent="0.25">
      <c r="A679" s="2" t="s">
        <v>109</v>
      </c>
      <c r="B679" s="2" t="s">
        <v>1228</v>
      </c>
      <c r="C679" s="17">
        <v>45830</v>
      </c>
      <c r="D679" s="2" t="s">
        <v>1373</v>
      </c>
      <c r="E679" s="18">
        <v>27892.82</v>
      </c>
      <c r="F679" s="18">
        <v>511.15</v>
      </c>
      <c r="G679" s="2" t="s">
        <v>1361</v>
      </c>
      <c r="H679" s="2" t="s">
        <v>19</v>
      </c>
    </row>
    <row r="680" spans="1:8" ht="15" customHeight="1" x14ac:dyDescent="0.25">
      <c r="A680" s="2" t="s">
        <v>2027</v>
      </c>
      <c r="B680" s="2" t="s">
        <v>1228</v>
      </c>
      <c r="C680" s="17">
        <v>45859</v>
      </c>
      <c r="D680" s="2" t="s">
        <v>1373</v>
      </c>
      <c r="E680" s="18">
        <v>56843.03</v>
      </c>
      <c r="F680" s="18">
        <v>899.23</v>
      </c>
      <c r="G680" s="2" t="s">
        <v>1361</v>
      </c>
      <c r="H680" s="2" t="s">
        <v>19</v>
      </c>
    </row>
    <row r="681" spans="1:8" ht="15" customHeight="1" x14ac:dyDescent="0.25">
      <c r="A681" s="2" t="s">
        <v>2028</v>
      </c>
      <c r="B681" s="2" t="s">
        <v>1228</v>
      </c>
      <c r="C681" s="17">
        <v>45880</v>
      </c>
      <c r="D681" s="2" t="s">
        <v>1373</v>
      </c>
      <c r="E681" s="18">
        <v>18677.2</v>
      </c>
      <c r="F681" s="18">
        <v>325.41000000000003</v>
      </c>
      <c r="G681" s="2" t="s">
        <v>1361</v>
      </c>
      <c r="H681" s="2" t="s">
        <v>19</v>
      </c>
    </row>
    <row r="682" spans="1:8" ht="15" customHeight="1" x14ac:dyDescent="0.25">
      <c r="A682" s="2" t="s">
        <v>2029</v>
      </c>
      <c r="B682" s="2" t="s">
        <v>1228</v>
      </c>
      <c r="C682" s="17">
        <v>45879</v>
      </c>
      <c r="D682" s="2" t="s">
        <v>1373</v>
      </c>
      <c r="E682" s="18">
        <v>15996.07</v>
      </c>
      <c r="F682" s="18">
        <v>316.07</v>
      </c>
      <c r="G682" s="2" t="s">
        <v>1361</v>
      </c>
      <c r="H682" s="2" t="s">
        <v>19</v>
      </c>
    </row>
    <row r="683" spans="1:8" ht="15" customHeight="1" x14ac:dyDescent="0.25">
      <c r="A683" s="2" t="s">
        <v>2030</v>
      </c>
      <c r="B683" s="2" t="s">
        <v>1228</v>
      </c>
      <c r="C683" s="17">
        <v>45905</v>
      </c>
      <c r="D683" s="2" t="s">
        <v>1373</v>
      </c>
      <c r="E683" s="18">
        <v>44318.67</v>
      </c>
      <c r="F683" s="18">
        <v>912.91</v>
      </c>
      <c r="G683" s="2" t="s">
        <v>1361</v>
      </c>
      <c r="H683" s="2" t="s">
        <v>19</v>
      </c>
    </row>
    <row r="684" spans="1:8" ht="15" customHeight="1" x14ac:dyDescent="0.25">
      <c r="A684" s="2" t="s">
        <v>2031</v>
      </c>
      <c r="B684" s="2" t="s">
        <v>1228</v>
      </c>
      <c r="C684" s="17">
        <v>45909</v>
      </c>
      <c r="D684" s="2" t="s">
        <v>1373</v>
      </c>
      <c r="E684" s="18">
        <v>23262.799999999999</v>
      </c>
      <c r="F684" s="18">
        <v>370.83</v>
      </c>
      <c r="G684" s="2" t="s">
        <v>1361</v>
      </c>
      <c r="H684" s="2" t="s">
        <v>19</v>
      </c>
    </row>
    <row r="685" spans="1:8" ht="15" customHeight="1" x14ac:dyDescent="0.25">
      <c r="A685" s="2" t="s">
        <v>2032</v>
      </c>
      <c r="B685" s="2" t="s">
        <v>1228</v>
      </c>
      <c r="C685" s="17">
        <v>45959</v>
      </c>
      <c r="D685" s="2" t="s">
        <v>1373</v>
      </c>
      <c r="E685" s="18">
        <v>15578.85</v>
      </c>
      <c r="F685" s="18">
        <v>252.16</v>
      </c>
      <c r="G685" s="2" t="s">
        <v>1361</v>
      </c>
      <c r="H685" s="2" t="s">
        <v>19</v>
      </c>
    </row>
    <row r="686" spans="1:8" ht="15" customHeight="1" x14ac:dyDescent="0.25">
      <c r="A686" s="2" t="s">
        <v>2033</v>
      </c>
      <c r="B686" s="2" t="s">
        <v>1228</v>
      </c>
      <c r="C686" s="17">
        <v>45943</v>
      </c>
      <c r="D686" s="2" t="s">
        <v>1373</v>
      </c>
      <c r="E686" s="18">
        <v>41183.75</v>
      </c>
      <c r="F686" s="18">
        <v>658.72</v>
      </c>
      <c r="G686" s="2" t="s">
        <v>1361</v>
      </c>
      <c r="H686" s="2" t="s">
        <v>19</v>
      </c>
    </row>
    <row r="687" spans="1:8" ht="15" customHeight="1" x14ac:dyDescent="0.25">
      <c r="A687" s="2" t="s">
        <v>2034</v>
      </c>
      <c r="B687" s="2" t="s">
        <v>1228</v>
      </c>
      <c r="C687" s="17">
        <v>45961</v>
      </c>
      <c r="D687" s="2" t="s">
        <v>1373</v>
      </c>
      <c r="E687" s="18">
        <v>23704.23</v>
      </c>
      <c r="F687" s="18">
        <v>488.88</v>
      </c>
      <c r="G687" s="2" t="s">
        <v>1361</v>
      </c>
      <c r="H687" s="2" t="s">
        <v>19</v>
      </c>
    </row>
    <row r="688" spans="1:8" ht="15" customHeight="1" x14ac:dyDescent="0.25">
      <c r="A688" s="2" t="s">
        <v>2035</v>
      </c>
      <c r="B688" s="2" t="s">
        <v>1228</v>
      </c>
      <c r="C688" s="17">
        <v>45964</v>
      </c>
      <c r="D688" s="2" t="s">
        <v>1373</v>
      </c>
      <c r="E688" s="18">
        <v>30570.560000000001</v>
      </c>
      <c r="F688" s="18">
        <v>597.95000000000005</v>
      </c>
      <c r="G688" s="2" t="s">
        <v>1361</v>
      </c>
      <c r="H688" s="2" t="s">
        <v>19</v>
      </c>
    </row>
    <row r="689" spans="1:8" ht="15" customHeight="1" x14ac:dyDescent="0.25">
      <c r="A689" s="2" t="s">
        <v>2036</v>
      </c>
      <c r="B689" s="2" t="s">
        <v>1228</v>
      </c>
      <c r="C689" s="17">
        <v>45962</v>
      </c>
      <c r="D689" s="2" t="s">
        <v>1373</v>
      </c>
      <c r="E689" s="18">
        <v>19248.810000000001</v>
      </c>
      <c r="F689" s="18">
        <v>309.68</v>
      </c>
      <c r="G689" s="2" t="s">
        <v>1361</v>
      </c>
      <c r="H689" s="2" t="s">
        <v>19</v>
      </c>
    </row>
    <row r="690" spans="1:8" ht="15" customHeight="1" x14ac:dyDescent="0.25">
      <c r="A690" s="2" t="s">
        <v>2037</v>
      </c>
      <c r="B690" s="2" t="s">
        <v>1228</v>
      </c>
      <c r="C690" s="17">
        <v>45962</v>
      </c>
      <c r="D690" s="2" t="s">
        <v>1373</v>
      </c>
      <c r="E690" s="18">
        <v>17426.400000000001</v>
      </c>
      <c r="F690" s="18">
        <v>271.77999999999997</v>
      </c>
      <c r="G690" s="2" t="s">
        <v>1361</v>
      </c>
      <c r="H690" s="2" t="s">
        <v>19</v>
      </c>
    </row>
    <row r="691" spans="1:8" ht="15" customHeight="1" x14ac:dyDescent="0.25">
      <c r="A691" s="2" t="s">
        <v>2038</v>
      </c>
      <c r="B691" s="2" t="s">
        <v>1228</v>
      </c>
      <c r="C691" s="17">
        <v>46005</v>
      </c>
      <c r="D691" s="2" t="s">
        <v>1373</v>
      </c>
      <c r="E691" s="18">
        <v>24523.43</v>
      </c>
      <c r="F691" s="18">
        <v>0</v>
      </c>
      <c r="G691" s="2" t="s">
        <v>1408</v>
      </c>
      <c r="H691" s="2" t="s">
        <v>19</v>
      </c>
    </row>
    <row r="692" spans="1:8" ht="15" customHeight="1" x14ac:dyDescent="0.25">
      <c r="A692" s="2" t="s">
        <v>2039</v>
      </c>
      <c r="B692" s="2" t="s">
        <v>1228</v>
      </c>
      <c r="C692" s="17">
        <v>46014</v>
      </c>
      <c r="D692" s="2" t="s">
        <v>1373</v>
      </c>
      <c r="E692" s="18">
        <v>35904.720000000001</v>
      </c>
      <c r="F692" s="18">
        <v>641.46</v>
      </c>
      <c r="G692" s="2" t="s">
        <v>1361</v>
      </c>
      <c r="H692" s="2" t="s">
        <v>19</v>
      </c>
    </row>
    <row r="693" spans="1:8" ht="15" customHeight="1" x14ac:dyDescent="0.25">
      <c r="A693" s="2" t="s">
        <v>2040</v>
      </c>
      <c r="B693" s="2" t="s">
        <v>1228</v>
      </c>
      <c r="C693" s="17">
        <v>45997</v>
      </c>
      <c r="D693" s="2" t="s">
        <v>1373</v>
      </c>
      <c r="E693" s="18">
        <v>16455.14</v>
      </c>
      <c r="F693" s="18">
        <v>258.27</v>
      </c>
      <c r="G693" s="2" t="s">
        <v>1361</v>
      </c>
      <c r="H693" s="2" t="s">
        <v>19</v>
      </c>
    </row>
    <row r="694" spans="1:8" ht="15" customHeight="1" x14ac:dyDescent="0.25">
      <c r="A694" s="2" t="s">
        <v>2041</v>
      </c>
      <c r="B694" s="2" t="s">
        <v>1231</v>
      </c>
      <c r="C694" s="17">
        <v>45743</v>
      </c>
      <c r="D694" s="2" t="s">
        <v>1373</v>
      </c>
      <c r="E694" s="18">
        <v>62725.96</v>
      </c>
      <c r="F694" s="18">
        <v>1104.7</v>
      </c>
      <c r="G694" s="2" t="s">
        <v>1361</v>
      </c>
      <c r="H694" s="2" t="s">
        <v>19</v>
      </c>
    </row>
    <row r="695" spans="1:8" ht="15" customHeight="1" x14ac:dyDescent="0.25">
      <c r="A695" s="2" t="s">
        <v>2042</v>
      </c>
      <c r="B695" s="2" t="s">
        <v>1231</v>
      </c>
      <c r="C695" s="17">
        <v>45747</v>
      </c>
      <c r="D695" s="2" t="s">
        <v>1373</v>
      </c>
      <c r="E695" s="18">
        <v>57241.16</v>
      </c>
      <c r="F695" s="18">
        <v>1091.42</v>
      </c>
      <c r="G695" s="2" t="s">
        <v>1361</v>
      </c>
      <c r="H695" s="2" t="s">
        <v>19</v>
      </c>
    </row>
    <row r="696" spans="1:8" ht="15" customHeight="1" x14ac:dyDescent="0.25">
      <c r="A696" s="2" t="s">
        <v>2043</v>
      </c>
      <c r="B696" s="2" t="s">
        <v>1231</v>
      </c>
      <c r="C696" s="17">
        <v>45743</v>
      </c>
      <c r="D696" s="2" t="s">
        <v>1373</v>
      </c>
      <c r="E696" s="18">
        <v>30743.03</v>
      </c>
      <c r="F696" s="18">
        <v>626.19000000000005</v>
      </c>
      <c r="G696" s="2" t="s">
        <v>1361</v>
      </c>
      <c r="H696" s="2" t="s">
        <v>19</v>
      </c>
    </row>
    <row r="697" spans="1:8" ht="15" customHeight="1" x14ac:dyDescent="0.25">
      <c r="A697" s="2" t="s">
        <v>2044</v>
      </c>
      <c r="B697" s="2" t="s">
        <v>1231</v>
      </c>
      <c r="C697" s="17">
        <v>45749</v>
      </c>
      <c r="D697" s="2" t="s">
        <v>1373</v>
      </c>
      <c r="E697" s="18">
        <v>54731.18</v>
      </c>
      <c r="F697" s="18">
        <v>1121.9100000000001</v>
      </c>
      <c r="G697" s="2" t="s">
        <v>1361</v>
      </c>
      <c r="H697" s="2" t="s">
        <v>19</v>
      </c>
    </row>
    <row r="698" spans="1:8" ht="15" customHeight="1" x14ac:dyDescent="0.25">
      <c r="A698" s="2" t="s">
        <v>2045</v>
      </c>
      <c r="B698" s="2" t="s">
        <v>1231</v>
      </c>
      <c r="C698" s="17">
        <v>45768</v>
      </c>
      <c r="D698" s="2" t="s">
        <v>1373</v>
      </c>
      <c r="E698" s="18">
        <v>34118.46</v>
      </c>
      <c r="F698" s="18">
        <v>691.02</v>
      </c>
      <c r="G698" s="2" t="s">
        <v>1361</v>
      </c>
      <c r="H698" s="2" t="s">
        <v>19</v>
      </c>
    </row>
    <row r="699" spans="1:8" ht="15" customHeight="1" x14ac:dyDescent="0.25">
      <c r="A699" s="2" t="s">
        <v>2046</v>
      </c>
      <c r="B699" s="2" t="s">
        <v>1231</v>
      </c>
      <c r="C699" s="17">
        <v>45767</v>
      </c>
      <c r="D699" s="2" t="s">
        <v>1373</v>
      </c>
      <c r="E699" s="18">
        <v>50442.16</v>
      </c>
      <c r="F699" s="18">
        <v>866.19</v>
      </c>
      <c r="G699" s="2" t="s">
        <v>1361</v>
      </c>
      <c r="H699" s="2" t="s">
        <v>19</v>
      </c>
    </row>
    <row r="700" spans="1:8" ht="15" customHeight="1" x14ac:dyDescent="0.25">
      <c r="A700" s="2" t="s">
        <v>2047</v>
      </c>
      <c r="B700" s="2" t="s">
        <v>1231</v>
      </c>
      <c r="C700" s="17">
        <v>45808</v>
      </c>
      <c r="D700" s="2" t="s">
        <v>1373</v>
      </c>
      <c r="E700" s="18">
        <v>36716.47</v>
      </c>
      <c r="F700" s="18">
        <v>646.04</v>
      </c>
      <c r="G700" s="2" t="s">
        <v>1361</v>
      </c>
      <c r="H700" s="2" t="s">
        <v>19</v>
      </c>
    </row>
    <row r="701" spans="1:8" ht="15" customHeight="1" x14ac:dyDescent="0.25">
      <c r="A701" s="2" t="s">
        <v>2048</v>
      </c>
      <c r="B701" s="2" t="s">
        <v>1231</v>
      </c>
      <c r="C701" s="17">
        <v>45793</v>
      </c>
      <c r="D701" s="2" t="s">
        <v>1373</v>
      </c>
      <c r="E701" s="18">
        <v>55486.94</v>
      </c>
      <c r="F701" s="18">
        <v>863.01</v>
      </c>
      <c r="G701" s="2" t="s">
        <v>1361</v>
      </c>
      <c r="H701" s="2" t="s">
        <v>19</v>
      </c>
    </row>
    <row r="702" spans="1:8" ht="15" customHeight="1" x14ac:dyDescent="0.25">
      <c r="A702" s="2" t="s">
        <v>2049</v>
      </c>
      <c r="B702" s="2" t="s">
        <v>1231</v>
      </c>
      <c r="C702" s="17">
        <v>45830</v>
      </c>
      <c r="D702" s="2" t="s">
        <v>1373</v>
      </c>
      <c r="E702" s="18">
        <v>59330.22</v>
      </c>
      <c r="F702" s="18">
        <v>980.8</v>
      </c>
      <c r="G702" s="2" t="s">
        <v>1361</v>
      </c>
      <c r="H702" s="2" t="s">
        <v>19</v>
      </c>
    </row>
    <row r="703" spans="1:8" ht="15" customHeight="1" x14ac:dyDescent="0.25">
      <c r="A703" s="2" t="s">
        <v>2050</v>
      </c>
      <c r="B703" s="2" t="s">
        <v>1231</v>
      </c>
      <c r="C703" s="17">
        <v>45836</v>
      </c>
      <c r="D703" s="2" t="s">
        <v>1373</v>
      </c>
      <c r="E703" s="18">
        <v>31756.33</v>
      </c>
      <c r="F703" s="18">
        <v>0</v>
      </c>
      <c r="G703" s="2" t="s">
        <v>1408</v>
      </c>
      <c r="H703" s="2" t="s">
        <v>19</v>
      </c>
    </row>
    <row r="704" spans="1:8" ht="15" customHeight="1" x14ac:dyDescent="0.25">
      <c r="A704" s="2" t="s">
        <v>2051</v>
      </c>
      <c r="B704" s="2" t="s">
        <v>1231</v>
      </c>
      <c r="C704" s="17">
        <v>45819</v>
      </c>
      <c r="D704" s="2" t="s">
        <v>1373</v>
      </c>
      <c r="E704" s="18">
        <v>44029.59</v>
      </c>
      <c r="F704" s="18">
        <v>684.61</v>
      </c>
      <c r="G704" s="2" t="s">
        <v>1361</v>
      </c>
      <c r="H704" s="2" t="s">
        <v>19</v>
      </c>
    </row>
    <row r="705" spans="1:8" ht="15" customHeight="1" x14ac:dyDescent="0.25">
      <c r="A705" s="2" t="s">
        <v>2052</v>
      </c>
      <c r="B705" s="2" t="s">
        <v>1231</v>
      </c>
      <c r="C705" s="17">
        <v>45864</v>
      </c>
      <c r="D705" s="2" t="s">
        <v>1373</v>
      </c>
      <c r="E705" s="18">
        <v>55527.27</v>
      </c>
      <c r="F705" s="18">
        <v>1065.95</v>
      </c>
      <c r="G705" s="2" t="s">
        <v>1361</v>
      </c>
      <c r="H705" s="2" t="s">
        <v>19</v>
      </c>
    </row>
    <row r="706" spans="1:8" ht="15" customHeight="1" x14ac:dyDescent="0.25">
      <c r="A706" s="2" t="s">
        <v>2053</v>
      </c>
      <c r="B706" s="2" t="s">
        <v>1231</v>
      </c>
      <c r="C706" s="17">
        <v>45885</v>
      </c>
      <c r="D706" s="2" t="s">
        <v>1373</v>
      </c>
      <c r="E706" s="18">
        <v>27373.61</v>
      </c>
      <c r="F706" s="18">
        <v>432.06</v>
      </c>
      <c r="G706" s="2" t="s">
        <v>1361</v>
      </c>
      <c r="H706" s="2" t="s">
        <v>19</v>
      </c>
    </row>
    <row r="707" spans="1:8" ht="15" customHeight="1" x14ac:dyDescent="0.25">
      <c r="A707" s="2" t="s">
        <v>2054</v>
      </c>
      <c r="B707" s="2" t="s">
        <v>1231</v>
      </c>
      <c r="C707" s="17">
        <v>45917</v>
      </c>
      <c r="D707" s="2" t="s">
        <v>1373</v>
      </c>
      <c r="E707" s="18">
        <v>43073.63</v>
      </c>
      <c r="F707" s="18">
        <v>765.95</v>
      </c>
      <c r="G707" s="2" t="s">
        <v>1361</v>
      </c>
      <c r="H707" s="2" t="s">
        <v>19</v>
      </c>
    </row>
    <row r="708" spans="1:8" ht="15" customHeight="1" x14ac:dyDescent="0.25">
      <c r="A708" s="2" t="s">
        <v>2055</v>
      </c>
      <c r="B708" s="2" t="s">
        <v>1231</v>
      </c>
      <c r="C708" s="17">
        <v>45925</v>
      </c>
      <c r="D708" s="2" t="s">
        <v>1373</v>
      </c>
      <c r="E708" s="18">
        <v>21231.95</v>
      </c>
      <c r="F708" s="18">
        <v>337.5</v>
      </c>
      <c r="G708" s="2" t="s">
        <v>1361</v>
      </c>
      <c r="H708" s="2" t="s">
        <v>19</v>
      </c>
    </row>
    <row r="709" spans="1:8" ht="15" customHeight="1" x14ac:dyDescent="0.25">
      <c r="A709" s="2" t="s">
        <v>2056</v>
      </c>
      <c r="B709" s="2" t="s">
        <v>1231</v>
      </c>
      <c r="C709" s="17">
        <v>45932</v>
      </c>
      <c r="D709" s="2" t="s">
        <v>1373</v>
      </c>
      <c r="E709" s="18">
        <v>41349.58</v>
      </c>
      <c r="F709" s="18">
        <v>673.55</v>
      </c>
      <c r="G709" s="2" t="s">
        <v>1361</v>
      </c>
      <c r="H709" s="2" t="s">
        <v>19</v>
      </c>
    </row>
    <row r="710" spans="1:8" ht="15" customHeight="1" x14ac:dyDescent="0.25">
      <c r="A710" s="2" t="s">
        <v>2057</v>
      </c>
      <c r="B710" s="2" t="s">
        <v>1231</v>
      </c>
      <c r="C710" s="17">
        <v>45986</v>
      </c>
      <c r="D710" s="2" t="s">
        <v>1373</v>
      </c>
      <c r="E710" s="18">
        <v>15207.16</v>
      </c>
      <c r="F710" s="18">
        <v>275.67</v>
      </c>
      <c r="G710" s="2" t="s">
        <v>1361</v>
      </c>
      <c r="H710" s="2" t="s">
        <v>19</v>
      </c>
    </row>
    <row r="711" spans="1:8" ht="15" customHeight="1" x14ac:dyDescent="0.25">
      <c r="A711" s="2" t="s">
        <v>2058</v>
      </c>
      <c r="B711" s="2" t="s">
        <v>1231</v>
      </c>
      <c r="C711" s="17">
        <v>45972</v>
      </c>
      <c r="D711" s="2" t="s">
        <v>1373</v>
      </c>
      <c r="E711" s="18">
        <v>17628.2</v>
      </c>
      <c r="F711" s="18">
        <v>341.33</v>
      </c>
      <c r="G711" s="2" t="s">
        <v>1361</v>
      </c>
      <c r="H711" s="2" t="s">
        <v>19</v>
      </c>
    </row>
    <row r="712" spans="1:8" ht="15" customHeight="1" x14ac:dyDescent="0.25">
      <c r="A712" s="2" t="s">
        <v>2059</v>
      </c>
      <c r="B712" s="2" t="s">
        <v>1231</v>
      </c>
      <c r="C712" s="17">
        <v>46011</v>
      </c>
      <c r="D712" s="2" t="s">
        <v>1373</v>
      </c>
      <c r="E712" s="18">
        <v>24930.61</v>
      </c>
      <c r="F712" s="18">
        <v>493.07</v>
      </c>
      <c r="G712" s="2" t="s">
        <v>1361</v>
      </c>
      <c r="H712" s="2" t="s">
        <v>19</v>
      </c>
    </row>
    <row r="713" spans="1:8" ht="15" customHeight="1" x14ac:dyDescent="0.25">
      <c r="A713" s="2" t="s">
        <v>2060</v>
      </c>
      <c r="B713" s="2" t="s">
        <v>1232</v>
      </c>
      <c r="C713" s="17">
        <v>45745</v>
      </c>
      <c r="D713" s="2" t="s">
        <v>1360</v>
      </c>
      <c r="E713" s="18">
        <v>22018.03</v>
      </c>
      <c r="F713" s="18">
        <v>498.61</v>
      </c>
      <c r="G713" s="2" t="s">
        <v>1361</v>
      </c>
      <c r="H713" s="2" t="s">
        <v>18</v>
      </c>
    </row>
    <row r="714" spans="1:8" ht="15" customHeight="1" x14ac:dyDescent="0.25">
      <c r="A714" s="2" t="s">
        <v>2061</v>
      </c>
      <c r="B714" s="2" t="s">
        <v>1232</v>
      </c>
      <c r="C714" s="17">
        <v>45746</v>
      </c>
      <c r="D714" s="2" t="s">
        <v>1360</v>
      </c>
      <c r="E714" s="18">
        <v>40836.79</v>
      </c>
      <c r="F714" s="18">
        <v>964.2</v>
      </c>
      <c r="G714" s="2" t="s">
        <v>1361</v>
      </c>
      <c r="H714" s="2" t="s">
        <v>18</v>
      </c>
    </row>
    <row r="715" spans="1:8" ht="15" customHeight="1" x14ac:dyDescent="0.25">
      <c r="A715" s="2" t="s">
        <v>2062</v>
      </c>
      <c r="B715" s="2" t="s">
        <v>1232</v>
      </c>
      <c r="C715" s="17">
        <v>45732</v>
      </c>
      <c r="D715" s="2" t="s">
        <v>1360</v>
      </c>
      <c r="E715" s="18">
        <v>42850.49</v>
      </c>
      <c r="F715" s="18">
        <v>1100.01</v>
      </c>
      <c r="G715" s="2" t="s">
        <v>1361</v>
      </c>
      <c r="H715" s="2" t="s">
        <v>18</v>
      </c>
    </row>
    <row r="716" spans="1:8" ht="15" customHeight="1" x14ac:dyDescent="0.25">
      <c r="A716" s="2" t="s">
        <v>2063</v>
      </c>
      <c r="B716" s="2" t="s">
        <v>1232</v>
      </c>
      <c r="C716" s="17">
        <v>45764</v>
      </c>
      <c r="D716" s="2" t="s">
        <v>1360</v>
      </c>
      <c r="E716" s="18">
        <v>30295.33</v>
      </c>
      <c r="F716" s="18">
        <v>648.52</v>
      </c>
      <c r="G716" s="2" t="s">
        <v>1361</v>
      </c>
      <c r="H716" s="2" t="s">
        <v>18</v>
      </c>
    </row>
    <row r="717" spans="1:8" ht="15" customHeight="1" x14ac:dyDescent="0.25">
      <c r="A717" s="2" t="s">
        <v>2064</v>
      </c>
      <c r="B717" s="2" t="s">
        <v>1232</v>
      </c>
      <c r="C717" s="17">
        <v>45756</v>
      </c>
      <c r="D717" s="2" t="s">
        <v>1360</v>
      </c>
      <c r="E717" s="18">
        <v>30598.53</v>
      </c>
      <c r="F717" s="18">
        <v>828.04</v>
      </c>
      <c r="G717" s="2" t="s">
        <v>1361</v>
      </c>
      <c r="H717" s="2" t="s">
        <v>18</v>
      </c>
    </row>
    <row r="718" spans="1:8" ht="15" customHeight="1" x14ac:dyDescent="0.25">
      <c r="A718" s="2" t="s">
        <v>2065</v>
      </c>
      <c r="B718" s="2" t="s">
        <v>1232</v>
      </c>
      <c r="C718" s="17">
        <v>45777</v>
      </c>
      <c r="D718" s="2" t="s">
        <v>1360</v>
      </c>
      <c r="E718" s="18">
        <v>56533.29</v>
      </c>
      <c r="F718" s="18">
        <v>1376.42</v>
      </c>
      <c r="G718" s="2" t="s">
        <v>1361</v>
      </c>
      <c r="H718" s="2" t="s">
        <v>18</v>
      </c>
    </row>
    <row r="719" spans="1:8" ht="15" customHeight="1" x14ac:dyDescent="0.25">
      <c r="A719" s="2" t="s">
        <v>2066</v>
      </c>
      <c r="B719" s="2" t="s">
        <v>1232</v>
      </c>
      <c r="C719" s="17">
        <v>45778</v>
      </c>
      <c r="D719" s="2" t="s">
        <v>1360</v>
      </c>
      <c r="E719" s="18">
        <v>36761.46</v>
      </c>
      <c r="F719" s="18">
        <v>786.21</v>
      </c>
      <c r="G719" s="2" t="s">
        <v>1361</v>
      </c>
      <c r="H719" s="2" t="s">
        <v>18</v>
      </c>
    </row>
    <row r="720" spans="1:8" ht="15" customHeight="1" x14ac:dyDescent="0.25">
      <c r="A720" s="2" t="s">
        <v>2067</v>
      </c>
      <c r="B720" s="2" t="s">
        <v>1232</v>
      </c>
      <c r="C720" s="17">
        <v>45785</v>
      </c>
      <c r="D720" s="2" t="s">
        <v>1360</v>
      </c>
      <c r="E720" s="18">
        <v>54082.42</v>
      </c>
      <c r="F720" s="18">
        <v>1472.01</v>
      </c>
      <c r="G720" s="2" t="s">
        <v>1361</v>
      </c>
      <c r="H720" s="2" t="s">
        <v>18</v>
      </c>
    </row>
    <row r="721" spans="1:8" ht="15" customHeight="1" x14ac:dyDescent="0.25">
      <c r="A721" s="2" t="s">
        <v>2068</v>
      </c>
      <c r="B721" s="2" t="s">
        <v>1232</v>
      </c>
      <c r="C721" s="17">
        <v>45800</v>
      </c>
      <c r="D721" s="2" t="s">
        <v>1360</v>
      </c>
      <c r="E721" s="18">
        <v>38996.79</v>
      </c>
      <c r="F721" s="18">
        <v>0</v>
      </c>
      <c r="G721" s="2" t="s">
        <v>1408</v>
      </c>
      <c r="H721" s="2" t="s">
        <v>18</v>
      </c>
    </row>
    <row r="722" spans="1:8" ht="15" customHeight="1" x14ac:dyDescent="0.25">
      <c r="A722" s="2" t="s">
        <v>2069</v>
      </c>
      <c r="B722" s="2" t="s">
        <v>1232</v>
      </c>
      <c r="C722" s="17">
        <v>45809</v>
      </c>
      <c r="D722" s="2" t="s">
        <v>1360</v>
      </c>
      <c r="E722" s="18">
        <v>32937.75</v>
      </c>
      <c r="F722" s="18">
        <v>920.72</v>
      </c>
      <c r="G722" s="2" t="s">
        <v>1361</v>
      </c>
      <c r="H722" s="2" t="s">
        <v>18</v>
      </c>
    </row>
    <row r="723" spans="1:8" ht="15" customHeight="1" x14ac:dyDescent="0.25">
      <c r="A723" s="2" t="s">
        <v>2070</v>
      </c>
      <c r="B723" s="2" t="s">
        <v>1232</v>
      </c>
      <c r="C723" s="17">
        <v>45825</v>
      </c>
      <c r="D723" s="2" t="s">
        <v>1360</v>
      </c>
      <c r="E723" s="18">
        <v>51631.22</v>
      </c>
      <c r="F723" s="18">
        <v>1180.95</v>
      </c>
      <c r="G723" s="2" t="s">
        <v>1361</v>
      </c>
      <c r="H723" s="2" t="s">
        <v>18</v>
      </c>
    </row>
    <row r="724" spans="1:8" ht="15" customHeight="1" x14ac:dyDescent="0.25">
      <c r="A724" s="2" t="s">
        <v>2071</v>
      </c>
      <c r="B724" s="2" t="s">
        <v>1232</v>
      </c>
      <c r="C724" s="17">
        <v>45841</v>
      </c>
      <c r="D724" s="2" t="s">
        <v>1360</v>
      </c>
      <c r="E724" s="18">
        <v>45794.17</v>
      </c>
      <c r="F724" s="18">
        <v>1181.95</v>
      </c>
      <c r="G724" s="2" t="s">
        <v>1361</v>
      </c>
      <c r="H724" s="2" t="s">
        <v>18</v>
      </c>
    </row>
    <row r="725" spans="1:8" ht="15" customHeight="1" x14ac:dyDescent="0.25">
      <c r="A725" s="2" t="s">
        <v>2072</v>
      </c>
      <c r="B725" s="2" t="s">
        <v>1232</v>
      </c>
      <c r="C725" s="17">
        <v>45859</v>
      </c>
      <c r="D725" s="2" t="s">
        <v>1360</v>
      </c>
      <c r="E725" s="18">
        <v>55490.63</v>
      </c>
      <c r="F725" s="18">
        <v>1231.8</v>
      </c>
      <c r="G725" s="2" t="s">
        <v>1361</v>
      </c>
      <c r="H725" s="2" t="s">
        <v>18</v>
      </c>
    </row>
    <row r="726" spans="1:8" ht="15" customHeight="1" x14ac:dyDescent="0.25">
      <c r="A726" s="2" t="s">
        <v>2073</v>
      </c>
      <c r="B726" s="2" t="s">
        <v>1232</v>
      </c>
      <c r="C726" s="17">
        <v>45862</v>
      </c>
      <c r="D726" s="2" t="s">
        <v>1360</v>
      </c>
      <c r="E726" s="18">
        <v>24751.69</v>
      </c>
      <c r="F726" s="18">
        <v>615.96</v>
      </c>
      <c r="G726" s="2" t="s">
        <v>1361</v>
      </c>
      <c r="H726" s="2" t="s">
        <v>18</v>
      </c>
    </row>
    <row r="727" spans="1:8" ht="15" customHeight="1" x14ac:dyDescent="0.25">
      <c r="A727" s="2" t="s">
        <v>2074</v>
      </c>
      <c r="B727" s="2" t="s">
        <v>1232</v>
      </c>
      <c r="C727" s="17">
        <v>45875</v>
      </c>
      <c r="D727" s="2" t="s">
        <v>1360</v>
      </c>
      <c r="E727" s="18">
        <v>20614.509999999998</v>
      </c>
      <c r="F727" s="18">
        <v>535.21</v>
      </c>
      <c r="G727" s="2" t="s">
        <v>1361</v>
      </c>
      <c r="H727" s="2" t="s">
        <v>18</v>
      </c>
    </row>
    <row r="728" spans="1:8" ht="15" customHeight="1" x14ac:dyDescent="0.25">
      <c r="A728" s="2" t="s">
        <v>2075</v>
      </c>
      <c r="B728" s="2" t="s">
        <v>1232</v>
      </c>
      <c r="C728" s="17">
        <v>45870</v>
      </c>
      <c r="D728" s="2" t="s">
        <v>1360</v>
      </c>
      <c r="E728" s="18">
        <v>54325.63</v>
      </c>
      <c r="F728" s="18">
        <v>1343.44</v>
      </c>
      <c r="G728" s="2" t="s">
        <v>1361</v>
      </c>
      <c r="H728" s="2" t="s">
        <v>18</v>
      </c>
    </row>
    <row r="729" spans="1:8" ht="15" customHeight="1" x14ac:dyDescent="0.25">
      <c r="A729" s="2" t="s">
        <v>2076</v>
      </c>
      <c r="B729" s="2" t="s">
        <v>1232</v>
      </c>
      <c r="C729" s="17">
        <v>45899</v>
      </c>
      <c r="D729" s="2" t="s">
        <v>1360</v>
      </c>
      <c r="E729" s="18">
        <v>39475.61</v>
      </c>
      <c r="F729" s="18">
        <v>1005.75</v>
      </c>
      <c r="G729" s="2" t="s">
        <v>1361</v>
      </c>
      <c r="H729" s="2" t="s">
        <v>18</v>
      </c>
    </row>
    <row r="730" spans="1:8" ht="15" customHeight="1" x14ac:dyDescent="0.25">
      <c r="A730" s="2" t="s">
        <v>2077</v>
      </c>
      <c r="B730" s="2" t="s">
        <v>1232</v>
      </c>
      <c r="C730" s="17">
        <v>45901</v>
      </c>
      <c r="D730" s="2" t="s">
        <v>1360</v>
      </c>
      <c r="E730" s="18">
        <v>39932.49</v>
      </c>
      <c r="F730" s="18">
        <v>1061.06</v>
      </c>
      <c r="G730" s="2" t="s">
        <v>1361</v>
      </c>
      <c r="H730" s="2" t="s">
        <v>18</v>
      </c>
    </row>
    <row r="731" spans="1:8" ht="15" customHeight="1" x14ac:dyDescent="0.25">
      <c r="A731" s="2" t="s">
        <v>2078</v>
      </c>
      <c r="B731" s="2" t="s">
        <v>1233</v>
      </c>
      <c r="C731" s="17">
        <v>45985</v>
      </c>
      <c r="D731" s="2" t="s">
        <v>1423</v>
      </c>
      <c r="E731" s="18">
        <v>2408.86</v>
      </c>
      <c r="F731" s="18">
        <v>68.09</v>
      </c>
      <c r="G731" s="2" t="s">
        <v>1361</v>
      </c>
      <c r="H731" s="2" t="s">
        <v>20</v>
      </c>
    </row>
    <row r="732" spans="1:8" ht="15" customHeight="1" x14ac:dyDescent="0.25">
      <c r="A732" s="2" t="s">
        <v>2079</v>
      </c>
      <c r="B732" s="2" t="s">
        <v>1233</v>
      </c>
      <c r="C732" s="17">
        <v>45975</v>
      </c>
      <c r="D732" s="2" t="s">
        <v>1423</v>
      </c>
      <c r="E732" s="18">
        <v>3859.65</v>
      </c>
      <c r="F732" s="18">
        <v>132.69999999999999</v>
      </c>
      <c r="G732" s="2" t="s">
        <v>1361</v>
      </c>
      <c r="H732" s="2" t="s">
        <v>20</v>
      </c>
    </row>
    <row r="733" spans="1:8" ht="15" customHeight="1" x14ac:dyDescent="0.25">
      <c r="A733" s="2" t="s">
        <v>2080</v>
      </c>
      <c r="B733" s="2" t="s">
        <v>1233</v>
      </c>
      <c r="C733" s="17">
        <v>46004</v>
      </c>
      <c r="D733" s="2" t="s">
        <v>1423</v>
      </c>
      <c r="E733" s="18">
        <v>1820</v>
      </c>
      <c r="F733" s="18">
        <v>48.99</v>
      </c>
      <c r="G733" s="2" t="s">
        <v>1361</v>
      </c>
      <c r="H733" s="2" t="s">
        <v>20</v>
      </c>
    </row>
    <row r="734" spans="1:8" ht="15" customHeight="1" x14ac:dyDescent="0.25">
      <c r="A734" s="2" t="s">
        <v>2081</v>
      </c>
      <c r="B734" s="2" t="s">
        <v>1233</v>
      </c>
      <c r="C734" s="17">
        <v>46020</v>
      </c>
      <c r="D734" s="2" t="s">
        <v>1423</v>
      </c>
      <c r="E734" s="18">
        <v>4447.0600000000004</v>
      </c>
      <c r="F734" s="18">
        <v>144.65</v>
      </c>
      <c r="G734" s="2" t="s">
        <v>1361</v>
      </c>
      <c r="H734" s="2" t="s">
        <v>20</v>
      </c>
    </row>
    <row r="735" spans="1:8" ht="15" customHeight="1" x14ac:dyDescent="0.25">
      <c r="A735" s="2" t="s">
        <v>2082</v>
      </c>
      <c r="B735" s="2" t="s">
        <v>1235</v>
      </c>
      <c r="C735" s="17">
        <v>45984</v>
      </c>
      <c r="D735" s="2" t="s">
        <v>1360</v>
      </c>
      <c r="E735" s="18">
        <v>2543</v>
      </c>
      <c r="F735" s="18">
        <v>66.099999999999994</v>
      </c>
      <c r="G735" s="2" t="s">
        <v>1361</v>
      </c>
      <c r="H735" s="2" t="s">
        <v>19</v>
      </c>
    </row>
    <row r="736" spans="1:8" ht="15" customHeight="1" x14ac:dyDescent="0.25">
      <c r="A736" s="2" t="s">
        <v>2083</v>
      </c>
      <c r="B736" s="2" t="s">
        <v>1235</v>
      </c>
      <c r="C736" s="17">
        <v>45985</v>
      </c>
      <c r="D736" s="2" t="s">
        <v>1360</v>
      </c>
      <c r="E736" s="18">
        <v>1471.43</v>
      </c>
      <c r="F736" s="18">
        <v>36.06</v>
      </c>
      <c r="G736" s="2" t="s">
        <v>1361</v>
      </c>
      <c r="H736" s="2" t="s">
        <v>19</v>
      </c>
    </row>
    <row r="737" spans="1:8" ht="15" customHeight="1" x14ac:dyDescent="0.25">
      <c r="A737" s="2" t="s">
        <v>2084</v>
      </c>
      <c r="B737" s="2" t="s">
        <v>1235</v>
      </c>
      <c r="C737" s="17">
        <v>46014</v>
      </c>
      <c r="D737" s="2" t="s">
        <v>1360</v>
      </c>
      <c r="E737" s="18">
        <v>4751.47</v>
      </c>
      <c r="F737" s="18">
        <v>128.08000000000001</v>
      </c>
      <c r="G737" s="2" t="s">
        <v>1361</v>
      </c>
      <c r="H737" s="2" t="s">
        <v>19</v>
      </c>
    </row>
    <row r="738" spans="1:8" ht="15" customHeight="1" x14ac:dyDescent="0.25">
      <c r="A738" s="2" t="s">
        <v>2085</v>
      </c>
      <c r="B738" s="2" t="s">
        <v>1235</v>
      </c>
      <c r="C738" s="17">
        <v>46006</v>
      </c>
      <c r="D738" s="2" t="s">
        <v>1360</v>
      </c>
      <c r="E738" s="18">
        <v>3617.33</v>
      </c>
      <c r="F738" s="18">
        <v>86.22</v>
      </c>
      <c r="G738" s="2" t="s">
        <v>1361</v>
      </c>
      <c r="H738" s="2" t="s">
        <v>19</v>
      </c>
    </row>
    <row r="739" spans="1:8" ht="15" customHeight="1" x14ac:dyDescent="0.25">
      <c r="A739" s="2" t="s">
        <v>2086</v>
      </c>
      <c r="B739" s="2" t="s">
        <v>1235</v>
      </c>
      <c r="C739" s="17">
        <v>46005</v>
      </c>
      <c r="D739" s="2" t="s">
        <v>1360</v>
      </c>
      <c r="E739" s="18">
        <v>5083.0200000000004</v>
      </c>
      <c r="F739" s="18">
        <v>123.12</v>
      </c>
      <c r="G739" s="2" t="s">
        <v>1361</v>
      </c>
      <c r="H739" s="2" t="s">
        <v>19</v>
      </c>
    </row>
    <row r="740" spans="1:8" ht="15" customHeight="1" x14ac:dyDescent="0.25">
      <c r="A740" s="2" t="s">
        <v>2087</v>
      </c>
      <c r="B740" s="2" t="s">
        <v>1236</v>
      </c>
      <c r="C740" s="17">
        <v>45890</v>
      </c>
      <c r="D740" s="2" t="s">
        <v>1373</v>
      </c>
      <c r="E740" s="18">
        <v>4960.9799999999996</v>
      </c>
      <c r="F740" s="18">
        <v>87.56</v>
      </c>
      <c r="G740" s="2" t="s">
        <v>1361</v>
      </c>
      <c r="H740" s="2" t="s">
        <v>21</v>
      </c>
    </row>
    <row r="741" spans="1:8" ht="15" customHeight="1" x14ac:dyDescent="0.25">
      <c r="A741" s="2" t="s">
        <v>2088</v>
      </c>
      <c r="B741" s="2" t="s">
        <v>1236</v>
      </c>
      <c r="C741" s="17">
        <v>45892</v>
      </c>
      <c r="D741" s="2" t="s">
        <v>1373</v>
      </c>
      <c r="E741" s="18">
        <v>1949.9</v>
      </c>
      <c r="F741" s="18">
        <v>0</v>
      </c>
      <c r="G741" s="2" t="s">
        <v>1408</v>
      </c>
      <c r="H741" s="2" t="s">
        <v>21</v>
      </c>
    </row>
    <row r="742" spans="1:8" ht="15" customHeight="1" x14ac:dyDescent="0.25">
      <c r="A742" s="2" t="s">
        <v>2089</v>
      </c>
      <c r="B742" s="2" t="s">
        <v>1236</v>
      </c>
      <c r="C742" s="17">
        <v>45898</v>
      </c>
      <c r="D742" s="2" t="s">
        <v>1373</v>
      </c>
      <c r="E742" s="18">
        <v>3990.93</v>
      </c>
      <c r="F742" s="18">
        <v>72.09</v>
      </c>
      <c r="G742" s="2" t="s">
        <v>1361</v>
      </c>
      <c r="H742" s="2" t="s">
        <v>21</v>
      </c>
    </row>
    <row r="743" spans="1:8" ht="15" customHeight="1" x14ac:dyDescent="0.25">
      <c r="A743" s="2" t="s">
        <v>2090</v>
      </c>
      <c r="B743" s="2" t="s">
        <v>1236</v>
      </c>
      <c r="C743" s="17">
        <v>45911</v>
      </c>
      <c r="D743" s="2" t="s">
        <v>1373</v>
      </c>
      <c r="E743" s="18">
        <v>3593.83</v>
      </c>
      <c r="F743" s="18">
        <v>66.37</v>
      </c>
      <c r="G743" s="2" t="s">
        <v>1361</v>
      </c>
      <c r="H743" s="2" t="s">
        <v>21</v>
      </c>
    </row>
    <row r="744" spans="1:8" ht="15" customHeight="1" x14ac:dyDescent="0.25">
      <c r="A744" s="2" t="s">
        <v>2091</v>
      </c>
      <c r="B744" s="2" t="s">
        <v>1236</v>
      </c>
      <c r="C744" s="17">
        <v>45916</v>
      </c>
      <c r="D744" s="2" t="s">
        <v>1373</v>
      </c>
      <c r="E744" s="18">
        <v>3250.2</v>
      </c>
      <c r="F744" s="18">
        <v>52.23</v>
      </c>
      <c r="G744" s="2" t="s">
        <v>1361</v>
      </c>
      <c r="H744" s="2" t="s">
        <v>21</v>
      </c>
    </row>
    <row r="745" spans="1:8" ht="15" customHeight="1" x14ac:dyDescent="0.25">
      <c r="A745" s="2" t="s">
        <v>2092</v>
      </c>
      <c r="B745" s="2" t="s">
        <v>1236</v>
      </c>
      <c r="C745" s="17">
        <v>45915</v>
      </c>
      <c r="D745" s="2" t="s">
        <v>1373</v>
      </c>
      <c r="E745" s="18">
        <v>2411.75</v>
      </c>
      <c r="F745" s="18">
        <v>40.74</v>
      </c>
      <c r="G745" s="2" t="s">
        <v>1361</v>
      </c>
      <c r="H745" s="2" t="s">
        <v>21</v>
      </c>
    </row>
    <row r="746" spans="1:8" ht="15" customHeight="1" x14ac:dyDescent="0.25">
      <c r="A746" s="2" t="s">
        <v>2093</v>
      </c>
      <c r="B746" s="2" t="s">
        <v>1236</v>
      </c>
      <c r="C746" s="17">
        <v>45950</v>
      </c>
      <c r="D746" s="2" t="s">
        <v>1373</v>
      </c>
      <c r="E746" s="18">
        <v>4778.88</v>
      </c>
      <c r="F746" s="18">
        <v>74.099999999999994</v>
      </c>
      <c r="G746" s="2" t="s">
        <v>1361</v>
      </c>
      <c r="H746" s="2" t="s">
        <v>21</v>
      </c>
    </row>
    <row r="747" spans="1:8" ht="15" customHeight="1" x14ac:dyDescent="0.25">
      <c r="A747" s="2" t="s">
        <v>2094</v>
      </c>
      <c r="B747" s="2" t="s">
        <v>1236</v>
      </c>
      <c r="C747" s="17">
        <v>45936</v>
      </c>
      <c r="D747" s="2" t="s">
        <v>1373</v>
      </c>
      <c r="E747" s="18">
        <v>1237.03</v>
      </c>
      <c r="F747" s="18">
        <v>23.02</v>
      </c>
      <c r="G747" s="2" t="s">
        <v>1361</v>
      </c>
      <c r="H747" s="2" t="s">
        <v>21</v>
      </c>
    </row>
    <row r="748" spans="1:8" ht="15" customHeight="1" x14ac:dyDescent="0.25">
      <c r="A748" s="2" t="s">
        <v>2095</v>
      </c>
      <c r="B748" s="2" t="s">
        <v>1236</v>
      </c>
      <c r="C748" s="17">
        <v>45991</v>
      </c>
      <c r="D748" s="2" t="s">
        <v>1373</v>
      </c>
      <c r="E748" s="18">
        <v>1391.74</v>
      </c>
      <c r="F748" s="18">
        <v>27.38</v>
      </c>
      <c r="G748" s="2" t="s">
        <v>1361</v>
      </c>
      <c r="H748" s="2" t="s">
        <v>21</v>
      </c>
    </row>
    <row r="749" spans="1:8" ht="15" customHeight="1" x14ac:dyDescent="0.25">
      <c r="A749" s="2" t="s">
        <v>2096</v>
      </c>
      <c r="B749" s="2" t="s">
        <v>1236</v>
      </c>
      <c r="C749" s="17">
        <v>45964</v>
      </c>
      <c r="D749" s="2" t="s">
        <v>1373</v>
      </c>
      <c r="E749" s="18">
        <v>4300.87</v>
      </c>
      <c r="F749" s="18">
        <v>70.86</v>
      </c>
      <c r="G749" s="2" t="s">
        <v>1361</v>
      </c>
      <c r="H749" s="2" t="s">
        <v>21</v>
      </c>
    </row>
    <row r="750" spans="1:8" ht="15" customHeight="1" x14ac:dyDescent="0.25">
      <c r="A750" s="2" t="s">
        <v>2097</v>
      </c>
      <c r="B750" s="2" t="s">
        <v>1236</v>
      </c>
      <c r="C750" s="17">
        <v>45997</v>
      </c>
      <c r="D750" s="2" t="s">
        <v>1373</v>
      </c>
      <c r="E750" s="18">
        <v>1738.48</v>
      </c>
      <c r="F750" s="18">
        <v>31.86</v>
      </c>
      <c r="G750" s="2" t="s">
        <v>1361</v>
      </c>
      <c r="H750" s="2" t="s">
        <v>21</v>
      </c>
    </row>
    <row r="751" spans="1:8" ht="15" customHeight="1" x14ac:dyDescent="0.25">
      <c r="A751" s="2" t="s">
        <v>131</v>
      </c>
      <c r="B751" s="2" t="s">
        <v>1237</v>
      </c>
      <c r="C751" s="17">
        <v>45928</v>
      </c>
      <c r="D751" s="2" t="s">
        <v>1360</v>
      </c>
      <c r="E751" s="18">
        <v>4797.6099999999997</v>
      </c>
      <c r="F751" s="18">
        <v>127.97</v>
      </c>
      <c r="G751" s="2" t="s">
        <v>1408</v>
      </c>
      <c r="H751" s="2" t="s">
        <v>19</v>
      </c>
    </row>
    <row r="752" spans="1:8" ht="15" customHeight="1" x14ac:dyDescent="0.25">
      <c r="A752" s="2" t="s">
        <v>2098</v>
      </c>
      <c r="B752" s="2" t="s">
        <v>1237</v>
      </c>
      <c r="C752" s="17">
        <v>45912</v>
      </c>
      <c r="D752" s="2" t="s">
        <v>1360</v>
      </c>
      <c r="E752" s="18">
        <v>3351.63</v>
      </c>
      <c r="F752" s="18">
        <v>89.81</v>
      </c>
      <c r="G752" s="2" t="s">
        <v>1361</v>
      </c>
      <c r="H752" s="2" t="s">
        <v>19</v>
      </c>
    </row>
    <row r="753" spans="1:8" ht="15" customHeight="1" x14ac:dyDescent="0.25">
      <c r="A753" s="2" t="s">
        <v>2099</v>
      </c>
      <c r="B753" s="2" t="s">
        <v>1237</v>
      </c>
      <c r="C753" s="17">
        <v>45959</v>
      </c>
      <c r="D753" s="2" t="s">
        <v>1360</v>
      </c>
      <c r="E753" s="18">
        <v>3294.61</v>
      </c>
      <c r="F753" s="18">
        <v>84.05</v>
      </c>
      <c r="G753" s="2" t="s">
        <v>1361</v>
      </c>
      <c r="H753" s="2" t="s">
        <v>19</v>
      </c>
    </row>
    <row r="754" spans="1:8" ht="15" customHeight="1" x14ac:dyDescent="0.25">
      <c r="A754" s="2" t="s">
        <v>2100</v>
      </c>
      <c r="B754" s="2" t="s">
        <v>1237</v>
      </c>
      <c r="C754" s="17">
        <v>45955</v>
      </c>
      <c r="D754" s="2" t="s">
        <v>1360</v>
      </c>
      <c r="E754" s="18">
        <v>3490.97</v>
      </c>
      <c r="F754" s="18">
        <v>92.62</v>
      </c>
      <c r="G754" s="2" t="s">
        <v>1361</v>
      </c>
      <c r="H754" s="2" t="s">
        <v>19</v>
      </c>
    </row>
    <row r="755" spans="1:8" ht="15" customHeight="1" x14ac:dyDescent="0.25">
      <c r="A755" s="2" t="s">
        <v>2101</v>
      </c>
      <c r="B755" s="2" t="s">
        <v>1237</v>
      </c>
      <c r="C755" s="17">
        <v>45949</v>
      </c>
      <c r="D755" s="2" t="s">
        <v>1360</v>
      </c>
      <c r="E755" s="18">
        <v>2433.37</v>
      </c>
      <c r="F755" s="18">
        <v>54.53</v>
      </c>
      <c r="G755" s="2" t="s">
        <v>1361</v>
      </c>
      <c r="H755" s="2" t="s">
        <v>19</v>
      </c>
    </row>
    <row r="756" spans="1:8" ht="15" customHeight="1" x14ac:dyDescent="0.25">
      <c r="A756" s="2" t="s">
        <v>2102</v>
      </c>
      <c r="B756" s="2" t="s">
        <v>1237</v>
      </c>
      <c r="C756" s="17">
        <v>45962</v>
      </c>
      <c r="D756" s="2" t="s">
        <v>1360</v>
      </c>
      <c r="E756" s="18">
        <v>3376.34</v>
      </c>
      <c r="F756" s="18">
        <v>75.19</v>
      </c>
      <c r="G756" s="2" t="s">
        <v>1361</v>
      </c>
      <c r="H756" s="2" t="s">
        <v>19</v>
      </c>
    </row>
    <row r="757" spans="1:8" ht="15" customHeight="1" x14ac:dyDescent="0.25">
      <c r="A757" s="2" t="s">
        <v>2103</v>
      </c>
      <c r="B757" s="2" t="s">
        <v>1237</v>
      </c>
      <c r="C757" s="17">
        <v>45975</v>
      </c>
      <c r="D757" s="2" t="s">
        <v>1360</v>
      </c>
      <c r="E757" s="18">
        <v>2643.46</v>
      </c>
      <c r="F757" s="18">
        <v>69.69</v>
      </c>
      <c r="G757" s="2" t="s">
        <v>1361</v>
      </c>
      <c r="H757" s="2" t="s">
        <v>19</v>
      </c>
    </row>
    <row r="758" spans="1:8" ht="15" customHeight="1" x14ac:dyDescent="0.25">
      <c r="A758" s="2" t="s">
        <v>2104</v>
      </c>
      <c r="B758" s="2" t="s">
        <v>1237</v>
      </c>
      <c r="C758" s="17">
        <v>45972</v>
      </c>
      <c r="D758" s="2" t="s">
        <v>1360</v>
      </c>
      <c r="E758" s="18">
        <v>3841.43</v>
      </c>
      <c r="F758" s="18">
        <v>108.94</v>
      </c>
      <c r="G758" s="2" t="s">
        <v>1361</v>
      </c>
      <c r="H758" s="2" t="s">
        <v>19</v>
      </c>
    </row>
    <row r="759" spans="1:8" ht="15" customHeight="1" x14ac:dyDescent="0.25">
      <c r="A759" s="2" t="s">
        <v>2105</v>
      </c>
      <c r="B759" s="2" t="s">
        <v>1238</v>
      </c>
      <c r="C759" s="17">
        <v>46020</v>
      </c>
      <c r="D759" s="2" t="s">
        <v>1360</v>
      </c>
      <c r="E759" s="18">
        <v>3474.11</v>
      </c>
      <c r="F759" s="18">
        <v>97.03</v>
      </c>
      <c r="G759" s="2" t="s">
        <v>1361</v>
      </c>
      <c r="H759" s="2" t="s">
        <v>20</v>
      </c>
    </row>
    <row r="760" spans="1:8" ht="15" customHeight="1" x14ac:dyDescent="0.25">
      <c r="A760" s="2" t="s">
        <v>2106</v>
      </c>
      <c r="B760" s="2" t="s">
        <v>1238</v>
      </c>
      <c r="C760" s="17">
        <v>46021</v>
      </c>
      <c r="D760" s="2" t="s">
        <v>1360</v>
      </c>
      <c r="E760" s="18">
        <v>4827.63</v>
      </c>
      <c r="F760" s="18">
        <v>114.14</v>
      </c>
      <c r="G760" s="2" t="s">
        <v>1361</v>
      </c>
      <c r="H760" s="2" t="s">
        <v>20</v>
      </c>
    </row>
    <row r="761" spans="1:8" ht="15" customHeight="1" x14ac:dyDescent="0.25">
      <c r="A761" s="2" t="s">
        <v>2107</v>
      </c>
      <c r="B761" s="2" t="s">
        <v>1239</v>
      </c>
      <c r="C761" s="17">
        <v>45991</v>
      </c>
      <c r="D761" s="2" t="s">
        <v>1360</v>
      </c>
      <c r="E761" s="18">
        <v>2909.91</v>
      </c>
      <c r="F761" s="18">
        <v>69.05</v>
      </c>
      <c r="G761" s="2" t="s">
        <v>1361</v>
      </c>
      <c r="H761" s="2" t="s">
        <v>21</v>
      </c>
    </row>
    <row r="762" spans="1:8" ht="15" customHeight="1" x14ac:dyDescent="0.25">
      <c r="A762" s="2" t="s">
        <v>2108</v>
      </c>
      <c r="B762" s="2" t="s">
        <v>1239</v>
      </c>
      <c r="C762" s="17">
        <v>45977</v>
      </c>
      <c r="D762" s="2" t="s">
        <v>1360</v>
      </c>
      <c r="E762" s="18">
        <v>3408.13</v>
      </c>
      <c r="F762" s="18">
        <v>84.97</v>
      </c>
      <c r="G762" s="2" t="s">
        <v>1361</v>
      </c>
      <c r="H762" s="2" t="s">
        <v>21</v>
      </c>
    </row>
    <row r="763" spans="1:8" ht="15" customHeight="1" x14ac:dyDescent="0.25">
      <c r="A763" s="2" t="s">
        <v>2109</v>
      </c>
      <c r="B763" s="2" t="s">
        <v>1239</v>
      </c>
      <c r="C763" s="17">
        <v>45963</v>
      </c>
      <c r="D763" s="2" t="s">
        <v>1360</v>
      </c>
      <c r="E763" s="18">
        <v>4064.49</v>
      </c>
      <c r="F763" s="18">
        <v>105.99</v>
      </c>
      <c r="G763" s="2" t="s">
        <v>1361</v>
      </c>
      <c r="H763" s="2" t="s">
        <v>21</v>
      </c>
    </row>
    <row r="764" spans="1:8" ht="15" customHeight="1" x14ac:dyDescent="0.25">
      <c r="A764" s="2" t="s">
        <v>2110</v>
      </c>
      <c r="B764" s="2" t="s">
        <v>1239</v>
      </c>
      <c r="C764" s="17">
        <v>46001</v>
      </c>
      <c r="D764" s="2" t="s">
        <v>1360</v>
      </c>
      <c r="E764" s="18">
        <v>1241.47</v>
      </c>
      <c r="F764" s="18">
        <v>31.36</v>
      </c>
      <c r="G764" s="2" t="s">
        <v>1361</v>
      </c>
      <c r="H764" s="2" t="s">
        <v>21</v>
      </c>
    </row>
    <row r="765" spans="1:8" ht="15" customHeight="1" x14ac:dyDescent="0.25">
      <c r="A765" s="2" t="s">
        <v>2111</v>
      </c>
      <c r="B765" s="2" t="s">
        <v>1240</v>
      </c>
      <c r="C765" s="17">
        <v>45838</v>
      </c>
      <c r="D765" s="2" t="s">
        <v>1360</v>
      </c>
      <c r="E765" s="18">
        <v>39193.94</v>
      </c>
      <c r="F765" s="18">
        <v>945.19</v>
      </c>
      <c r="G765" s="2" t="s">
        <v>1361</v>
      </c>
      <c r="H765" s="2" t="s">
        <v>20</v>
      </c>
    </row>
    <row r="766" spans="1:8" ht="15" customHeight="1" x14ac:dyDescent="0.25">
      <c r="A766" s="2" t="s">
        <v>2112</v>
      </c>
      <c r="B766" s="2" t="s">
        <v>1240</v>
      </c>
      <c r="C766" s="17">
        <v>45835</v>
      </c>
      <c r="D766" s="2" t="s">
        <v>1360</v>
      </c>
      <c r="E766" s="18">
        <v>45752.63</v>
      </c>
      <c r="F766" s="18">
        <v>1286.08</v>
      </c>
      <c r="G766" s="2" t="s">
        <v>1361</v>
      </c>
      <c r="H766" s="2" t="s">
        <v>20</v>
      </c>
    </row>
    <row r="767" spans="1:8" ht="15" customHeight="1" x14ac:dyDescent="0.25">
      <c r="A767" s="2" t="s">
        <v>2113</v>
      </c>
      <c r="B767" s="2" t="s">
        <v>1240</v>
      </c>
      <c r="C767" s="17">
        <v>45834</v>
      </c>
      <c r="D767" s="2" t="s">
        <v>1360</v>
      </c>
      <c r="E767" s="18">
        <v>52328.15</v>
      </c>
      <c r="F767" s="18">
        <v>1465.44</v>
      </c>
      <c r="G767" s="2" t="s">
        <v>1361</v>
      </c>
      <c r="H767" s="2" t="s">
        <v>20</v>
      </c>
    </row>
    <row r="768" spans="1:8" ht="15" customHeight="1" x14ac:dyDescent="0.25">
      <c r="A768" s="2" t="s">
        <v>2114</v>
      </c>
      <c r="B768" s="2" t="s">
        <v>1240</v>
      </c>
      <c r="C768" s="17">
        <v>45869</v>
      </c>
      <c r="D768" s="2" t="s">
        <v>1360</v>
      </c>
      <c r="E768" s="18">
        <v>16831.7</v>
      </c>
      <c r="F768" s="18">
        <v>430.52</v>
      </c>
      <c r="G768" s="2" t="s">
        <v>1361</v>
      </c>
      <c r="H768" s="2" t="s">
        <v>20</v>
      </c>
    </row>
    <row r="769" spans="1:8" ht="15" customHeight="1" x14ac:dyDescent="0.25">
      <c r="A769" s="2" t="s">
        <v>2115</v>
      </c>
      <c r="B769" s="2" t="s">
        <v>1240</v>
      </c>
      <c r="C769" s="17">
        <v>45840</v>
      </c>
      <c r="D769" s="2" t="s">
        <v>1360</v>
      </c>
      <c r="E769" s="18">
        <v>20122.22</v>
      </c>
      <c r="F769" s="18">
        <v>550.89</v>
      </c>
      <c r="G769" s="2" t="s">
        <v>1361</v>
      </c>
      <c r="H769" s="2" t="s">
        <v>20</v>
      </c>
    </row>
    <row r="770" spans="1:8" ht="15" customHeight="1" x14ac:dyDescent="0.25">
      <c r="A770" s="2" t="s">
        <v>2116</v>
      </c>
      <c r="B770" s="2" t="s">
        <v>1240</v>
      </c>
      <c r="C770" s="17">
        <v>45862</v>
      </c>
      <c r="D770" s="2" t="s">
        <v>1360</v>
      </c>
      <c r="E770" s="18">
        <v>54496.82</v>
      </c>
      <c r="F770" s="18">
        <v>1247.68</v>
      </c>
      <c r="G770" s="2" t="s">
        <v>1361</v>
      </c>
      <c r="H770" s="2" t="s">
        <v>20</v>
      </c>
    </row>
    <row r="771" spans="1:8" ht="15" customHeight="1" x14ac:dyDescent="0.25">
      <c r="A771" s="2" t="s">
        <v>2117</v>
      </c>
      <c r="B771" s="2" t="s">
        <v>1240</v>
      </c>
      <c r="C771" s="17">
        <v>45874</v>
      </c>
      <c r="D771" s="2" t="s">
        <v>1360</v>
      </c>
      <c r="E771" s="18">
        <v>26703.13</v>
      </c>
      <c r="F771" s="18">
        <v>683.3</v>
      </c>
      <c r="G771" s="2" t="s">
        <v>1361</v>
      </c>
      <c r="H771" s="2" t="s">
        <v>20</v>
      </c>
    </row>
    <row r="772" spans="1:8" ht="15" customHeight="1" x14ac:dyDescent="0.25">
      <c r="A772" s="2" t="s">
        <v>2118</v>
      </c>
      <c r="B772" s="2" t="s">
        <v>1240</v>
      </c>
      <c r="C772" s="17">
        <v>45890</v>
      </c>
      <c r="D772" s="2" t="s">
        <v>1360</v>
      </c>
      <c r="E772" s="18">
        <v>55674.75</v>
      </c>
      <c r="F772" s="18">
        <v>1449.65</v>
      </c>
      <c r="G772" s="2" t="s">
        <v>1361</v>
      </c>
      <c r="H772" s="2" t="s">
        <v>20</v>
      </c>
    </row>
    <row r="773" spans="1:8" ht="15" customHeight="1" x14ac:dyDescent="0.25">
      <c r="A773" s="2" t="s">
        <v>2119</v>
      </c>
      <c r="B773" s="2" t="s">
        <v>1240</v>
      </c>
      <c r="C773" s="17">
        <v>45870</v>
      </c>
      <c r="D773" s="2" t="s">
        <v>1360</v>
      </c>
      <c r="E773" s="18">
        <v>60081.75</v>
      </c>
      <c r="F773" s="18">
        <v>1672.54</v>
      </c>
      <c r="G773" s="2" t="s">
        <v>1361</v>
      </c>
      <c r="H773" s="2" t="s">
        <v>20</v>
      </c>
    </row>
    <row r="774" spans="1:8" ht="15" customHeight="1" x14ac:dyDescent="0.25">
      <c r="A774" s="2" t="s">
        <v>2120</v>
      </c>
      <c r="B774" s="2" t="s">
        <v>1240</v>
      </c>
      <c r="C774" s="17">
        <v>45906</v>
      </c>
      <c r="D774" s="2" t="s">
        <v>1360</v>
      </c>
      <c r="E774" s="18">
        <v>41470.699999999997</v>
      </c>
      <c r="F774" s="18">
        <v>1180.31</v>
      </c>
      <c r="G774" s="2" t="s">
        <v>1361</v>
      </c>
      <c r="H774" s="2" t="s">
        <v>20</v>
      </c>
    </row>
    <row r="775" spans="1:8" ht="15" customHeight="1" x14ac:dyDescent="0.25">
      <c r="A775" s="2" t="s">
        <v>2121</v>
      </c>
      <c r="B775" s="2" t="s">
        <v>1240</v>
      </c>
      <c r="C775" s="17">
        <v>45924</v>
      </c>
      <c r="D775" s="2" t="s">
        <v>1360</v>
      </c>
      <c r="E775" s="18">
        <v>24471.51</v>
      </c>
      <c r="F775" s="18">
        <v>676.31</v>
      </c>
      <c r="G775" s="2" t="s">
        <v>1361</v>
      </c>
      <c r="H775" s="2" t="s">
        <v>20</v>
      </c>
    </row>
    <row r="776" spans="1:8" ht="15" customHeight="1" x14ac:dyDescent="0.25">
      <c r="A776" s="2" t="s">
        <v>2122</v>
      </c>
      <c r="B776" s="2" t="s">
        <v>1240</v>
      </c>
      <c r="C776" s="17">
        <v>45945</v>
      </c>
      <c r="D776" s="2" t="s">
        <v>1360</v>
      </c>
      <c r="E776" s="18">
        <v>18849.03</v>
      </c>
      <c r="F776" s="18">
        <v>513.5</v>
      </c>
      <c r="G776" s="2" t="s">
        <v>1361</v>
      </c>
      <c r="H776" s="2" t="s">
        <v>20</v>
      </c>
    </row>
    <row r="777" spans="1:8" ht="15" customHeight="1" x14ac:dyDescent="0.25">
      <c r="A777" s="2" t="s">
        <v>2123</v>
      </c>
      <c r="B777" s="2" t="s">
        <v>1240</v>
      </c>
      <c r="C777" s="17">
        <v>45975</v>
      </c>
      <c r="D777" s="2" t="s">
        <v>1360</v>
      </c>
      <c r="E777" s="18">
        <v>26596.71</v>
      </c>
      <c r="F777" s="18">
        <v>662.22</v>
      </c>
      <c r="G777" s="2" t="s">
        <v>1361</v>
      </c>
      <c r="H777" s="2" t="s">
        <v>20</v>
      </c>
    </row>
    <row r="778" spans="1:8" ht="15" customHeight="1" x14ac:dyDescent="0.25">
      <c r="A778" s="2" t="s">
        <v>2124</v>
      </c>
      <c r="B778" s="2" t="s">
        <v>1241</v>
      </c>
      <c r="C778" s="17">
        <v>46011</v>
      </c>
      <c r="D778" s="2" t="s">
        <v>1360</v>
      </c>
      <c r="E778" s="18">
        <v>3269.32</v>
      </c>
      <c r="F778" s="18">
        <v>81.16</v>
      </c>
      <c r="G778" s="2" t="s">
        <v>1361</v>
      </c>
      <c r="H778" s="2" t="s">
        <v>19</v>
      </c>
    </row>
    <row r="779" spans="1:8" ht="15" customHeight="1" x14ac:dyDescent="0.25">
      <c r="A779" s="2" t="s">
        <v>2125</v>
      </c>
      <c r="B779" s="2" t="s">
        <v>1241</v>
      </c>
      <c r="C779" s="17">
        <v>46013</v>
      </c>
      <c r="D779" s="2" t="s">
        <v>1360</v>
      </c>
      <c r="E779" s="18">
        <v>2379.09</v>
      </c>
      <c r="F779" s="18">
        <v>66.87</v>
      </c>
      <c r="G779" s="2" t="s">
        <v>1361</v>
      </c>
      <c r="H779" s="2" t="s">
        <v>19</v>
      </c>
    </row>
    <row r="780" spans="1:8" ht="15" customHeight="1" x14ac:dyDescent="0.25">
      <c r="A780" s="2" t="s">
        <v>2126</v>
      </c>
      <c r="B780" s="2" t="s">
        <v>1241</v>
      </c>
      <c r="C780" s="17">
        <v>46014</v>
      </c>
      <c r="D780" s="2" t="s">
        <v>1360</v>
      </c>
      <c r="E780" s="18">
        <v>1673.53</v>
      </c>
      <c r="F780" s="18">
        <v>39.880000000000003</v>
      </c>
      <c r="G780" s="2" t="s">
        <v>1361</v>
      </c>
      <c r="H780" s="2" t="s">
        <v>19</v>
      </c>
    </row>
    <row r="781" spans="1:8" ht="15" customHeight="1" x14ac:dyDescent="0.25">
      <c r="A781" s="2" t="s">
        <v>2127</v>
      </c>
      <c r="B781" s="2" t="s">
        <v>83</v>
      </c>
      <c r="C781" s="17">
        <v>45716</v>
      </c>
      <c r="D781" s="2" t="s">
        <v>1373</v>
      </c>
      <c r="E781" s="18">
        <v>8302.93</v>
      </c>
      <c r="F781" s="18">
        <v>171.75</v>
      </c>
      <c r="G781" s="2" t="s">
        <v>1361</v>
      </c>
      <c r="H781" s="2" t="s">
        <v>22</v>
      </c>
    </row>
    <row r="782" spans="1:8" ht="15" customHeight="1" x14ac:dyDescent="0.25">
      <c r="A782" s="2" t="s">
        <v>2128</v>
      </c>
      <c r="B782" s="2" t="s">
        <v>83</v>
      </c>
      <c r="C782" s="17">
        <v>45740</v>
      </c>
      <c r="D782" s="2" t="s">
        <v>1373</v>
      </c>
      <c r="E782" s="18">
        <v>12437.86</v>
      </c>
      <c r="F782" s="18">
        <v>234.75</v>
      </c>
      <c r="G782" s="2" t="s">
        <v>1361</v>
      </c>
      <c r="H782" s="2" t="s">
        <v>22</v>
      </c>
    </row>
    <row r="783" spans="1:8" ht="15" customHeight="1" x14ac:dyDescent="0.25">
      <c r="A783" s="2" t="s">
        <v>2129</v>
      </c>
      <c r="B783" s="2" t="s">
        <v>83</v>
      </c>
      <c r="C783" s="17">
        <v>45758</v>
      </c>
      <c r="D783" s="2" t="s">
        <v>1373</v>
      </c>
      <c r="E783" s="18">
        <v>9375.98</v>
      </c>
      <c r="F783" s="18">
        <v>188.89</v>
      </c>
      <c r="G783" s="2" t="s">
        <v>1361</v>
      </c>
      <c r="H783" s="2" t="s">
        <v>22</v>
      </c>
    </row>
    <row r="784" spans="1:8" ht="15" customHeight="1" x14ac:dyDescent="0.25">
      <c r="A784" s="2" t="s">
        <v>2130</v>
      </c>
      <c r="B784" s="2" t="s">
        <v>83</v>
      </c>
      <c r="C784" s="17">
        <v>45761</v>
      </c>
      <c r="D784" s="2" t="s">
        <v>1373</v>
      </c>
      <c r="E784" s="18">
        <v>6633.8</v>
      </c>
      <c r="F784" s="18">
        <v>101.72</v>
      </c>
      <c r="G784" s="2" t="s">
        <v>1361</v>
      </c>
      <c r="H784" s="2" t="s">
        <v>22</v>
      </c>
    </row>
    <row r="785" spans="1:8" ht="15" customHeight="1" x14ac:dyDescent="0.25">
      <c r="A785" s="2" t="s">
        <v>2131</v>
      </c>
      <c r="B785" s="2" t="s">
        <v>83</v>
      </c>
      <c r="C785" s="17">
        <v>45759</v>
      </c>
      <c r="D785" s="2" t="s">
        <v>1373</v>
      </c>
      <c r="E785" s="18">
        <v>15628.31</v>
      </c>
      <c r="F785" s="18">
        <v>309.8</v>
      </c>
      <c r="G785" s="2" t="s">
        <v>1361</v>
      </c>
      <c r="H785" s="2" t="s">
        <v>22</v>
      </c>
    </row>
    <row r="786" spans="1:8" ht="15" customHeight="1" x14ac:dyDescent="0.25">
      <c r="A786" s="2" t="s">
        <v>2132</v>
      </c>
      <c r="B786" s="2" t="s">
        <v>83</v>
      </c>
      <c r="C786" s="17">
        <v>45800</v>
      </c>
      <c r="D786" s="2" t="s">
        <v>1373</v>
      </c>
      <c r="E786" s="18">
        <v>9003.74</v>
      </c>
      <c r="F786" s="18">
        <v>170.77</v>
      </c>
      <c r="G786" s="2" t="s">
        <v>1361</v>
      </c>
      <c r="H786" s="2" t="s">
        <v>22</v>
      </c>
    </row>
    <row r="787" spans="1:8" ht="15" customHeight="1" x14ac:dyDescent="0.25">
      <c r="A787" s="2" t="s">
        <v>2133</v>
      </c>
      <c r="B787" s="2" t="s">
        <v>83</v>
      </c>
      <c r="C787" s="17">
        <v>45796</v>
      </c>
      <c r="D787" s="2" t="s">
        <v>1373</v>
      </c>
      <c r="E787" s="18">
        <v>12945.24</v>
      </c>
      <c r="F787" s="18">
        <v>225.11</v>
      </c>
      <c r="G787" s="2" t="s">
        <v>1361</v>
      </c>
      <c r="H787" s="2" t="s">
        <v>22</v>
      </c>
    </row>
    <row r="788" spans="1:8" ht="15" customHeight="1" x14ac:dyDescent="0.25">
      <c r="A788" s="2" t="s">
        <v>2134</v>
      </c>
      <c r="B788" s="2" t="s">
        <v>83</v>
      </c>
      <c r="C788" s="17">
        <v>45837</v>
      </c>
      <c r="D788" s="2" t="s">
        <v>1373</v>
      </c>
      <c r="E788" s="18">
        <v>13793.48</v>
      </c>
      <c r="F788" s="18">
        <v>266.89</v>
      </c>
      <c r="G788" s="2" t="s">
        <v>1361</v>
      </c>
      <c r="H788" s="2" t="s">
        <v>22</v>
      </c>
    </row>
    <row r="789" spans="1:8" ht="15" customHeight="1" x14ac:dyDescent="0.25">
      <c r="A789" s="2" t="s">
        <v>2135</v>
      </c>
      <c r="B789" s="2" t="s">
        <v>83</v>
      </c>
      <c r="C789" s="17">
        <v>45841</v>
      </c>
      <c r="D789" s="2" t="s">
        <v>1373</v>
      </c>
      <c r="E789" s="18">
        <v>15780.62</v>
      </c>
      <c r="F789" s="18">
        <v>289.25</v>
      </c>
      <c r="G789" s="2" t="s">
        <v>1361</v>
      </c>
      <c r="H789" s="2" t="s">
        <v>22</v>
      </c>
    </row>
    <row r="790" spans="1:8" ht="15" customHeight="1" x14ac:dyDescent="0.25">
      <c r="A790" s="2" t="s">
        <v>2136</v>
      </c>
      <c r="B790" s="2" t="s">
        <v>83</v>
      </c>
      <c r="C790" s="17">
        <v>45851</v>
      </c>
      <c r="D790" s="2" t="s">
        <v>1373</v>
      </c>
      <c r="E790" s="18">
        <v>10592.74</v>
      </c>
      <c r="F790" s="18">
        <v>176.83</v>
      </c>
      <c r="G790" s="2" t="s">
        <v>1361</v>
      </c>
      <c r="H790" s="2" t="s">
        <v>22</v>
      </c>
    </row>
    <row r="791" spans="1:8" ht="15" customHeight="1" x14ac:dyDescent="0.25">
      <c r="A791" s="2" t="s">
        <v>110</v>
      </c>
      <c r="B791" s="2" t="s">
        <v>83</v>
      </c>
      <c r="C791" s="17">
        <v>45862</v>
      </c>
      <c r="D791" s="2" t="s">
        <v>1373</v>
      </c>
      <c r="E791" s="18">
        <v>6971.99</v>
      </c>
      <c r="F791" s="18">
        <v>136.13</v>
      </c>
      <c r="G791" s="2" t="s">
        <v>1361</v>
      </c>
      <c r="H791" s="2" t="s">
        <v>22</v>
      </c>
    </row>
    <row r="792" spans="1:8" ht="15" customHeight="1" x14ac:dyDescent="0.25">
      <c r="A792" s="2" t="s">
        <v>2137</v>
      </c>
      <c r="B792" s="2" t="s">
        <v>83</v>
      </c>
      <c r="C792" s="17">
        <v>45890</v>
      </c>
      <c r="D792" s="2" t="s">
        <v>1373</v>
      </c>
      <c r="E792" s="18">
        <v>6215.49</v>
      </c>
      <c r="F792" s="18">
        <v>109.61</v>
      </c>
      <c r="G792" s="2" t="s">
        <v>1361</v>
      </c>
      <c r="H792" s="2" t="s">
        <v>22</v>
      </c>
    </row>
    <row r="793" spans="1:8" ht="15" customHeight="1" x14ac:dyDescent="0.25">
      <c r="A793" s="2" t="s">
        <v>2138</v>
      </c>
      <c r="B793" s="2" t="s">
        <v>83</v>
      </c>
      <c r="C793" s="17">
        <v>45915</v>
      </c>
      <c r="D793" s="2" t="s">
        <v>1373</v>
      </c>
      <c r="E793" s="18">
        <v>10583.48</v>
      </c>
      <c r="F793" s="18">
        <v>191.92</v>
      </c>
      <c r="G793" s="2" t="s">
        <v>1361</v>
      </c>
      <c r="H793" s="2" t="s">
        <v>22</v>
      </c>
    </row>
    <row r="794" spans="1:8" ht="15" customHeight="1" x14ac:dyDescent="0.25">
      <c r="A794" s="2" t="s">
        <v>2139</v>
      </c>
      <c r="B794" s="2" t="s">
        <v>83</v>
      </c>
      <c r="C794" s="17">
        <v>45930</v>
      </c>
      <c r="D794" s="2" t="s">
        <v>1373</v>
      </c>
      <c r="E794" s="18">
        <v>13649.19</v>
      </c>
      <c r="F794" s="18">
        <v>262.75</v>
      </c>
      <c r="G794" s="2" t="s">
        <v>1361</v>
      </c>
      <c r="H794" s="2" t="s">
        <v>22</v>
      </c>
    </row>
    <row r="795" spans="1:8" ht="15" customHeight="1" x14ac:dyDescent="0.25">
      <c r="A795" s="2" t="s">
        <v>2140</v>
      </c>
      <c r="B795" s="2" t="s">
        <v>83</v>
      </c>
      <c r="C795" s="17">
        <v>45914</v>
      </c>
      <c r="D795" s="2" t="s">
        <v>1373</v>
      </c>
      <c r="E795" s="18">
        <v>15023.87</v>
      </c>
      <c r="F795" s="18">
        <v>259.02</v>
      </c>
      <c r="G795" s="2" t="s">
        <v>1361</v>
      </c>
      <c r="H795" s="2" t="s">
        <v>22</v>
      </c>
    </row>
    <row r="796" spans="1:8" ht="15" customHeight="1" x14ac:dyDescent="0.25">
      <c r="A796" s="2" t="s">
        <v>2141</v>
      </c>
      <c r="B796" s="2" t="s">
        <v>83</v>
      </c>
      <c r="C796" s="17">
        <v>45942</v>
      </c>
      <c r="D796" s="2" t="s">
        <v>1373</v>
      </c>
      <c r="E796" s="18">
        <v>15059.37</v>
      </c>
      <c r="F796" s="18">
        <v>230.59</v>
      </c>
      <c r="G796" s="2" t="s">
        <v>1361</v>
      </c>
      <c r="H796" s="2" t="s">
        <v>22</v>
      </c>
    </row>
    <row r="797" spans="1:8" ht="15" customHeight="1" x14ac:dyDescent="0.25">
      <c r="A797" s="2" t="s">
        <v>2142</v>
      </c>
      <c r="B797" s="2" t="s">
        <v>83</v>
      </c>
      <c r="C797" s="17">
        <v>45945</v>
      </c>
      <c r="D797" s="2" t="s">
        <v>1373</v>
      </c>
      <c r="E797" s="18">
        <v>8502.6200000000008</v>
      </c>
      <c r="F797" s="18">
        <v>145.68</v>
      </c>
      <c r="G797" s="2" t="s">
        <v>1361</v>
      </c>
      <c r="H797" s="2" t="s">
        <v>22</v>
      </c>
    </row>
    <row r="798" spans="1:8" ht="15" customHeight="1" x14ac:dyDescent="0.25">
      <c r="A798" s="2" t="s">
        <v>2143</v>
      </c>
      <c r="B798" s="2" t="s">
        <v>83</v>
      </c>
      <c r="C798" s="17">
        <v>45973</v>
      </c>
      <c r="D798" s="2" t="s">
        <v>1373</v>
      </c>
      <c r="E798" s="18">
        <v>12900.07</v>
      </c>
      <c r="F798" s="18">
        <v>245.45</v>
      </c>
      <c r="G798" s="2" t="s">
        <v>1361</v>
      </c>
      <c r="H798" s="2" t="s">
        <v>22</v>
      </c>
    </row>
    <row r="799" spans="1:8" ht="15" customHeight="1" x14ac:dyDescent="0.25">
      <c r="A799" s="2" t="s">
        <v>2144</v>
      </c>
      <c r="B799" s="2" t="s">
        <v>83</v>
      </c>
      <c r="C799" s="17">
        <v>45987</v>
      </c>
      <c r="D799" s="2" t="s">
        <v>1373</v>
      </c>
      <c r="E799" s="18">
        <v>13301.08</v>
      </c>
      <c r="F799" s="18">
        <v>260.2</v>
      </c>
      <c r="G799" s="2" t="s">
        <v>1361</v>
      </c>
      <c r="H799" s="2" t="s">
        <v>22</v>
      </c>
    </row>
    <row r="800" spans="1:8" ht="15" customHeight="1" x14ac:dyDescent="0.25">
      <c r="A800" s="2" t="s">
        <v>2145</v>
      </c>
      <c r="B800" s="2" t="s">
        <v>83</v>
      </c>
      <c r="C800" s="17">
        <v>46016</v>
      </c>
      <c r="D800" s="2" t="s">
        <v>1373</v>
      </c>
      <c r="E800" s="18">
        <v>5414.76</v>
      </c>
      <c r="F800" s="18">
        <v>107.31</v>
      </c>
      <c r="G800" s="2" t="s">
        <v>1361</v>
      </c>
      <c r="H800" s="2" t="s">
        <v>22</v>
      </c>
    </row>
    <row r="801" spans="1:8" ht="15" customHeight="1" x14ac:dyDescent="0.25">
      <c r="A801" s="2" t="s">
        <v>2146</v>
      </c>
      <c r="B801" s="2" t="s">
        <v>1243</v>
      </c>
      <c r="C801" s="17">
        <v>45959</v>
      </c>
      <c r="D801" s="2" t="s">
        <v>1423</v>
      </c>
      <c r="E801" s="18">
        <v>3177.51</v>
      </c>
      <c r="F801" s="18">
        <v>93.2</v>
      </c>
      <c r="G801" s="2" t="s">
        <v>1361</v>
      </c>
      <c r="H801" s="2" t="s">
        <v>19</v>
      </c>
    </row>
    <row r="802" spans="1:8" ht="15" customHeight="1" x14ac:dyDescent="0.25">
      <c r="A802" s="2" t="s">
        <v>119</v>
      </c>
      <c r="B802" s="2" t="s">
        <v>1437</v>
      </c>
      <c r="C802" s="17">
        <v>45960</v>
      </c>
      <c r="D802" s="2" t="s">
        <v>1423</v>
      </c>
      <c r="E802" s="18">
        <v>3028.76</v>
      </c>
      <c r="F802" s="18">
        <v>0</v>
      </c>
      <c r="G802" s="2" t="s">
        <v>1408</v>
      </c>
      <c r="H802" s="2" t="s">
        <v>19</v>
      </c>
    </row>
    <row r="803" spans="1:8" ht="15" customHeight="1" x14ac:dyDescent="0.25">
      <c r="A803" s="2" t="s">
        <v>2147</v>
      </c>
      <c r="B803" s="2" t="s">
        <v>1243</v>
      </c>
      <c r="C803" s="17">
        <v>45961</v>
      </c>
      <c r="D803" s="2" t="s">
        <v>1423</v>
      </c>
      <c r="E803" s="18">
        <v>3665.72</v>
      </c>
      <c r="F803" s="18">
        <v>106.16</v>
      </c>
      <c r="G803" s="2" t="s">
        <v>1361</v>
      </c>
      <c r="H803" s="2" t="s">
        <v>19</v>
      </c>
    </row>
    <row r="804" spans="1:8" ht="15" customHeight="1" x14ac:dyDescent="0.25">
      <c r="A804" s="2" t="s">
        <v>2148</v>
      </c>
      <c r="B804" s="2" t="s">
        <v>1243</v>
      </c>
      <c r="C804" s="17">
        <v>45974</v>
      </c>
      <c r="D804" s="2" t="s">
        <v>1423</v>
      </c>
      <c r="E804" s="18">
        <v>4109.24</v>
      </c>
      <c r="F804" s="18">
        <v>143.86000000000001</v>
      </c>
      <c r="G804" s="2" t="s">
        <v>1361</v>
      </c>
      <c r="H804" s="2" t="s">
        <v>19</v>
      </c>
    </row>
    <row r="805" spans="1:8" ht="15" customHeight="1" x14ac:dyDescent="0.25">
      <c r="A805" s="2" t="s">
        <v>2149</v>
      </c>
      <c r="B805" s="2" t="s">
        <v>1243</v>
      </c>
      <c r="C805" s="17">
        <v>46019</v>
      </c>
      <c r="D805" s="2" t="s">
        <v>1423</v>
      </c>
      <c r="E805" s="18">
        <v>2741.26</v>
      </c>
      <c r="F805" s="18">
        <v>90.51</v>
      </c>
      <c r="G805" s="2" t="s">
        <v>1361</v>
      </c>
      <c r="H805" s="2" t="s">
        <v>19</v>
      </c>
    </row>
    <row r="806" spans="1:8" ht="15" customHeight="1" x14ac:dyDescent="0.25">
      <c r="A806" s="2" t="s">
        <v>2150</v>
      </c>
      <c r="B806" s="2" t="s">
        <v>1243</v>
      </c>
      <c r="C806" s="17">
        <v>46010</v>
      </c>
      <c r="D806" s="2" t="s">
        <v>1423</v>
      </c>
      <c r="E806" s="18">
        <v>5092.91</v>
      </c>
      <c r="F806" s="18">
        <v>168.83</v>
      </c>
      <c r="G806" s="2" t="s">
        <v>1361</v>
      </c>
      <c r="H806" s="2" t="s">
        <v>19</v>
      </c>
    </row>
    <row r="807" spans="1:8" ht="15" customHeight="1" x14ac:dyDescent="0.25">
      <c r="A807" s="2" t="s">
        <v>2151</v>
      </c>
      <c r="B807" s="2" t="s">
        <v>1244</v>
      </c>
      <c r="C807" s="17">
        <v>45833</v>
      </c>
      <c r="D807" s="2" t="s">
        <v>1360</v>
      </c>
      <c r="E807" s="18">
        <v>2481.04</v>
      </c>
      <c r="F807" s="18">
        <v>58.58</v>
      </c>
      <c r="G807" s="2" t="s">
        <v>1361</v>
      </c>
      <c r="H807" s="2" t="s">
        <v>2962</v>
      </c>
    </row>
    <row r="808" spans="1:8" ht="15" customHeight="1" x14ac:dyDescent="0.25">
      <c r="A808" s="2" t="s">
        <v>2152</v>
      </c>
      <c r="B808" s="2" t="s">
        <v>1244</v>
      </c>
      <c r="C808" s="17">
        <v>45842</v>
      </c>
      <c r="D808" s="2" t="s">
        <v>1360</v>
      </c>
      <c r="E808" s="18">
        <v>3442.55</v>
      </c>
      <c r="F808" s="18">
        <v>95.26</v>
      </c>
      <c r="G808" s="2" t="s">
        <v>1361</v>
      </c>
      <c r="H808" s="2" t="s">
        <v>2962</v>
      </c>
    </row>
    <row r="809" spans="1:8" ht="15" customHeight="1" x14ac:dyDescent="0.25">
      <c r="A809" s="2" t="s">
        <v>2153</v>
      </c>
      <c r="B809" s="2" t="s">
        <v>1244</v>
      </c>
      <c r="C809" s="17">
        <v>45849</v>
      </c>
      <c r="D809" s="2" t="s">
        <v>1360</v>
      </c>
      <c r="E809" s="18">
        <v>1252.8499999999999</v>
      </c>
      <c r="F809" s="18">
        <v>28.11</v>
      </c>
      <c r="G809" s="2" t="s">
        <v>1361</v>
      </c>
      <c r="H809" s="2" t="s">
        <v>2962</v>
      </c>
    </row>
    <row r="810" spans="1:8" ht="15" customHeight="1" x14ac:dyDescent="0.25">
      <c r="A810" s="2" t="s">
        <v>2154</v>
      </c>
      <c r="B810" s="2" t="s">
        <v>1244</v>
      </c>
      <c r="C810" s="17">
        <v>45869</v>
      </c>
      <c r="D810" s="2" t="s">
        <v>1360</v>
      </c>
      <c r="E810" s="18">
        <v>4945.07</v>
      </c>
      <c r="F810" s="18">
        <v>114.72</v>
      </c>
      <c r="G810" s="2" t="s">
        <v>1361</v>
      </c>
      <c r="H810" s="2" t="s">
        <v>2962</v>
      </c>
    </row>
    <row r="811" spans="1:8" ht="15" customHeight="1" x14ac:dyDescent="0.25">
      <c r="A811" s="2" t="s">
        <v>2155</v>
      </c>
      <c r="B811" s="2" t="s">
        <v>1244</v>
      </c>
      <c r="C811" s="17">
        <v>45898</v>
      </c>
      <c r="D811" s="2" t="s">
        <v>1360</v>
      </c>
      <c r="E811" s="18">
        <v>2469.5300000000002</v>
      </c>
      <c r="F811" s="18">
        <v>58.91</v>
      </c>
      <c r="G811" s="2" t="s">
        <v>1361</v>
      </c>
      <c r="H811" s="2" t="s">
        <v>2962</v>
      </c>
    </row>
    <row r="812" spans="1:8" ht="15" customHeight="1" x14ac:dyDescent="0.25">
      <c r="A812" s="2" t="s">
        <v>2156</v>
      </c>
      <c r="B812" s="2" t="s">
        <v>1244</v>
      </c>
      <c r="C812" s="17">
        <v>45871</v>
      </c>
      <c r="D812" s="2" t="s">
        <v>1360</v>
      </c>
      <c r="E812" s="18">
        <v>2437.9499999999998</v>
      </c>
      <c r="F812" s="18">
        <v>67.95</v>
      </c>
      <c r="G812" s="2" t="s">
        <v>1361</v>
      </c>
      <c r="H812" s="2" t="s">
        <v>2962</v>
      </c>
    </row>
    <row r="813" spans="1:8" ht="15" customHeight="1" x14ac:dyDescent="0.25">
      <c r="A813" s="2" t="s">
        <v>2157</v>
      </c>
      <c r="B813" s="2" t="s">
        <v>1244</v>
      </c>
      <c r="C813" s="17">
        <v>45920</v>
      </c>
      <c r="D813" s="2" t="s">
        <v>1360</v>
      </c>
      <c r="E813" s="18">
        <v>3508.54</v>
      </c>
      <c r="F813" s="18">
        <v>95.58</v>
      </c>
      <c r="G813" s="2" t="s">
        <v>1361</v>
      </c>
      <c r="H813" s="2" t="s">
        <v>2962</v>
      </c>
    </row>
    <row r="814" spans="1:8" ht="15" customHeight="1" x14ac:dyDescent="0.25">
      <c r="A814" s="2" t="s">
        <v>2158</v>
      </c>
      <c r="B814" s="2" t="s">
        <v>1244</v>
      </c>
      <c r="C814" s="17">
        <v>45908</v>
      </c>
      <c r="D814" s="2" t="s">
        <v>1360</v>
      </c>
      <c r="E814" s="18">
        <v>1241.8599999999999</v>
      </c>
      <c r="F814" s="18">
        <v>28.31</v>
      </c>
      <c r="G814" s="2" t="s">
        <v>1361</v>
      </c>
      <c r="H814" s="2" t="s">
        <v>2962</v>
      </c>
    </row>
    <row r="815" spans="1:8" ht="15" customHeight="1" x14ac:dyDescent="0.25">
      <c r="A815" s="2" t="s">
        <v>2159</v>
      </c>
      <c r="B815" s="2" t="s">
        <v>1244</v>
      </c>
      <c r="C815" s="17">
        <v>45904</v>
      </c>
      <c r="D815" s="2" t="s">
        <v>1360</v>
      </c>
      <c r="E815" s="18">
        <v>5135.18</v>
      </c>
      <c r="F815" s="18">
        <v>114.62</v>
      </c>
      <c r="G815" s="2" t="s">
        <v>1361</v>
      </c>
      <c r="H815" s="2" t="s">
        <v>2962</v>
      </c>
    </row>
    <row r="816" spans="1:8" ht="15" customHeight="1" x14ac:dyDescent="0.25">
      <c r="A816" s="2" t="s">
        <v>2160</v>
      </c>
      <c r="B816" s="2" t="s">
        <v>1244</v>
      </c>
      <c r="C816" s="17">
        <v>45950</v>
      </c>
      <c r="D816" s="2" t="s">
        <v>1360</v>
      </c>
      <c r="E816" s="18">
        <v>1876.22</v>
      </c>
      <c r="F816" s="18">
        <v>42.26</v>
      </c>
      <c r="G816" s="2" t="s">
        <v>1361</v>
      </c>
      <c r="H816" s="2" t="s">
        <v>2962</v>
      </c>
    </row>
    <row r="817" spans="1:8" ht="15" customHeight="1" x14ac:dyDescent="0.25">
      <c r="A817" s="2" t="s">
        <v>2161</v>
      </c>
      <c r="B817" s="2" t="s">
        <v>1244</v>
      </c>
      <c r="C817" s="17">
        <v>45967</v>
      </c>
      <c r="D817" s="2" t="s">
        <v>1360</v>
      </c>
      <c r="E817" s="18">
        <v>2585.12</v>
      </c>
      <c r="F817" s="18">
        <v>65.77</v>
      </c>
      <c r="G817" s="2" t="s">
        <v>1361</v>
      </c>
      <c r="H817" s="2" t="s">
        <v>2962</v>
      </c>
    </row>
    <row r="818" spans="1:8" ht="15" customHeight="1" x14ac:dyDescent="0.25">
      <c r="A818" s="2" t="s">
        <v>2162</v>
      </c>
      <c r="B818" s="2" t="s">
        <v>1244</v>
      </c>
      <c r="C818" s="17">
        <v>45971</v>
      </c>
      <c r="D818" s="2" t="s">
        <v>1360</v>
      </c>
      <c r="E818" s="18">
        <v>4882.07</v>
      </c>
      <c r="F818" s="18">
        <v>126.81</v>
      </c>
      <c r="G818" s="2" t="s">
        <v>1361</v>
      </c>
      <c r="H818" s="2" t="s">
        <v>2962</v>
      </c>
    </row>
    <row r="819" spans="1:8" ht="15" customHeight="1" x14ac:dyDescent="0.25">
      <c r="A819" s="2" t="s">
        <v>2163</v>
      </c>
      <c r="B819" s="2" t="s">
        <v>1244</v>
      </c>
      <c r="C819" s="17">
        <v>45996</v>
      </c>
      <c r="D819" s="2" t="s">
        <v>1360</v>
      </c>
      <c r="E819" s="18">
        <v>4382.34</v>
      </c>
      <c r="F819" s="18">
        <v>99.14</v>
      </c>
      <c r="G819" s="2" t="s">
        <v>1361</v>
      </c>
      <c r="H819" s="2" t="s">
        <v>2962</v>
      </c>
    </row>
    <row r="820" spans="1:8" ht="15" customHeight="1" x14ac:dyDescent="0.25">
      <c r="A820" s="2" t="s">
        <v>2164</v>
      </c>
      <c r="B820" s="2" t="s">
        <v>1244</v>
      </c>
      <c r="C820" s="17">
        <v>46013</v>
      </c>
      <c r="D820" s="2" t="s">
        <v>1360</v>
      </c>
      <c r="E820" s="18">
        <v>2223.1799999999998</v>
      </c>
      <c r="F820" s="18">
        <v>50.44</v>
      </c>
      <c r="G820" s="2" t="s">
        <v>1361</v>
      </c>
      <c r="H820" s="2" t="s">
        <v>2962</v>
      </c>
    </row>
    <row r="821" spans="1:8" ht="15" customHeight="1" x14ac:dyDescent="0.25">
      <c r="A821" s="2" t="s">
        <v>2165</v>
      </c>
      <c r="B821" s="2" t="s">
        <v>1244</v>
      </c>
      <c r="C821" s="17">
        <v>46009</v>
      </c>
      <c r="D821" s="2" t="s">
        <v>1360</v>
      </c>
      <c r="E821" s="18">
        <v>4636.34</v>
      </c>
      <c r="F821" s="18">
        <v>123.2</v>
      </c>
      <c r="G821" s="2" t="s">
        <v>1361</v>
      </c>
      <c r="H821" s="2" t="s">
        <v>2962</v>
      </c>
    </row>
    <row r="822" spans="1:8" ht="15" customHeight="1" x14ac:dyDescent="0.25">
      <c r="A822" s="2" t="s">
        <v>2166</v>
      </c>
      <c r="B822" s="2" t="s">
        <v>103</v>
      </c>
      <c r="C822" s="17">
        <v>45803</v>
      </c>
      <c r="D822" s="2" t="s">
        <v>1373</v>
      </c>
      <c r="E822" s="18">
        <v>4402.32</v>
      </c>
      <c r="F822" s="18">
        <v>84.91</v>
      </c>
      <c r="G822" s="2" t="s">
        <v>1361</v>
      </c>
      <c r="H822" s="2" t="s">
        <v>2975</v>
      </c>
    </row>
    <row r="823" spans="1:8" ht="15" customHeight="1" x14ac:dyDescent="0.25">
      <c r="A823" s="2" t="s">
        <v>2167</v>
      </c>
      <c r="B823" s="2" t="s">
        <v>103</v>
      </c>
      <c r="C823" s="17">
        <v>45810</v>
      </c>
      <c r="D823" s="2" t="s">
        <v>1373</v>
      </c>
      <c r="E823" s="18">
        <v>3109.87</v>
      </c>
      <c r="F823" s="18">
        <v>54.09</v>
      </c>
      <c r="G823" s="2" t="s">
        <v>1361</v>
      </c>
      <c r="H823" s="2" t="s">
        <v>2975</v>
      </c>
    </row>
    <row r="824" spans="1:8" ht="15" customHeight="1" x14ac:dyDescent="0.25">
      <c r="A824" s="2" t="s">
        <v>2168</v>
      </c>
      <c r="B824" s="2" t="s">
        <v>103</v>
      </c>
      <c r="C824" s="17">
        <v>45845</v>
      </c>
      <c r="D824" s="2" t="s">
        <v>1373</v>
      </c>
      <c r="E824" s="18">
        <v>3213.97</v>
      </c>
      <c r="F824" s="18">
        <v>56.56</v>
      </c>
      <c r="G824" s="2" t="s">
        <v>1361</v>
      </c>
      <c r="H824" s="2" t="s">
        <v>2975</v>
      </c>
    </row>
    <row r="825" spans="1:8" ht="15" customHeight="1" x14ac:dyDescent="0.25">
      <c r="A825" s="2" t="s">
        <v>2169</v>
      </c>
      <c r="B825" s="2" t="s">
        <v>103</v>
      </c>
      <c r="C825" s="17">
        <v>45889</v>
      </c>
      <c r="D825" s="2" t="s">
        <v>1373</v>
      </c>
      <c r="E825" s="18">
        <v>3253.34</v>
      </c>
      <c r="F825" s="18">
        <v>51.92</v>
      </c>
      <c r="G825" s="2" t="s">
        <v>1361</v>
      </c>
      <c r="H825" s="2" t="s">
        <v>2975</v>
      </c>
    </row>
    <row r="826" spans="1:8" ht="15" customHeight="1" x14ac:dyDescent="0.25">
      <c r="A826" s="2" t="s">
        <v>2170</v>
      </c>
      <c r="B826" s="2" t="s">
        <v>103</v>
      </c>
      <c r="C826" s="17">
        <v>45894</v>
      </c>
      <c r="D826" s="2" t="s">
        <v>1373</v>
      </c>
      <c r="E826" s="18">
        <v>4264.87</v>
      </c>
      <c r="F826" s="18">
        <v>69.55</v>
      </c>
      <c r="G826" s="2" t="s">
        <v>1361</v>
      </c>
      <c r="H826" s="2" t="s">
        <v>2975</v>
      </c>
    </row>
    <row r="827" spans="1:8" ht="15" customHeight="1" x14ac:dyDescent="0.25">
      <c r="A827" s="2" t="s">
        <v>2171</v>
      </c>
      <c r="B827" s="2" t="s">
        <v>103</v>
      </c>
      <c r="C827" s="17">
        <v>45873</v>
      </c>
      <c r="D827" s="2" t="s">
        <v>1373</v>
      </c>
      <c r="E827" s="18">
        <v>3160.01</v>
      </c>
      <c r="F827" s="18">
        <v>52.1</v>
      </c>
      <c r="G827" s="2" t="s">
        <v>1361</v>
      </c>
      <c r="H827" s="2" t="s">
        <v>2975</v>
      </c>
    </row>
    <row r="828" spans="1:8" ht="15" customHeight="1" x14ac:dyDescent="0.25">
      <c r="A828" s="2" t="s">
        <v>2172</v>
      </c>
      <c r="B828" s="2" t="s">
        <v>103</v>
      </c>
      <c r="C828" s="17">
        <v>45919</v>
      </c>
      <c r="D828" s="2" t="s">
        <v>1373</v>
      </c>
      <c r="E828" s="18">
        <v>4736.12</v>
      </c>
      <c r="F828" s="18">
        <v>73.02</v>
      </c>
      <c r="G828" s="2" t="s">
        <v>1361</v>
      </c>
      <c r="H828" s="2" t="s">
        <v>2975</v>
      </c>
    </row>
    <row r="829" spans="1:8" ht="15" customHeight="1" x14ac:dyDescent="0.25">
      <c r="A829" s="2" t="s">
        <v>2173</v>
      </c>
      <c r="B829" s="2" t="s">
        <v>103</v>
      </c>
      <c r="C829" s="17">
        <v>45936</v>
      </c>
      <c r="D829" s="2" t="s">
        <v>1373</v>
      </c>
      <c r="E829" s="18">
        <v>1989.03</v>
      </c>
      <c r="F829" s="18">
        <v>35.049999999999997</v>
      </c>
      <c r="G829" s="2" t="s">
        <v>1361</v>
      </c>
      <c r="H829" s="2" t="s">
        <v>2975</v>
      </c>
    </row>
    <row r="830" spans="1:8" ht="15" customHeight="1" x14ac:dyDescent="0.25">
      <c r="A830" s="2" t="s">
        <v>2174</v>
      </c>
      <c r="B830" s="2" t="s">
        <v>103</v>
      </c>
      <c r="C830" s="17">
        <v>45936</v>
      </c>
      <c r="D830" s="2" t="s">
        <v>1373</v>
      </c>
      <c r="E830" s="18">
        <v>4551.6899999999996</v>
      </c>
      <c r="F830" s="18">
        <v>87.99</v>
      </c>
      <c r="G830" s="2" t="s">
        <v>1361</v>
      </c>
      <c r="H830" s="2" t="s">
        <v>2975</v>
      </c>
    </row>
    <row r="831" spans="1:8" ht="15" customHeight="1" x14ac:dyDescent="0.25">
      <c r="A831" s="2" t="s">
        <v>2175</v>
      </c>
      <c r="B831" s="2" t="s">
        <v>103</v>
      </c>
      <c r="C831" s="17">
        <v>45957</v>
      </c>
      <c r="D831" s="2" t="s">
        <v>1373</v>
      </c>
      <c r="E831" s="18">
        <v>5016.01</v>
      </c>
      <c r="F831" s="18">
        <v>83.04</v>
      </c>
      <c r="G831" s="2" t="s">
        <v>1361</v>
      </c>
      <c r="H831" s="2" t="s">
        <v>2975</v>
      </c>
    </row>
    <row r="832" spans="1:8" ht="15" customHeight="1" x14ac:dyDescent="0.25">
      <c r="A832" s="2" t="s">
        <v>2176</v>
      </c>
      <c r="B832" s="2" t="s">
        <v>103</v>
      </c>
      <c r="C832" s="17">
        <v>45964</v>
      </c>
      <c r="D832" s="2" t="s">
        <v>1373</v>
      </c>
      <c r="E832" s="18">
        <v>3758.57</v>
      </c>
      <c r="F832" s="18">
        <v>68.430000000000007</v>
      </c>
      <c r="G832" s="2" t="s">
        <v>1361</v>
      </c>
      <c r="H832" s="2" t="s">
        <v>2975</v>
      </c>
    </row>
    <row r="833" spans="1:8" ht="15" customHeight="1" x14ac:dyDescent="0.25">
      <c r="A833" s="2" t="s">
        <v>2177</v>
      </c>
      <c r="B833" s="2" t="s">
        <v>103</v>
      </c>
      <c r="C833" s="17">
        <v>45991</v>
      </c>
      <c r="D833" s="2" t="s">
        <v>1373</v>
      </c>
      <c r="E833" s="18">
        <v>2529.06</v>
      </c>
      <c r="F833" s="18">
        <v>40.770000000000003</v>
      </c>
      <c r="G833" s="2" t="s">
        <v>1361</v>
      </c>
      <c r="H833" s="2" t="s">
        <v>2975</v>
      </c>
    </row>
    <row r="834" spans="1:8" ht="15" customHeight="1" x14ac:dyDescent="0.25">
      <c r="A834" s="2" t="s">
        <v>2178</v>
      </c>
      <c r="B834" s="2" t="s">
        <v>103</v>
      </c>
      <c r="C834" s="17">
        <v>45964</v>
      </c>
      <c r="D834" s="2" t="s">
        <v>1373</v>
      </c>
      <c r="E834" s="18">
        <v>5074.5600000000004</v>
      </c>
      <c r="F834" s="18">
        <v>87.5</v>
      </c>
      <c r="G834" s="2" t="s">
        <v>1361</v>
      </c>
      <c r="H834" s="2" t="s">
        <v>2975</v>
      </c>
    </row>
    <row r="835" spans="1:8" ht="15" customHeight="1" x14ac:dyDescent="0.25">
      <c r="A835" s="2" t="s">
        <v>2179</v>
      </c>
      <c r="B835" s="2" t="s">
        <v>103</v>
      </c>
      <c r="C835" s="17">
        <v>45995</v>
      </c>
      <c r="D835" s="2" t="s">
        <v>1373</v>
      </c>
      <c r="E835" s="18">
        <v>3518.1</v>
      </c>
      <c r="F835" s="18">
        <v>71.22</v>
      </c>
      <c r="G835" s="2" t="s">
        <v>1361</v>
      </c>
      <c r="H835" s="2" t="s">
        <v>2975</v>
      </c>
    </row>
    <row r="836" spans="1:8" ht="15" customHeight="1" x14ac:dyDescent="0.25">
      <c r="A836" s="2" t="s">
        <v>2180</v>
      </c>
      <c r="B836" s="2" t="s">
        <v>1245</v>
      </c>
      <c r="C836" s="17">
        <v>45789</v>
      </c>
      <c r="D836" s="2" t="s">
        <v>1360</v>
      </c>
      <c r="E836" s="18">
        <v>1967.5</v>
      </c>
      <c r="F836" s="18">
        <v>43.57</v>
      </c>
      <c r="G836" s="2" t="s">
        <v>1361</v>
      </c>
      <c r="H836" s="2" t="s">
        <v>21</v>
      </c>
    </row>
    <row r="837" spans="1:8" ht="15" customHeight="1" x14ac:dyDescent="0.25">
      <c r="A837" s="2" t="s">
        <v>2181</v>
      </c>
      <c r="B837" s="2" t="s">
        <v>1245</v>
      </c>
      <c r="C837" s="17">
        <v>45811</v>
      </c>
      <c r="D837" s="2" t="s">
        <v>1360</v>
      </c>
      <c r="E837" s="18">
        <v>3525.43</v>
      </c>
      <c r="F837" s="18">
        <v>93.07</v>
      </c>
      <c r="G837" s="2" t="s">
        <v>1361</v>
      </c>
      <c r="H837" s="2" t="s">
        <v>21</v>
      </c>
    </row>
    <row r="838" spans="1:8" ht="15" customHeight="1" x14ac:dyDescent="0.25">
      <c r="A838" s="2" t="s">
        <v>2182</v>
      </c>
      <c r="B838" s="2" t="s">
        <v>1245</v>
      </c>
      <c r="C838" s="17">
        <v>45844</v>
      </c>
      <c r="D838" s="2" t="s">
        <v>1360</v>
      </c>
      <c r="E838" s="18">
        <v>3085.42</v>
      </c>
      <c r="F838" s="18">
        <v>87.8</v>
      </c>
      <c r="G838" s="2" t="s">
        <v>1361</v>
      </c>
      <c r="H838" s="2" t="s">
        <v>21</v>
      </c>
    </row>
    <row r="839" spans="1:8" ht="15" customHeight="1" x14ac:dyDescent="0.25">
      <c r="A839" s="2" t="s">
        <v>2183</v>
      </c>
      <c r="B839" s="2" t="s">
        <v>1245</v>
      </c>
      <c r="C839" s="17">
        <v>45866</v>
      </c>
      <c r="D839" s="2" t="s">
        <v>1360</v>
      </c>
      <c r="E839" s="18">
        <v>2004.02</v>
      </c>
      <c r="F839" s="18">
        <v>56.63</v>
      </c>
      <c r="G839" s="2" t="s">
        <v>1361</v>
      </c>
      <c r="H839" s="2" t="s">
        <v>21</v>
      </c>
    </row>
    <row r="840" spans="1:8" ht="15" customHeight="1" x14ac:dyDescent="0.25">
      <c r="A840" s="2" t="s">
        <v>2184</v>
      </c>
      <c r="B840" s="2" t="s">
        <v>1245</v>
      </c>
      <c r="C840" s="17">
        <v>45890</v>
      </c>
      <c r="D840" s="2" t="s">
        <v>1360</v>
      </c>
      <c r="E840" s="18">
        <v>2394.54</v>
      </c>
      <c r="F840" s="18">
        <v>62.67</v>
      </c>
      <c r="G840" s="2" t="s">
        <v>1361</v>
      </c>
      <c r="H840" s="2" t="s">
        <v>21</v>
      </c>
    </row>
    <row r="841" spans="1:8" ht="15" customHeight="1" x14ac:dyDescent="0.25">
      <c r="A841" s="2" t="s">
        <v>2185</v>
      </c>
      <c r="B841" s="2" t="s">
        <v>1245</v>
      </c>
      <c r="C841" s="17">
        <v>45876</v>
      </c>
      <c r="D841" s="2" t="s">
        <v>1360</v>
      </c>
      <c r="E841" s="18">
        <v>4884.1899999999996</v>
      </c>
      <c r="F841" s="18">
        <v>104.62</v>
      </c>
      <c r="G841" s="2" t="s">
        <v>1361</v>
      </c>
      <c r="H841" s="2" t="s">
        <v>21</v>
      </c>
    </row>
    <row r="842" spans="1:8" ht="15" customHeight="1" x14ac:dyDescent="0.25">
      <c r="A842" s="2" t="s">
        <v>2186</v>
      </c>
      <c r="B842" s="2" t="s">
        <v>1245</v>
      </c>
      <c r="C842" s="17">
        <v>45894</v>
      </c>
      <c r="D842" s="2" t="s">
        <v>1360</v>
      </c>
      <c r="E842" s="18">
        <v>2365.87</v>
      </c>
      <c r="F842" s="18">
        <v>59.97</v>
      </c>
      <c r="G842" s="2" t="s">
        <v>1361</v>
      </c>
      <c r="H842" s="2" t="s">
        <v>21</v>
      </c>
    </row>
    <row r="843" spans="1:8" ht="15" customHeight="1" x14ac:dyDescent="0.25">
      <c r="A843" s="2" t="s">
        <v>2187</v>
      </c>
      <c r="B843" s="2" t="s">
        <v>1245</v>
      </c>
      <c r="C843" s="17">
        <v>45915</v>
      </c>
      <c r="D843" s="2" t="s">
        <v>1360</v>
      </c>
      <c r="E843" s="18">
        <v>2224.0100000000002</v>
      </c>
      <c r="F843" s="18">
        <v>56.25</v>
      </c>
      <c r="G843" s="2" t="s">
        <v>1361</v>
      </c>
      <c r="H843" s="2" t="s">
        <v>21</v>
      </c>
    </row>
    <row r="844" spans="1:8" ht="15" customHeight="1" x14ac:dyDescent="0.25">
      <c r="A844" s="2" t="s">
        <v>2188</v>
      </c>
      <c r="B844" s="2" t="s">
        <v>1245</v>
      </c>
      <c r="C844" s="17">
        <v>45950</v>
      </c>
      <c r="D844" s="2" t="s">
        <v>1360</v>
      </c>
      <c r="E844" s="18">
        <v>5185.6499999999996</v>
      </c>
      <c r="F844" s="18">
        <v>125.62</v>
      </c>
      <c r="G844" s="2" t="s">
        <v>1361</v>
      </c>
      <c r="H844" s="2" t="s">
        <v>21</v>
      </c>
    </row>
    <row r="845" spans="1:8" ht="15" customHeight="1" x14ac:dyDescent="0.25">
      <c r="A845" s="2" t="s">
        <v>2189</v>
      </c>
      <c r="B845" s="2" t="s">
        <v>1245</v>
      </c>
      <c r="C845" s="17">
        <v>45959</v>
      </c>
      <c r="D845" s="2" t="s">
        <v>1360</v>
      </c>
      <c r="E845" s="18">
        <v>2498.9299999999998</v>
      </c>
      <c r="F845" s="18">
        <v>64.59</v>
      </c>
      <c r="G845" s="2" t="s">
        <v>1361</v>
      </c>
      <c r="H845" s="2" t="s">
        <v>21</v>
      </c>
    </row>
    <row r="846" spans="1:8" ht="15" customHeight="1" x14ac:dyDescent="0.25">
      <c r="A846" s="2" t="s">
        <v>2190</v>
      </c>
      <c r="B846" s="2" t="s">
        <v>1245</v>
      </c>
      <c r="C846" s="17">
        <v>45939</v>
      </c>
      <c r="D846" s="2" t="s">
        <v>1360</v>
      </c>
      <c r="E846" s="18">
        <v>2907.67</v>
      </c>
      <c r="F846" s="18">
        <v>62.52</v>
      </c>
      <c r="G846" s="2" t="s">
        <v>1361</v>
      </c>
      <c r="H846" s="2" t="s">
        <v>21</v>
      </c>
    </row>
    <row r="847" spans="1:8" ht="15" customHeight="1" x14ac:dyDescent="0.25">
      <c r="A847" s="2" t="s">
        <v>2191</v>
      </c>
      <c r="B847" s="2" t="s">
        <v>1245</v>
      </c>
      <c r="C847" s="17">
        <v>45971</v>
      </c>
      <c r="D847" s="2" t="s">
        <v>1360</v>
      </c>
      <c r="E847" s="18">
        <v>3928.9</v>
      </c>
      <c r="F847" s="18">
        <v>97.9</v>
      </c>
      <c r="G847" s="2" t="s">
        <v>1361</v>
      </c>
      <c r="H847" s="2" t="s">
        <v>21</v>
      </c>
    </row>
    <row r="848" spans="1:8" ht="15" customHeight="1" x14ac:dyDescent="0.25">
      <c r="A848" s="2" t="s">
        <v>2192</v>
      </c>
      <c r="B848" s="2" t="s">
        <v>1245</v>
      </c>
      <c r="C848" s="17">
        <v>45980</v>
      </c>
      <c r="D848" s="2" t="s">
        <v>1360</v>
      </c>
      <c r="E848" s="18">
        <v>5175.8100000000004</v>
      </c>
      <c r="F848" s="18">
        <v>111.8</v>
      </c>
      <c r="G848" s="2" t="s">
        <v>1361</v>
      </c>
      <c r="H848" s="2" t="s">
        <v>21</v>
      </c>
    </row>
    <row r="849" spans="1:8" ht="15" customHeight="1" x14ac:dyDescent="0.25">
      <c r="A849" s="2" t="s">
        <v>2193</v>
      </c>
      <c r="B849" s="2" t="s">
        <v>1245</v>
      </c>
      <c r="C849" s="17">
        <v>46008</v>
      </c>
      <c r="D849" s="2" t="s">
        <v>1360</v>
      </c>
      <c r="E849" s="18">
        <v>4551.57</v>
      </c>
      <c r="F849" s="18">
        <v>130.83000000000001</v>
      </c>
      <c r="G849" s="2" t="s">
        <v>1361</v>
      </c>
      <c r="H849" s="2" t="s">
        <v>21</v>
      </c>
    </row>
    <row r="850" spans="1:8" ht="15" customHeight="1" x14ac:dyDescent="0.25">
      <c r="A850" s="2" t="s">
        <v>2194</v>
      </c>
      <c r="B850" s="2" t="s">
        <v>1245</v>
      </c>
      <c r="C850" s="17">
        <v>45995</v>
      </c>
      <c r="D850" s="2" t="s">
        <v>1360</v>
      </c>
      <c r="E850" s="18">
        <v>3161.77</v>
      </c>
      <c r="F850" s="18">
        <v>78.19</v>
      </c>
      <c r="G850" s="2" t="s">
        <v>1361</v>
      </c>
      <c r="H850" s="2" t="s">
        <v>21</v>
      </c>
    </row>
    <row r="851" spans="1:8" ht="15" customHeight="1" x14ac:dyDescent="0.25">
      <c r="A851" s="2" t="s">
        <v>2195</v>
      </c>
      <c r="B851" s="2" t="s">
        <v>1246</v>
      </c>
      <c r="C851" s="17">
        <v>45768</v>
      </c>
      <c r="D851" s="2" t="s">
        <v>1423</v>
      </c>
      <c r="E851" s="18">
        <v>4547.1400000000003</v>
      </c>
      <c r="F851" s="18">
        <v>130.25</v>
      </c>
      <c r="G851" s="2" t="s">
        <v>1361</v>
      </c>
      <c r="H851" s="2" t="s">
        <v>22</v>
      </c>
    </row>
    <row r="852" spans="1:8" ht="15" customHeight="1" x14ac:dyDescent="0.25">
      <c r="A852" s="2" t="s">
        <v>2196</v>
      </c>
      <c r="B852" s="2" t="s">
        <v>1246</v>
      </c>
      <c r="C852" s="17">
        <v>45768</v>
      </c>
      <c r="D852" s="2" t="s">
        <v>1423</v>
      </c>
      <c r="E852" s="18">
        <v>2009</v>
      </c>
      <c r="F852" s="18">
        <v>58.2</v>
      </c>
      <c r="G852" s="2" t="s">
        <v>1361</v>
      </c>
      <c r="H852" s="2" t="s">
        <v>22</v>
      </c>
    </row>
    <row r="853" spans="1:8" ht="15" customHeight="1" x14ac:dyDescent="0.25">
      <c r="A853" s="2" t="s">
        <v>2197</v>
      </c>
      <c r="B853" s="2" t="s">
        <v>1246</v>
      </c>
      <c r="C853" s="17">
        <v>45774</v>
      </c>
      <c r="D853" s="2" t="s">
        <v>1423</v>
      </c>
      <c r="E853" s="18">
        <v>3728.03</v>
      </c>
      <c r="F853" s="18">
        <v>113.39</v>
      </c>
      <c r="G853" s="2" t="s">
        <v>1361</v>
      </c>
      <c r="H853" s="2" t="s">
        <v>22</v>
      </c>
    </row>
    <row r="854" spans="1:8" ht="15" customHeight="1" x14ac:dyDescent="0.25">
      <c r="A854" s="2" t="s">
        <v>2198</v>
      </c>
      <c r="B854" s="2" t="s">
        <v>1246</v>
      </c>
      <c r="C854" s="17">
        <v>45786</v>
      </c>
      <c r="D854" s="2" t="s">
        <v>1423</v>
      </c>
      <c r="E854" s="18">
        <v>1869.5</v>
      </c>
      <c r="F854" s="18">
        <v>56.64</v>
      </c>
      <c r="G854" s="2" t="s">
        <v>1361</v>
      </c>
      <c r="H854" s="2" t="s">
        <v>22</v>
      </c>
    </row>
    <row r="855" spans="1:8" ht="15" customHeight="1" x14ac:dyDescent="0.25">
      <c r="A855" s="2" t="s">
        <v>2199</v>
      </c>
      <c r="B855" s="2" t="s">
        <v>1246</v>
      </c>
      <c r="C855" s="17">
        <v>45795</v>
      </c>
      <c r="D855" s="2" t="s">
        <v>1423</v>
      </c>
      <c r="E855" s="18">
        <v>4400.32</v>
      </c>
      <c r="F855" s="18">
        <v>124.2</v>
      </c>
      <c r="G855" s="2" t="s">
        <v>1361</v>
      </c>
      <c r="H855" s="2" t="s">
        <v>22</v>
      </c>
    </row>
    <row r="856" spans="1:8" ht="15" customHeight="1" x14ac:dyDescent="0.25">
      <c r="A856" s="2" t="s">
        <v>2200</v>
      </c>
      <c r="B856" s="2" t="s">
        <v>1246</v>
      </c>
      <c r="C856" s="17">
        <v>45795</v>
      </c>
      <c r="D856" s="2" t="s">
        <v>1423</v>
      </c>
      <c r="E856" s="18">
        <v>4637.26</v>
      </c>
      <c r="F856" s="18">
        <v>0</v>
      </c>
      <c r="G856" s="2" t="s">
        <v>1408</v>
      </c>
      <c r="H856" s="2" t="s">
        <v>22</v>
      </c>
    </row>
    <row r="857" spans="1:8" ht="15" customHeight="1" x14ac:dyDescent="0.25">
      <c r="A857" s="2" t="s">
        <v>2201</v>
      </c>
      <c r="B857" s="2" t="s">
        <v>1246</v>
      </c>
      <c r="C857" s="17">
        <v>45837</v>
      </c>
      <c r="D857" s="2" t="s">
        <v>1423</v>
      </c>
      <c r="E857" s="18">
        <v>2496.4499999999998</v>
      </c>
      <c r="F857" s="18">
        <v>68.33</v>
      </c>
      <c r="G857" s="2" t="s">
        <v>1361</v>
      </c>
      <c r="H857" s="2" t="s">
        <v>22</v>
      </c>
    </row>
    <row r="858" spans="1:8" ht="15" customHeight="1" x14ac:dyDescent="0.25">
      <c r="A858" s="2" t="s">
        <v>2202</v>
      </c>
      <c r="B858" s="2" t="s">
        <v>1246</v>
      </c>
      <c r="C858" s="17">
        <v>45863</v>
      </c>
      <c r="D858" s="2" t="s">
        <v>1423</v>
      </c>
      <c r="E858" s="18">
        <v>1780.7</v>
      </c>
      <c r="F858" s="18">
        <v>56.59</v>
      </c>
      <c r="G858" s="2" t="s">
        <v>1361</v>
      </c>
      <c r="H858" s="2" t="s">
        <v>22</v>
      </c>
    </row>
    <row r="859" spans="1:8" ht="15" customHeight="1" x14ac:dyDescent="0.25">
      <c r="A859" s="2" t="s">
        <v>2203</v>
      </c>
      <c r="B859" s="2" t="s">
        <v>1246</v>
      </c>
      <c r="C859" s="17">
        <v>45890</v>
      </c>
      <c r="D859" s="2" t="s">
        <v>1423</v>
      </c>
      <c r="E859" s="18">
        <v>2435.9299999999998</v>
      </c>
      <c r="F859" s="18">
        <v>81.66</v>
      </c>
      <c r="G859" s="2" t="s">
        <v>1361</v>
      </c>
      <c r="H859" s="2" t="s">
        <v>22</v>
      </c>
    </row>
    <row r="860" spans="1:8" ht="15" customHeight="1" x14ac:dyDescent="0.25">
      <c r="A860" s="2" t="s">
        <v>2204</v>
      </c>
      <c r="B860" s="2" t="s">
        <v>1246</v>
      </c>
      <c r="C860" s="17">
        <v>45875</v>
      </c>
      <c r="D860" s="2" t="s">
        <v>1423</v>
      </c>
      <c r="E860" s="18">
        <v>4937.67</v>
      </c>
      <c r="F860" s="18">
        <v>168.7</v>
      </c>
      <c r="G860" s="2" t="s">
        <v>1361</v>
      </c>
      <c r="H860" s="2" t="s">
        <v>22</v>
      </c>
    </row>
    <row r="861" spans="1:8" ht="15" customHeight="1" x14ac:dyDescent="0.25">
      <c r="A861" s="2" t="s">
        <v>2205</v>
      </c>
      <c r="B861" s="2" t="s">
        <v>1246</v>
      </c>
      <c r="C861" s="17">
        <v>45903</v>
      </c>
      <c r="D861" s="2" t="s">
        <v>1423</v>
      </c>
      <c r="E861" s="18">
        <v>1247.18</v>
      </c>
      <c r="F861" s="18">
        <v>0</v>
      </c>
      <c r="G861" s="2" t="s">
        <v>1408</v>
      </c>
      <c r="H861" s="2" t="s">
        <v>22</v>
      </c>
    </row>
    <row r="862" spans="1:8" ht="15" customHeight="1" x14ac:dyDescent="0.25">
      <c r="A862" s="2" t="s">
        <v>2206</v>
      </c>
      <c r="B862" s="2" t="s">
        <v>1246</v>
      </c>
      <c r="C862" s="17">
        <v>45930</v>
      </c>
      <c r="D862" s="2" t="s">
        <v>1423</v>
      </c>
      <c r="E862" s="18">
        <v>2752.63</v>
      </c>
      <c r="F862" s="18">
        <v>78.83</v>
      </c>
      <c r="G862" s="2" t="s">
        <v>1361</v>
      </c>
      <c r="H862" s="2" t="s">
        <v>22</v>
      </c>
    </row>
    <row r="863" spans="1:8" ht="15" customHeight="1" x14ac:dyDescent="0.25">
      <c r="A863" s="2" t="s">
        <v>2207</v>
      </c>
      <c r="B863" s="2" t="s">
        <v>1246</v>
      </c>
      <c r="C863" s="17">
        <v>45942</v>
      </c>
      <c r="D863" s="2" t="s">
        <v>1423</v>
      </c>
      <c r="E863" s="18">
        <v>1346.52</v>
      </c>
      <c r="F863" s="18">
        <v>45.21</v>
      </c>
      <c r="G863" s="2" t="s">
        <v>1361</v>
      </c>
      <c r="H863" s="2" t="s">
        <v>22</v>
      </c>
    </row>
    <row r="864" spans="1:8" ht="15" customHeight="1" x14ac:dyDescent="0.25">
      <c r="A864" s="2" t="s">
        <v>2208</v>
      </c>
      <c r="B864" s="2" t="s">
        <v>1246</v>
      </c>
      <c r="C864" s="17">
        <v>45975</v>
      </c>
      <c r="D864" s="2" t="s">
        <v>1423</v>
      </c>
      <c r="E864" s="18">
        <v>1369.59</v>
      </c>
      <c r="F864" s="18">
        <v>47.61</v>
      </c>
      <c r="G864" s="2" t="s">
        <v>1361</v>
      </c>
      <c r="H864" s="2" t="s">
        <v>22</v>
      </c>
    </row>
    <row r="865" spans="1:8" ht="15" customHeight="1" x14ac:dyDescent="0.25">
      <c r="A865" s="2" t="s">
        <v>2209</v>
      </c>
      <c r="B865" s="2" t="s">
        <v>1246</v>
      </c>
      <c r="C865" s="17">
        <v>45970</v>
      </c>
      <c r="D865" s="2" t="s">
        <v>1423</v>
      </c>
      <c r="E865" s="18">
        <v>2820.06</v>
      </c>
      <c r="F865" s="18">
        <v>94.7</v>
      </c>
      <c r="G865" s="2" t="s">
        <v>1361</v>
      </c>
      <c r="H865" s="2" t="s">
        <v>22</v>
      </c>
    </row>
    <row r="866" spans="1:8" ht="15" customHeight="1" x14ac:dyDescent="0.25">
      <c r="A866" s="2" t="s">
        <v>2210</v>
      </c>
      <c r="B866" s="2" t="s">
        <v>1246</v>
      </c>
      <c r="C866" s="17">
        <v>45983</v>
      </c>
      <c r="D866" s="2" t="s">
        <v>1423</v>
      </c>
      <c r="E866" s="18">
        <v>3161.89</v>
      </c>
      <c r="F866" s="18">
        <v>96.78</v>
      </c>
      <c r="G866" s="2" t="s">
        <v>1361</v>
      </c>
      <c r="H866" s="2" t="s">
        <v>22</v>
      </c>
    </row>
    <row r="867" spans="1:8" ht="15" customHeight="1" x14ac:dyDescent="0.25">
      <c r="A867" s="2" t="s">
        <v>2211</v>
      </c>
      <c r="B867" s="2" t="s">
        <v>1246</v>
      </c>
      <c r="C867" s="17">
        <v>46012</v>
      </c>
      <c r="D867" s="2" t="s">
        <v>1423</v>
      </c>
      <c r="E867" s="18">
        <v>3176.03</v>
      </c>
      <c r="F867" s="18">
        <v>106.38</v>
      </c>
      <c r="G867" s="2" t="s">
        <v>1361</v>
      </c>
      <c r="H867" s="2" t="s">
        <v>22</v>
      </c>
    </row>
    <row r="868" spans="1:8" ht="15" customHeight="1" x14ac:dyDescent="0.25">
      <c r="A868" s="2" t="s">
        <v>2212</v>
      </c>
      <c r="B868" s="2" t="s">
        <v>1246</v>
      </c>
      <c r="C868" s="17">
        <v>45994</v>
      </c>
      <c r="D868" s="2" t="s">
        <v>1423</v>
      </c>
      <c r="E868" s="18">
        <v>2364.88</v>
      </c>
      <c r="F868" s="18">
        <v>78.64</v>
      </c>
      <c r="G868" s="2" t="s">
        <v>1361</v>
      </c>
      <c r="H868" s="2" t="s">
        <v>22</v>
      </c>
    </row>
    <row r="869" spans="1:8" ht="15" customHeight="1" x14ac:dyDescent="0.25">
      <c r="A869" s="2" t="s">
        <v>2213</v>
      </c>
      <c r="B869" s="2" t="s">
        <v>1246</v>
      </c>
      <c r="C869" s="17">
        <v>46011</v>
      </c>
      <c r="D869" s="2" t="s">
        <v>1423</v>
      </c>
      <c r="E869" s="18">
        <v>1421.66</v>
      </c>
      <c r="F869" s="18">
        <v>41.73</v>
      </c>
      <c r="G869" s="2" t="s">
        <v>1361</v>
      </c>
      <c r="H869" s="2" t="s">
        <v>22</v>
      </c>
    </row>
    <row r="870" spans="1:8" ht="15" customHeight="1" x14ac:dyDescent="0.25">
      <c r="A870" s="2" t="s">
        <v>2214</v>
      </c>
      <c r="B870" s="2" t="s">
        <v>1247</v>
      </c>
      <c r="C870" s="17">
        <v>45865</v>
      </c>
      <c r="D870" s="2" t="s">
        <v>1360</v>
      </c>
      <c r="E870" s="18">
        <v>3938.66</v>
      </c>
      <c r="F870" s="18">
        <v>107.78</v>
      </c>
      <c r="G870" s="2" t="s">
        <v>1361</v>
      </c>
      <c r="H870" s="2" t="s">
        <v>22</v>
      </c>
    </row>
    <row r="871" spans="1:8" ht="15" customHeight="1" x14ac:dyDescent="0.25">
      <c r="A871" s="2" t="s">
        <v>2215</v>
      </c>
      <c r="B871" s="2" t="s">
        <v>1247</v>
      </c>
      <c r="C871" s="17">
        <v>45862</v>
      </c>
      <c r="D871" s="2" t="s">
        <v>1360</v>
      </c>
      <c r="E871" s="18">
        <v>3464.68</v>
      </c>
      <c r="F871" s="18">
        <v>85.81</v>
      </c>
      <c r="G871" s="2" t="s">
        <v>1361</v>
      </c>
      <c r="H871" s="2" t="s">
        <v>22</v>
      </c>
    </row>
    <row r="872" spans="1:8" ht="15" customHeight="1" x14ac:dyDescent="0.25">
      <c r="A872" s="2" t="s">
        <v>2216</v>
      </c>
      <c r="B872" s="2" t="s">
        <v>1247</v>
      </c>
      <c r="C872" s="17">
        <v>45871</v>
      </c>
      <c r="D872" s="2" t="s">
        <v>1360</v>
      </c>
      <c r="E872" s="18">
        <v>1960.07</v>
      </c>
      <c r="F872" s="18">
        <v>42.34</v>
      </c>
      <c r="G872" s="2" t="s">
        <v>1361</v>
      </c>
      <c r="H872" s="2" t="s">
        <v>22</v>
      </c>
    </row>
    <row r="873" spans="1:8" ht="15" customHeight="1" x14ac:dyDescent="0.25">
      <c r="A873" s="2" t="s">
        <v>2217</v>
      </c>
      <c r="B873" s="2" t="s">
        <v>1247</v>
      </c>
      <c r="C873" s="17">
        <v>45879</v>
      </c>
      <c r="D873" s="2" t="s">
        <v>1360</v>
      </c>
      <c r="E873" s="18">
        <v>2808.09</v>
      </c>
      <c r="F873" s="18">
        <v>66.67</v>
      </c>
      <c r="G873" s="2" t="s">
        <v>1361</v>
      </c>
      <c r="H873" s="2" t="s">
        <v>22</v>
      </c>
    </row>
    <row r="874" spans="1:8" ht="15" customHeight="1" x14ac:dyDescent="0.25">
      <c r="A874" s="2" t="s">
        <v>2218</v>
      </c>
      <c r="B874" s="2" t="s">
        <v>1247</v>
      </c>
      <c r="C874" s="17">
        <v>45905</v>
      </c>
      <c r="D874" s="2" t="s">
        <v>1360</v>
      </c>
      <c r="E874" s="18">
        <v>3907.95</v>
      </c>
      <c r="F874" s="18">
        <v>110.15</v>
      </c>
      <c r="G874" s="2" t="s">
        <v>1361</v>
      </c>
      <c r="H874" s="2" t="s">
        <v>22</v>
      </c>
    </row>
    <row r="875" spans="1:8" ht="15" customHeight="1" x14ac:dyDescent="0.25">
      <c r="A875" s="2" t="s">
        <v>2219</v>
      </c>
      <c r="B875" s="2" t="s">
        <v>1247</v>
      </c>
      <c r="C875" s="17">
        <v>45950</v>
      </c>
      <c r="D875" s="2" t="s">
        <v>1360</v>
      </c>
      <c r="E875" s="18">
        <v>2405.9699999999998</v>
      </c>
      <c r="F875" s="18">
        <v>51.92</v>
      </c>
      <c r="G875" s="2" t="s">
        <v>1361</v>
      </c>
      <c r="H875" s="2" t="s">
        <v>22</v>
      </c>
    </row>
    <row r="876" spans="1:8" ht="15" customHeight="1" x14ac:dyDescent="0.25">
      <c r="A876" s="2" t="s">
        <v>2220</v>
      </c>
      <c r="B876" s="2" t="s">
        <v>1247</v>
      </c>
      <c r="C876" s="17">
        <v>45934</v>
      </c>
      <c r="D876" s="2" t="s">
        <v>1360</v>
      </c>
      <c r="E876" s="18">
        <v>4196.8100000000004</v>
      </c>
      <c r="F876" s="18">
        <v>118.8</v>
      </c>
      <c r="G876" s="2" t="s">
        <v>1361</v>
      </c>
      <c r="H876" s="2" t="s">
        <v>22</v>
      </c>
    </row>
    <row r="877" spans="1:8" ht="15" customHeight="1" x14ac:dyDescent="0.25">
      <c r="A877" s="2" t="s">
        <v>2221</v>
      </c>
      <c r="B877" s="2" t="s">
        <v>1247</v>
      </c>
      <c r="C877" s="17">
        <v>45967</v>
      </c>
      <c r="D877" s="2" t="s">
        <v>1360</v>
      </c>
      <c r="E877" s="18">
        <v>3786.59</v>
      </c>
      <c r="F877" s="18">
        <v>94.47</v>
      </c>
      <c r="G877" s="2" t="s">
        <v>1361</v>
      </c>
      <c r="H877" s="2" t="s">
        <v>22</v>
      </c>
    </row>
    <row r="878" spans="1:8" ht="15" customHeight="1" x14ac:dyDescent="0.25">
      <c r="A878" s="2" t="s">
        <v>2222</v>
      </c>
      <c r="B878" s="2" t="s">
        <v>1247</v>
      </c>
      <c r="C878" s="17">
        <v>46002</v>
      </c>
      <c r="D878" s="2" t="s">
        <v>1360</v>
      </c>
      <c r="E878" s="18">
        <v>2944.23</v>
      </c>
      <c r="F878" s="18">
        <v>78.400000000000006</v>
      </c>
      <c r="G878" s="2" t="s">
        <v>1361</v>
      </c>
      <c r="H878" s="2" t="s">
        <v>22</v>
      </c>
    </row>
    <row r="879" spans="1:8" ht="15" customHeight="1" x14ac:dyDescent="0.25">
      <c r="A879" s="2" t="s">
        <v>2223</v>
      </c>
      <c r="B879" s="2" t="s">
        <v>1247</v>
      </c>
      <c r="C879" s="17">
        <v>46005</v>
      </c>
      <c r="D879" s="2" t="s">
        <v>1360</v>
      </c>
      <c r="E879" s="18">
        <v>1280.45</v>
      </c>
      <c r="F879" s="18">
        <v>31.78</v>
      </c>
      <c r="G879" s="2" t="s">
        <v>1361</v>
      </c>
      <c r="H879" s="2" t="s">
        <v>22</v>
      </c>
    </row>
    <row r="880" spans="1:8" ht="15" customHeight="1" x14ac:dyDescent="0.25">
      <c r="A880" s="2" t="s">
        <v>2224</v>
      </c>
      <c r="B880" s="2" t="s">
        <v>1248</v>
      </c>
      <c r="C880" s="17">
        <v>45801</v>
      </c>
      <c r="D880" s="2" t="s">
        <v>1360</v>
      </c>
      <c r="E880" s="18">
        <v>10888.04</v>
      </c>
      <c r="F880" s="18">
        <v>299.45999999999998</v>
      </c>
      <c r="G880" s="2" t="s">
        <v>1361</v>
      </c>
      <c r="H880" s="2" t="s">
        <v>21</v>
      </c>
    </row>
    <row r="881" spans="1:8" ht="15" customHeight="1" x14ac:dyDescent="0.25">
      <c r="A881" s="2" t="s">
        <v>2225</v>
      </c>
      <c r="B881" s="2" t="s">
        <v>1248</v>
      </c>
      <c r="C881" s="17">
        <v>45799</v>
      </c>
      <c r="D881" s="2" t="s">
        <v>1360</v>
      </c>
      <c r="E881" s="18">
        <v>11908.22</v>
      </c>
      <c r="F881" s="18">
        <v>283.57</v>
      </c>
      <c r="G881" s="2" t="s">
        <v>1361</v>
      </c>
      <c r="H881" s="2" t="s">
        <v>21</v>
      </c>
    </row>
    <row r="882" spans="1:8" ht="15" customHeight="1" x14ac:dyDescent="0.25">
      <c r="A882" s="2" t="s">
        <v>2226</v>
      </c>
      <c r="B882" s="2" t="s">
        <v>1248</v>
      </c>
      <c r="C882" s="17">
        <v>45834</v>
      </c>
      <c r="D882" s="2" t="s">
        <v>1360</v>
      </c>
      <c r="E882" s="18">
        <v>10000.879999999999</v>
      </c>
      <c r="F882" s="18">
        <v>286.77</v>
      </c>
      <c r="G882" s="2" t="s">
        <v>1361</v>
      </c>
      <c r="H882" s="2" t="s">
        <v>21</v>
      </c>
    </row>
    <row r="883" spans="1:8" ht="15" customHeight="1" x14ac:dyDescent="0.25">
      <c r="A883" s="2" t="s">
        <v>2227</v>
      </c>
      <c r="B883" s="2" t="s">
        <v>1248</v>
      </c>
      <c r="C883" s="17">
        <v>45809</v>
      </c>
      <c r="D883" s="2" t="s">
        <v>1360</v>
      </c>
      <c r="E883" s="18">
        <v>17582.7</v>
      </c>
      <c r="F883" s="18">
        <v>468.32</v>
      </c>
      <c r="G883" s="2" t="s">
        <v>1361</v>
      </c>
      <c r="H883" s="2" t="s">
        <v>21</v>
      </c>
    </row>
    <row r="884" spans="1:8" ht="15" customHeight="1" x14ac:dyDescent="0.25">
      <c r="A884" s="2" t="s">
        <v>2228</v>
      </c>
      <c r="B884" s="2" t="s">
        <v>1248</v>
      </c>
      <c r="C884" s="17">
        <v>45812</v>
      </c>
      <c r="D884" s="2" t="s">
        <v>1360</v>
      </c>
      <c r="E884" s="18">
        <v>5190.3100000000004</v>
      </c>
      <c r="F884" s="18">
        <v>121.02</v>
      </c>
      <c r="G884" s="2" t="s">
        <v>1361</v>
      </c>
      <c r="H884" s="2" t="s">
        <v>21</v>
      </c>
    </row>
    <row r="885" spans="1:8" ht="15" customHeight="1" x14ac:dyDescent="0.25">
      <c r="A885" s="2" t="s">
        <v>2229</v>
      </c>
      <c r="B885" s="2" t="s">
        <v>1248</v>
      </c>
      <c r="C885" s="17">
        <v>45845</v>
      </c>
      <c r="D885" s="2" t="s">
        <v>1360</v>
      </c>
      <c r="E885" s="18">
        <v>16368.88</v>
      </c>
      <c r="F885" s="18">
        <v>368.44</v>
      </c>
      <c r="G885" s="2" t="s">
        <v>1361</v>
      </c>
      <c r="H885" s="2" t="s">
        <v>21</v>
      </c>
    </row>
    <row r="886" spans="1:8" ht="15" customHeight="1" x14ac:dyDescent="0.25">
      <c r="A886" s="2" t="s">
        <v>2230</v>
      </c>
      <c r="B886" s="2" t="s">
        <v>1248</v>
      </c>
      <c r="C886" s="17">
        <v>45875</v>
      </c>
      <c r="D886" s="2" t="s">
        <v>1360</v>
      </c>
      <c r="E886" s="18">
        <v>14468.85</v>
      </c>
      <c r="F886" s="18">
        <v>325.14</v>
      </c>
      <c r="G886" s="2" t="s">
        <v>1361</v>
      </c>
      <c r="H886" s="2" t="s">
        <v>21</v>
      </c>
    </row>
    <row r="887" spans="1:8" ht="15" customHeight="1" x14ac:dyDescent="0.25">
      <c r="A887" s="2" t="s">
        <v>2231</v>
      </c>
      <c r="B887" s="2" t="s">
        <v>1248</v>
      </c>
      <c r="C887" s="17">
        <v>45880</v>
      </c>
      <c r="D887" s="2" t="s">
        <v>1360</v>
      </c>
      <c r="E887" s="18">
        <v>4785.8599999999997</v>
      </c>
      <c r="F887" s="18">
        <v>132.69</v>
      </c>
      <c r="G887" s="2" t="s">
        <v>1361</v>
      </c>
      <c r="H887" s="2" t="s">
        <v>21</v>
      </c>
    </row>
    <row r="888" spans="1:8" ht="15" customHeight="1" x14ac:dyDescent="0.25">
      <c r="A888" s="2" t="s">
        <v>2232</v>
      </c>
      <c r="B888" s="2" t="s">
        <v>1248</v>
      </c>
      <c r="C888" s="17">
        <v>45897</v>
      </c>
      <c r="D888" s="2" t="s">
        <v>1360</v>
      </c>
      <c r="E888" s="18">
        <v>13888.04</v>
      </c>
      <c r="F888" s="18">
        <v>297.94</v>
      </c>
      <c r="G888" s="2" t="s">
        <v>1361</v>
      </c>
      <c r="H888" s="2" t="s">
        <v>21</v>
      </c>
    </row>
    <row r="889" spans="1:8" ht="15" customHeight="1" x14ac:dyDescent="0.25">
      <c r="A889" s="2" t="s">
        <v>2233</v>
      </c>
      <c r="B889" s="2" t="s">
        <v>1248</v>
      </c>
      <c r="C889" s="17">
        <v>45911</v>
      </c>
      <c r="D889" s="2" t="s">
        <v>1360</v>
      </c>
      <c r="E889" s="18">
        <v>17375.07</v>
      </c>
      <c r="F889" s="18">
        <v>410.53</v>
      </c>
      <c r="G889" s="2" t="s">
        <v>1361</v>
      </c>
      <c r="H889" s="2" t="s">
        <v>21</v>
      </c>
    </row>
    <row r="890" spans="1:8" ht="15" customHeight="1" x14ac:dyDescent="0.25">
      <c r="A890" s="2" t="s">
        <v>2234</v>
      </c>
      <c r="B890" s="2" t="s">
        <v>1248</v>
      </c>
      <c r="C890" s="17">
        <v>45902</v>
      </c>
      <c r="D890" s="2" t="s">
        <v>1360</v>
      </c>
      <c r="E890" s="18">
        <v>9506.11</v>
      </c>
      <c r="F890" s="18">
        <v>217.91</v>
      </c>
      <c r="G890" s="2" t="s">
        <v>1361</v>
      </c>
      <c r="H890" s="2" t="s">
        <v>21</v>
      </c>
    </row>
    <row r="891" spans="1:8" ht="15" customHeight="1" x14ac:dyDescent="0.25">
      <c r="A891" s="2" t="s">
        <v>2235</v>
      </c>
      <c r="B891" s="2" t="s">
        <v>1248</v>
      </c>
      <c r="C891" s="17">
        <v>45941</v>
      </c>
      <c r="D891" s="2" t="s">
        <v>1360</v>
      </c>
      <c r="E891" s="18">
        <v>16113.94</v>
      </c>
      <c r="F891" s="18">
        <v>461.53</v>
      </c>
      <c r="G891" s="2" t="s">
        <v>1361</v>
      </c>
      <c r="H891" s="2" t="s">
        <v>21</v>
      </c>
    </row>
    <row r="892" spans="1:8" ht="15" customHeight="1" x14ac:dyDescent="0.25">
      <c r="A892" s="2" t="s">
        <v>2236</v>
      </c>
      <c r="B892" s="2" t="s">
        <v>1250</v>
      </c>
      <c r="C892" s="17">
        <v>45958</v>
      </c>
      <c r="D892" s="2" t="s">
        <v>1423</v>
      </c>
      <c r="E892" s="18">
        <v>4043.54</v>
      </c>
      <c r="F892" s="18">
        <v>132.30000000000001</v>
      </c>
      <c r="G892" s="2" t="s">
        <v>1361</v>
      </c>
      <c r="H892" s="2" t="s">
        <v>22</v>
      </c>
    </row>
    <row r="893" spans="1:8" ht="15" customHeight="1" x14ac:dyDescent="0.25">
      <c r="A893" s="2" t="s">
        <v>2237</v>
      </c>
      <c r="B893" s="2" t="s">
        <v>1250</v>
      </c>
      <c r="C893" s="17">
        <v>45984</v>
      </c>
      <c r="D893" s="2" t="s">
        <v>1423</v>
      </c>
      <c r="E893" s="18">
        <v>5209.42</v>
      </c>
      <c r="F893" s="18">
        <v>162.13</v>
      </c>
      <c r="G893" s="2" t="s">
        <v>1361</v>
      </c>
      <c r="H893" s="2" t="s">
        <v>22</v>
      </c>
    </row>
    <row r="894" spans="1:8" ht="15" customHeight="1" x14ac:dyDescent="0.25">
      <c r="A894" s="2" t="s">
        <v>2238</v>
      </c>
      <c r="B894" s="2" t="s">
        <v>1250</v>
      </c>
      <c r="C894" s="17">
        <v>45968</v>
      </c>
      <c r="D894" s="2" t="s">
        <v>1423</v>
      </c>
      <c r="E894" s="18">
        <v>2450.9899999999998</v>
      </c>
      <c r="F894" s="18">
        <v>71.069999999999993</v>
      </c>
      <c r="G894" s="2" t="s">
        <v>1361</v>
      </c>
      <c r="H894" s="2" t="s">
        <v>22</v>
      </c>
    </row>
    <row r="895" spans="1:8" ht="15" customHeight="1" x14ac:dyDescent="0.25">
      <c r="A895" s="2" t="s">
        <v>2239</v>
      </c>
      <c r="B895" s="2" t="s">
        <v>1250</v>
      </c>
      <c r="C895" s="17">
        <v>46013</v>
      </c>
      <c r="D895" s="2" t="s">
        <v>1423</v>
      </c>
      <c r="E895" s="18">
        <v>2806.06</v>
      </c>
      <c r="F895" s="18">
        <v>79.14</v>
      </c>
      <c r="G895" s="2" t="s">
        <v>1361</v>
      </c>
      <c r="H895" s="2" t="s">
        <v>22</v>
      </c>
    </row>
    <row r="896" spans="1:8" ht="15" customHeight="1" x14ac:dyDescent="0.25">
      <c r="A896" s="2" t="s">
        <v>2240</v>
      </c>
      <c r="B896" s="2" t="s">
        <v>1250</v>
      </c>
      <c r="C896" s="17">
        <v>46020</v>
      </c>
      <c r="D896" s="2" t="s">
        <v>1423</v>
      </c>
      <c r="E896" s="18">
        <v>4870.43</v>
      </c>
      <c r="F896" s="18">
        <v>137.77000000000001</v>
      </c>
      <c r="G896" s="2" t="s">
        <v>1361</v>
      </c>
      <c r="H896" s="2" t="s">
        <v>22</v>
      </c>
    </row>
    <row r="897" spans="1:8" ht="15" customHeight="1" x14ac:dyDescent="0.25">
      <c r="A897" s="2" t="s">
        <v>2241</v>
      </c>
      <c r="B897" s="2" t="s">
        <v>1252</v>
      </c>
      <c r="C897" s="17">
        <v>46022</v>
      </c>
      <c r="D897" s="2" t="s">
        <v>1423</v>
      </c>
      <c r="E897" s="18">
        <v>5091.6899999999996</v>
      </c>
      <c r="F897" s="18">
        <v>156.88</v>
      </c>
      <c r="G897" s="2" t="s">
        <v>1361</v>
      </c>
      <c r="H897" s="2" t="s">
        <v>19</v>
      </c>
    </row>
    <row r="898" spans="1:8" ht="15" customHeight="1" x14ac:dyDescent="0.25">
      <c r="A898" s="2" t="s">
        <v>2242</v>
      </c>
      <c r="B898" s="2" t="s">
        <v>1252</v>
      </c>
      <c r="C898" s="17">
        <v>46015</v>
      </c>
      <c r="D898" s="2" t="s">
        <v>1423</v>
      </c>
      <c r="E898" s="18">
        <v>2074.27</v>
      </c>
      <c r="F898" s="18">
        <v>61.94</v>
      </c>
      <c r="G898" s="2" t="s">
        <v>1361</v>
      </c>
      <c r="H898" s="2" t="s">
        <v>19</v>
      </c>
    </row>
    <row r="899" spans="1:8" ht="15" customHeight="1" x14ac:dyDescent="0.25">
      <c r="A899" s="2" t="s">
        <v>2243</v>
      </c>
      <c r="B899" s="2" t="s">
        <v>1252</v>
      </c>
      <c r="C899" s="17">
        <v>46014</v>
      </c>
      <c r="D899" s="2" t="s">
        <v>1423</v>
      </c>
      <c r="E899" s="18">
        <v>1270.51</v>
      </c>
      <c r="F899" s="18">
        <v>0</v>
      </c>
      <c r="G899" s="2" t="s">
        <v>1408</v>
      </c>
      <c r="H899" s="2" t="s">
        <v>19</v>
      </c>
    </row>
    <row r="900" spans="1:8" ht="15" customHeight="1" x14ac:dyDescent="0.25">
      <c r="A900" s="2" t="s">
        <v>2244</v>
      </c>
      <c r="B900" s="2" t="s">
        <v>1253</v>
      </c>
      <c r="C900" s="17">
        <v>45741</v>
      </c>
      <c r="D900" s="2" t="s">
        <v>1373</v>
      </c>
      <c r="E900" s="18">
        <v>5061.5600000000004</v>
      </c>
      <c r="F900" s="18">
        <v>91.65</v>
      </c>
      <c r="G900" s="2" t="s">
        <v>1361</v>
      </c>
      <c r="H900" s="2" t="s">
        <v>20</v>
      </c>
    </row>
    <row r="901" spans="1:8" ht="15" customHeight="1" x14ac:dyDescent="0.25">
      <c r="A901" s="2" t="s">
        <v>2245</v>
      </c>
      <c r="B901" s="2" t="s">
        <v>1253</v>
      </c>
      <c r="C901" s="17">
        <v>45734</v>
      </c>
      <c r="D901" s="2" t="s">
        <v>1373</v>
      </c>
      <c r="E901" s="18">
        <v>4464.7</v>
      </c>
      <c r="F901" s="18">
        <v>88.41</v>
      </c>
      <c r="G901" s="2" t="s">
        <v>1361</v>
      </c>
      <c r="H901" s="2" t="s">
        <v>20</v>
      </c>
    </row>
    <row r="902" spans="1:8" ht="15" customHeight="1" x14ac:dyDescent="0.25">
      <c r="A902" s="2" t="s">
        <v>2246</v>
      </c>
      <c r="B902" s="2" t="s">
        <v>1253</v>
      </c>
      <c r="C902" s="17">
        <v>45750</v>
      </c>
      <c r="D902" s="2" t="s">
        <v>1373</v>
      </c>
      <c r="E902" s="18">
        <v>3535.05</v>
      </c>
      <c r="F902" s="18">
        <v>59.09</v>
      </c>
      <c r="G902" s="2" t="s">
        <v>1361</v>
      </c>
      <c r="H902" s="2" t="s">
        <v>20</v>
      </c>
    </row>
    <row r="903" spans="1:8" ht="15" customHeight="1" x14ac:dyDescent="0.25">
      <c r="A903" s="2" t="s">
        <v>2247</v>
      </c>
      <c r="B903" s="2" t="s">
        <v>1253</v>
      </c>
      <c r="C903" s="17">
        <v>45806</v>
      </c>
      <c r="D903" s="2" t="s">
        <v>1373</v>
      </c>
      <c r="E903" s="18">
        <v>4338.2299999999996</v>
      </c>
      <c r="F903" s="18">
        <v>67.19</v>
      </c>
      <c r="G903" s="2" t="s">
        <v>1361</v>
      </c>
      <c r="H903" s="2" t="s">
        <v>20</v>
      </c>
    </row>
    <row r="904" spans="1:8" ht="15" customHeight="1" x14ac:dyDescent="0.25">
      <c r="A904" s="2" t="s">
        <v>2248</v>
      </c>
      <c r="B904" s="2" t="s">
        <v>1253</v>
      </c>
      <c r="C904" s="17">
        <v>45821</v>
      </c>
      <c r="D904" s="2" t="s">
        <v>1373</v>
      </c>
      <c r="E904" s="18">
        <v>5249.07</v>
      </c>
      <c r="F904" s="18">
        <v>80.52</v>
      </c>
      <c r="G904" s="2" t="s">
        <v>1361</v>
      </c>
      <c r="H904" s="2" t="s">
        <v>20</v>
      </c>
    </row>
    <row r="905" spans="1:8" ht="15" customHeight="1" x14ac:dyDescent="0.25">
      <c r="A905" s="2" t="s">
        <v>2249</v>
      </c>
      <c r="B905" s="2" t="s">
        <v>1253</v>
      </c>
      <c r="C905" s="17">
        <v>45846</v>
      </c>
      <c r="D905" s="2" t="s">
        <v>1373</v>
      </c>
      <c r="E905" s="18">
        <v>1979.66</v>
      </c>
      <c r="F905" s="18">
        <v>33.51</v>
      </c>
      <c r="G905" s="2" t="s">
        <v>1361</v>
      </c>
      <c r="H905" s="2" t="s">
        <v>20</v>
      </c>
    </row>
    <row r="906" spans="1:8" ht="15" customHeight="1" x14ac:dyDescent="0.25">
      <c r="A906" s="2" t="s">
        <v>2250</v>
      </c>
      <c r="B906" s="2" t="s">
        <v>1253</v>
      </c>
      <c r="C906" s="17">
        <v>45859</v>
      </c>
      <c r="D906" s="2" t="s">
        <v>1373</v>
      </c>
      <c r="E906" s="18">
        <v>4237.92</v>
      </c>
      <c r="F906" s="18">
        <v>66.680000000000007</v>
      </c>
      <c r="G906" s="2" t="s">
        <v>1361</v>
      </c>
      <c r="H906" s="2" t="s">
        <v>20</v>
      </c>
    </row>
    <row r="907" spans="1:8" ht="15" customHeight="1" x14ac:dyDescent="0.25">
      <c r="A907" s="2" t="s">
        <v>2251</v>
      </c>
      <c r="B907" s="2" t="s">
        <v>1253</v>
      </c>
      <c r="C907" s="17">
        <v>45879</v>
      </c>
      <c r="D907" s="2" t="s">
        <v>1373</v>
      </c>
      <c r="E907" s="18">
        <v>2403.29</v>
      </c>
      <c r="F907" s="18">
        <v>46.49</v>
      </c>
      <c r="G907" s="2" t="s">
        <v>1361</v>
      </c>
      <c r="H907" s="2" t="s">
        <v>20</v>
      </c>
    </row>
    <row r="908" spans="1:8" ht="15" customHeight="1" x14ac:dyDescent="0.25">
      <c r="A908" s="2" t="s">
        <v>2252</v>
      </c>
      <c r="B908" s="2" t="s">
        <v>1253</v>
      </c>
      <c r="C908" s="17">
        <v>45887</v>
      </c>
      <c r="D908" s="2" t="s">
        <v>1373</v>
      </c>
      <c r="E908" s="18">
        <v>1387.41</v>
      </c>
      <c r="F908" s="18">
        <v>24.04</v>
      </c>
      <c r="G908" s="2" t="s">
        <v>1361</v>
      </c>
      <c r="H908" s="2" t="s">
        <v>20</v>
      </c>
    </row>
    <row r="909" spans="1:8" ht="15" customHeight="1" x14ac:dyDescent="0.25">
      <c r="A909" s="2" t="s">
        <v>2253</v>
      </c>
      <c r="B909" s="2" t="s">
        <v>1253</v>
      </c>
      <c r="C909" s="17">
        <v>45880</v>
      </c>
      <c r="D909" s="2" t="s">
        <v>1373</v>
      </c>
      <c r="E909" s="18">
        <v>4261.88</v>
      </c>
      <c r="F909" s="18">
        <v>69.010000000000005</v>
      </c>
      <c r="G909" s="2" t="s">
        <v>1361</v>
      </c>
      <c r="H909" s="2" t="s">
        <v>20</v>
      </c>
    </row>
    <row r="910" spans="1:8" ht="15" customHeight="1" x14ac:dyDescent="0.25">
      <c r="A910" s="2" t="s">
        <v>2254</v>
      </c>
      <c r="B910" s="2" t="s">
        <v>1253</v>
      </c>
      <c r="C910" s="17">
        <v>45923</v>
      </c>
      <c r="D910" s="2" t="s">
        <v>1373</v>
      </c>
      <c r="E910" s="18">
        <v>1776.65</v>
      </c>
      <c r="F910" s="18">
        <v>28.45</v>
      </c>
      <c r="G910" s="2" t="s">
        <v>1361</v>
      </c>
      <c r="H910" s="2" t="s">
        <v>20</v>
      </c>
    </row>
    <row r="911" spans="1:8" ht="15" customHeight="1" x14ac:dyDescent="0.25">
      <c r="A911" s="2" t="s">
        <v>2255</v>
      </c>
      <c r="B911" s="2" t="s">
        <v>1253</v>
      </c>
      <c r="C911" s="17">
        <v>45908</v>
      </c>
      <c r="D911" s="2" t="s">
        <v>1373</v>
      </c>
      <c r="E911" s="18">
        <v>2238.62</v>
      </c>
      <c r="F911" s="18">
        <v>36.630000000000003</v>
      </c>
      <c r="G911" s="2" t="s">
        <v>1361</v>
      </c>
      <c r="H911" s="2" t="s">
        <v>20</v>
      </c>
    </row>
    <row r="912" spans="1:8" ht="15" customHeight="1" x14ac:dyDescent="0.25">
      <c r="A912" s="2" t="s">
        <v>2256</v>
      </c>
      <c r="B912" s="2" t="s">
        <v>1253</v>
      </c>
      <c r="C912" s="17">
        <v>45959</v>
      </c>
      <c r="D912" s="2" t="s">
        <v>1373</v>
      </c>
      <c r="E912" s="18">
        <v>2419.61</v>
      </c>
      <c r="F912" s="18">
        <v>47.11</v>
      </c>
      <c r="G912" s="2" t="s">
        <v>1361</v>
      </c>
      <c r="H912" s="2" t="s">
        <v>20</v>
      </c>
    </row>
    <row r="913" spans="1:8" ht="15" customHeight="1" x14ac:dyDescent="0.25">
      <c r="A913" s="2" t="s">
        <v>2257</v>
      </c>
      <c r="B913" s="2" t="s">
        <v>1253</v>
      </c>
      <c r="C913" s="17">
        <v>45940</v>
      </c>
      <c r="D913" s="2" t="s">
        <v>1373</v>
      </c>
      <c r="E913" s="18">
        <v>2670.28</v>
      </c>
      <c r="F913" s="18">
        <v>45.05</v>
      </c>
      <c r="G913" s="2" t="s">
        <v>1361</v>
      </c>
      <c r="H913" s="2" t="s">
        <v>20</v>
      </c>
    </row>
    <row r="914" spans="1:8" ht="15" customHeight="1" x14ac:dyDescent="0.25">
      <c r="A914" s="2" t="s">
        <v>2258</v>
      </c>
      <c r="B914" s="2" t="s">
        <v>1253</v>
      </c>
      <c r="C914" s="17">
        <v>45968</v>
      </c>
      <c r="D914" s="2" t="s">
        <v>1373</v>
      </c>
      <c r="E914" s="18">
        <v>4340.25</v>
      </c>
      <c r="F914" s="18">
        <v>70.489999999999995</v>
      </c>
      <c r="G914" s="2" t="s">
        <v>1361</v>
      </c>
      <c r="H914" s="2" t="s">
        <v>20</v>
      </c>
    </row>
    <row r="915" spans="1:8" ht="15" customHeight="1" x14ac:dyDescent="0.25">
      <c r="A915" s="2" t="s">
        <v>2259</v>
      </c>
      <c r="B915" s="2" t="s">
        <v>1253</v>
      </c>
      <c r="C915" s="17">
        <v>46014</v>
      </c>
      <c r="D915" s="2" t="s">
        <v>1373</v>
      </c>
      <c r="E915" s="18">
        <v>4623.72</v>
      </c>
      <c r="F915" s="18">
        <v>72.2</v>
      </c>
      <c r="G915" s="2" t="s">
        <v>1361</v>
      </c>
      <c r="H915" s="2" t="s">
        <v>20</v>
      </c>
    </row>
    <row r="916" spans="1:8" ht="15" customHeight="1" x14ac:dyDescent="0.25">
      <c r="A916" s="2" t="s">
        <v>2260</v>
      </c>
      <c r="B916" s="2" t="s">
        <v>1253</v>
      </c>
      <c r="C916" s="17">
        <v>46010</v>
      </c>
      <c r="D916" s="2" t="s">
        <v>1373</v>
      </c>
      <c r="E916" s="18">
        <v>2873.71</v>
      </c>
      <c r="F916" s="18">
        <v>51.87</v>
      </c>
      <c r="G916" s="2" t="s">
        <v>1361</v>
      </c>
      <c r="H916" s="2" t="s">
        <v>20</v>
      </c>
    </row>
    <row r="917" spans="1:8" ht="15" customHeight="1" x14ac:dyDescent="0.25">
      <c r="A917" s="2" t="s">
        <v>2261</v>
      </c>
      <c r="B917" s="2" t="s">
        <v>1253</v>
      </c>
      <c r="C917" s="17">
        <v>46003</v>
      </c>
      <c r="D917" s="2" t="s">
        <v>1373</v>
      </c>
      <c r="E917" s="18">
        <v>4727.71</v>
      </c>
      <c r="F917" s="18">
        <v>86.74</v>
      </c>
      <c r="G917" s="2" t="s">
        <v>1361</v>
      </c>
      <c r="H917" s="2" t="s">
        <v>20</v>
      </c>
    </row>
    <row r="918" spans="1:8" ht="15" customHeight="1" x14ac:dyDescent="0.25">
      <c r="A918" s="2" t="s">
        <v>2262</v>
      </c>
      <c r="B918" s="2" t="s">
        <v>1256</v>
      </c>
      <c r="C918" s="17">
        <v>45764</v>
      </c>
      <c r="D918" s="2" t="s">
        <v>1360</v>
      </c>
      <c r="E918" s="18">
        <v>21341.26</v>
      </c>
      <c r="F918" s="18">
        <v>552.01</v>
      </c>
      <c r="G918" s="2" t="s">
        <v>1361</v>
      </c>
      <c r="H918" s="2" t="s">
        <v>20</v>
      </c>
    </row>
    <row r="919" spans="1:8" ht="15" customHeight="1" x14ac:dyDescent="0.25">
      <c r="A919" s="2" t="s">
        <v>2263</v>
      </c>
      <c r="B919" s="2" t="s">
        <v>1256</v>
      </c>
      <c r="C919" s="17">
        <v>45766</v>
      </c>
      <c r="D919" s="2" t="s">
        <v>1360</v>
      </c>
      <c r="E919" s="18">
        <v>45246.11</v>
      </c>
      <c r="F919" s="18">
        <v>1280.3</v>
      </c>
      <c r="G919" s="2" t="s">
        <v>1361</v>
      </c>
      <c r="H919" s="2" t="s">
        <v>20</v>
      </c>
    </row>
    <row r="920" spans="1:8" ht="15" customHeight="1" x14ac:dyDescent="0.25">
      <c r="A920" s="2" t="s">
        <v>2264</v>
      </c>
      <c r="B920" s="2" t="s">
        <v>1256</v>
      </c>
      <c r="C920" s="17">
        <v>45795</v>
      </c>
      <c r="D920" s="2" t="s">
        <v>1360</v>
      </c>
      <c r="E920" s="18">
        <v>31522.46</v>
      </c>
      <c r="F920" s="18">
        <v>903.97</v>
      </c>
      <c r="G920" s="2" t="s">
        <v>1361</v>
      </c>
      <c r="H920" s="2" t="s">
        <v>20</v>
      </c>
    </row>
    <row r="921" spans="1:8" ht="15" customHeight="1" x14ac:dyDescent="0.25">
      <c r="A921" s="2" t="s">
        <v>2265</v>
      </c>
      <c r="B921" s="2" t="s">
        <v>1256</v>
      </c>
      <c r="C921" s="17">
        <v>45798</v>
      </c>
      <c r="D921" s="2" t="s">
        <v>1360</v>
      </c>
      <c r="E921" s="18">
        <v>27058.81</v>
      </c>
      <c r="F921" s="18">
        <v>665.44</v>
      </c>
      <c r="G921" s="2" t="s">
        <v>1361</v>
      </c>
      <c r="H921" s="2" t="s">
        <v>2963</v>
      </c>
    </row>
    <row r="922" spans="1:8" ht="15" customHeight="1" x14ac:dyDescent="0.25">
      <c r="A922" s="2" t="s">
        <v>2266</v>
      </c>
      <c r="B922" s="2" t="s">
        <v>1256</v>
      </c>
      <c r="C922" s="17">
        <v>45838</v>
      </c>
      <c r="D922" s="2" t="s">
        <v>1360</v>
      </c>
      <c r="E922" s="18">
        <v>32321.07</v>
      </c>
      <c r="F922" s="18">
        <v>886.95</v>
      </c>
      <c r="G922" s="2" t="s">
        <v>1361</v>
      </c>
      <c r="H922" s="2" t="s">
        <v>20</v>
      </c>
    </row>
    <row r="923" spans="1:8" ht="15" customHeight="1" x14ac:dyDescent="0.25">
      <c r="A923" s="2" t="s">
        <v>2267</v>
      </c>
      <c r="B923" s="2" t="s">
        <v>1256</v>
      </c>
      <c r="C923" s="17">
        <v>45833</v>
      </c>
      <c r="D923" s="2" t="s">
        <v>1360</v>
      </c>
      <c r="E923" s="18">
        <v>54712.84</v>
      </c>
      <c r="F923" s="18">
        <v>1256.3399999999999</v>
      </c>
      <c r="G923" s="2" t="s">
        <v>1361</v>
      </c>
      <c r="H923" s="2" t="s">
        <v>20</v>
      </c>
    </row>
    <row r="924" spans="1:8" ht="15" customHeight="1" x14ac:dyDescent="0.25">
      <c r="A924" s="2" t="s">
        <v>2268</v>
      </c>
      <c r="B924" s="2" t="s">
        <v>1256</v>
      </c>
      <c r="C924" s="17">
        <v>45834</v>
      </c>
      <c r="D924" s="2" t="s">
        <v>1360</v>
      </c>
      <c r="E924" s="18">
        <v>15335.37</v>
      </c>
      <c r="F924" s="18">
        <v>346.08</v>
      </c>
      <c r="G924" s="2" t="s">
        <v>1361</v>
      </c>
      <c r="H924" s="2" t="s">
        <v>20</v>
      </c>
    </row>
    <row r="925" spans="1:8" ht="15" customHeight="1" x14ac:dyDescent="0.25">
      <c r="A925" s="2" t="s">
        <v>2269</v>
      </c>
      <c r="B925" s="2" t="s">
        <v>1256</v>
      </c>
      <c r="C925" s="17">
        <v>45841</v>
      </c>
      <c r="D925" s="2" t="s">
        <v>1360</v>
      </c>
      <c r="E925" s="18">
        <v>50722.17</v>
      </c>
      <c r="F925" s="18">
        <v>1154.95</v>
      </c>
      <c r="G925" s="2" t="s">
        <v>1361</v>
      </c>
      <c r="H925" s="2" t="s">
        <v>20</v>
      </c>
    </row>
    <row r="926" spans="1:8" ht="15" customHeight="1" x14ac:dyDescent="0.25">
      <c r="A926" s="2" t="s">
        <v>2270</v>
      </c>
      <c r="B926" s="2" t="s">
        <v>1256</v>
      </c>
      <c r="C926" s="17">
        <v>45894</v>
      </c>
      <c r="D926" s="2" t="s">
        <v>1360</v>
      </c>
      <c r="E926" s="18">
        <v>62562.23</v>
      </c>
      <c r="F926" s="18">
        <v>1689.29</v>
      </c>
      <c r="G926" s="2" t="s">
        <v>1361</v>
      </c>
      <c r="H926" s="2" t="s">
        <v>20</v>
      </c>
    </row>
    <row r="927" spans="1:8" ht="15" customHeight="1" x14ac:dyDescent="0.25">
      <c r="A927" s="2" t="s">
        <v>2271</v>
      </c>
      <c r="B927" s="2" t="s">
        <v>1256</v>
      </c>
      <c r="C927" s="17">
        <v>45890</v>
      </c>
      <c r="D927" s="2" t="s">
        <v>1360</v>
      </c>
      <c r="E927" s="18">
        <v>57370.52</v>
      </c>
      <c r="F927" s="18">
        <v>1330.47</v>
      </c>
      <c r="G927" s="2" t="s">
        <v>1361</v>
      </c>
      <c r="H927" s="2" t="s">
        <v>20</v>
      </c>
    </row>
    <row r="928" spans="1:8" ht="15" customHeight="1" x14ac:dyDescent="0.25">
      <c r="A928" s="2" t="s">
        <v>137</v>
      </c>
      <c r="B928" s="2" t="s">
        <v>1256</v>
      </c>
      <c r="C928" s="17">
        <v>45925</v>
      </c>
      <c r="D928" s="2" t="s">
        <v>1360</v>
      </c>
      <c r="E928" s="18" t="s">
        <v>2980</v>
      </c>
      <c r="F928" s="18">
        <v>796.3</v>
      </c>
      <c r="G928" s="2" t="s">
        <v>1361</v>
      </c>
      <c r="H928" s="2" t="s">
        <v>20</v>
      </c>
    </row>
    <row r="929" spans="1:8" ht="15" customHeight="1" x14ac:dyDescent="0.25">
      <c r="A929" s="2" t="s">
        <v>2272</v>
      </c>
      <c r="B929" s="2" t="s">
        <v>1256</v>
      </c>
      <c r="C929" s="17">
        <v>45930</v>
      </c>
      <c r="D929" s="2" t="s">
        <v>1360</v>
      </c>
      <c r="E929" s="18">
        <v>53587.73</v>
      </c>
      <c r="F929" s="18">
        <v>1161.8699999999999</v>
      </c>
      <c r="G929" s="2" t="s">
        <v>1361</v>
      </c>
      <c r="H929" s="2" t="s">
        <v>20</v>
      </c>
    </row>
    <row r="930" spans="1:8" ht="15" customHeight="1" x14ac:dyDescent="0.25">
      <c r="A930" s="2" t="s">
        <v>2273</v>
      </c>
      <c r="B930" s="2" t="s">
        <v>1256</v>
      </c>
      <c r="C930" s="17">
        <v>45953</v>
      </c>
      <c r="D930" s="2" t="s">
        <v>1360</v>
      </c>
      <c r="E930" s="18">
        <v>18517.189999999999</v>
      </c>
      <c r="F930" s="18">
        <v>0</v>
      </c>
      <c r="G930" s="2" t="s">
        <v>1408</v>
      </c>
      <c r="H930" s="2" t="s">
        <v>20</v>
      </c>
    </row>
    <row r="931" spans="1:8" ht="15" customHeight="1" x14ac:dyDescent="0.25">
      <c r="A931" s="2" t="s">
        <v>2274</v>
      </c>
      <c r="B931" s="2" t="s">
        <v>1256</v>
      </c>
      <c r="C931" s="17">
        <v>45981</v>
      </c>
      <c r="D931" s="2" t="s">
        <v>1360</v>
      </c>
      <c r="E931" s="18">
        <v>41628.36</v>
      </c>
      <c r="F931" s="18">
        <v>1033.6199999999999</v>
      </c>
      <c r="G931" s="2" t="s">
        <v>1361</v>
      </c>
      <c r="H931" s="2" t="s">
        <v>20</v>
      </c>
    </row>
    <row r="932" spans="1:8" ht="15" customHeight="1" x14ac:dyDescent="0.25">
      <c r="A932" s="2" t="s">
        <v>132</v>
      </c>
      <c r="B932" s="2" t="s">
        <v>1256</v>
      </c>
      <c r="C932" s="17">
        <v>45977</v>
      </c>
      <c r="D932" s="2" t="s">
        <v>1360</v>
      </c>
      <c r="E932" s="18">
        <v>19113.95</v>
      </c>
      <c r="F932" s="18">
        <v>455.03</v>
      </c>
      <c r="G932" s="2" t="s">
        <v>1408</v>
      </c>
      <c r="H932" s="2" t="s">
        <v>20</v>
      </c>
    </row>
    <row r="933" spans="1:8" ht="15" customHeight="1" x14ac:dyDescent="0.25">
      <c r="A933" s="2" t="s">
        <v>2275</v>
      </c>
      <c r="B933" s="2" t="s">
        <v>1256</v>
      </c>
      <c r="C933" s="17">
        <v>46004</v>
      </c>
      <c r="D933" s="2" t="s">
        <v>1360</v>
      </c>
      <c r="E933" s="18">
        <v>57048.62</v>
      </c>
      <c r="F933" s="18">
        <v>1372.48</v>
      </c>
      <c r="G933" s="2" t="s">
        <v>1361</v>
      </c>
      <c r="H933" s="2" t="s">
        <v>20</v>
      </c>
    </row>
    <row r="934" spans="1:8" ht="15" customHeight="1" x14ac:dyDescent="0.25">
      <c r="A934" s="2" t="s">
        <v>2276</v>
      </c>
      <c r="B934" s="2" t="s">
        <v>1257</v>
      </c>
      <c r="C934" s="17">
        <v>45896</v>
      </c>
      <c r="D934" s="2" t="s">
        <v>1373</v>
      </c>
      <c r="E934" s="18">
        <v>4467.12</v>
      </c>
      <c r="F934" s="18">
        <v>84.45</v>
      </c>
      <c r="G934" s="2" t="s">
        <v>1361</v>
      </c>
      <c r="H934" s="2" t="s">
        <v>20</v>
      </c>
    </row>
    <row r="935" spans="1:8" ht="15" customHeight="1" x14ac:dyDescent="0.25">
      <c r="A935" s="2" t="s">
        <v>2277</v>
      </c>
      <c r="B935" s="2" t="s">
        <v>1257</v>
      </c>
      <c r="C935" s="17">
        <v>45891</v>
      </c>
      <c r="D935" s="2" t="s">
        <v>1373</v>
      </c>
      <c r="E935" s="18">
        <v>4537.49</v>
      </c>
      <c r="F935" s="18">
        <v>78.400000000000006</v>
      </c>
      <c r="G935" s="2" t="s">
        <v>1361</v>
      </c>
      <c r="H935" s="2" t="s">
        <v>20</v>
      </c>
    </row>
    <row r="936" spans="1:8" ht="15" customHeight="1" x14ac:dyDescent="0.25">
      <c r="A936" s="2" t="s">
        <v>2278</v>
      </c>
      <c r="B936" s="2" t="s">
        <v>1257</v>
      </c>
      <c r="C936" s="17">
        <v>45893</v>
      </c>
      <c r="D936" s="2" t="s">
        <v>1373</v>
      </c>
      <c r="E936" s="18">
        <v>4127.07</v>
      </c>
      <c r="F936" s="18">
        <v>64.81</v>
      </c>
      <c r="G936" s="2" t="s">
        <v>1361</v>
      </c>
      <c r="H936" s="2" t="s">
        <v>20</v>
      </c>
    </row>
    <row r="937" spans="1:8" ht="15" customHeight="1" x14ac:dyDescent="0.25">
      <c r="A937" s="2" t="s">
        <v>2279</v>
      </c>
      <c r="B937" s="2" t="s">
        <v>1257</v>
      </c>
      <c r="C937" s="17">
        <v>45925</v>
      </c>
      <c r="D937" s="2" t="s">
        <v>1373</v>
      </c>
      <c r="E937" s="18">
        <v>3718.93</v>
      </c>
      <c r="F937" s="18">
        <v>75.14</v>
      </c>
      <c r="G937" s="2" t="s">
        <v>1361</v>
      </c>
      <c r="H937" s="2" t="s">
        <v>20</v>
      </c>
    </row>
    <row r="938" spans="1:8" ht="15" customHeight="1" x14ac:dyDescent="0.25">
      <c r="A938" s="2" t="s">
        <v>2280</v>
      </c>
      <c r="B938" s="2" t="s">
        <v>1257</v>
      </c>
      <c r="C938" s="17">
        <v>45909</v>
      </c>
      <c r="D938" s="2" t="s">
        <v>1373</v>
      </c>
      <c r="E938" s="18">
        <v>1384.95</v>
      </c>
      <c r="F938" s="18">
        <v>25.29</v>
      </c>
      <c r="G938" s="2" t="s">
        <v>1361</v>
      </c>
      <c r="H938" s="2" t="s">
        <v>20</v>
      </c>
    </row>
    <row r="939" spans="1:8" ht="15" customHeight="1" x14ac:dyDescent="0.25">
      <c r="A939" s="2" t="s">
        <v>2281</v>
      </c>
      <c r="B939" s="2" t="s">
        <v>1257</v>
      </c>
      <c r="C939" s="17">
        <v>45937</v>
      </c>
      <c r="D939" s="2" t="s">
        <v>1373</v>
      </c>
      <c r="E939" s="18">
        <v>4514.05</v>
      </c>
      <c r="F939" s="18">
        <v>91.94</v>
      </c>
      <c r="G939" s="2" t="s">
        <v>1361</v>
      </c>
      <c r="H939" s="2" t="s">
        <v>20</v>
      </c>
    </row>
    <row r="940" spans="1:8" ht="15" customHeight="1" x14ac:dyDescent="0.25">
      <c r="A940" s="2" t="s">
        <v>2282</v>
      </c>
      <c r="B940" s="2" t="s">
        <v>1257</v>
      </c>
      <c r="C940" s="17">
        <v>45980</v>
      </c>
      <c r="D940" s="2" t="s">
        <v>1373</v>
      </c>
      <c r="E940" s="18">
        <v>3815.79</v>
      </c>
      <c r="F940" s="18">
        <v>73.599999999999994</v>
      </c>
      <c r="G940" s="2" t="s">
        <v>1361</v>
      </c>
      <c r="H940" s="2" t="s">
        <v>20</v>
      </c>
    </row>
    <row r="941" spans="1:8" ht="15" customHeight="1" x14ac:dyDescent="0.25">
      <c r="A941" s="2" t="s">
        <v>2283</v>
      </c>
      <c r="B941" s="2" t="s">
        <v>1257</v>
      </c>
      <c r="C941" s="17">
        <v>45991</v>
      </c>
      <c r="D941" s="2" t="s">
        <v>1373</v>
      </c>
      <c r="E941" s="18">
        <v>1260.46</v>
      </c>
      <c r="F941" s="18">
        <v>0</v>
      </c>
      <c r="G941" s="2" t="s">
        <v>1408</v>
      </c>
      <c r="H941" s="2" t="s">
        <v>20</v>
      </c>
    </row>
    <row r="942" spans="1:8" ht="15" customHeight="1" x14ac:dyDescent="0.25">
      <c r="A942" s="2" t="s">
        <v>2284</v>
      </c>
      <c r="B942" s="2" t="s">
        <v>1257</v>
      </c>
      <c r="C942" s="17">
        <v>46018</v>
      </c>
      <c r="D942" s="2" t="s">
        <v>1373</v>
      </c>
      <c r="E942" s="18">
        <v>2607.4699999999998</v>
      </c>
      <c r="F942" s="18">
        <v>41.78</v>
      </c>
      <c r="G942" s="2" t="s">
        <v>1361</v>
      </c>
      <c r="H942" s="2" t="s">
        <v>20</v>
      </c>
    </row>
    <row r="943" spans="1:8" ht="15" customHeight="1" x14ac:dyDescent="0.25">
      <c r="A943" s="2" t="s">
        <v>2285</v>
      </c>
      <c r="B943" s="2" t="s">
        <v>1257</v>
      </c>
      <c r="C943" s="17">
        <v>46012</v>
      </c>
      <c r="D943" s="2" t="s">
        <v>1373</v>
      </c>
      <c r="E943" s="18">
        <v>2928.31</v>
      </c>
      <c r="F943" s="18">
        <v>52.41</v>
      </c>
      <c r="G943" s="2" t="s">
        <v>1361</v>
      </c>
      <c r="H943" s="2" t="s">
        <v>20</v>
      </c>
    </row>
    <row r="944" spans="1:8" ht="15" customHeight="1" x14ac:dyDescent="0.25">
      <c r="A944" s="2" t="s">
        <v>2286</v>
      </c>
      <c r="B944" s="2" t="s">
        <v>1258</v>
      </c>
      <c r="C944" s="17">
        <v>45714</v>
      </c>
      <c r="D944" s="2" t="s">
        <v>1360</v>
      </c>
      <c r="E944" s="18">
        <v>8131.28</v>
      </c>
      <c r="F944" s="18">
        <v>174.1</v>
      </c>
      <c r="G944" s="2" t="s">
        <v>1361</v>
      </c>
      <c r="H944" s="2" t="s">
        <v>18</v>
      </c>
    </row>
    <row r="945" spans="1:8" ht="15" customHeight="1" x14ac:dyDescent="0.25">
      <c r="A945" s="2" t="s">
        <v>2287</v>
      </c>
      <c r="B945" s="2" t="s">
        <v>1258</v>
      </c>
      <c r="C945" s="17">
        <v>45725</v>
      </c>
      <c r="D945" s="2" t="s">
        <v>1360</v>
      </c>
      <c r="E945" s="18">
        <v>15614.67</v>
      </c>
      <c r="F945" s="18">
        <v>361.99</v>
      </c>
      <c r="G945" s="2" t="s">
        <v>1361</v>
      </c>
      <c r="H945" s="2" t="s">
        <v>18</v>
      </c>
    </row>
    <row r="946" spans="1:8" ht="15" customHeight="1" x14ac:dyDescent="0.25">
      <c r="A946" s="2" t="s">
        <v>2288</v>
      </c>
      <c r="B946" s="2" t="s">
        <v>1258</v>
      </c>
      <c r="C946" s="17">
        <v>45717</v>
      </c>
      <c r="D946" s="2" t="s">
        <v>1360</v>
      </c>
      <c r="E946" s="18">
        <v>17438.34</v>
      </c>
      <c r="F946" s="18">
        <v>457.15</v>
      </c>
      <c r="G946" s="2" t="s">
        <v>1361</v>
      </c>
      <c r="H946" s="2" t="s">
        <v>18</v>
      </c>
    </row>
    <row r="947" spans="1:8" ht="15" customHeight="1" x14ac:dyDescent="0.25">
      <c r="A947" s="2" t="s">
        <v>2289</v>
      </c>
      <c r="B947" s="2" t="s">
        <v>1258</v>
      </c>
      <c r="C947" s="17">
        <v>45768</v>
      </c>
      <c r="D947" s="2" t="s">
        <v>1360</v>
      </c>
      <c r="E947" s="18">
        <v>17725.54</v>
      </c>
      <c r="F947" s="18">
        <v>431.69</v>
      </c>
      <c r="G947" s="2" t="s">
        <v>1361</v>
      </c>
      <c r="H947" s="2" t="s">
        <v>18</v>
      </c>
    </row>
    <row r="948" spans="1:8" ht="15" customHeight="1" x14ac:dyDescent="0.25">
      <c r="A948" s="2" t="s">
        <v>2290</v>
      </c>
      <c r="B948" s="2" t="s">
        <v>1258</v>
      </c>
      <c r="C948" s="17">
        <v>45771</v>
      </c>
      <c r="D948" s="2" t="s">
        <v>1360</v>
      </c>
      <c r="E948" s="18">
        <v>8822.5</v>
      </c>
      <c r="F948" s="18">
        <v>191.92</v>
      </c>
      <c r="G948" s="2" t="s">
        <v>1361</v>
      </c>
      <c r="H948" s="2" t="s">
        <v>18</v>
      </c>
    </row>
    <row r="949" spans="1:8" ht="15" customHeight="1" x14ac:dyDescent="0.25">
      <c r="A949" s="2" t="s">
        <v>2291</v>
      </c>
      <c r="B949" s="2" t="s">
        <v>1258</v>
      </c>
      <c r="C949" s="17">
        <v>45785</v>
      </c>
      <c r="D949" s="2" t="s">
        <v>1360</v>
      </c>
      <c r="E949" s="18">
        <v>17146.09</v>
      </c>
      <c r="F949" s="18">
        <v>379.49</v>
      </c>
      <c r="G949" s="2" t="s">
        <v>1361</v>
      </c>
      <c r="H949" s="2" t="s">
        <v>18</v>
      </c>
    </row>
    <row r="950" spans="1:8" ht="15" customHeight="1" x14ac:dyDescent="0.25">
      <c r="A950" s="2" t="s">
        <v>2292</v>
      </c>
      <c r="B950" s="2" t="s">
        <v>1258</v>
      </c>
      <c r="C950" s="17">
        <v>45798</v>
      </c>
      <c r="D950" s="2" t="s">
        <v>1360</v>
      </c>
      <c r="E950" s="18">
        <v>11717.63</v>
      </c>
      <c r="F950" s="18">
        <v>302.93</v>
      </c>
      <c r="G950" s="2" t="s">
        <v>1361</v>
      </c>
      <c r="H950" s="2" t="s">
        <v>18</v>
      </c>
    </row>
    <row r="951" spans="1:8" ht="15" customHeight="1" x14ac:dyDescent="0.25">
      <c r="A951" s="2" t="s">
        <v>2293</v>
      </c>
      <c r="B951" s="2" t="s">
        <v>1258</v>
      </c>
      <c r="C951" s="17">
        <v>45792</v>
      </c>
      <c r="D951" s="2" t="s">
        <v>1360</v>
      </c>
      <c r="E951" s="18">
        <v>6828.52</v>
      </c>
      <c r="F951" s="18">
        <v>160.16999999999999</v>
      </c>
      <c r="G951" s="2" t="s">
        <v>1361</v>
      </c>
      <c r="H951" s="2" t="s">
        <v>18</v>
      </c>
    </row>
    <row r="952" spans="1:8" ht="15" customHeight="1" x14ac:dyDescent="0.25">
      <c r="A952" s="2" t="s">
        <v>2294</v>
      </c>
      <c r="B952" s="2" t="s">
        <v>1258</v>
      </c>
      <c r="C952" s="17">
        <v>45818</v>
      </c>
      <c r="D952" s="2" t="s">
        <v>1360</v>
      </c>
      <c r="E952" s="18">
        <v>12663.03</v>
      </c>
      <c r="F952" s="18">
        <v>302.8</v>
      </c>
      <c r="G952" s="2" t="s">
        <v>1361</v>
      </c>
      <c r="H952" s="2" t="s">
        <v>18</v>
      </c>
    </row>
    <row r="953" spans="1:8" ht="15" customHeight="1" x14ac:dyDescent="0.25">
      <c r="A953" s="2" t="s">
        <v>2295</v>
      </c>
      <c r="B953" s="2" t="s">
        <v>1258</v>
      </c>
      <c r="C953" s="17">
        <v>45835</v>
      </c>
      <c r="D953" s="2" t="s">
        <v>1360</v>
      </c>
      <c r="E953" s="18">
        <v>4974.28</v>
      </c>
      <c r="F953" s="18">
        <v>117.17</v>
      </c>
      <c r="G953" s="2" t="s">
        <v>1361</v>
      </c>
      <c r="H953" s="2" t="s">
        <v>18</v>
      </c>
    </row>
    <row r="954" spans="1:8" ht="15" customHeight="1" x14ac:dyDescent="0.25">
      <c r="A954" s="2" t="s">
        <v>2296</v>
      </c>
      <c r="B954" s="2" t="s">
        <v>1258</v>
      </c>
      <c r="C954" s="17">
        <v>45841</v>
      </c>
      <c r="D954" s="2" t="s">
        <v>1360</v>
      </c>
      <c r="E954" s="18">
        <v>11973.7</v>
      </c>
      <c r="F954" s="18">
        <v>268.43</v>
      </c>
      <c r="G954" s="2" t="s">
        <v>1361</v>
      </c>
      <c r="H954" s="2" t="s">
        <v>18</v>
      </c>
    </row>
    <row r="955" spans="1:8" ht="15" customHeight="1" x14ac:dyDescent="0.25">
      <c r="A955" s="2" t="s">
        <v>2297</v>
      </c>
      <c r="B955" s="2" t="s">
        <v>1258</v>
      </c>
      <c r="C955" s="17">
        <v>45871</v>
      </c>
      <c r="D955" s="2" t="s">
        <v>1360</v>
      </c>
      <c r="E955" s="18">
        <v>9954.61</v>
      </c>
      <c r="F955" s="18">
        <v>272.22000000000003</v>
      </c>
      <c r="G955" s="2" t="s">
        <v>1361</v>
      </c>
      <c r="H955" s="2" t="s">
        <v>18</v>
      </c>
    </row>
    <row r="956" spans="1:8" ht="15" customHeight="1" x14ac:dyDescent="0.25">
      <c r="A956" s="2" t="s">
        <v>2298</v>
      </c>
      <c r="B956" s="2" t="s">
        <v>1258</v>
      </c>
      <c r="C956" s="17">
        <v>45895</v>
      </c>
      <c r="D956" s="2" t="s">
        <v>1360</v>
      </c>
      <c r="E956" s="18">
        <v>10025.200000000001</v>
      </c>
      <c r="F956" s="18">
        <v>281.47000000000003</v>
      </c>
      <c r="G956" s="2" t="s">
        <v>1361</v>
      </c>
      <c r="H956" s="2" t="s">
        <v>18</v>
      </c>
    </row>
    <row r="957" spans="1:8" ht="15" customHeight="1" x14ac:dyDescent="0.25">
      <c r="A957" s="2" t="s">
        <v>2299</v>
      </c>
      <c r="B957" s="2" t="s">
        <v>1258</v>
      </c>
      <c r="C957" s="17">
        <v>45910</v>
      </c>
      <c r="D957" s="2" t="s">
        <v>1360</v>
      </c>
      <c r="E957" s="18">
        <v>7605.23</v>
      </c>
      <c r="F957" s="18">
        <v>207.46</v>
      </c>
      <c r="G957" s="2" t="s">
        <v>1361</v>
      </c>
      <c r="H957" s="2" t="s">
        <v>18</v>
      </c>
    </row>
    <row r="958" spans="1:8" ht="15" customHeight="1" x14ac:dyDescent="0.25">
      <c r="A958" s="2" t="s">
        <v>2300</v>
      </c>
      <c r="B958" s="2" t="s">
        <v>1258</v>
      </c>
      <c r="C958" s="17">
        <v>45911</v>
      </c>
      <c r="D958" s="2" t="s">
        <v>1360</v>
      </c>
      <c r="E958" s="18">
        <v>10985.31</v>
      </c>
      <c r="F958" s="18">
        <v>306.36</v>
      </c>
      <c r="G958" s="2" t="s">
        <v>1361</v>
      </c>
      <c r="H958" s="2" t="s">
        <v>18</v>
      </c>
    </row>
    <row r="959" spans="1:8" ht="15" customHeight="1" x14ac:dyDescent="0.25">
      <c r="A959" s="2" t="s">
        <v>2301</v>
      </c>
      <c r="B959" s="2" t="s">
        <v>1258</v>
      </c>
      <c r="C959" s="17">
        <v>45949</v>
      </c>
      <c r="D959" s="2" t="s">
        <v>1360</v>
      </c>
      <c r="E959" s="18">
        <v>8418.18</v>
      </c>
      <c r="F959" s="18">
        <v>232.49</v>
      </c>
      <c r="G959" s="2" t="s">
        <v>1361</v>
      </c>
      <c r="H959" s="2" t="s">
        <v>18</v>
      </c>
    </row>
    <row r="960" spans="1:8" ht="15" customHeight="1" x14ac:dyDescent="0.25">
      <c r="A960" s="2" t="s">
        <v>2302</v>
      </c>
      <c r="B960" s="2" t="s">
        <v>1258</v>
      </c>
      <c r="C960" s="17">
        <v>45934</v>
      </c>
      <c r="D960" s="2" t="s">
        <v>1360</v>
      </c>
      <c r="E960" s="18">
        <v>16516.32</v>
      </c>
      <c r="F960" s="18">
        <v>467.18</v>
      </c>
      <c r="G960" s="2" t="s">
        <v>1361</v>
      </c>
      <c r="H960" s="2" t="s">
        <v>18</v>
      </c>
    </row>
    <row r="961" spans="1:8" ht="15" customHeight="1" x14ac:dyDescent="0.25">
      <c r="A961" s="2" t="s">
        <v>2303</v>
      </c>
      <c r="B961" s="2" t="s">
        <v>1258</v>
      </c>
      <c r="C961" s="17">
        <v>45935</v>
      </c>
      <c r="D961" s="2" t="s">
        <v>1360</v>
      </c>
      <c r="E961" s="18">
        <v>16552.240000000002</v>
      </c>
      <c r="F961" s="18">
        <v>355.4</v>
      </c>
      <c r="G961" s="2" t="s">
        <v>1361</v>
      </c>
      <c r="H961" s="2" t="s">
        <v>18</v>
      </c>
    </row>
    <row r="962" spans="1:8" ht="15" customHeight="1" x14ac:dyDescent="0.25">
      <c r="A962" s="2" t="s">
        <v>2304</v>
      </c>
      <c r="B962" s="2" t="s">
        <v>1258</v>
      </c>
      <c r="C962" s="17">
        <v>45985</v>
      </c>
      <c r="D962" s="2" t="s">
        <v>1360</v>
      </c>
      <c r="E962" s="18">
        <v>12767.35</v>
      </c>
      <c r="F962" s="18">
        <v>348.39</v>
      </c>
      <c r="G962" s="2" t="s">
        <v>1361</v>
      </c>
      <c r="H962" s="2" t="s">
        <v>18</v>
      </c>
    </row>
    <row r="963" spans="1:8" ht="15" customHeight="1" x14ac:dyDescent="0.25">
      <c r="A963" s="2" t="s">
        <v>2305</v>
      </c>
      <c r="B963" s="2" t="s">
        <v>1258</v>
      </c>
      <c r="C963" s="17">
        <v>45991</v>
      </c>
      <c r="D963" s="2" t="s">
        <v>1360</v>
      </c>
      <c r="E963" s="18">
        <v>5916.72</v>
      </c>
      <c r="F963" s="18">
        <v>153.47</v>
      </c>
      <c r="G963" s="2" t="s">
        <v>1361</v>
      </c>
      <c r="H963" s="2" t="s">
        <v>18</v>
      </c>
    </row>
    <row r="964" spans="1:8" ht="15" customHeight="1" x14ac:dyDescent="0.25">
      <c r="A964" s="2" t="s">
        <v>2306</v>
      </c>
      <c r="B964" s="2" t="s">
        <v>1258</v>
      </c>
      <c r="C964" s="17">
        <v>45704</v>
      </c>
      <c r="D964" s="2" t="s">
        <v>1360</v>
      </c>
      <c r="E964" s="18">
        <v>16711</v>
      </c>
      <c r="F964" s="18">
        <v>419.24</v>
      </c>
      <c r="G964" s="2" t="s">
        <v>1361</v>
      </c>
      <c r="H964" s="2" t="s">
        <v>18</v>
      </c>
    </row>
    <row r="965" spans="1:8" ht="15" customHeight="1" x14ac:dyDescent="0.25">
      <c r="A965" s="2" t="s">
        <v>2307</v>
      </c>
      <c r="B965" s="2" t="s">
        <v>1258</v>
      </c>
      <c r="C965" s="17">
        <v>46008</v>
      </c>
      <c r="D965" s="2" t="s">
        <v>1360</v>
      </c>
      <c r="E965" s="18">
        <v>12829.6</v>
      </c>
      <c r="F965" s="18">
        <v>349.02</v>
      </c>
      <c r="G965" s="2" t="s">
        <v>1361</v>
      </c>
      <c r="H965" s="2" t="s">
        <v>18</v>
      </c>
    </row>
    <row r="966" spans="1:8" ht="15" customHeight="1" x14ac:dyDescent="0.25">
      <c r="A966" s="2" t="s">
        <v>2308</v>
      </c>
      <c r="B966" s="2" t="s">
        <v>1258</v>
      </c>
      <c r="C966" s="17">
        <v>46007</v>
      </c>
      <c r="D966" s="2" t="s">
        <v>1360</v>
      </c>
      <c r="E966" s="18">
        <v>13645.22</v>
      </c>
      <c r="F966" s="18">
        <v>369.25</v>
      </c>
      <c r="G966" s="2" t="s">
        <v>1361</v>
      </c>
      <c r="H966" s="2" t="s">
        <v>18</v>
      </c>
    </row>
    <row r="967" spans="1:8" ht="15" customHeight="1" x14ac:dyDescent="0.25">
      <c r="A967" s="2" t="s">
        <v>120</v>
      </c>
      <c r="B967" s="2" t="s">
        <v>1437</v>
      </c>
      <c r="C967" s="17">
        <v>46015</v>
      </c>
      <c r="D967" s="2" t="s">
        <v>1360</v>
      </c>
      <c r="E967" s="18">
        <v>17923.32</v>
      </c>
      <c r="F967" s="18">
        <v>420.2</v>
      </c>
      <c r="G967" s="2" t="s">
        <v>1361</v>
      </c>
      <c r="H967" s="2" t="s">
        <v>18</v>
      </c>
    </row>
    <row r="968" spans="1:8" ht="15" customHeight="1" x14ac:dyDescent="0.25">
      <c r="A968" s="2" t="s">
        <v>2309</v>
      </c>
      <c r="B968" s="2" t="s">
        <v>1259</v>
      </c>
      <c r="C968" s="17">
        <v>45959</v>
      </c>
      <c r="D968" s="2" t="s">
        <v>1360</v>
      </c>
      <c r="E968" s="18">
        <v>4971.62</v>
      </c>
      <c r="F968" s="18">
        <v>129.38999999999999</v>
      </c>
      <c r="G968" s="2" t="s">
        <v>1361</v>
      </c>
      <c r="H968" s="2" t="s">
        <v>22</v>
      </c>
    </row>
    <row r="969" spans="1:8" ht="15" customHeight="1" x14ac:dyDescent="0.25">
      <c r="A969" s="2" t="s">
        <v>2310</v>
      </c>
      <c r="B969" s="2" t="s">
        <v>1259</v>
      </c>
      <c r="C969" s="17">
        <v>45947</v>
      </c>
      <c r="D969" s="2" t="s">
        <v>1360</v>
      </c>
      <c r="E969" s="18">
        <v>10322.84</v>
      </c>
      <c r="F969" s="18">
        <v>238</v>
      </c>
      <c r="G969" s="2" t="s">
        <v>1361</v>
      </c>
      <c r="H969" s="2" t="s">
        <v>22</v>
      </c>
    </row>
    <row r="970" spans="1:8" ht="15" customHeight="1" x14ac:dyDescent="0.25">
      <c r="A970" s="2" t="s">
        <v>2311</v>
      </c>
      <c r="B970" s="2" t="s">
        <v>1259</v>
      </c>
      <c r="C970" s="17">
        <v>45943</v>
      </c>
      <c r="D970" s="2" t="s">
        <v>1360</v>
      </c>
      <c r="E970" s="18">
        <v>5697.29</v>
      </c>
      <c r="F970" s="18">
        <v>144.69999999999999</v>
      </c>
      <c r="G970" s="2" t="s">
        <v>1361</v>
      </c>
      <c r="H970" s="2" t="s">
        <v>22</v>
      </c>
    </row>
    <row r="971" spans="1:8" ht="15" customHeight="1" x14ac:dyDescent="0.25">
      <c r="A971" s="2" t="s">
        <v>2312</v>
      </c>
      <c r="B971" s="2" t="s">
        <v>1259</v>
      </c>
      <c r="C971" s="17">
        <v>45967</v>
      </c>
      <c r="D971" s="2" t="s">
        <v>1360</v>
      </c>
      <c r="E971" s="18">
        <v>8002.18</v>
      </c>
      <c r="F971" s="18">
        <v>191.48</v>
      </c>
      <c r="G971" s="2" t="s">
        <v>1361</v>
      </c>
      <c r="H971" s="2" t="s">
        <v>22</v>
      </c>
    </row>
    <row r="972" spans="1:8" ht="15" customHeight="1" x14ac:dyDescent="0.25">
      <c r="A972" s="2" t="s">
        <v>2313</v>
      </c>
      <c r="B972" s="2" t="s">
        <v>1259</v>
      </c>
      <c r="C972" s="17">
        <v>46000</v>
      </c>
      <c r="D972" s="2" t="s">
        <v>1360</v>
      </c>
      <c r="E972" s="18">
        <v>14385.13</v>
      </c>
      <c r="F972" s="18">
        <v>387.15</v>
      </c>
      <c r="G972" s="2" t="s">
        <v>1361</v>
      </c>
      <c r="H972" s="2" t="s">
        <v>22</v>
      </c>
    </row>
    <row r="973" spans="1:8" ht="15" customHeight="1" x14ac:dyDescent="0.25">
      <c r="A973" s="2" t="s">
        <v>2314</v>
      </c>
      <c r="B973" s="2" t="s">
        <v>1260</v>
      </c>
      <c r="C973" s="17">
        <v>45900</v>
      </c>
      <c r="D973" s="2" t="s">
        <v>1360</v>
      </c>
      <c r="E973" s="18">
        <v>2543.37</v>
      </c>
      <c r="F973" s="18">
        <v>78.56</v>
      </c>
      <c r="G973" s="2" t="s">
        <v>1361</v>
      </c>
      <c r="H973" s="2" t="s">
        <v>22</v>
      </c>
    </row>
    <row r="974" spans="1:8" ht="15" customHeight="1" x14ac:dyDescent="0.25">
      <c r="A974" s="2" t="s">
        <v>2315</v>
      </c>
      <c r="B974" s="2" t="s">
        <v>1260</v>
      </c>
      <c r="C974" s="17">
        <v>45900</v>
      </c>
      <c r="D974" s="2" t="s">
        <v>1481</v>
      </c>
      <c r="E974" s="18">
        <v>2749.26</v>
      </c>
      <c r="F974" s="18">
        <v>84.64</v>
      </c>
      <c r="G974" s="2" t="s">
        <v>1361</v>
      </c>
      <c r="H974" s="2" t="s">
        <v>22</v>
      </c>
    </row>
    <row r="975" spans="1:8" ht="15" customHeight="1" x14ac:dyDescent="0.25">
      <c r="A975" s="2" t="s">
        <v>2316</v>
      </c>
      <c r="B975" s="2" t="s">
        <v>1260</v>
      </c>
      <c r="C975" s="17">
        <v>45920</v>
      </c>
      <c r="D975" s="2" t="s">
        <v>1481</v>
      </c>
      <c r="E975" s="18">
        <v>1795.72</v>
      </c>
      <c r="F975" s="18">
        <v>45.02</v>
      </c>
      <c r="G975" s="2" t="s">
        <v>1361</v>
      </c>
      <c r="H975" s="2" t="s">
        <v>22</v>
      </c>
    </row>
    <row r="976" spans="1:8" ht="15" customHeight="1" x14ac:dyDescent="0.25">
      <c r="A976" s="2" t="s">
        <v>2317</v>
      </c>
      <c r="B976" s="2" t="s">
        <v>1260</v>
      </c>
      <c r="C976" s="17">
        <v>45901</v>
      </c>
      <c r="D976" s="2" t="s">
        <v>1481</v>
      </c>
      <c r="E976" s="18">
        <v>1231.8699999999999</v>
      </c>
      <c r="F976" s="18">
        <v>34.1</v>
      </c>
      <c r="G976" s="2" t="s">
        <v>1361</v>
      </c>
      <c r="H976" s="2" t="s">
        <v>22</v>
      </c>
    </row>
    <row r="977" spans="1:8" ht="15" customHeight="1" x14ac:dyDescent="0.25">
      <c r="A977" s="2" t="s">
        <v>2318</v>
      </c>
      <c r="B977" s="2" t="s">
        <v>1260</v>
      </c>
      <c r="C977" s="17">
        <v>45945</v>
      </c>
      <c r="D977" s="2" t="s">
        <v>1481</v>
      </c>
      <c r="E977" s="18">
        <v>4758.3100000000004</v>
      </c>
      <c r="F977" s="18">
        <v>129.80000000000001</v>
      </c>
      <c r="G977" s="2" t="s">
        <v>1361</v>
      </c>
      <c r="H977" s="2" t="s">
        <v>22</v>
      </c>
    </row>
    <row r="978" spans="1:8" ht="15" customHeight="1" x14ac:dyDescent="0.25">
      <c r="A978" s="2" t="s">
        <v>2319</v>
      </c>
      <c r="B978" s="2" t="s">
        <v>1260</v>
      </c>
      <c r="C978" s="17">
        <v>45957</v>
      </c>
      <c r="D978" s="2" t="s">
        <v>1360</v>
      </c>
      <c r="E978" s="18">
        <v>1447.73</v>
      </c>
      <c r="F978" s="18">
        <v>43.23</v>
      </c>
      <c r="G978" s="2" t="s">
        <v>1361</v>
      </c>
      <c r="H978" s="2" t="s">
        <v>22</v>
      </c>
    </row>
    <row r="979" spans="1:8" ht="15" customHeight="1" x14ac:dyDescent="0.25">
      <c r="A979" s="2" t="s">
        <v>2320</v>
      </c>
      <c r="B979" s="2" t="s">
        <v>1260</v>
      </c>
      <c r="C979" s="17">
        <v>45977</v>
      </c>
      <c r="D979" s="2" t="s">
        <v>1479</v>
      </c>
      <c r="E979" s="18">
        <v>3221.54</v>
      </c>
      <c r="F979" s="18">
        <v>84.74</v>
      </c>
      <c r="G979" s="2" t="s">
        <v>1361</v>
      </c>
      <c r="H979" s="2" t="s">
        <v>22</v>
      </c>
    </row>
    <row r="980" spans="1:8" ht="15" customHeight="1" x14ac:dyDescent="0.25">
      <c r="A980" s="2" t="s">
        <v>2321</v>
      </c>
      <c r="B980" s="2" t="s">
        <v>1260</v>
      </c>
      <c r="C980" s="17">
        <v>45986</v>
      </c>
      <c r="D980" s="2" t="s">
        <v>1481</v>
      </c>
      <c r="E980" s="18">
        <v>1352.37</v>
      </c>
      <c r="F980" s="18">
        <v>35.200000000000003</v>
      </c>
      <c r="G980" s="2" t="s">
        <v>1361</v>
      </c>
      <c r="H980" s="2" t="s">
        <v>22</v>
      </c>
    </row>
    <row r="981" spans="1:8" ht="15" customHeight="1" x14ac:dyDescent="0.25">
      <c r="A981" s="2" t="s">
        <v>2322</v>
      </c>
      <c r="B981" s="2" t="s">
        <v>1260</v>
      </c>
      <c r="C981" s="17">
        <v>45966</v>
      </c>
      <c r="D981" s="2" t="s">
        <v>1479</v>
      </c>
      <c r="E981" s="18">
        <v>2213.6999999999998</v>
      </c>
      <c r="F981" s="18">
        <v>64.95</v>
      </c>
      <c r="G981" s="2" t="s">
        <v>1361</v>
      </c>
      <c r="H981" s="2" t="s">
        <v>22</v>
      </c>
    </row>
    <row r="982" spans="1:8" ht="15" customHeight="1" x14ac:dyDescent="0.25">
      <c r="A982" s="2" t="s">
        <v>2323</v>
      </c>
      <c r="B982" s="2" t="s">
        <v>1260</v>
      </c>
      <c r="C982" s="17">
        <v>45994</v>
      </c>
      <c r="D982" s="2" t="s">
        <v>1481</v>
      </c>
      <c r="E982" s="18">
        <v>3919.48</v>
      </c>
      <c r="F982" s="18">
        <v>95.59</v>
      </c>
      <c r="G982" s="2" t="s">
        <v>1361</v>
      </c>
      <c r="H982" s="2" t="s">
        <v>22</v>
      </c>
    </row>
    <row r="983" spans="1:8" ht="15" customHeight="1" x14ac:dyDescent="0.25">
      <c r="A983" s="2" t="s">
        <v>2324</v>
      </c>
      <c r="B983" s="2" t="s">
        <v>1261</v>
      </c>
      <c r="C983" s="17">
        <v>45744</v>
      </c>
      <c r="D983" s="2" t="s">
        <v>1360</v>
      </c>
      <c r="E983" s="18">
        <v>3402.93</v>
      </c>
      <c r="F983" s="18">
        <v>78.39</v>
      </c>
      <c r="G983" s="2" t="s">
        <v>1361</v>
      </c>
      <c r="H983" s="2" t="s">
        <v>22</v>
      </c>
    </row>
    <row r="984" spans="1:8" ht="15" customHeight="1" x14ac:dyDescent="0.25">
      <c r="A984" s="2" t="s">
        <v>2325</v>
      </c>
      <c r="B984" s="2" t="s">
        <v>1261</v>
      </c>
      <c r="C984" s="17">
        <v>45745</v>
      </c>
      <c r="D984" s="2" t="s">
        <v>1479</v>
      </c>
      <c r="E984" s="18">
        <v>4938.33</v>
      </c>
      <c r="F984" s="18">
        <v>134.38999999999999</v>
      </c>
      <c r="G984" s="2" t="s">
        <v>1361</v>
      </c>
      <c r="H984" s="2" t="s">
        <v>22</v>
      </c>
    </row>
    <row r="985" spans="1:8" ht="15" customHeight="1" x14ac:dyDescent="0.25">
      <c r="A985" s="2" t="s">
        <v>2326</v>
      </c>
      <c r="B985" s="2" t="s">
        <v>1261</v>
      </c>
      <c r="C985" s="17">
        <v>45768</v>
      </c>
      <c r="D985" s="2" t="s">
        <v>1360</v>
      </c>
      <c r="E985" s="18">
        <v>4761.26</v>
      </c>
      <c r="F985" s="18">
        <v>0</v>
      </c>
      <c r="G985" s="2" t="s">
        <v>1408</v>
      </c>
      <c r="H985" s="2" t="s">
        <v>22</v>
      </c>
    </row>
    <row r="986" spans="1:8" ht="15" customHeight="1" x14ac:dyDescent="0.25">
      <c r="A986" s="2" t="s">
        <v>2327</v>
      </c>
      <c r="B986" s="2" t="s">
        <v>1261</v>
      </c>
      <c r="C986" s="17">
        <v>45772</v>
      </c>
      <c r="D986" s="2" t="s">
        <v>1360</v>
      </c>
      <c r="E986" s="18">
        <v>3103.44</v>
      </c>
      <c r="F986" s="18">
        <v>95.7</v>
      </c>
      <c r="G986" s="2" t="s">
        <v>1361</v>
      </c>
      <c r="H986" s="2" t="s">
        <v>22</v>
      </c>
    </row>
    <row r="987" spans="1:8" ht="15" customHeight="1" x14ac:dyDescent="0.25">
      <c r="A987" s="2" t="s">
        <v>2328</v>
      </c>
      <c r="B987" s="2" t="s">
        <v>1261</v>
      </c>
      <c r="C987" s="17">
        <v>45792</v>
      </c>
      <c r="D987" s="2" t="s">
        <v>1360</v>
      </c>
      <c r="E987" s="18">
        <v>2427.27</v>
      </c>
      <c r="F987" s="18">
        <v>74.48</v>
      </c>
      <c r="G987" s="2" t="s">
        <v>1361</v>
      </c>
      <c r="H987" s="2" t="s">
        <v>22</v>
      </c>
    </row>
    <row r="988" spans="1:8" ht="15" customHeight="1" x14ac:dyDescent="0.25">
      <c r="A988" s="2" t="s">
        <v>2329</v>
      </c>
      <c r="B988" s="2" t="s">
        <v>1261</v>
      </c>
      <c r="C988" s="17">
        <v>45829</v>
      </c>
      <c r="D988" s="2" t="s">
        <v>1360</v>
      </c>
      <c r="E988" s="18">
        <v>3240.39</v>
      </c>
      <c r="F988" s="18">
        <v>91.81</v>
      </c>
      <c r="G988" s="2" t="s">
        <v>1361</v>
      </c>
      <c r="H988" s="2" t="s">
        <v>22</v>
      </c>
    </row>
    <row r="989" spans="1:8" ht="15" customHeight="1" x14ac:dyDescent="0.25">
      <c r="A989" s="2" t="s">
        <v>2330</v>
      </c>
      <c r="B989" s="2" t="s">
        <v>1261</v>
      </c>
      <c r="C989" s="17">
        <v>45813</v>
      </c>
      <c r="D989" s="2" t="s">
        <v>1481</v>
      </c>
      <c r="E989" s="18">
        <v>5200.46</v>
      </c>
      <c r="F989" s="18">
        <v>147.85</v>
      </c>
      <c r="G989" s="2" t="s">
        <v>1361</v>
      </c>
      <c r="H989" s="2" t="s">
        <v>22</v>
      </c>
    </row>
    <row r="990" spans="1:8" ht="15" customHeight="1" x14ac:dyDescent="0.25">
      <c r="A990" s="2" t="s">
        <v>2331</v>
      </c>
      <c r="B990" s="2" t="s">
        <v>1261</v>
      </c>
      <c r="C990" s="17">
        <v>45815</v>
      </c>
      <c r="D990" s="2" t="s">
        <v>1360</v>
      </c>
      <c r="E990" s="18">
        <v>2335.35</v>
      </c>
      <c r="F990" s="18">
        <v>67.819999999999993</v>
      </c>
      <c r="G990" s="2" t="s">
        <v>1361</v>
      </c>
      <c r="H990" s="2" t="s">
        <v>22</v>
      </c>
    </row>
    <row r="991" spans="1:8" ht="15" customHeight="1" x14ac:dyDescent="0.25">
      <c r="A991" s="2" t="s">
        <v>2332</v>
      </c>
      <c r="B991" s="2" t="s">
        <v>1261</v>
      </c>
      <c r="C991" s="17">
        <v>45845</v>
      </c>
      <c r="D991" s="2" t="s">
        <v>1360</v>
      </c>
      <c r="E991" s="18">
        <v>3264.53</v>
      </c>
      <c r="F991" s="18">
        <v>90.99</v>
      </c>
      <c r="G991" s="2" t="s">
        <v>1361</v>
      </c>
      <c r="H991" s="2" t="s">
        <v>22</v>
      </c>
    </row>
    <row r="992" spans="1:8" ht="15" customHeight="1" x14ac:dyDescent="0.25">
      <c r="A992" s="2" t="s">
        <v>2333</v>
      </c>
      <c r="B992" s="2" t="s">
        <v>1261</v>
      </c>
      <c r="C992" s="17">
        <v>45895</v>
      </c>
      <c r="D992" s="2" t="s">
        <v>1481</v>
      </c>
      <c r="E992" s="18">
        <v>4329.92</v>
      </c>
      <c r="F992" s="18">
        <v>102.09</v>
      </c>
      <c r="G992" s="2" t="s">
        <v>1361</v>
      </c>
      <c r="H992" s="2" t="s">
        <v>22</v>
      </c>
    </row>
    <row r="993" spans="1:8" ht="15" customHeight="1" x14ac:dyDescent="0.25">
      <c r="A993" s="2" t="s">
        <v>2334</v>
      </c>
      <c r="B993" s="2" t="s">
        <v>1261</v>
      </c>
      <c r="C993" s="17">
        <v>45884</v>
      </c>
      <c r="D993" s="2" t="s">
        <v>1360</v>
      </c>
      <c r="E993" s="18">
        <v>5237.22</v>
      </c>
      <c r="F993" s="18">
        <v>133.27000000000001</v>
      </c>
      <c r="G993" s="2" t="s">
        <v>1361</v>
      </c>
      <c r="H993" s="2" t="s">
        <v>22</v>
      </c>
    </row>
    <row r="994" spans="1:8" ht="15" customHeight="1" x14ac:dyDescent="0.25">
      <c r="A994" s="2" t="s">
        <v>2335</v>
      </c>
      <c r="B994" s="2" t="s">
        <v>1261</v>
      </c>
      <c r="C994" s="17">
        <v>45904</v>
      </c>
      <c r="D994" s="2" t="s">
        <v>1481</v>
      </c>
      <c r="E994" s="18">
        <v>1378.93</v>
      </c>
      <c r="F994" s="18">
        <v>32.119999999999997</v>
      </c>
      <c r="G994" s="2" t="s">
        <v>1361</v>
      </c>
      <c r="H994" s="2" t="s">
        <v>22</v>
      </c>
    </row>
    <row r="995" spans="1:8" ht="15" customHeight="1" x14ac:dyDescent="0.25">
      <c r="A995" s="2" t="s">
        <v>2336</v>
      </c>
      <c r="B995" s="2" t="s">
        <v>1261</v>
      </c>
      <c r="C995" s="17">
        <v>45936</v>
      </c>
      <c r="D995" s="2" t="s">
        <v>1479</v>
      </c>
      <c r="E995" s="18">
        <v>2781.64</v>
      </c>
      <c r="F995" s="18">
        <v>79.84</v>
      </c>
      <c r="G995" s="2" t="s">
        <v>1361</v>
      </c>
      <c r="H995" s="2" t="s">
        <v>22</v>
      </c>
    </row>
    <row r="996" spans="1:8" ht="15" customHeight="1" x14ac:dyDescent="0.25">
      <c r="A996" s="2" t="s">
        <v>2337</v>
      </c>
      <c r="B996" s="2" t="s">
        <v>1261</v>
      </c>
      <c r="C996" s="17">
        <v>45937</v>
      </c>
      <c r="D996" s="2" t="s">
        <v>1481</v>
      </c>
      <c r="E996" s="18">
        <v>1359.09</v>
      </c>
      <c r="F996" s="18">
        <v>40.92</v>
      </c>
      <c r="G996" s="2" t="s">
        <v>1361</v>
      </c>
      <c r="H996" s="2" t="s">
        <v>22</v>
      </c>
    </row>
    <row r="997" spans="1:8" ht="15" customHeight="1" x14ac:dyDescent="0.25">
      <c r="A997" s="2" t="s">
        <v>2338</v>
      </c>
      <c r="B997" s="2" t="s">
        <v>1262</v>
      </c>
      <c r="C997" s="17">
        <v>45835</v>
      </c>
      <c r="D997" s="2" t="s">
        <v>1360</v>
      </c>
      <c r="E997" s="18">
        <v>5071.21</v>
      </c>
      <c r="F997" s="18">
        <v>0</v>
      </c>
      <c r="G997" s="2" t="s">
        <v>1408</v>
      </c>
      <c r="H997" s="2" t="s">
        <v>20</v>
      </c>
    </row>
    <row r="998" spans="1:8" ht="15" customHeight="1" x14ac:dyDescent="0.25">
      <c r="A998" s="2" t="s">
        <v>2339</v>
      </c>
      <c r="B998" s="2" t="s">
        <v>1262</v>
      </c>
      <c r="C998" s="17">
        <v>45867</v>
      </c>
      <c r="D998" s="2" t="s">
        <v>1360</v>
      </c>
      <c r="E998" s="18">
        <v>11081.69</v>
      </c>
      <c r="F998" s="18">
        <v>255.41</v>
      </c>
      <c r="G998" s="2" t="s">
        <v>1361</v>
      </c>
      <c r="H998" s="2" t="s">
        <v>20</v>
      </c>
    </row>
    <row r="999" spans="1:8" ht="15" customHeight="1" x14ac:dyDescent="0.25">
      <c r="A999" s="2" t="s">
        <v>2340</v>
      </c>
      <c r="B999" s="2" t="s">
        <v>1262</v>
      </c>
      <c r="C999" s="17">
        <v>45864</v>
      </c>
      <c r="D999" s="2" t="s">
        <v>1360</v>
      </c>
      <c r="E999" s="18">
        <v>10009.1</v>
      </c>
      <c r="F999" s="18">
        <v>223.07</v>
      </c>
      <c r="G999" s="2" t="s">
        <v>1361</v>
      </c>
      <c r="H999" s="2" t="s">
        <v>20</v>
      </c>
    </row>
    <row r="1000" spans="1:8" ht="15" customHeight="1" x14ac:dyDescent="0.25">
      <c r="A1000" s="2" t="s">
        <v>2341</v>
      </c>
      <c r="B1000" s="2" t="s">
        <v>1262</v>
      </c>
      <c r="C1000" s="17">
        <v>45845</v>
      </c>
      <c r="D1000" s="2" t="s">
        <v>1360</v>
      </c>
      <c r="E1000" s="18">
        <v>17999.79</v>
      </c>
      <c r="F1000" s="18">
        <v>453.63</v>
      </c>
      <c r="G1000" s="2" t="s">
        <v>1361</v>
      </c>
      <c r="H1000" s="2" t="s">
        <v>20</v>
      </c>
    </row>
    <row r="1001" spans="1:8" ht="15" customHeight="1" x14ac:dyDescent="0.25">
      <c r="A1001" s="2" t="s">
        <v>2342</v>
      </c>
      <c r="B1001" s="2" t="s">
        <v>1262</v>
      </c>
      <c r="C1001" s="17">
        <v>45879</v>
      </c>
      <c r="D1001" s="2" t="s">
        <v>1360</v>
      </c>
      <c r="E1001" s="18">
        <v>16282.17</v>
      </c>
      <c r="F1001" s="18">
        <v>457.05</v>
      </c>
      <c r="G1001" s="2" t="s">
        <v>1361</v>
      </c>
      <c r="H1001" s="2" t="s">
        <v>20</v>
      </c>
    </row>
    <row r="1002" spans="1:8" ht="15" customHeight="1" x14ac:dyDescent="0.25">
      <c r="A1002" s="2" t="s">
        <v>2343</v>
      </c>
      <c r="B1002" s="2" t="s">
        <v>1262</v>
      </c>
      <c r="C1002" s="17">
        <v>45921</v>
      </c>
      <c r="D1002" s="2" t="s">
        <v>1360</v>
      </c>
      <c r="E1002" s="18">
        <v>8393</v>
      </c>
      <c r="F1002" s="18">
        <v>209.22</v>
      </c>
      <c r="G1002" s="2" t="s">
        <v>1361</v>
      </c>
      <c r="H1002" s="2" t="s">
        <v>20</v>
      </c>
    </row>
    <row r="1003" spans="1:8" ht="15" customHeight="1" x14ac:dyDescent="0.25">
      <c r="A1003" s="2" t="s">
        <v>2344</v>
      </c>
      <c r="B1003" s="2" t="s">
        <v>1262</v>
      </c>
      <c r="C1003" s="17">
        <v>45918</v>
      </c>
      <c r="D1003" s="2" t="s">
        <v>1360</v>
      </c>
      <c r="E1003" s="18">
        <v>13905.51</v>
      </c>
      <c r="F1003" s="18">
        <v>361.22</v>
      </c>
      <c r="G1003" s="2" t="s">
        <v>1361</v>
      </c>
      <c r="H1003" s="2" t="s">
        <v>20</v>
      </c>
    </row>
    <row r="1004" spans="1:8" ht="15" customHeight="1" x14ac:dyDescent="0.25">
      <c r="A1004" s="2" t="s">
        <v>2345</v>
      </c>
      <c r="B1004" s="2" t="s">
        <v>1262</v>
      </c>
      <c r="C1004" s="17">
        <v>45914</v>
      </c>
      <c r="D1004" s="2" t="s">
        <v>1360</v>
      </c>
      <c r="E1004" s="18">
        <v>12013.34</v>
      </c>
      <c r="F1004" s="18">
        <v>287.72000000000003</v>
      </c>
      <c r="G1004" s="2" t="s">
        <v>1361</v>
      </c>
      <c r="H1004" s="2" t="s">
        <v>20</v>
      </c>
    </row>
    <row r="1005" spans="1:8" ht="15" customHeight="1" x14ac:dyDescent="0.25">
      <c r="A1005" s="2" t="s">
        <v>2346</v>
      </c>
      <c r="B1005" s="2" t="s">
        <v>1262</v>
      </c>
      <c r="C1005" s="17">
        <v>45953</v>
      </c>
      <c r="D1005" s="2" t="s">
        <v>1360</v>
      </c>
      <c r="E1005" s="18">
        <v>17961.93</v>
      </c>
      <c r="F1005" s="18">
        <v>421</v>
      </c>
      <c r="G1005" s="2" t="s">
        <v>1361</v>
      </c>
      <c r="H1005" s="2" t="s">
        <v>20</v>
      </c>
    </row>
    <row r="1006" spans="1:8" ht="15" customHeight="1" x14ac:dyDescent="0.25">
      <c r="A1006" s="2" t="s">
        <v>2347</v>
      </c>
      <c r="B1006" s="2" t="s">
        <v>1262</v>
      </c>
      <c r="C1006" s="17">
        <v>45935</v>
      </c>
      <c r="D1006" s="2" t="s">
        <v>1360</v>
      </c>
      <c r="E1006" s="18">
        <v>8654.36</v>
      </c>
      <c r="F1006" s="18">
        <v>241.42</v>
      </c>
      <c r="G1006" s="2" t="s">
        <v>1361</v>
      </c>
      <c r="H1006" s="2" t="s">
        <v>20</v>
      </c>
    </row>
    <row r="1007" spans="1:8" ht="15" customHeight="1" x14ac:dyDescent="0.25">
      <c r="A1007" s="2" t="s">
        <v>2348</v>
      </c>
      <c r="B1007" s="2" t="s">
        <v>1262</v>
      </c>
      <c r="C1007" s="17">
        <v>45968</v>
      </c>
      <c r="D1007" s="2" t="s">
        <v>1360</v>
      </c>
      <c r="E1007" s="18">
        <v>17258.48</v>
      </c>
      <c r="F1007" s="18">
        <v>387.91</v>
      </c>
      <c r="G1007" s="2" t="s">
        <v>1361</v>
      </c>
      <c r="H1007" s="2" t="s">
        <v>20</v>
      </c>
    </row>
    <row r="1008" spans="1:8" ht="15" customHeight="1" x14ac:dyDescent="0.25">
      <c r="A1008" s="2" t="s">
        <v>2349</v>
      </c>
      <c r="B1008" s="2" t="s">
        <v>1262</v>
      </c>
      <c r="C1008" s="17">
        <v>45968</v>
      </c>
      <c r="D1008" s="2" t="s">
        <v>1360</v>
      </c>
      <c r="E1008" s="18">
        <v>11042.21</v>
      </c>
      <c r="F1008" s="18">
        <v>296.10000000000002</v>
      </c>
      <c r="G1008" s="2" t="s">
        <v>1361</v>
      </c>
      <c r="H1008" s="2" t="s">
        <v>20</v>
      </c>
    </row>
    <row r="1009" spans="1:8" ht="15" customHeight="1" x14ac:dyDescent="0.25">
      <c r="A1009" s="2" t="s">
        <v>2350</v>
      </c>
      <c r="B1009" s="2" t="s">
        <v>1262</v>
      </c>
      <c r="C1009" s="17">
        <v>45968</v>
      </c>
      <c r="D1009" s="2" t="s">
        <v>1360</v>
      </c>
      <c r="E1009" s="18">
        <v>13290.46</v>
      </c>
      <c r="F1009" s="18">
        <v>292.70999999999998</v>
      </c>
      <c r="G1009" s="2" t="s">
        <v>1361</v>
      </c>
      <c r="H1009" s="2" t="s">
        <v>20</v>
      </c>
    </row>
    <row r="1010" spans="1:8" ht="15" customHeight="1" x14ac:dyDescent="0.25">
      <c r="A1010" s="2" t="s">
        <v>2351</v>
      </c>
      <c r="B1010" s="2" t="s">
        <v>1262</v>
      </c>
      <c r="C1010" s="17">
        <v>45993</v>
      </c>
      <c r="D1010" s="2" t="s">
        <v>1360</v>
      </c>
      <c r="E1010" s="18">
        <v>5826.11</v>
      </c>
      <c r="F1010" s="18">
        <v>166.85</v>
      </c>
      <c r="G1010" s="2" t="s">
        <v>1361</v>
      </c>
      <c r="H1010" s="2" t="s">
        <v>20</v>
      </c>
    </row>
    <row r="1011" spans="1:8" ht="15" customHeight="1" x14ac:dyDescent="0.25">
      <c r="A1011" s="2" t="s">
        <v>2352</v>
      </c>
      <c r="B1011" s="2" t="s">
        <v>1262</v>
      </c>
      <c r="C1011" s="17">
        <v>45996</v>
      </c>
      <c r="D1011" s="2" t="s">
        <v>1360</v>
      </c>
      <c r="E1011" s="18">
        <v>6956.19</v>
      </c>
      <c r="F1011" s="18">
        <v>168.31</v>
      </c>
      <c r="G1011" s="2" t="s">
        <v>1361</v>
      </c>
      <c r="H1011" s="2" t="s">
        <v>20</v>
      </c>
    </row>
    <row r="1012" spans="1:8" ht="15" customHeight="1" x14ac:dyDescent="0.25">
      <c r="A1012" s="2" t="s">
        <v>2353</v>
      </c>
      <c r="B1012" s="2" t="s">
        <v>1262</v>
      </c>
      <c r="C1012" s="17">
        <v>46014</v>
      </c>
      <c r="D1012" s="2" t="s">
        <v>1360</v>
      </c>
      <c r="E1012" s="18">
        <v>11684.23</v>
      </c>
      <c r="F1012" s="18">
        <v>258.36</v>
      </c>
      <c r="G1012" s="2" t="s">
        <v>1361</v>
      </c>
      <c r="H1012" s="2" t="s">
        <v>20</v>
      </c>
    </row>
    <row r="1013" spans="1:8" ht="15" customHeight="1" x14ac:dyDescent="0.25">
      <c r="A1013" s="2" t="s">
        <v>2354</v>
      </c>
      <c r="B1013" s="2" t="s">
        <v>1263</v>
      </c>
      <c r="C1013" s="17">
        <v>45956</v>
      </c>
      <c r="D1013" s="2" t="s">
        <v>1423</v>
      </c>
      <c r="E1013" s="18">
        <v>4766.1400000000003</v>
      </c>
      <c r="F1013" s="18">
        <v>137.86000000000001</v>
      </c>
      <c r="G1013" s="2" t="s">
        <v>1361</v>
      </c>
      <c r="H1013" s="2" t="s">
        <v>22</v>
      </c>
    </row>
    <row r="1014" spans="1:8" ht="15" customHeight="1" x14ac:dyDescent="0.25">
      <c r="A1014" s="2" t="s">
        <v>2355</v>
      </c>
      <c r="B1014" s="2" t="s">
        <v>1263</v>
      </c>
      <c r="C1014" s="17">
        <v>45956</v>
      </c>
      <c r="D1014" s="2" t="s">
        <v>1423</v>
      </c>
      <c r="E1014" s="18">
        <v>2840.93</v>
      </c>
      <c r="F1014" s="18">
        <v>86.7</v>
      </c>
      <c r="G1014" s="2" t="s">
        <v>1361</v>
      </c>
      <c r="H1014" s="2" t="s">
        <v>22</v>
      </c>
    </row>
    <row r="1015" spans="1:8" ht="15" customHeight="1" x14ac:dyDescent="0.25">
      <c r="A1015" s="2" t="s">
        <v>2356</v>
      </c>
      <c r="B1015" s="2" t="s">
        <v>1263</v>
      </c>
      <c r="C1015" s="17">
        <v>45974</v>
      </c>
      <c r="D1015" s="2" t="s">
        <v>1423</v>
      </c>
      <c r="E1015" s="18">
        <v>1734.69</v>
      </c>
      <c r="F1015" s="18">
        <v>47.44</v>
      </c>
      <c r="G1015" s="2" t="s">
        <v>1361</v>
      </c>
      <c r="H1015" s="2" t="s">
        <v>22</v>
      </c>
    </row>
    <row r="1016" spans="1:8" ht="15" customHeight="1" x14ac:dyDescent="0.25">
      <c r="A1016" s="2" t="s">
        <v>2357</v>
      </c>
      <c r="B1016" s="2" t="s">
        <v>1263</v>
      </c>
      <c r="C1016" s="17">
        <v>45968</v>
      </c>
      <c r="D1016" s="2" t="s">
        <v>1423</v>
      </c>
      <c r="E1016" s="18">
        <v>4401.16</v>
      </c>
      <c r="F1016" s="18">
        <v>0</v>
      </c>
      <c r="G1016" s="2" t="s">
        <v>1408</v>
      </c>
      <c r="H1016" s="2" t="s">
        <v>22</v>
      </c>
    </row>
    <row r="1017" spans="1:8" ht="15" customHeight="1" x14ac:dyDescent="0.25">
      <c r="A1017" s="2" t="s">
        <v>2358</v>
      </c>
      <c r="B1017" s="2" t="s">
        <v>1263</v>
      </c>
      <c r="C1017" s="17">
        <v>46007</v>
      </c>
      <c r="D1017" s="2" t="s">
        <v>1423</v>
      </c>
      <c r="E1017" s="18">
        <v>4115.05</v>
      </c>
      <c r="F1017" s="18">
        <v>117.14</v>
      </c>
      <c r="G1017" s="2" t="s">
        <v>1361</v>
      </c>
      <c r="H1017" s="2" t="s">
        <v>22</v>
      </c>
    </row>
    <row r="1018" spans="1:8" ht="15" customHeight="1" x14ac:dyDescent="0.25">
      <c r="A1018" s="2" t="s">
        <v>2359</v>
      </c>
      <c r="B1018" s="2" t="s">
        <v>1263</v>
      </c>
      <c r="C1018" s="17">
        <v>45995</v>
      </c>
      <c r="D1018" s="2" t="s">
        <v>1423</v>
      </c>
      <c r="E1018" s="18">
        <v>2219.8000000000002</v>
      </c>
      <c r="F1018" s="18">
        <v>72.13</v>
      </c>
      <c r="G1018" s="2" t="s">
        <v>1361</v>
      </c>
      <c r="H1018" s="2" t="s">
        <v>22</v>
      </c>
    </row>
    <row r="1019" spans="1:8" ht="15" customHeight="1" x14ac:dyDescent="0.25">
      <c r="A1019" s="2" t="s">
        <v>2360</v>
      </c>
      <c r="B1019" s="2" t="s">
        <v>1263</v>
      </c>
      <c r="C1019" s="17">
        <v>46008</v>
      </c>
      <c r="D1019" s="2" t="s">
        <v>1423</v>
      </c>
      <c r="E1019" s="18">
        <v>2938.19</v>
      </c>
      <c r="F1019" s="18">
        <v>95.56</v>
      </c>
      <c r="G1019" s="2" t="s">
        <v>1361</v>
      </c>
      <c r="H1019" s="2" t="s">
        <v>22</v>
      </c>
    </row>
    <row r="1020" spans="1:8" ht="15" customHeight="1" x14ac:dyDescent="0.25">
      <c r="A1020" s="2" t="s">
        <v>2361</v>
      </c>
      <c r="B1020" s="2" t="s">
        <v>1264</v>
      </c>
      <c r="C1020" s="17">
        <v>45984</v>
      </c>
      <c r="D1020" s="2" t="s">
        <v>1423</v>
      </c>
      <c r="E1020" s="18">
        <v>51255.55</v>
      </c>
      <c r="F1020" s="18">
        <v>1492.98</v>
      </c>
      <c r="G1020" s="2" t="s">
        <v>1361</v>
      </c>
      <c r="H1020" s="2" t="s">
        <v>22</v>
      </c>
    </row>
    <row r="1021" spans="1:8" ht="15" customHeight="1" x14ac:dyDescent="0.25">
      <c r="A1021" s="2" t="s">
        <v>2362</v>
      </c>
      <c r="B1021" s="2" t="s">
        <v>1264</v>
      </c>
      <c r="C1021" s="17">
        <v>45991</v>
      </c>
      <c r="D1021" s="2" t="s">
        <v>1423</v>
      </c>
      <c r="E1021" s="18">
        <v>53772.22</v>
      </c>
      <c r="F1021" s="18">
        <v>1505.07</v>
      </c>
      <c r="G1021" s="2" t="s">
        <v>1361</v>
      </c>
      <c r="H1021" s="2" t="s">
        <v>22</v>
      </c>
    </row>
    <row r="1022" spans="1:8" ht="15" customHeight="1" x14ac:dyDescent="0.25">
      <c r="A1022" s="2" t="s">
        <v>2363</v>
      </c>
      <c r="B1022" s="2" t="s">
        <v>1264</v>
      </c>
      <c r="C1022" s="17">
        <v>46021</v>
      </c>
      <c r="D1022" s="2" t="s">
        <v>1423</v>
      </c>
      <c r="E1022" s="18">
        <v>54893.26</v>
      </c>
      <c r="F1022" s="18">
        <v>1606</v>
      </c>
      <c r="G1022" s="2" t="s">
        <v>1361</v>
      </c>
      <c r="H1022" s="2" t="s">
        <v>22</v>
      </c>
    </row>
    <row r="1023" spans="1:8" ht="15" customHeight="1" x14ac:dyDescent="0.25">
      <c r="A1023" s="2" t="s">
        <v>2364</v>
      </c>
      <c r="B1023" s="2" t="s">
        <v>89</v>
      </c>
      <c r="C1023" s="17">
        <v>45836</v>
      </c>
      <c r="D1023" s="2" t="s">
        <v>1423</v>
      </c>
      <c r="E1023" s="18">
        <v>2609.21</v>
      </c>
      <c r="F1023" s="18">
        <v>78.87</v>
      </c>
      <c r="G1023" s="2" t="s">
        <v>1361</v>
      </c>
      <c r="H1023" s="2" t="s">
        <v>19</v>
      </c>
    </row>
    <row r="1024" spans="1:8" ht="15" customHeight="1" x14ac:dyDescent="0.25">
      <c r="A1024" s="2" t="s">
        <v>111</v>
      </c>
      <c r="B1024" s="2" t="s">
        <v>89</v>
      </c>
      <c r="C1024" s="17">
        <v>45836</v>
      </c>
      <c r="D1024" s="2" t="s">
        <v>1423</v>
      </c>
      <c r="E1024" s="18">
        <v>4735.51</v>
      </c>
      <c r="F1024" s="18">
        <v>155.63999999999999</v>
      </c>
      <c r="G1024" s="2" t="s">
        <v>1361</v>
      </c>
      <c r="H1024" s="2" t="s">
        <v>19</v>
      </c>
    </row>
    <row r="1025" spans="1:8" ht="15" customHeight="1" x14ac:dyDescent="0.25">
      <c r="A1025" s="2" t="s">
        <v>2365</v>
      </c>
      <c r="B1025" s="2" t="s">
        <v>89</v>
      </c>
      <c r="C1025" s="17">
        <v>45845</v>
      </c>
      <c r="D1025" s="2" t="s">
        <v>1423</v>
      </c>
      <c r="E1025" s="18">
        <v>2018.92</v>
      </c>
      <c r="F1025" s="18">
        <v>70.040000000000006</v>
      </c>
      <c r="G1025" s="2" t="s">
        <v>1361</v>
      </c>
      <c r="H1025" s="2" t="s">
        <v>19</v>
      </c>
    </row>
    <row r="1026" spans="1:8" ht="15" customHeight="1" x14ac:dyDescent="0.25">
      <c r="A1026" s="2" t="s">
        <v>2366</v>
      </c>
      <c r="B1026" s="2" t="s">
        <v>89</v>
      </c>
      <c r="C1026" s="17">
        <v>45852</v>
      </c>
      <c r="D1026" s="2" t="s">
        <v>1423</v>
      </c>
      <c r="E1026" s="18">
        <v>1428.54</v>
      </c>
      <c r="F1026" s="18">
        <v>49.33</v>
      </c>
      <c r="G1026" s="2" t="s">
        <v>1361</v>
      </c>
      <c r="H1026" s="2" t="s">
        <v>19</v>
      </c>
    </row>
    <row r="1027" spans="1:8" ht="15" customHeight="1" x14ac:dyDescent="0.25">
      <c r="A1027" s="2" t="s">
        <v>2367</v>
      </c>
      <c r="B1027" s="2" t="s">
        <v>89</v>
      </c>
      <c r="C1027" s="17">
        <v>45864</v>
      </c>
      <c r="D1027" s="2" t="s">
        <v>1423</v>
      </c>
      <c r="E1027" s="18">
        <v>3384.6</v>
      </c>
      <c r="F1027" s="18">
        <v>119.38</v>
      </c>
      <c r="G1027" s="2" t="s">
        <v>1361</v>
      </c>
      <c r="H1027" s="2" t="s">
        <v>19</v>
      </c>
    </row>
    <row r="1028" spans="1:8" ht="15" customHeight="1" x14ac:dyDescent="0.25">
      <c r="A1028" s="2" t="s">
        <v>2368</v>
      </c>
      <c r="B1028" s="2" t="s">
        <v>89</v>
      </c>
      <c r="C1028" s="17">
        <v>45870</v>
      </c>
      <c r="D1028" s="2" t="s">
        <v>1423</v>
      </c>
      <c r="E1028" s="18">
        <v>2046.46</v>
      </c>
      <c r="F1028" s="18">
        <v>57.8</v>
      </c>
      <c r="G1028" s="2" t="s">
        <v>1361</v>
      </c>
      <c r="H1028" s="2" t="s">
        <v>19</v>
      </c>
    </row>
    <row r="1029" spans="1:8" ht="15" customHeight="1" x14ac:dyDescent="0.25">
      <c r="A1029" s="2" t="s">
        <v>2369</v>
      </c>
      <c r="B1029" s="2" t="s">
        <v>89</v>
      </c>
      <c r="C1029" s="17">
        <v>45900</v>
      </c>
      <c r="D1029" s="2" t="s">
        <v>1423</v>
      </c>
      <c r="E1029" s="18">
        <v>5112.13</v>
      </c>
      <c r="F1029" s="18">
        <v>169.87</v>
      </c>
      <c r="G1029" s="2" t="s">
        <v>1361</v>
      </c>
      <c r="H1029" s="2" t="s">
        <v>19</v>
      </c>
    </row>
    <row r="1030" spans="1:8" ht="15" customHeight="1" x14ac:dyDescent="0.25">
      <c r="A1030" s="2" t="s">
        <v>2370</v>
      </c>
      <c r="B1030" s="2" t="s">
        <v>89</v>
      </c>
      <c r="C1030" s="17">
        <v>45919</v>
      </c>
      <c r="D1030" s="2" t="s">
        <v>1423</v>
      </c>
      <c r="E1030" s="18">
        <v>4939.9399999999996</v>
      </c>
      <c r="F1030" s="18">
        <v>155.97</v>
      </c>
      <c r="G1030" s="2" t="s">
        <v>1361</v>
      </c>
      <c r="H1030" s="2" t="s">
        <v>19</v>
      </c>
    </row>
    <row r="1031" spans="1:8" ht="15" customHeight="1" x14ac:dyDescent="0.25">
      <c r="A1031" s="2" t="s">
        <v>2371</v>
      </c>
      <c r="B1031" s="2" t="s">
        <v>89</v>
      </c>
      <c r="C1031" s="17">
        <v>45934</v>
      </c>
      <c r="D1031" s="2" t="s">
        <v>1423</v>
      </c>
      <c r="E1031" s="18">
        <v>4803.3500000000004</v>
      </c>
      <c r="F1031" s="18">
        <v>165.82</v>
      </c>
      <c r="G1031" s="2" t="s">
        <v>1361</v>
      </c>
      <c r="H1031" s="2" t="s">
        <v>19</v>
      </c>
    </row>
    <row r="1032" spans="1:8" ht="15" customHeight="1" x14ac:dyDescent="0.25">
      <c r="A1032" s="2" t="s">
        <v>2372</v>
      </c>
      <c r="B1032" s="2" t="s">
        <v>89</v>
      </c>
      <c r="C1032" s="17">
        <v>45976</v>
      </c>
      <c r="D1032" s="2" t="s">
        <v>1423</v>
      </c>
      <c r="E1032" s="18">
        <v>2876.85</v>
      </c>
      <c r="F1032" s="18">
        <v>99.28</v>
      </c>
      <c r="G1032" s="2" t="s">
        <v>1361</v>
      </c>
      <c r="H1032" s="2" t="s">
        <v>19</v>
      </c>
    </row>
    <row r="1033" spans="1:8" ht="15" customHeight="1" x14ac:dyDescent="0.25">
      <c r="A1033" s="2" t="s">
        <v>2373</v>
      </c>
      <c r="B1033" s="2" t="s">
        <v>89</v>
      </c>
      <c r="C1033" s="17">
        <v>45998</v>
      </c>
      <c r="D1033" s="2" t="s">
        <v>1423</v>
      </c>
      <c r="E1033" s="18">
        <v>3342.88</v>
      </c>
      <c r="F1033" s="18">
        <v>104.06</v>
      </c>
      <c r="G1033" s="2" t="s">
        <v>1361</v>
      </c>
      <c r="H1033" s="2" t="s">
        <v>19</v>
      </c>
    </row>
    <row r="1034" spans="1:8" ht="15" customHeight="1" x14ac:dyDescent="0.25">
      <c r="A1034" s="2" t="s">
        <v>2374</v>
      </c>
      <c r="B1034" s="2" t="s">
        <v>89</v>
      </c>
      <c r="C1034" s="17">
        <v>46010</v>
      </c>
      <c r="D1034" s="2" t="s">
        <v>1423</v>
      </c>
      <c r="E1034" s="18">
        <v>1949.83</v>
      </c>
      <c r="F1034" s="18">
        <v>57.74</v>
      </c>
      <c r="G1034" s="2" t="s">
        <v>1361</v>
      </c>
      <c r="H1034" s="2" t="s">
        <v>19</v>
      </c>
    </row>
    <row r="1035" spans="1:8" ht="15" customHeight="1" x14ac:dyDescent="0.25">
      <c r="A1035" s="2" t="s">
        <v>2375</v>
      </c>
      <c r="B1035" s="2" t="s">
        <v>1265</v>
      </c>
      <c r="C1035" s="17">
        <v>45917</v>
      </c>
      <c r="D1035" s="2" t="s">
        <v>1360</v>
      </c>
      <c r="E1035" s="18">
        <v>39838.75</v>
      </c>
      <c r="F1035" s="18">
        <v>922.94</v>
      </c>
      <c r="G1035" s="2" t="s">
        <v>1361</v>
      </c>
      <c r="H1035" s="2" t="s">
        <v>18</v>
      </c>
    </row>
    <row r="1036" spans="1:8" ht="15" customHeight="1" x14ac:dyDescent="0.25">
      <c r="A1036" s="2" t="s">
        <v>2376</v>
      </c>
      <c r="B1036" s="2" t="s">
        <v>1265</v>
      </c>
      <c r="C1036" s="17">
        <v>45937</v>
      </c>
      <c r="D1036" s="2" t="s">
        <v>1360</v>
      </c>
      <c r="E1036" s="18">
        <v>60638.21</v>
      </c>
      <c r="F1036" s="18">
        <v>1599.57</v>
      </c>
      <c r="G1036" s="2" t="s">
        <v>1361</v>
      </c>
      <c r="H1036" s="2" t="s">
        <v>18</v>
      </c>
    </row>
    <row r="1037" spans="1:8" ht="15" customHeight="1" x14ac:dyDescent="0.25">
      <c r="A1037" s="2" t="s">
        <v>2377</v>
      </c>
      <c r="B1037" s="2" t="s">
        <v>1265</v>
      </c>
      <c r="C1037" s="17">
        <v>45952</v>
      </c>
      <c r="D1037" s="2" t="s">
        <v>1360</v>
      </c>
      <c r="E1037" s="18">
        <v>41980.2</v>
      </c>
      <c r="F1037" s="18">
        <v>1033.6400000000001</v>
      </c>
      <c r="G1037" s="2" t="s">
        <v>1361</v>
      </c>
      <c r="H1037" s="2" t="s">
        <v>18</v>
      </c>
    </row>
    <row r="1038" spans="1:8" ht="15" customHeight="1" x14ac:dyDescent="0.25">
      <c r="A1038" s="2" t="s">
        <v>2378</v>
      </c>
      <c r="B1038" s="2" t="s">
        <v>1265</v>
      </c>
      <c r="C1038" s="17">
        <v>45971</v>
      </c>
      <c r="D1038" s="2" t="s">
        <v>1479</v>
      </c>
      <c r="E1038" s="18">
        <v>27445.83</v>
      </c>
      <c r="F1038" s="18">
        <v>0</v>
      </c>
      <c r="G1038" s="2" t="s">
        <v>1408</v>
      </c>
      <c r="H1038" s="2" t="s">
        <v>18</v>
      </c>
    </row>
    <row r="1039" spans="1:8" ht="15" customHeight="1" x14ac:dyDescent="0.25">
      <c r="A1039" s="2" t="s">
        <v>2379</v>
      </c>
      <c r="B1039" s="2" t="s">
        <v>1265</v>
      </c>
      <c r="C1039" s="17">
        <v>46016</v>
      </c>
      <c r="D1039" s="2" t="s">
        <v>1360</v>
      </c>
      <c r="E1039" s="18">
        <v>29009.13</v>
      </c>
      <c r="F1039" s="18">
        <v>829.97</v>
      </c>
      <c r="G1039" s="2" t="s">
        <v>1361</v>
      </c>
      <c r="H1039" s="2" t="s">
        <v>18</v>
      </c>
    </row>
    <row r="1040" spans="1:8" ht="15" customHeight="1" x14ac:dyDescent="0.25">
      <c r="A1040" s="2" t="s">
        <v>2380</v>
      </c>
      <c r="B1040" s="2" t="s">
        <v>1265</v>
      </c>
      <c r="C1040" s="17">
        <v>46002</v>
      </c>
      <c r="D1040" s="2" t="s">
        <v>1360</v>
      </c>
      <c r="E1040" s="18">
        <v>35226.639999999999</v>
      </c>
      <c r="F1040" s="18">
        <v>1083.06</v>
      </c>
      <c r="G1040" s="2" t="s">
        <v>1361</v>
      </c>
      <c r="H1040" s="2" t="s">
        <v>18</v>
      </c>
    </row>
    <row r="1041" spans="1:8" ht="15" customHeight="1" x14ac:dyDescent="0.25">
      <c r="A1041" s="2" t="s">
        <v>2381</v>
      </c>
      <c r="B1041" s="2" t="s">
        <v>1265</v>
      </c>
      <c r="C1041" s="17">
        <v>46011</v>
      </c>
      <c r="D1041" s="2" t="s">
        <v>1481</v>
      </c>
      <c r="E1041" s="18">
        <v>55533.72</v>
      </c>
      <c r="F1041" s="18">
        <v>1518.54</v>
      </c>
      <c r="G1041" s="2" t="s">
        <v>1361</v>
      </c>
      <c r="H1041" s="2" t="s">
        <v>18</v>
      </c>
    </row>
    <row r="1042" spans="1:8" ht="15" customHeight="1" x14ac:dyDescent="0.25">
      <c r="A1042" s="2" t="s">
        <v>2382</v>
      </c>
      <c r="B1042" s="2" t="s">
        <v>1266</v>
      </c>
      <c r="C1042" s="17">
        <v>45740</v>
      </c>
      <c r="D1042" s="2" t="s">
        <v>1360</v>
      </c>
      <c r="E1042" s="18">
        <v>8122.93</v>
      </c>
      <c r="F1042" s="18">
        <v>174.99</v>
      </c>
      <c r="G1042" s="2" t="s">
        <v>1361</v>
      </c>
      <c r="H1042" s="2" t="s">
        <v>22</v>
      </c>
    </row>
    <row r="1043" spans="1:8" ht="15" customHeight="1" x14ac:dyDescent="0.25">
      <c r="A1043" s="2" t="s">
        <v>2383</v>
      </c>
      <c r="B1043" s="2" t="s">
        <v>1266</v>
      </c>
      <c r="C1043" s="17">
        <v>45728</v>
      </c>
      <c r="D1043" s="2" t="s">
        <v>1360</v>
      </c>
      <c r="E1043" s="18">
        <v>10598.53</v>
      </c>
      <c r="F1043" s="18">
        <v>236.83</v>
      </c>
      <c r="G1043" s="2" t="s">
        <v>1361</v>
      </c>
      <c r="H1043" s="2" t="s">
        <v>22</v>
      </c>
    </row>
    <row r="1044" spans="1:8" ht="15" customHeight="1" x14ac:dyDescent="0.25">
      <c r="A1044" s="2" t="s">
        <v>2384</v>
      </c>
      <c r="B1044" s="2" t="s">
        <v>1266</v>
      </c>
      <c r="C1044" s="17">
        <v>45773</v>
      </c>
      <c r="D1044" s="2" t="s">
        <v>1360</v>
      </c>
      <c r="E1044" s="18">
        <v>6130.57</v>
      </c>
      <c r="F1044" s="18">
        <v>161.46</v>
      </c>
      <c r="G1044" s="2" t="s">
        <v>1361</v>
      </c>
      <c r="H1044" s="2" t="s">
        <v>22</v>
      </c>
    </row>
    <row r="1045" spans="1:8" ht="15" customHeight="1" x14ac:dyDescent="0.25">
      <c r="A1045" s="2" t="s">
        <v>2385</v>
      </c>
      <c r="B1045" s="2" t="s">
        <v>1266</v>
      </c>
      <c r="C1045" s="17">
        <v>45757</v>
      </c>
      <c r="D1045" s="2" t="s">
        <v>1360</v>
      </c>
      <c r="E1045" s="18">
        <v>9784.23</v>
      </c>
      <c r="F1045" s="18">
        <v>224.18</v>
      </c>
      <c r="G1045" s="2" t="s">
        <v>1361</v>
      </c>
      <c r="H1045" s="2" t="s">
        <v>22</v>
      </c>
    </row>
    <row r="1046" spans="1:8" ht="15" customHeight="1" x14ac:dyDescent="0.25">
      <c r="A1046" s="2" t="s">
        <v>2386</v>
      </c>
      <c r="B1046" s="2" t="s">
        <v>1266</v>
      </c>
      <c r="C1046" s="17">
        <v>45755</v>
      </c>
      <c r="D1046" s="2" t="s">
        <v>1360</v>
      </c>
      <c r="E1046" s="18">
        <v>17472.36</v>
      </c>
      <c r="F1046" s="18">
        <v>471.42</v>
      </c>
      <c r="G1046" s="2" t="s">
        <v>1361</v>
      </c>
      <c r="H1046" s="2" t="s">
        <v>22</v>
      </c>
    </row>
    <row r="1047" spans="1:8" ht="15" customHeight="1" x14ac:dyDescent="0.25">
      <c r="A1047" s="2" t="s">
        <v>2387</v>
      </c>
      <c r="B1047" s="2" t="s">
        <v>1266</v>
      </c>
      <c r="C1047" s="17">
        <v>45786</v>
      </c>
      <c r="D1047" s="2" t="s">
        <v>1360</v>
      </c>
      <c r="E1047" s="18">
        <v>16551.73</v>
      </c>
      <c r="F1047" s="18">
        <v>375.61</v>
      </c>
      <c r="G1047" s="2" t="s">
        <v>1361</v>
      </c>
      <c r="H1047" s="2" t="s">
        <v>22</v>
      </c>
    </row>
    <row r="1048" spans="1:8" ht="15" customHeight="1" x14ac:dyDescent="0.25">
      <c r="A1048" s="2" t="s">
        <v>2388</v>
      </c>
      <c r="B1048" s="2" t="s">
        <v>1266</v>
      </c>
      <c r="C1048" s="17">
        <v>45833</v>
      </c>
      <c r="D1048" s="2" t="s">
        <v>1360</v>
      </c>
      <c r="E1048" s="18">
        <v>10602.72</v>
      </c>
      <c r="F1048" s="18">
        <v>280.89</v>
      </c>
      <c r="G1048" s="2" t="s">
        <v>1361</v>
      </c>
      <c r="H1048" s="2" t="s">
        <v>22</v>
      </c>
    </row>
    <row r="1049" spans="1:8" ht="15" customHeight="1" x14ac:dyDescent="0.25">
      <c r="A1049" s="2" t="s">
        <v>2389</v>
      </c>
      <c r="B1049" s="2" t="s">
        <v>1266</v>
      </c>
      <c r="C1049" s="17">
        <v>45862</v>
      </c>
      <c r="D1049" s="2" t="s">
        <v>1360</v>
      </c>
      <c r="E1049" s="18">
        <v>5194.29</v>
      </c>
      <c r="F1049" s="18">
        <v>0</v>
      </c>
      <c r="G1049" s="2" t="s">
        <v>1408</v>
      </c>
      <c r="H1049" s="2" t="s">
        <v>22</v>
      </c>
    </row>
    <row r="1050" spans="1:8" ht="15" customHeight="1" x14ac:dyDescent="0.25">
      <c r="A1050" s="2" t="s">
        <v>2390</v>
      </c>
      <c r="B1050" s="2" t="s">
        <v>1266</v>
      </c>
      <c r="C1050" s="17">
        <v>45873</v>
      </c>
      <c r="D1050" s="2" t="s">
        <v>1360</v>
      </c>
      <c r="E1050" s="18">
        <v>15859.62</v>
      </c>
      <c r="F1050" s="18">
        <v>411.82</v>
      </c>
      <c r="G1050" s="2" t="s">
        <v>1361</v>
      </c>
      <c r="H1050" s="2" t="s">
        <v>22</v>
      </c>
    </row>
    <row r="1051" spans="1:8" ht="15" customHeight="1" x14ac:dyDescent="0.25">
      <c r="A1051" s="2" t="s">
        <v>2391</v>
      </c>
      <c r="B1051" s="2" t="s">
        <v>1266</v>
      </c>
      <c r="C1051" s="17">
        <v>45871</v>
      </c>
      <c r="D1051" s="2" t="s">
        <v>1360</v>
      </c>
      <c r="E1051" s="18">
        <v>7771.91</v>
      </c>
      <c r="F1051" s="18">
        <v>218.78</v>
      </c>
      <c r="G1051" s="2" t="s">
        <v>1361</v>
      </c>
      <c r="H1051" s="2" t="s">
        <v>22</v>
      </c>
    </row>
    <row r="1052" spans="1:8" ht="15" customHeight="1" x14ac:dyDescent="0.25">
      <c r="A1052" s="2" t="s">
        <v>2392</v>
      </c>
      <c r="B1052" s="2" t="s">
        <v>1266</v>
      </c>
      <c r="C1052" s="17">
        <v>45891</v>
      </c>
      <c r="D1052" s="2" t="s">
        <v>1360</v>
      </c>
      <c r="E1052" s="18">
        <v>7735.59</v>
      </c>
      <c r="F1052" s="18">
        <v>188.83</v>
      </c>
      <c r="G1052" s="2" t="s">
        <v>1361</v>
      </c>
      <c r="H1052" s="2" t="s">
        <v>22</v>
      </c>
    </row>
    <row r="1053" spans="1:8" ht="15" customHeight="1" x14ac:dyDescent="0.25">
      <c r="A1053" s="2" t="s">
        <v>2393</v>
      </c>
      <c r="B1053" s="2" t="s">
        <v>1266</v>
      </c>
      <c r="C1053" s="17">
        <v>45926</v>
      </c>
      <c r="D1053" s="2" t="s">
        <v>1360</v>
      </c>
      <c r="E1053" s="18">
        <v>12260.07</v>
      </c>
      <c r="F1053" s="18">
        <v>265.5</v>
      </c>
      <c r="G1053" s="2" t="s">
        <v>1361</v>
      </c>
      <c r="H1053" s="2" t="s">
        <v>22</v>
      </c>
    </row>
    <row r="1054" spans="1:8" ht="15" customHeight="1" x14ac:dyDescent="0.25">
      <c r="A1054" s="2" t="s">
        <v>2394</v>
      </c>
      <c r="B1054" s="2" t="s">
        <v>1266</v>
      </c>
      <c r="C1054" s="17">
        <v>45928</v>
      </c>
      <c r="D1054" s="2" t="s">
        <v>1360</v>
      </c>
      <c r="E1054" s="18">
        <v>13919.31</v>
      </c>
      <c r="F1054" s="18">
        <v>322.14</v>
      </c>
      <c r="G1054" s="2" t="s">
        <v>1361</v>
      </c>
      <c r="H1054" s="2" t="s">
        <v>22</v>
      </c>
    </row>
    <row r="1055" spans="1:8" ht="15" customHeight="1" x14ac:dyDescent="0.25">
      <c r="A1055" s="2" t="s">
        <v>2395</v>
      </c>
      <c r="B1055" s="2" t="s">
        <v>1266</v>
      </c>
      <c r="C1055" s="17">
        <v>45949</v>
      </c>
      <c r="D1055" s="2" t="s">
        <v>1360</v>
      </c>
      <c r="E1055" s="18">
        <v>11411.8</v>
      </c>
      <c r="F1055" s="18">
        <v>250.41</v>
      </c>
      <c r="G1055" s="2" t="s">
        <v>1361</v>
      </c>
      <c r="H1055" s="2" t="s">
        <v>22</v>
      </c>
    </row>
    <row r="1056" spans="1:8" ht="15" customHeight="1" x14ac:dyDescent="0.25">
      <c r="A1056" s="2" t="s">
        <v>2396</v>
      </c>
      <c r="B1056" s="2" t="s">
        <v>1266</v>
      </c>
      <c r="C1056" s="17">
        <v>45968</v>
      </c>
      <c r="D1056" s="2" t="s">
        <v>1360</v>
      </c>
      <c r="E1056" s="18">
        <v>17308.52</v>
      </c>
      <c r="F1056" s="18">
        <v>454.93</v>
      </c>
      <c r="G1056" s="2" t="s">
        <v>1361</v>
      </c>
      <c r="H1056" s="2" t="s">
        <v>22</v>
      </c>
    </row>
    <row r="1057" spans="1:8" ht="15" customHeight="1" x14ac:dyDescent="0.25">
      <c r="A1057" s="2" t="s">
        <v>2397</v>
      </c>
      <c r="B1057" s="2" t="s">
        <v>1266</v>
      </c>
      <c r="C1057" s="17">
        <v>45964</v>
      </c>
      <c r="D1057" s="2" t="s">
        <v>1360</v>
      </c>
      <c r="E1057" s="18">
        <v>15894.24</v>
      </c>
      <c r="F1057" s="18">
        <v>351.49</v>
      </c>
      <c r="G1057" s="2" t="s">
        <v>1361</v>
      </c>
      <c r="H1057" s="2" t="s">
        <v>22</v>
      </c>
    </row>
    <row r="1058" spans="1:8" ht="15" customHeight="1" x14ac:dyDescent="0.25">
      <c r="A1058" s="2" t="s">
        <v>2398</v>
      </c>
      <c r="B1058" s="2" t="s">
        <v>1266</v>
      </c>
      <c r="C1058" s="17">
        <v>45980</v>
      </c>
      <c r="D1058" s="2" t="s">
        <v>1360</v>
      </c>
      <c r="E1058" s="18">
        <v>16650.759999999998</v>
      </c>
      <c r="F1058" s="18">
        <v>465.11</v>
      </c>
      <c r="G1058" s="2" t="s">
        <v>1361</v>
      </c>
      <c r="H1058" s="2" t="s">
        <v>22</v>
      </c>
    </row>
    <row r="1059" spans="1:8" ht="15" customHeight="1" x14ac:dyDescent="0.25">
      <c r="A1059" s="2" t="s">
        <v>2399</v>
      </c>
      <c r="B1059" s="2" t="s">
        <v>1266</v>
      </c>
      <c r="C1059" s="17">
        <v>46015</v>
      </c>
      <c r="D1059" s="2" t="s">
        <v>1360</v>
      </c>
      <c r="E1059" s="18">
        <v>9614.39</v>
      </c>
      <c r="F1059" s="18">
        <v>230.34</v>
      </c>
      <c r="G1059" s="2" t="s">
        <v>1361</v>
      </c>
      <c r="H1059" s="2" t="s">
        <v>22</v>
      </c>
    </row>
    <row r="1060" spans="1:8" ht="15" customHeight="1" x14ac:dyDescent="0.25">
      <c r="A1060" s="2" t="s">
        <v>126</v>
      </c>
      <c r="B1060" s="2" t="s">
        <v>1266</v>
      </c>
      <c r="C1060" s="17">
        <v>46008</v>
      </c>
      <c r="D1060" s="2" t="s">
        <v>1360</v>
      </c>
      <c r="E1060" s="18">
        <v>5609.07</v>
      </c>
      <c r="F1060" s="18">
        <v>-153.43</v>
      </c>
      <c r="G1060" s="2" t="s">
        <v>1361</v>
      </c>
      <c r="H1060" s="2" t="s">
        <v>22</v>
      </c>
    </row>
    <row r="1061" spans="1:8" ht="15" customHeight="1" x14ac:dyDescent="0.25">
      <c r="A1061" s="2" t="s">
        <v>2400</v>
      </c>
      <c r="B1061" s="2" t="s">
        <v>1266</v>
      </c>
      <c r="C1061" s="17">
        <v>46006</v>
      </c>
      <c r="D1061" s="2" t="s">
        <v>1360</v>
      </c>
      <c r="E1061" s="18">
        <v>6209.98</v>
      </c>
      <c r="F1061" s="18">
        <v>143.97</v>
      </c>
      <c r="G1061" s="2" t="s">
        <v>1361</v>
      </c>
      <c r="H1061" s="2" t="s">
        <v>22</v>
      </c>
    </row>
    <row r="1062" spans="1:8" ht="15" customHeight="1" x14ac:dyDescent="0.25">
      <c r="A1062" s="2" t="s">
        <v>2401</v>
      </c>
      <c r="B1062" s="2" t="s">
        <v>1267</v>
      </c>
      <c r="C1062" s="17">
        <v>45973</v>
      </c>
      <c r="D1062" s="2" t="s">
        <v>1360</v>
      </c>
      <c r="E1062" s="18">
        <v>2450.13</v>
      </c>
      <c r="F1062" s="18">
        <v>53.32</v>
      </c>
      <c r="G1062" s="2" t="s">
        <v>1361</v>
      </c>
      <c r="H1062" s="2" t="s">
        <v>22</v>
      </c>
    </row>
    <row r="1063" spans="1:8" ht="15" customHeight="1" x14ac:dyDescent="0.25">
      <c r="A1063" s="2" t="s">
        <v>2402</v>
      </c>
      <c r="B1063" s="2" t="s">
        <v>1267</v>
      </c>
      <c r="C1063" s="17">
        <v>45977</v>
      </c>
      <c r="D1063" s="2" t="s">
        <v>1360</v>
      </c>
      <c r="E1063" s="18">
        <v>4863.7</v>
      </c>
      <c r="F1063" s="18">
        <v>114.95</v>
      </c>
      <c r="G1063" s="2" t="s">
        <v>1361</v>
      </c>
      <c r="H1063" s="2" t="s">
        <v>22</v>
      </c>
    </row>
    <row r="1064" spans="1:8" ht="15" customHeight="1" x14ac:dyDescent="0.25">
      <c r="A1064" s="2" t="s">
        <v>2403</v>
      </c>
      <c r="B1064" s="2" t="s">
        <v>1267</v>
      </c>
      <c r="C1064" s="17">
        <v>45993</v>
      </c>
      <c r="D1064" s="2" t="s">
        <v>1360</v>
      </c>
      <c r="E1064" s="18">
        <v>4224.1499999999996</v>
      </c>
      <c r="F1064" s="18">
        <v>92.93</v>
      </c>
      <c r="G1064" s="2" t="s">
        <v>1361</v>
      </c>
      <c r="H1064" s="2" t="s">
        <v>22</v>
      </c>
    </row>
    <row r="1065" spans="1:8" ht="15" customHeight="1" x14ac:dyDescent="0.25">
      <c r="A1065" s="2" t="s">
        <v>2404</v>
      </c>
      <c r="B1065" s="2" t="s">
        <v>1267</v>
      </c>
      <c r="C1065" s="17">
        <v>46019</v>
      </c>
      <c r="D1065" s="2" t="s">
        <v>1360</v>
      </c>
      <c r="E1065" s="18">
        <v>3628.41</v>
      </c>
      <c r="F1065" s="18">
        <v>77.209999999999994</v>
      </c>
      <c r="G1065" s="2" t="s">
        <v>1361</v>
      </c>
      <c r="H1065" s="2" t="s">
        <v>22</v>
      </c>
    </row>
    <row r="1066" spans="1:8" ht="15" customHeight="1" x14ac:dyDescent="0.25">
      <c r="A1066" s="2" t="s">
        <v>2405</v>
      </c>
      <c r="B1066" s="2" t="s">
        <v>1269</v>
      </c>
      <c r="C1066" s="17">
        <v>45747</v>
      </c>
      <c r="D1066" s="2" t="s">
        <v>1481</v>
      </c>
      <c r="E1066" s="18">
        <v>60072.82</v>
      </c>
      <c r="F1066" s="18">
        <v>1668.43</v>
      </c>
      <c r="G1066" s="2" t="s">
        <v>1361</v>
      </c>
      <c r="H1066" s="2" t="s">
        <v>20</v>
      </c>
    </row>
    <row r="1067" spans="1:8" ht="15" customHeight="1" x14ac:dyDescent="0.25">
      <c r="A1067" s="2" t="s">
        <v>2406</v>
      </c>
      <c r="B1067" s="2" t="s">
        <v>1269</v>
      </c>
      <c r="C1067" s="17">
        <v>45768</v>
      </c>
      <c r="D1067" s="2" t="s">
        <v>1360</v>
      </c>
      <c r="E1067" s="18">
        <v>49740.12</v>
      </c>
      <c r="F1067" s="18">
        <v>1496.34</v>
      </c>
      <c r="G1067" s="2" t="s">
        <v>1361</v>
      </c>
      <c r="H1067" s="2" t="s">
        <v>20</v>
      </c>
    </row>
    <row r="1068" spans="1:8" ht="15" customHeight="1" x14ac:dyDescent="0.25">
      <c r="A1068" s="2" t="s">
        <v>2407</v>
      </c>
      <c r="B1068" s="2" t="s">
        <v>1269</v>
      </c>
      <c r="C1068" s="17">
        <v>45781</v>
      </c>
      <c r="D1068" s="2" t="s">
        <v>1360</v>
      </c>
      <c r="E1068" s="18">
        <v>17069.38</v>
      </c>
      <c r="F1068" s="18">
        <v>444.98</v>
      </c>
      <c r="G1068" s="2" t="s">
        <v>1361</v>
      </c>
      <c r="H1068" s="2" t="s">
        <v>20</v>
      </c>
    </row>
    <row r="1069" spans="1:8" ht="15" customHeight="1" x14ac:dyDescent="0.25">
      <c r="A1069" s="2" t="s">
        <v>2408</v>
      </c>
      <c r="B1069" s="2" t="s">
        <v>1269</v>
      </c>
      <c r="C1069" s="17">
        <v>45793</v>
      </c>
      <c r="D1069" s="2" t="s">
        <v>1360</v>
      </c>
      <c r="E1069" s="18">
        <v>16778.77</v>
      </c>
      <c r="F1069" s="18">
        <v>520.49</v>
      </c>
      <c r="G1069" s="2" t="s">
        <v>1361</v>
      </c>
      <c r="H1069" s="2" t="s">
        <v>20</v>
      </c>
    </row>
    <row r="1070" spans="1:8" ht="15" customHeight="1" x14ac:dyDescent="0.25">
      <c r="A1070" s="2" t="s">
        <v>2409</v>
      </c>
      <c r="B1070" s="2" t="s">
        <v>1269</v>
      </c>
      <c r="C1070" s="17">
        <v>45820</v>
      </c>
      <c r="D1070" s="2" t="s">
        <v>1481</v>
      </c>
      <c r="E1070" s="18">
        <v>33631.980000000003</v>
      </c>
      <c r="F1070" s="18">
        <v>895.55</v>
      </c>
      <c r="G1070" s="2" t="s">
        <v>1361</v>
      </c>
      <c r="H1070" s="2" t="s">
        <v>20</v>
      </c>
    </row>
    <row r="1071" spans="1:8" ht="15" customHeight="1" x14ac:dyDescent="0.25">
      <c r="A1071" s="2" t="s">
        <v>2410</v>
      </c>
      <c r="B1071" s="2" t="s">
        <v>1269</v>
      </c>
      <c r="C1071" s="17">
        <v>45811</v>
      </c>
      <c r="D1071" s="2" t="s">
        <v>1479</v>
      </c>
      <c r="E1071" s="18">
        <v>47506.12</v>
      </c>
      <c r="F1071" s="18">
        <v>1433.31</v>
      </c>
      <c r="G1071" s="2" t="s">
        <v>1361</v>
      </c>
      <c r="H1071" s="2" t="s">
        <v>20</v>
      </c>
    </row>
    <row r="1072" spans="1:8" ht="15" customHeight="1" x14ac:dyDescent="0.25">
      <c r="A1072" s="2" t="s">
        <v>2411</v>
      </c>
      <c r="B1072" s="2" t="s">
        <v>1269</v>
      </c>
      <c r="C1072" s="17">
        <v>45854</v>
      </c>
      <c r="D1072" s="2" t="s">
        <v>1479</v>
      </c>
      <c r="E1072" s="18">
        <v>58641.14</v>
      </c>
      <c r="F1072" s="18">
        <v>1441.28</v>
      </c>
      <c r="G1072" s="2" t="s">
        <v>1361</v>
      </c>
      <c r="H1072" s="2" t="s">
        <v>20</v>
      </c>
    </row>
    <row r="1073" spans="1:8" ht="15" customHeight="1" x14ac:dyDescent="0.25">
      <c r="A1073" s="2" t="s">
        <v>2412</v>
      </c>
      <c r="B1073" s="2" t="s">
        <v>1269</v>
      </c>
      <c r="C1073" s="17">
        <v>45844</v>
      </c>
      <c r="D1073" s="2" t="s">
        <v>1481</v>
      </c>
      <c r="E1073" s="18">
        <v>36474.35</v>
      </c>
      <c r="F1073" s="18">
        <v>884.09</v>
      </c>
      <c r="G1073" s="2" t="s">
        <v>1361</v>
      </c>
      <c r="H1073" s="2" t="s">
        <v>20</v>
      </c>
    </row>
    <row r="1074" spans="1:8" ht="15" customHeight="1" x14ac:dyDescent="0.25">
      <c r="A1074" s="2" t="s">
        <v>2413</v>
      </c>
      <c r="B1074" s="2" t="s">
        <v>1269</v>
      </c>
      <c r="C1074" s="17">
        <v>45864</v>
      </c>
      <c r="D1074" s="2" t="s">
        <v>1360</v>
      </c>
      <c r="E1074" s="18">
        <v>58892.3</v>
      </c>
      <c r="F1074" s="18">
        <v>1398.03</v>
      </c>
      <c r="G1074" s="2" t="s">
        <v>1361</v>
      </c>
      <c r="H1074" s="2" t="s">
        <v>20</v>
      </c>
    </row>
    <row r="1075" spans="1:8" ht="15" customHeight="1" x14ac:dyDescent="0.25">
      <c r="A1075" s="2" t="s">
        <v>2414</v>
      </c>
      <c r="B1075" s="2" t="s">
        <v>1269</v>
      </c>
      <c r="C1075" s="17">
        <v>45895</v>
      </c>
      <c r="D1075" s="2" t="s">
        <v>1360</v>
      </c>
      <c r="E1075" s="18">
        <v>48383.19</v>
      </c>
      <c r="F1075" s="18">
        <v>1186.7</v>
      </c>
      <c r="G1075" s="2" t="s">
        <v>1361</v>
      </c>
      <c r="H1075" s="2" t="s">
        <v>20</v>
      </c>
    </row>
    <row r="1076" spans="1:8" ht="15" customHeight="1" x14ac:dyDescent="0.25">
      <c r="A1076" s="2" t="s">
        <v>2415</v>
      </c>
      <c r="B1076" s="2" t="s">
        <v>1269</v>
      </c>
      <c r="C1076" s="17">
        <v>45884</v>
      </c>
      <c r="D1076" s="2" t="s">
        <v>1479</v>
      </c>
      <c r="E1076" s="18">
        <v>30777.29</v>
      </c>
      <c r="F1076" s="18">
        <v>710.08</v>
      </c>
      <c r="G1076" s="2" t="s">
        <v>1361</v>
      </c>
      <c r="H1076" s="2" t="s">
        <v>20</v>
      </c>
    </row>
    <row r="1077" spans="1:8" ht="15" customHeight="1" x14ac:dyDescent="0.25">
      <c r="A1077" s="2" t="s">
        <v>2416</v>
      </c>
      <c r="B1077" s="2" t="s">
        <v>1269</v>
      </c>
      <c r="C1077" s="17">
        <v>45908</v>
      </c>
      <c r="D1077" s="2" t="s">
        <v>1360</v>
      </c>
      <c r="E1077" s="18">
        <v>32617.41</v>
      </c>
      <c r="F1077" s="18">
        <v>798.81</v>
      </c>
      <c r="G1077" s="2" t="s">
        <v>1361</v>
      </c>
      <c r="H1077" s="2" t="s">
        <v>20</v>
      </c>
    </row>
    <row r="1078" spans="1:8" ht="15" customHeight="1" x14ac:dyDescent="0.25">
      <c r="A1078" s="2" t="s">
        <v>2417</v>
      </c>
      <c r="B1078" s="2" t="s">
        <v>1269</v>
      </c>
      <c r="C1078" s="17">
        <v>45956</v>
      </c>
      <c r="D1078" s="2" t="s">
        <v>1481</v>
      </c>
      <c r="E1078" s="18">
        <v>55369.04</v>
      </c>
      <c r="F1078" s="18">
        <v>1370.33</v>
      </c>
      <c r="G1078" s="2" t="s">
        <v>1361</v>
      </c>
      <c r="H1078" s="2" t="s">
        <v>20</v>
      </c>
    </row>
    <row r="1079" spans="1:8" ht="15" customHeight="1" x14ac:dyDescent="0.25">
      <c r="A1079" s="2" t="s">
        <v>2418</v>
      </c>
      <c r="B1079" s="2" t="s">
        <v>1269</v>
      </c>
      <c r="C1079" s="17">
        <v>45935</v>
      </c>
      <c r="D1079" s="2" t="s">
        <v>1481</v>
      </c>
      <c r="E1079" s="18">
        <v>26662.51</v>
      </c>
      <c r="F1079" s="18">
        <v>680.73</v>
      </c>
      <c r="G1079" s="2" t="s">
        <v>1361</v>
      </c>
      <c r="H1079" s="2" t="s">
        <v>20</v>
      </c>
    </row>
    <row r="1080" spans="1:8" ht="15" customHeight="1" x14ac:dyDescent="0.25">
      <c r="A1080" s="2" t="s">
        <v>2419</v>
      </c>
      <c r="B1080" s="2" t="s">
        <v>1269</v>
      </c>
      <c r="C1080" s="17">
        <v>45985</v>
      </c>
      <c r="D1080" s="2" t="s">
        <v>1360</v>
      </c>
      <c r="E1080" s="18">
        <v>38482</v>
      </c>
      <c r="F1080" s="18">
        <v>1158.48</v>
      </c>
      <c r="G1080" s="2" t="s">
        <v>1361</v>
      </c>
      <c r="H1080" s="2" t="s">
        <v>20</v>
      </c>
    </row>
    <row r="1081" spans="1:8" ht="15" customHeight="1" x14ac:dyDescent="0.25">
      <c r="A1081" s="2" t="s">
        <v>2420</v>
      </c>
      <c r="B1081" s="2" t="s">
        <v>1269</v>
      </c>
      <c r="C1081" s="17">
        <v>45967</v>
      </c>
      <c r="D1081" s="2" t="s">
        <v>1360</v>
      </c>
      <c r="E1081" s="18">
        <v>17535.62</v>
      </c>
      <c r="F1081" s="18">
        <v>457.94</v>
      </c>
      <c r="G1081" s="2" t="s">
        <v>1361</v>
      </c>
      <c r="H1081" s="2" t="s">
        <v>20</v>
      </c>
    </row>
    <row r="1082" spans="1:8" ht="15" customHeight="1" x14ac:dyDescent="0.25">
      <c r="A1082" s="2" t="s">
        <v>2421</v>
      </c>
      <c r="B1082" s="2" t="s">
        <v>1269</v>
      </c>
      <c r="C1082" s="17">
        <v>45965</v>
      </c>
      <c r="D1082" s="2" t="s">
        <v>1360</v>
      </c>
      <c r="E1082" s="18">
        <v>37513.17</v>
      </c>
      <c r="F1082" s="18">
        <v>913.63</v>
      </c>
      <c r="G1082" s="2" t="s">
        <v>1361</v>
      </c>
      <c r="H1082" s="2" t="s">
        <v>20</v>
      </c>
    </row>
    <row r="1083" spans="1:8" ht="15" customHeight="1" x14ac:dyDescent="0.25">
      <c r="A1083" s="2" t="s">
        <v>2422</v>
      </c>
      <c r="B1083" s="2" t="s">
        <v>1269</v>
      </c>
      <c r="C1083" s="17">
        <v>46012</v>
      </c>
      <c r="D1083" s="2" t="s">
        <v>1481</v>
      </c>
      <c r="E1083" s="18">
        <v>18495.919999999998</v>
      </c>
      <c r="F1083" s="18">
        <v>438.39</v>
      </c>
      <c r="G1083" s="2" t="s">
        <v>1361</v>
      </c>
      <c r="H1083" s="2" t="s">
        <v>20</v>
      </c>
    </row>
    <row r="1084" spans="1:8" ht="15" customHeight="1" x14ac:dyDescent="0.25">
      <c r="A1084" s="2" t="s">
        <v>2423</v>
      </c>
      <c r="B1084" s="2" t="s">
        <v>1269</v>
      </c>
      <c r="C1084" s="17">
        <v>46001</v>
      </c>
      <c r="D1084" s="2" t="s">
        <v>1479</v>
      </c>
      <c r="E1084" s="18">
        <v>33033.65</v>
      </c>
      <c r="F1084" s="18">
        <v>782.37</v>
      </c>
      <c r="G1084" s="2" t="s">
        <v>1361</v>
      </c>
      <c r="H1084" s="2" t="s">
        <v>20</v>
      </c>
    </row>
    <row r="1085" spans="1:8" ht="15" customHeight="1" x14ac:dyDescent="0.25">
      <c r="A1085" s="2" t="s">
        <v>2424</v>
      </c>
      <c r="B1085" s="2" t="s">
        <v>1269</v>
      </c>
      <c r="C1085" s="17">
        <v>45996</v>
      </c>
      <c r="D1085" s="2" t="s">
        <v>1360</v>
      </c>
      <c r="E1085" s="18">
        <v>37898.769999999997</v>
      </c>
      <c r="F1085" s="18">
        <v>870.51</v>
      </c>
      <c r="G1085" s="2" t="s">
        <v>1361</v>
      </c>
      <c r="H1085" s="2" t="s">
        <v>20</v>
      </c>
    </row>
    <row r="1086" spans="1:8" ht="15" customHeight="1" x14ac:dyDescent="0.25">
      <c r="A1086" s="2" t="s">
        <v>2425</v>
      </c>
      <c r="B1086" s="2" t="s">
        <v>1270</v>
      </c>
      <c r="C1086" s="17">
        <v>45799</v>
      </c>
      <c r="D1086" s="2" t="s">
        <v>1423</v>
      </c>
      <c r="E1086" s="18">
        <v>23813.65</v>
      </c>
      <c r="F1086" s="18">
        <v>818.84</v>
      </c>
      <c r="G1086" s="2" t="s">
        <v>1361</v>
      </c>
      <c r="H1086" s="2" t="s">
        <v>19</v>
      </c>
    </row>
    <row r="1087" spans="1:8" ht="15" customHeight="1" x14ac:dyDescent="0.25">
      <c r="A1087" s="2" t="s">
        <v>2426</v>
      </c>
      <c r="B1087" s="2" t="s">
        <v>1270</v>
      </c>
      <c r="C1087" s="17">
        <v>45818</v>
      </c>
      <c r="D1087" s="2" t="s">
        <v>1423</v>
      </c>
      <c r="E1087" s="18">
        <v>23392.22</v>
      </c>
      <c r="F1087" s="18">
        <v>640.30999999999995</v>
      </c>
      <c r="G1087" s="2" t="s">
        <v>1361</v>
      </c>
      <c r="H1087" s="2" t="s">
        <v>19</v>
      </c>
    </row>
    <row r="1088" spans="1:8" ht="15" customHeight="1" x14ac:dyDescent="0.25">
      <c r="A1088" s="2" t="s">
        <v>2427</v>
      </c>
      <c r="B1088" s="2" t="s">
        <v>1270</v>
      </c>
      <c r="C1088" s="17">
        <v>45853</v>
      </c>
      <c r="D1088" s="2" t="s">
        <v>1423</v>
      </c>
      <c r="E1088" s="18">
        <v>53195.26</v>
      </c>
      <c r="F1088" s="18">
        <v>1530.98</v>
      </c>
      <c r="G1088" s="2" t="s">
        <v>1361</v>
      </c>
      <c r="H1088" s="2" t="s">
        <v>19</v>
      </c>
    </row>
    <row r="1089" spans="1:8" ht="15" customHeight="1" x14ac:dyDescent="0.25">
      <c r="A1089" s="2" t="s">
        <v>2428</v>
      </c>
      <c r="B1089" s="2" t="s">
        <v>1270</v>
      </c>
      <c r="C1089" s="17">
        <v>45880</v>
      </c>
      <c r="D1089" s="2" t="s">
        <v>1423</v>
      </c>
      <c r="E1089" s="18">
        <v>20116.689999999999</v>
      </c>
      <c r="F1089" s="18">
        <v>582.32000000000005</v>
      </c>
      <c r="G1089" s="2" t="s">
        <v>1361</v>
      </c>
      <c r="H1089" s="2" t="s">
        <v>19</v>
      </c>
    </row>
    <row r="1090" spans="1:8" ht="15" customHeight="1" x14ac:dyDescent="0.25">
      <c r="A1090" s="2" t="s">
        <v>2429</v>
      </c>
      <c r="B1090" s="2" t="s">
        <v>1270</v>
      </c>
      <c r="C1090" s="17">
        <v>45895</v>
      </c>
      <c r="D1090" s="2" t="s">
        <v>1423</v>
      </c>
      <c r="E1090" s="18">
        <v>52599</v>
      </c>
      <c r="F1090" s="18">
        <v>1741.21</v>
      </c>
      <c r="G1090" s="2" t="s">
        <v>1361</v>
      </c>
      <c r="H1090" s="2" t="s">
        <v>19</v>
      </c>
    </row>
    <row r="1091" spans="1:8" ht="15" customHeight="1" x14ac:dyDescent="0.25">
      <c r="A1091" s="2" t="s">
        <v>2430</v>
      </c>
      <c r="B1091" s="2" t="s">
        <v>1270</v>
      </c>
      <c r="C1091" s="17">
        <v>45889</v>
      </c>
      <c r="D1091" s="2" t="s">
        <v>1423</v>
      </c>
      <c r="E1091" s="18">
        <v>33135.49</v>
      </c>
      <c r="F1091" s="18">
        <v>975.28</v>
      </c>
      <c r="G1091" s="2" t="s">
        <v>1361</v>
      </c>
      <c r="H1091" s="2" t="s">
        <v>19</v>
      </c>
    </row>
    <row r="1092" spans="1:8" ht="15" customHeight="1" x14ac:dyDescent="0.25">
      <c r="A1092" s="2" t="s">
        <v>2431</v>
      </c>
      <c r="B1092" s="2" t="s">
        <v>1270</v>
      </c>
      <c r="C1092" s="17">
        <v>45906</v>
      </c>
      <c r="D1092" s="2" t="s">
        <v>1423</v>
      </c>
      <c r="E1092" s="18">
        <v>41244.959999999999</v>
      </c>
      <c r="F1092" s="18">
        <v>1184.1300000000001</v>
      </c>
      <c r="G1092" s="2" t="s">
        <v>1361</v>
      </c>
      <c r="H1092" s="2" t="s">
        <v>19</v>
      </c>
    </row>
    <row r="1093" spans="1:8" ht="15" customHeight="1" x14ac:dyDescent="0.25">
      <c r="A1093" s="2" t="s">
        <v>2432</v>
      </c>
      <c r="B1093" s="2" t="s">
        <v>1270</v>
      </c>
      <c r="C1093" s="17">
        <v>45910</v>
      </c>
      <c r="D1093" s="2" t="s">
        <v>1423</v>
      </c>
      <c r="E1093" s="18">
        <v>41620.85</v>
      </c>
      <c r="F1093" s="18">
        <v>1121.82</v>
      </c>
      <c r="G1093" s="2" t="s">
        <v>1361</v>
      </c>
      <c r="H1093" s="2" t="s">
        <v>19</v>
      </c>
    </row>
    <row r="1094" spans="1:8" ht="15" customHeight="1" x14ac:dyDescent="0.25">
      <c r="A1094" s="2" t="s">
        <v>2433</v>
      </c>
      <c r="B1094" s="2" t="s">
        <v>1270</v>
      </c>
      <c r="C1094" s="17">
        <v>45918</v>
      </c>
      <c r="D1094" s="2" t="s">
        <v>1423</v>
      </c>
      <c r="E1094" s="18">
        <v>32166.05</v>
      </c>
      <c r="F1094" s="18">
        <v>0</v>
      </c>
      <c r="G1094" s="2" t="s">
        <v>1408</v>
      </c>
      <c r="H1094" s="2" t="s">
        <v>19</v>
      </c>
    </row>
    <row r="1095" spans="1:8" ht="15" customHeight="1" x14ac:dyDescent="0.25">
      <c r="A1095" s="2" t="s">
        <v>2434</v>
      </c>
      <c r="B1095" s="2" t="s">
        <v>1270</v>
      </c>
      <c r="C1095" s="17">
        <v>45948</v>
      </c>
      <c r="D1095" s="2" t="s">
        <v>1423</v>
      </c>
      <c r="E1095" s="18">
        <v>35501.42</v>
      </c>
      <c r="F1095" s="18">
        <v>1135.6199999999999</v>
      </c>
      <c r="G1095" s="2" t="s">
        <v>1361</v>
      </c>
      <c r="H1095" s="2" t="s">
        <v>19</v>
      </c>
    </row>
    <row r="1096" spans="1:8" ht="15" customHeight="1" x14ac:dyDescent="0.25">
      <c r="A1096" s="2" t="s">
        <v>2435</v>
      </c>
      <c r="B1096" s="2" t="s">
        <v>1270</v>
      </c>
      <c r="C1096" s="17">
        <v>45980</v>
      </c>
      <c r="D1096" s="2" t="s">
        <v>1423</v>
      </c>
      <c r="E1096" s="18">
        <v>56182.61</v>
      </c>
      <c r="F1096" s="18">
        <v>1972.18</v>
      </c>
      <c r="G1096" s="2" t="s">
        <v>1361</v>
      </c>
      <c r="H1096" s="2" t="s">
        <v>19</v>
      </c>
    </row>
    <row r="1097" spans="1:8" ht="15" customHeight="1" x14ac:dyDescent="0.25">
      <c r="A1097" s="2" t="s">
        <v>2436</v>
      </c>
      <c r="B1097" s="2" t="s">
        <v>1270</v>
      </c>
      <c r="C1097" s="17">
        <v>45978</v>
      </c>
      <c r="D1097" s="2" t="s">
        <v>1423</v>
      </c>
      <c r="E1097" s="18">
        <v>55766.080000000002</v>
      </c>
      <c r="F1097" s="18">
        <v>1922</v>
      </c>
      <c r="G1097" s="2" t="s">
        <v>1361</v>
      </c>
      <c r="H1097" s="2" t="s">
        <v>19</v>
      </c>
    </row>
    <row r="1098" spans="1:8" ht="15" customHeight="1" x14ac:dyDescent="0.25">
      <c r="A1098" s="2" t="s">
        <v>2437</v>
      </c>
      <c r="B1098" s="2" t="s">
        <v>1270</v>
      </c>
      <c r="C1098" s="17">
        <v>45988</v>
      </c>
      <c r="D1098" s="2" t="s">
        <v>1423</v>
      </c>
      <c r="E1098" s="18">
        <v>39772.04</v>
      </c>
      <c r="F1098" s="18">
        <v>1226.18</v>
      </c>
      <c r="G1098" s="2" t="s">
        <v>1361</v>
      </c>
      <c r="H1098" s="2" t="s">
        <v>19</v>
      </c>
    </row>
    <row r="1099" spans="1:8" ht="15" customHeight="1" x14ac:dyDescent="0.25">
      <c r="A1099" s="2" t="s">
        <v>2438</v>
      </c>
      <c r="B1099" s="2" t="s">
        <v>1270</v>
      </c>
      <c r="C1099" s="17">
        <v>46004</v>
      </c>
      <c r="D1099" s="2" t="s">
        <v>1423</v>
      </c>
      <c r="E1099" s="18">
        <v>36648.870000000003</v>
      </c>
      <c r="F1099" s="18">
        <v>1154.8499999999999</v>
      </c>
      <c r="G1099" s="2" t="s">
        <v>1361</v>
      </c>
      <c r="H1099" s="2" t="s">
        <v>19</v>
      </c>
    </row>
    <row r="1100" spans="1:8" ht="15" customHeight="1" x14ac:dyDescent="0.25">
      <c r="A1100" s="2" t="s">
        <v>2439</v>
      </c>
      <c r="B1100" s="2" t="s">
        <v>1270</v>
      </c>
      <c r="C1100" s="17">
        <v>46007</v>
      </c>
      <c r="D1100" s="2" t="s">
        <v>1423</v>
      </c>
      <c r="E1100" s="18">
        <v>60688.51</v>
      </c>
      <c r="F1100" s="18">
        <v>1916.58</v>
      </c>
      <c r="G1100" s="2" t="s">
        <v>1361</v>
      </c>
      <c r="H1100" s="2" t="s">
        <v>19</v>
      </c>
    </row>
    <row r="1101" spans="1:8" ht="15" customHeight="1" x14ac:dyDescent="0.25">
      <c r="A1101" s="2" t="s">
        <v>2440</v>
      </c>
      <c r="B1101" s="2" t="s">
        <v>1270</v>
      </c>
      <c r="C1101" s="17">
        <v>46016</v>
      </c>
      <c r="D1101" s="2" t="s">
        <v>1423</v>
      </c>
      <c r="E1101" s="18">
        <v>41209.86</v>
      </c>
      <c r="F1101" s="18">
        <v>1298.3699999999999</v>
      </c>
      <c r="G1101" s="2" t="s">
        <v>1361</v>
      </c>
      <c r="H1101" s="2" t="s">
        <v>19</v>
      </c>
    </row>
    <row r="1102" spans="1:8" ht="15" customHeight="1" x14ac:dyDescent="0.25">
      <c r="A1102" s="2" t="s">
        <v>2441</v>
      </c>
      <c r="B1102" s="2" t="s">
        <v>1273</v>
      </c>
      <c r="C1102" s="17">
        <v>46022</v>
      </c>
      <c r="D1102" s="2" t="s">
        <v>1423</v>
      </c>
      <c r="E1102" s="18">
        <v>4378.25</v>
      </c>
      <c r="F1102" s="18">
        <v>137.63</v>
      </c>
      <c r="G1102" s="2" t="s">
        <v>1361</v>
      </c>
      <c r="H1102" s="2" t="s">
        <v>22</v>
      </c>
    </row>
    <row r="1103" spans="1:8" ht="15" customHeight="1" x14ac:dyDescent="0.25">
      <c r="A1103" s="2" t="s">
        <v>2442</v>
      </c>
      <c r="B1103" s="2" t="s">
        <v>1273</v>
      </c>
      <c r="C1103" s="17">
        <v>46018</v>
      </c>
      <c r="D1103" s="2" t="s">
        <v>1423</v>
      </c>
      <c r="E1103" s="18">
        <v>4635.84</v>
      </c>
      <c r="F1103" s="18">
        <v>148.97</v>
      </c>
      <c r="G1103" s="2" t="s">
        <v>1361</v>
      </c>
      <c r="H1103" s="2" t="s">
        <v>22</v>
      </c>
    </row>
    <row r="1104" spans="1:8" ht="15" customHeight="1" x14ac:dyDescent="0.25">
      <c r="A1104" s="2" t="s">
        <v>2443</v>
      </c>
      <c r="B1104" s="2" t="s">
        <v>1273</v>
      </c>
      <c r="C1104" s="17">
        <v>46008</v>
      </c>
      <c r="D1104" s="2" t="s">
        <v>1423</v>
      </c>
      <c r="E1104" s="18">
        <v>2855.24</v>
      </c>
      <c r="F1104" s="18">
        <v>89.77</v>
      </c>
      <c r="G1104" s="2" t="s">
        <v>1361</v>
      </c>
      <c r="H1104" s="2" t="s">
        <v>22</v>
      </c>
    </row>
    <row r="1105" spans="1:8" ht="15" customHeight="1" x14ac:dyDescent="0.25">
      <c r="A1105" s="2" t="s">
        <v>2444</v>
      </c>
      <c r="B1105" s="2" t="s">
        <v>1274</v>
      </c>
      <c r="C1105" s="17">
        <v>45832</v>
      </c>
      <c r="D1105" s="2" t="s">
        <v>1423</v>
      </c>
      <c r="E1105" s="18">
        <v>16178.66</v>
      </c>
      <c r="F1105" s="18">
        <v>497.38</v>
      </c>
      <c r="G1105" s="2" t="s">
        <v>1361</v>
      </c>
      <c r="H1105" s="2" t="s">
        <v>20</v>
      </c>
    </row>
    <row r="1106" spans="1:8" ht="15" customHeight="1" x14ac:dyDescent="0.25">
      <c r="A1106" s="2" t="s">
        <v>2445</v>
      </c>
      <c r="B1106" s="2" t="s">
        <v>1274</v>
      </c>
      <c r="C1106" s="17">
        <v>45835</v>
      </c>
      <c r="D1106" s="2" t="s">
        <v>1423</v>
      </c>
      <c r="E1106" s="18">
        <v>10048.81</v>
      </c>
      <c r="F1106" s="18">
        <v>344.1</v>
      </c>
      <c r="G1106" s="2" t="s">
        <v>1361</v>
      </c>
      <c r="H1106" s="2" t="s">
        <v>20</v>
      </c>
    </row>
    <row r="1107" spans="1:8" ht="15" customHeight="1" x14ac:dyDescent="0.25">
      <c r="A1107" s="2" t="s">
        <v>2446</v>
      </c>
      <c r="B1107" s="2" t="s">
        <v>1274</v>
      </c>
      <c r="C1107" s="17">
        <v>45831</v>
      </c>
      <c r="D1107" s="2" t="s">
        <v>1423</v>
      </c>
      <c r="E1107" s="18">
        <v>15492.71</v>
      </c>
      <c r="F1107" s="18">
        <v>499.75</v>
      </c>
      <c r="G1107" s="2" t="s">
        <v>1361</v>
      </c>
      <c r="H1107" s="2" t="s">
        <v>20</v>
      </c>
    </row>
    <row r="1108" spans="1:8" ht="15" customHeight="1" x14ac:dyDescent="0.25">
      <c r="A1108" s="2" t="s">
        <v>2447</v>
      </c>
      <c r="B1108" s="2" t="s">
        <v>1274</v>
      </c>
      <c r="C1108" s="17">
        <v>45845</v>
      </c>
      <c r="D1108" s="2" t="s">
        <v>1423</v>
      </c>
      <c r="E1108" s="18">
        <v>16819.18</v>
      </c>
      <c r="F1108" s="18">
        <v>573.07000000000005</v>
      </c>
      <c r="G1108" s="2" t="s">
        <v>1361</v>
      </c>
      <c r="H1108" s="2" t="s">
        <v>20</v>
      </c>
    </row>
    <row r="1109" spans="1:8" ht="15" customHeight="1" x14ac:dyDescent="0.25">
      <c r="A1109" s="2" t="s">
        <v>2448</v>
      </c>
      <c r="B1109" s="2" t="s">
        <v>1274</v>
      </c>
      <c r="C1109" s="17">
        <v>45883</v>
      </c>
      <c r="D1109" s="2" t="s">
        <v>1423</v>
      </c>
      <c r="E1109" s="18">
        <v>8876.93</v>
      </c>
      <c r="F1109" s="18">
        <v>298.95</v>
      </c>
      <c r="G1109" s="2" t="s">
        <v>1361</v>
      </c>
      <c r="H1109" s="2" t="s">
        <v>20</v>
      </c>
    </row>
    <row r="1110" spans="1:8" ht="15" customHeight="1" x14ac:dyDescent="0.25">
      <c r="A1110" s="2" t="s">
        <v>2449</v>
      </c>
      <c r="B1110" s="2" t="s">
        <v>1274</v>
      </c>
      <c r="C1110" s="17">
        <v>45881</v>
      </c>
      <c r="D1110" s="2" t="s">
        <v>1423</v>
      </c>
      <c r="E1110" s="18">
        <v>7032.65</v>
      </c>
      <c r="F1110" s="18">
        <v>209.59</v>
      </c>
      <c r="G1110" s="2" t="s">
        <v>1361</v>
      </c>
      <c r="H1110" s="2" t="s">
        <v>20</v>
      </c>
    </row>
    <row r="1111" spans="1:8" ht="15" customHeight="1" x14ac:dyDescent="0.25">
      <c r="A1111" s="2" t="s">
        <v>2450</v>
      </c>
      <c r="B1111" s="2" t="s">
        <v>1274</v>
      </c>
      <c r="C1111" s="17">
        <v>45872</v>
      </c>
      <c r="D1111" s="2" t="s">
        <v>1423</v>
      </c>
      <c r="E1111" s="18">
        <v>6062.67</v>
      </c>
      <c r="F1111" s="18">
        <v>160.41999999999999</v>
      </c>
      <c r="G1111" s="2" t="s">
        <v>1361</v>
      </c>
      <c r="H1111" s="2" t="s">
        <v>20</v>
      </c>
    </row>
    <row r="1112" spans="1:8" ht="15" customHeight="1" x14ac:dyDescent="0.25">
      <c r="A1112" s="2" t="s">
        <v>2451</v>
      </c>
      <c r="B1112" s="2" t="s">
        <v>1274</v>
      </c>
      <c r="C1112" s="17">
        <v>45904</v>
      </c>
      <c r="D1112" s="2" t="s">
        <v>1423</v>
      </c>
      <c r="E1112" s="18">
        <v>9223.5</v>
      </c>
      <c r="F1112" s="18">
        <v>260.85000000000002</v>
      </c>
      <c r="G1112" s="2" t="s">
        <v>1361</v>
      </c>
      <c r="H1112" s="2" t="s">
        <v>20</v>
      </c>
    </row>
    <row r="1113" spans="1:8" ht="15" customHeight="1" x14ac:dyDescent="0.25">
      <c r="A1113" s="2" t="s">
        <v>2452</v>
      </c>
      <c r="B1113" s="2" t="s">
        <v>1274</v>
      </c>
      <c r="C1113" s="17">
        <v>45905</v>
      </c>
      <c r="D1113" s="2" t="s">
        <v>1423</v>
      </c>
      <c r="E1113" s="18">
        <v>8833.8700000000008</v>
      </c>
      <c r="F1113" s="18">
        <v>238.02</v>
      </c>
      <c r="G1113" s="2" t="s">
        <v>1361</v>
      </c>
      <c r="H1113" s="2" t="s">
        <v>20</v>
      </c>
    </row>
    <row r="1114" spans="1:8" ht="15" customHeight="1" x14ac:dyDescent="0.25">
      <c r="A1114" s="2" t="s">
        <v>2453</v>
      </c>
      <c r="B1114" s="2" t="s">
        <v>1274</v>
      </c>
      <c r="C1114" s="17">
        <v>45943</v>
      </c>
      <c r="D1114" s="2" t="s">
        <v>1423</v>
      </c>
      <c r="E1114" s="18">
        <v>9426.07</v>
      </c>
      <c r="F1114" s="18">
        <v>292.48</v>
      </c>
      <c r="G1114" s="2" t="s">
        <v>1361</v>
      </c>
      <c r="H1114" s="2" t="s">
        <v>20</v>
      </c>
    </row>
    <row r="1115" spans="1:8" ht="15" customHeight="1" x14ac:dyDescent="0.25">
      <c r="A1115" s="2" t="s">
        <v>2454</v>
      </c>
      <c r="B1115" s="2" t="s">
        <v>1274</v>
      </c>
      <c r="C1115" s="17">
        <v>45958</v>
      </c>
      <c r="D1115" s="2" t="s">
        <v>1423</v>
      </c>
      <c r="E1115" s="18">
        <v>17466.599999999999</v>
      </c>
      <c r="F1115" s="18">
        <v>466.45</v>
      </c>
      <c r="G1115" s="2" t="s">
        <v>1361</v>
      </c>
      <c r="H1115" s="2" t="s">
        <v>20</v>
      </c>
    </row>
    <row r="1116" spans="1:8" ht="15" customHeight="1" x14ac:dyDescent="0.25">
      <c r="A1116" s="2" t="s">
        <v>2455</v>
      </c>
      <c r="B1116" s="2" t="s">
        <v>1274</v>
      </c>
      <c r="C1116" s="17">
        <v>45932</v>
      </c>
      <c r="D1116" s="2" t="s">
        <v>1423</v>
      </c>
      <c r="E1116" s="18">
        <v>12893.41</v>
      </c>
      <c r="F1116" s="18">
        <v>442.49</v>
      </c>
      <c r="G1116" s="2" t="s">
        <v>1361</v>
      </c>
      <c r="H1116" s="2" t="s">
        <v>20</v>
      </c>
    </row>
    <row r="1117" spans="1:8" ht="15" customHeight="1" x14ac:dyDescent="0.25">
      <c r="A1117" s="2" t="s">
        <v>2456</v>
      </c>
      <c r="B1117" s="2" t="s">
        <v>1274</v>
      </c>
      <c r="C1117" s="17">
        <v>45967</v>
      </c>
      <c r="D1117" s="2" t="s">
        <v>1423</v>
      </c>
      <c r="E1117" s="18">
        <v>7724.27</v>
      </c>
      <c r="F1117" s="18">
        <v>257.63</v>
      </c>
      <c r="G1117" s="2" t="s">
        <v>1361</v>
      </c>
      <c r="H1117" s="2" t="s">
        <v>20</v>
      </c>
    </row>
    <row r="1118" spans="1:8" ht="15" customHeight="1" x14ac:dyDescent="0.25">
      <c r="A1118" s="2" t="s">
        <v>2457</v>
      </c>
      <c r="B1118" s="2" t="s">
        <v>1274</v>
      </c>
      <c r="C1118" s="17">
        <v>45983</v>
      </c>
      <c r="D1118" s="2" t="s">
        <v>1423</v>
      </c>
      <c r="E1118" s="18">
        <v>6762.97</v>
      </c>
      <c r="F1118" s="18">
        <v>201.21</v>
      </c>
      <c r="G1118" s="2" t="s">
        <v>1361</v>
      </c>
      <c r="H1118" s="2" t="s">
        <v>20</v>
      </c>
    </row>
    <row r="1119" spans="1:8" ht="15" customHeight="1" x14ac:dyDescent="0.25">
      <c r="A1119" s="2" t="s">
        <v>2458</v>
      </c>
      <c r="B1119" s="2" t="s">
        <v>1274</v>
      </c>
      <c r="C1119" s="17">
        <v>45987</v>
      </c>
      <c r="D1119" s="2" t="s">
        <v>1423</v>
      </c>
      <c r="E1119" s="18">
        <v>6112.45</v>
      </c>
      <c r="F1119" s="18">
        <v>169.98</v>
      </c>
      <c r="G1119" s="2" t="s">
        <v>1361</v>
      </c>
      <c r="H1119" s="2" t="s">
        <v>20</v>
      </c>
    </row>
    <row r="1120" spans="1:8" ht="15" customHeight="1" x14ac:dyDescent="0.25">
      <c r="A1120" s="2" t="s">
        <v>2459</v>
      </c>
      <c r="B1120" s="2" t="s">
        <v>1274</v>
      </c>
      <c r="C1120" s="17">
        <v>46020</v>
      </c>
      <c r="D1120" s="2" t="s">
        <v>1423</v>
      </c>
      <c r="E1120" s="18">
        <v>17423.16</v>
      </c>
      <c r="F1120" s="18">
        <v>539.32000000000005</v>
      </c>
      <c r="G1120" s="2" t="s">
        <v>1361</v>
      </c>
      <c r="H1120" s="2" t="s">
        <v>20</v>
      </c>
    </row>
    <row r="1121" spans="1:8" ht="15" customHeight="1" x14ac:dyDescent="0.25">
      <c r="A1121" s="2" t="s">
        <v>2460</v>
      </c>
      <c r="B1121" s="2" t="s">
        <v>1274</v>
      </c>
      <c r="C1121" s="17">
        <v>46009</v>
      </c>
      <c r="D1121" s="2" t="s">
        <v>1423</v>
      </c>
      <c r="E1121" s="18">
        <v>7671.57</v>
      </c>
      <c r="F1121" s="18">
        <v>213.71</v>
      </c>
      <c r="G1121" s="2" t="s">
        <v>1361</v>
      </c>
      <c r="H1121" s="2" t="s">
        <v>20</v>
      </c>
    </row>
    <row r="1122" spans="1:8" ht="15" customHeight="1" x14ac:dyDescent="0.25">
      <c r="A1122" s="2" t="s">
        <v>2461</v>
      </c>
      <c r="B1122" s="2" t="s">
        <v>1274</v>
      </c>
      <c r="C1122" s="17">
        <v>46021</v>
      </c>
      <c r="D1122" s="2" t="s">
        <v>1423</v>
      </c>
      <c r="E1122" s="18">
        <v>7337.2</v>
      </c>
      <c r="F1122" s="18">
        <v>229.94</v>
      </c>
      <c r="G1122" s="2" t="s">
        <v>1361</v>
      </c>
      <c r="H1122" s="2" t="s">
        <v>20</v>
      </c>
    </row>
    <row r="1123" spans="1:8" ht="15" customHeight="1" x14ac:dyDescent="0.25">
      <c r="A1123" s="2" t="s">
        <v>2462</v>
      </c>
      <c r="B1123" s="2" t="s">
        <v>1275</v>
      </c>
      <c r="C1123" s="17">
        <v>45832</v>
      </c>
      <c r="D1123" s="2" t="s">
        <v>1479</v>
      </c>
      <c r="E1123" s="18">
        <v>9916.65</v>
      </c>
      <c r="F1123" s="18">
        <v>297.56</v>
      </c>
      <c r="G1123" s="2" t="s">
        <v>1361</v>
      </c>
      <c r="H1123" s="2" t="s">
        <v>21</v>
      </c>
    </row>
    <row r="1124" spans="1:8" ht="15" customHeight="1" x14ac:dyDescent="0.25">
      <c r="A1124" s="2" t="s">
        <v>2463</v>
      </c>
      <c r="B1124" s="2" t="s">
        <v>1275</v>
      </c>
      <c r="C1124" s="17">
        <v>45832</v>
      </c>
      <c r="D1124" s="2" t="s">
        <v>1360</v>
      </c>
      <c r="E1124" s="18">
        <v>17777.259999999998</v>
      </c>
      <c r="F1124" s="18">
        <v>510.35</v>
      </c>
      <c r="G1124" s="2" t="s">
        <v>1361</v>
      </c>
      <c r="H1124" s="2" t="s">
        <v>21</v>
      </c>
    </row>
    <row r="1125" spans="1:8" ht="15" customHeight="1" x14ac:dyDescent="0.25">
      <c r="A1125" s="2" t="s">
        <v>2464</v>
      </c>
      <c r="B1125" s="2" t="s">
        <v>1275</v>
      </c>
      <c r="C1125" s="17">
        <v>45839</v>
      </c>
      <c r="D1125" s="2" t="s">
        <v>1360</v>
      </c>
      <c r="E1125" s="18">
        <v>9603.2999999999993</v>
      </c>
      <c r="F1125" s="18">
        <v>257.61</v>
      </c>
      <c r="G1125" s="2" t="s">
        <v>1361</v>
      </c>
      <c r="H1125" s="2" t="s">
        <v>21</v>
      </c>
    </row>
    <row r="1126" spans="1:8" ht="15" customHeight="1" x14ac:dyDescent="0.25">
      <c r="A1126" s="2" t="s">
        <v>2465</v>
      </c>
      <c r="B1126" s="2" t="s">
        <v>1275</v>
      </c>
      <c r="C1126" s="17">
        <v>45858</v>
      </c>
      <c r="D1126" s="2" t="s">
        <v>1479</v>
      </c>
      <c r="E1126" s="18">
        <v>15003.88</v>
      </c>
      <c r="F1126" s="18">
        <v>380.46</v>
      </c>
      <c r="G1126" s="2" t="s">
        <v>1361</v>
      </c>
      <c r="H1126" s="2" t="s">
        <v>21</v>
      </c>
    </row>
    <row r="1127" spans="1:8" ht="15" customHeight="1" x14ac:dyDescent="0.25">
      <c r="A1127" s="2" t="s">
        <v>2466</v>
      </c>
      <c r="B1127" s="2" t="s">
        <v>1275</v>
      </c>
      <c r="C1127" s="17">
        <v>45867</v>
      </c>
      <c r="D1127" s="2" t="s">
        <v>1481</v>
      </c>
      <c r="E1127" s="18">
        <v>5915.26</v>
      </c>
      <c r="F1127" s="18">
        <v>175.31</v>
      </c>
      <c r="G1127" s="2" t="s">
        <v>1361</v>
      </c>
      <c r="H1127" s="2" t="s">
        <v>21</v>
      </c>
    </row>
    <row r="1128" spans="1:8" ht="15" customHeight="1" x14ac:dyDescent="0.25">
      <c r="A1128" s="2" t="s">
        <v>2467</v>
      </c>
      <c r="B1128" s="2" t="s">
        <v>1275</v>
      </c>
      <c r="C1128" s="17">
        <v>45898</v>
      </c>
      <c r="D1128" s="2" t="s">
        <v>1360</v>
      </c>
      <c r="E1128" s="18">
        <v>12458.38</v>
      </c>
      <c r="F1128" s="18">
        <v>381.42</v>
      </c>
      <c r="G1128" s="2" t="s">
        <v>1361</v>
      </c>
      <c r="H1128" s="2" t="s">
        <v>21</v>
      </c>
    </row>
    <row r="1129" spans="1:8" ht="15" customHeight="1" x14ac:dyDescent="0.25">
      <c r="A1129" s="2" t="s">
        <v>2468</v>
      </c>
      <c r="B1129" s="2" t="s">
        <v>1275</v>
      </c>
      <c r="C1129" s="17">
        <v>45888</v>
      </c>
      <c r="D1129" s="2" t="s">
        <v>1481</v>
      </c>
      <c r="E1129" s="18">
        <v>9226.1200000000008</v>
      </c>
      <c r="F1129" s="18">
        <v>218.86</v>
      </c>
      <c r="G1129" s="2" t="s">
        <v>1361</v>
      </c>
      <c r="H1129" s="2" t="s">
        <v>21</v>
      </c>
    </row>
    <row r="1130" spans="1:8" ht="15" customHeight="1" x14ac:dyDescent="0.25">
      <c r="A1130" s="2" t="s">
        <v>2469</v>
      </c>
      <c r="B1130" s="2" t="s">
        <v>1275</v>
      </c>
      <c r="C1130" s="17">
        <v>45897</v>
      </c>
      <c r="D1130" s="2" t="s">
        <v>1481</v>
      </c>
      <c r="E1130" s="18">
        <v>5474.97</v>
      </c>
      <c r="F1130" s="18">
        <v>152.81</v>
      </c>
      <c r="G1130" s="2" t="s">
        <v>1361</v>
      </c>
      <c r="H1130" s="2" t="s">
        <v>21</v>
      </c>
    </row>
    <row r="1131" spans="1:8" ht="15" customHeight="1" x14ac:dyDescent="0.25">
      <c r="A1131" s="2" t="s">
        <v>2470</v>
      </c>
      <c r="B1131" s="2" t="s">
        <v>1275</v>
      </c>
      <c r="C1131" s="17">
        <v>45914</v>
      </c>
      <c r="D1131" s="2" t="s">
        <v>1479</v>
      </c>
      <c r="E1131" s="18">
        <v>15998.44</v>
      </c>
      <c r="F1131" s="18">
        <v>487.04</v>
      </c>
      <c r="G1131" s="2" t="s">
        <v>1361</v>
      </c>
      <c r="H1131" s="2" t="s">
        <v>21</v>
      </c>
    </row>
    <row r="1132" spans="1:8" ht="15" customHeight="1" x14ac:dyDescent="0.25">
      <c r="A1132" s="2" t="s">
        <v>2471</v>
      </c>
      <c r="B1132" s="2" t="s">
        <v>1275</v>
      </c>
      <c r="C1132" s="17">
        <v>45945</v>
      </c>
      <c r="D1132" s="2" t="s">
        <v>1360</v>
      </c>
      <c r="E1132" s="18">
        <v>12132.02</v>
      </c>
      <c r="F1132" s="18">
        <v>369.09</v>
      </c>
      <c r="G1132" s="2" t="s">
        <v>1361</v>
      </c>
      <c r="H1132" s="2" t="s">
        <v>21</v>
      </c>
    </row>
    <row r="1133" spans="1:8" ht="15" customHeight="1" x14ac:dyDescent="0.25">
      <c r="A1133" s="2" t="s">
        <v>2472</v>
      </c>
      <c r="B1133" s="2" t="s">
        <v>1275</v>
      </c>
      <c r="C1133" s="17">
        <v>45935</v>
      </c>
      <c r="D1133" s="2" t="s">
        <v>1481</v>
      </c>
      <c r="E1133" s="18">
        <v>9758.93</v>
      </c>
      <c r="F1133" s="18">
        <v>224.3</v>
      </c>
      <c r="G1133" s="2" t="s">
        <v>1361</v>
      </c>
      <c r="H1133" s="2" t="s">
        <v>21</v>
      </c>
    </row>
    <row r="1134" spans="1:8" ht="15" customHeight="1" x14ac:dyDescent="0.25">
      <c r="A1134" s="2" t="s">
        <v>2473</v>
      </c>
      <c r="B1134" s="2" t="s">
        <v>1275</v>
      </c>
      <c r="C1134" s="17">
        <v>45945</v>
      </c>
      <c r="D1134" s="2" t="s">
        <v>1360</v>
      </c>
      <c r="E1134" s="18">
        <v>5521.69</v>
      </c>
      <c r="F1134" s="18">
        <v>170.45</v>
      </c>
      <c r="G1134" s="2" t="s">
        <v>1361</v>
      </c>
      <c r="H1134" s="2" t="s">
        <v>21</v>
      </c>
    </row>
    <row r="1135" spans="1:8" ht="15" customHeight="1" x14ac:dyDescent="0.25">
      <c r="A1135" s="2" t="s">
        <v>2474</v>
      </c>
      <c r="B1135" s="2" t="s">
        <v>1275</v>
      </c>
      <c r="C1135" s="17">
        <v>45968</v>
      </c>
      <c r="D1135" s="2" t="s">
        <v>1481</v>
      </c>
      <c r="E1135" s="18">
        <v>13706.69</v>
      </c>
      <c r="F1135" s="18">
        <v>385.31</v>
      </c>
      <c r="G1135" s="2" t="s">
        <v>1361</v>
      </c>
      <c r="H1135" s="2" t="s">
        <v>21</v>
      </c>
    </row>
    <row r="1136" spans="1:8" ht="15" customHeight="1" x14ac:dyDescent="0.25">
      <c r="A1136" s="2" t="s">
        <v>2475</v>
      </c>
      <c r="B1136" s="2" t="s">
        <v>1275</v>
      </c>
      <c r="C1136" s="17">
        <v>45974</v>
      </c>
      <c r="D1136" s="2" t="s">
        <v>1481</v>
      </c>
      <c r="E1136" s="18">
        <v>9499.64</v>
      </c>
      <c r="F1136" s="18">
        <v>274.85000000000002</v>
      </c>
      <c r="G1136" s="2" t="s">
        <v>1361</v>
      </c>
      <c r="H1136" s="2" t="s">
        <v>21</v>
      </c>
    </row>
    <row r="1137" spans="1:8" ht="15" customHeight="1" x14ac:dyDescent="0.25">
      <c r="A1137" s="2" t="s">
        <v>2476</v>
      </c>
      <c r="B1137" s="2" t="s">
        <v>1275</v>
      </c>
      <c r="C1137" s="17">
        <v>45967</v>
      </c>
      <c r="D1137" s="2" t="s">
        <v>1479</v>
      </c>
      <c r="E1137" s="18">
        <v>5828.89</v>
      </c>
      <c r="F1137" s="18">
        <v>140.4</v>
      </c>
      <c r="G1137" s="2" t="s">
        <v>1361</v>
      </c>
      <c r="H1137" s="2" t="s">
        <v>21</v>
      </c>
    </row>
    <row r="1138" spans="1:8" ht="15" customHeight="1" x14ac:dyDescent="0.25">
      <c r="A1138" s="2" t="s">
        <v>2477</v>
      </c>
      <c r="B1138" s="2" t="s">
        <v>1278</v>
      </c>
      <c r="C1138" s="17">
        <v>45961</v>
      </c>
      <c r="D1138" s="2" t="s">
        <v>1360</v>
      </c>
      <c r="E1138" s="18">
        <v>1778.56</v>
      </c>
      <c r="F1138" s="18">
        <v>44.63</v>
      </c>
      <c r="G1138" s="2" t="s">
        <v>1361</v>
      </c>
      <c r="H1138" s="2" t="s">
        <v>21</v>
      </c>
    </row>
    <row r="1139" spans="1:8" ht="15" customHeight="1" x14ac:dyDescent="0.25">
      <c r="A1139" s="2" t="s">
        <v>2478</v>
      </c>
      <c r="B1139" s="2" t="s">
        <v>1278</v>
      </c>
      <c r="C1139" s="17">
        <v>45958</v>
      </c>
      <c r="D1139" s="2" t="s">
        <v>1360</v>
      </c>
      <c r="E1139" s="18">
        <v>4374.99</v>
      </c>
      <c r="F1139" s="18">
        <v>110.96</v>
      </c>
      <c r="G1139" s="2" t="s">
        <v>1361</v>
      </c>
      <c r="H1139" s="2" t="s">
        <v>21</v>
      </c>
    </row>
    <row r="1140" spans="1:8" ht="15" customHeight="1" x14ac:dyDescent="0.25">
      <c r="A1140" s="2" t="s">
        <v>2479</v>
      </c>
      <c r="B1140" s="2" t="s">
        <v>1278</v>
      </c>
      <c r="C1140" s="17">
        <v>45975</v>
      </c>
      <c r="D1140" s="2" t="s">
        <v>1360</v>
      </c>
      <c r="E1140" s="18">
        <v>2147.17</v>
      </c>
      <c r="F1140" s="18">
        <v>0</v>
      </c>
      <c r="G1140" s="2" t="s">
        <v>1408</v>
      </c>
      <c r="H1140" s="2" t="s">
        <v>21</v>
      </c>
    </row>
    <row r="1141" spans="1:8" ht="15" customHeight="1" x14ac:dyDescent="0.25">
      <c r="A1141" s="2" t="s">
        <v>2480</v>
      </c>
      <c r="B1141" s="2" t="s">
        <v>1278</v>
      </c>
      <c r="C1141" s="17">
        <v>45970</v>
      </c>
      <c r="D1141" s="2" t="s">
        <v>1360</v>
      </c>
      <c r="E1141" s="18">
        <v>1599.48</v>
      </c>
      <c r="F1141" s="18">
        <v>37.89</v>
      </c>
      <c r="G1141" s="2" t="s">
        <v>1361</v>
      </c>
      <c r="H1141" s="2" t="s">
        <v>21</v>
      </c>
    </row>
    <row r="1142" spans="1:8" ht="15" customHeight="1" x14ac:dyDescent="0.25">
      <c r="A1142" s="2" t="s">
        <v>2481</v>
      </c>
      <c r="B1142" s="2" t="s">
        <v>1278</v>
      </c>
      <c r="C1142" s="17">
        <v>45963</v>
      </c>
      <c r="D1142" s="2" t="s">
        <v>1360</v>
      </c>
      <c r="E1142" s="18">
        <v>5024.5600000000004</v>
      </c>
      <c r="F1142" s="18">
        <v>128.16999999999999</v>
      </c>
      <c r="G1142" s="2" t="s">
        <v>1361</v>
      </c>
      <c r="H1142" s="2" t="s">
        <v>21</v>
      </c>
    </row>
    <row r="1143" spans="1:8" ht="15" customHeight="1" x14ac:dyDescent="0.25">
      <c r="A1143" s="2" t="s">
        <v>2482</v>
      </c>
      <c r="B1143" s="2" t="s">
        <v>1278</v>
      </c>
      <c r="C1143" s="17">
        <v>46008</v>
      </c>
      <c r="D1143" s="2" t="s">
        <v>1360</v>
      </c>
      <c r="E1143" s="18">
        <v>3895.49</v>
      </c>
      <c r="F1143" s="18">
        <v>107.06</v>
      </c>
      <c r="G1143" s="2" t="s">
        <v>1361</v>
      </c>
      <c r="H1143" s="2" t="s">
        <v>21</v>
      </c>
    </row>
    <row r="1144" spans="1:8" ht="15" customHeight="1" x14ac:dyDescent="0.25">
      <c r="A1144" s="2" t="s">
        <v>2483</v>
      </c>
      <c r="B1144" s="2" t="s">
        <v>1278</v>
      </c>
      <c r="C1144" s="17">
        <v>46021</v>
      </c>
      <c r="D1144" s="2" t="s">
        <v>1360</v>
      </c>
      <c r="E1144" s="18">
        <v>3557.25</v>
      </c>
      <c r="F1144" s="18">
        <v>84.01</v>
      </c>
      <c r="G1144" s="2" t="s">
        <v>1361</v>
      </c>
      <c r="H1144" s="2" t="s">
        <v>21</v>
      </c>
    </row>
    <row r="1145" spans="1:8" ht="15" customHeight="1" x14ac:dyDescent="0.25">
      <c r="A1145" s="2" t="s">
        <v>2484</v>
      </c>
      <c r="B1145" s="2" t="s">
        <v>1281</v>
      </c>
      <c r="C1145" s="17">
        <v>45928</v>
      </c>
      <c r="D1145" s="2" t="s">
        <v>1360</v>
      </c>
      <c r="E1145" s="18">
        <v>4030.63</v>
      </c>
      <c r="F1145" s="18">
        <v>90.37</v>
      </c>
      <c r="G1145" s="2" t="s">
        <v>1361</v>
      </c>
      <c r="H1145" s="2" t="s">
        <v>21</v>
      </c>
    </row>
    <row r="1146" spans="1:8" ht="15" customHeight="1" x14ac:dyDescent="0.25">
      <c r="A1146" s="2" t="s">
        <v>2485</v>
      </c>
      <c r="B1146" s="2" t="s">
        <v>1281</v>
      </c>
      <c r="C1146" s="17">
        <v>45925</v>
      </c>
      <c r="D1146" s="2" t="s">
        <v>1360</v>
      </c>
      <c r="E1146" s="18">
        <v>1900.67</v>
      </c>
      <c r="F1146" s="18">
        <v>47.7</v>
      </c>
      <c r="G1146" s="2" t="s">
        <v>1361</v>
      </c>
      <c r="H1146" s="2" t="s">
        <v>21</v>
      </c>
    </row>
    <row r="1147" spans="1:8" ht="15" customHeight="1" x14ac:dyDescent="0.25">
      <c r="A1147" s="2" t="s">
        <v>2486</v>
      </c>
      <c r="B1147" s="2" t="s">
        <v>1281</v>
      </c>
      <c r="C1147" s="17">
        <v>45933</v>
      </c>
      <c r="D1147" s="2" t="s">
        <v>1360</v>
      </c>
      <c r="E1147" s="18">
        <v>1551.78</v>
      </c>
      <c r="F1147" s="18">
        <v>37.25</v>
      </c>
      <c r="G1147" s="2" t="s">
        <v>1361</v>
      </c>
      <c r="H1147" s="2" t="s">
        <v>21</v>
      </c>
    </row>
    <row r="1148" spans="1:8" ht="15" customHeight="1" x14ac:dyDescent="0.25">
      <c r="A1148" s="2" t="s">
        <v>2487</v>
      </c>
      <c r="B1148" s="2" t="s">
        <v>1281</v>
      </c>
      <c r="C1148" s="17">
        <v>45942</v>
      </c>
      <c r="D1148" s="2" t="s">
        <v>1360</v>
      </c>
      <c r="E1148" s="18">
        <v>3065.33</v>
      </c>
      <c r="F1148" s="18">
        <v>66.75</v>
      </c>
      <c r="G1148" s="2" t="s">
        <v>1361</v>
      </c>
      <c r="H1148" s="2" t="s">
        <v>21</v>
      </c>
    </row>
    <row r="1149" spans="1:8" ht="15" customHeight="1" x14ac:dyDescent="0.25">
      <c r="A1149" s="2" t="s">
        <v>2488</v>
      </c>
      <c r="B1149" s="2" t="s">
        <v>1281</v>
      </c>
      <c r="C1149" s="17">
        <v>45947</v>
      </c>
      <c r="D1149" s="2" t="s">
        <v>1360</v>
      </c>
      <c r="E1149" s="18">
        <v>3713.09</v>
      </c>
      <c r="F1149" s="18">
        <v>84.81</v>
      </c>
      <c r="G1149" s="2" t="s">
        <v>1361</v>
      </c>
      <c r="H1149" s="2" t="s">
        <v>21</v>
      </c>
    </row>
    <row r="1150" spans="1:8" ht="15" customHeight="1" x14ac:dyDescent="0.25">
      <c r="A1150" s="2" t="s">
        <v>2489</v>
      </c>
      <c r="B1150" s="2" t="s">
        <v>1281</v>
      </c>
      <c r="C1150" s="17">
        <v>45968</v>
      </c>
      <c r="D1150" s="2" t="s">
        <v>1360</v>
      </c>
      <c r="E1150" s="18">
        <v>4960.12</v>
      </c>
      <c r="F1150" s="18">
        <v>0</v>
      </c>
      <c r="G1150" s="2" t="s">
        <v>1408</v>
      </c>
      <c r="H1150" s="2" t="s">
        <v>21</v>
      </c>
    </row>
    <row r="1151" spans="1:8" ht="15" customHeight="1" x14ac:dyDescent="0.25">
      <c r="A1151" s="2" t="s">
        <v>2490</v>
      </c>
      <c r="B1151" s="2" t="s">
        <v>1281</v>
      </c>
      <c r="C1151" s="17">
        <v>45997</v>
      </c>
      <c r="D1151" s="2" t="s">
        <v>1360</v>
      </c>
      <c r="E1151" s="18">
        <v>1784.61</v>
      </c>
      <c r="F1151" s="18">
        <v>40.58</v>
      </c>
      <c r="G1151" s="2" t="s">
        <v>1361</v>
      </c>
      <c r="H1151" s="2" t="s">
        <v>21</v>
      </c>
    </row>
    <row r="1152" spans="1:8" ht="15" customHeight="1" x14ac:dyDescent="0.25">
      <c r="A1152" s="2" t="s">
        <v>2491</v>
      </c>
      <c r="B1152" s="2" t="s">
        <v>1282</v>
      </c>
      <c r="C1152" s="17">
        <v>46001</v>
      </c>
      <c r="D1152" s="2" t="s">
        <v>1423</v>
      </c>
      <c r="E1152" s="18">
        <v>35341.800000000003</v>
      </c>
      <c r="F1152" s="18">
        <v>974.05</v>
      </c>
      <c r="G1152" s="2" t="s">
        <v>1361</v>
      </c>
      <c r="H1152" s="2" t="s">
        <v>18</v>
      </c>
    </row>
    <row r="1153" spans="1:8" ht="15" customHeight="1" x14ac:dyDescent="0.25">
      <c r="A1153" s="2" t="s">
        <v>2492</v>
      </c>
      <c r="B1153" s="2" t="s">
        <v>1282</v>
      </c>
      <c r="C1153" s="17">
        <v>46004</v>
      </c>
      <c r="D1153" s="2" t="s">
        <v>1423</v>
      </c>
      <c r="E1153" s="18">
        <v>59184.66</v>
      </c>
      <c r="F1153" s="18">
        <v>1845.67</v>
      </c>
      <c r="G1153" s="2" t="s">
        <v>1361</v>
      </c>
      <c r="H1153" s="2" t="s">
        <v>18</v>
      </c>
    </row>
    <row r="1154" spans="1:8" ht="15" customHeight="1" x14ac:dyDescent="0.25">
      <c r="A1154" s="2" t="s">
        <v>2493</v>
      </c>
      <c r="B1154" s="2" t="s">
        <v>1283</v>
      </c>
      <c r="C1154" s="17">
        <v>45863</v>
      </c>
      <c r="D1154" s="2" t="s">
        <v>1373</v>
      </c>
      <c r="E1154" s="18">
        <v>32666.39</v>
      </c>
      <c r="F1154" s="18">
        <v>637</v>
      </c>
      <c r="G1154" s="2" t="s">
        <v>1361</v>
      </c>
      <c r="H1154" s="2" t="s">
        <v>18</v>
      </c>
    </row>
    <row r="1155" spans="1:8" ht="15" customHeight="1" x14ac:dyDescent="0.25">
      <c r="A1155" s="2" t="s">
        <v>2494</v>
      </c>
      <c r="B1155" s="2" t="s">
        <v>1283</v>
      </c>
      <c r="C1155" s="17">
        <v>45895</v>
      </c>
      <c r="D1155" s="2" t="s">
        <v>1373</v>
      </c>
      <c r="E1155" s="18">
        <v>29533.45</v>
      </c>
      <c r="F1155" s="18">
        <v>605.27</v>
      </c>
      <c r="G1155" s="2" t="s">
        <v>1361</v>
      </c>
      <c r="H1155" s="2" t="s">
        <v>18</v>
      </c>
    </row>
    <row r="1156" spans="1:8" ht="15" customHeight="1" x14ac:dyDescent="0.25">
      <c r="A1156" s="2" t="s">
        <v>2495</v>
      </c>
      <c r="B1156" s="2" t="s">
        <v>1283</v>
      </c>
      <c r="C1156" s="17">
        <v>45881</v>
      </c>
      <c r="D1156" s="2" t="s">
        <v>1373</v>
      </c>
      <c r="E1156" s="18">
        <v>46508.31</v>
      </c>
      <c r="F1156" s="18">
        <v>836.3</v>
      </c>
      <c r="G1156" s="2" t="s">
        <v>1361</v>
      </c>
      <c r="H1156" s="2" t="s">
        <v>18</v>
      </c>
    </row>
    <row r="1157" spans="1:8" ht="15" customHeight="1" x14ac:dyDescent="0.25">
      <c r="A1157" s="2" t="s">
        <v>2496</v>
      </c>
      <c r="B1157" s="2" t="s">
        <v>1283</v>
      </c>
      <c r="C1157" s="17">
        <v>45930</v>
      </c>
      <c r="D1157" s="2" t="s">
        <v>1373</v>
      </c>
      <c r="E1157" s="18">
        <v>16644.48</v>
      </c>
      <c r="F1157" s="18">
        <v>282.45999999999998</v>
      </c>
      <c r="G1157" s="2" t="s">
        <v>1361</v>
      </c>
      <c r="H1157" s="2" t="s">
        <v>18</v>
      </c>
    </row>
    <row r="1158" spans="1:8" ht="15" customHeight="1" x14ac:dyDescent="0.25">
      <c r="A1158" s="2" t="s">
        <v>2497</v>
      </c>
      <c r="B1158" s="2" t="s">
        <v>1283</v>
      </c>
      <c r="C1158" s="17">
        <v>45910</v>
      </c>
      <c r="D1158" s="2" t="s">
        <v>1373</v>
      </c>
      <c r="E1158" s="18">
        <v>28221.03</v>
      </c>
      <c r="F1158" s="18">
        <v>553.24</v>
      </c>
      <c r="G1158" s="2" t="s">
        <v>1361</v>
      </c>
      <c r="H1158" s="2" t="s">
        <v>18</v>
      </c>
    </row>
    <row r="1159" spans="1:8" ht="15" customHeight="1" x14ac:dyDescent="0.25">
      <c r="A1159" s="2" t="s">
        <v>2498</v>
      </c>
      <c r="B1159" s="2" t="s">
        <v>1283</v>
      </c>
      <c r="C1159" s="17">
        <v>45913</v>
      </c>
      <c r="D1159" s="2" t="s">
        <v>1373</v>
      </c>
      <c r="E1159" s="18">
        <v>45317.760000000002</v>
      </c>
      <c r="F1159" s="18">
        <v>898.63</v>
      </c>
      <c r="G1159" s="2" t="s">
        <v>1361</v>
      </c>
      <c r="H1159" s="2" t="s">
        <v>18</v>
      </c>
    </row>
    <row r="1160" spans="1:8" ht="15" customHeight="1" x14ac:dyDescent="0.25">
      <c r="A1160" s="2" t="s">
        <v>2499</v>
      </c>
      <c r="B1160" s="2" t="s">
        <v>1283</v>
      </c>
      <c r="C1160" s="17">
        <v>45954</v>
      </c>
      <c r="D1160" s="2" t="s">
        <v>1373</v>
      </c>
      <c r="E1160" s="18">
        <v>39504.22</v>
      </c>
      <c r="F1160" s="18">
        <v>695.56</v>
      </c>
      <c r="G1160" s="2" t="s">
        <v>1361</v>
      </c>
      <c r="H1160" s="2" t="s">
        <v>18</v>
      </c>
    </row>
    <row r="1161" spans="1:8" ht="15" customHeight="1" x14ac:dyDescent="0.25">
      <c r="A1161" s="2" t="s">
        <v>2500</v>
      </c>
      <c r="B1161" s="2" t="s">
        <v>1283</v>
      </c>
      <c r="C1161" s="17">
        <v>45980</v>
      </c>
      <c r="D1161" s="2" t="s">
        <v>1373</v>
      </c>
      <c r="E1161" s="18">
        <v>29974.32</v>
      </c>
      <c r="F1161" s="18">
        <v>507.14</v>
      </c>
      <c r="G1161" s="2" t="s">
        <v>1361</v>
      </c>
      <c r="H1161" s="2" t="s">
        <v>18</v>
      </c>
    </row>
    <row r="1162" spans="1:8" ht="15" customHeight="1" x14ac:dyDescent="0.25">
      <c r="A1162" s="2" t="s">
        <v>2501</v>
      </c>
      <c r="B1162" s="2" t="s">
        <v>1283</v>
      </c>
      <c r="C1162" s="17">
        <v>45967</v>
      </c>
      <c r="D1162" s="2" t="s">
        <v>1373</v>
      </c>
      <c r="E1162" s="18">
        <v>19266.12</v>
      </c>
      <c r="F1162" s="18">
        <v>295.62</v>
      </c>
      <c r="G1162" s="2" t="s">
        <v>1361</v>
      </c>
      <c r="H1162" s="2" t="s">
        <v>18</v>
      </c>
    </row>
    <row r="1163" spans="1:8" ht="15" customHeight="1" x14ac:dyDescent="0.25">
      <c r="A1163" s="2" t="s">
        <v>2502</v>
      </c>
      <c r="B1163" s="2" t="s">
        <v>1283</v>
      </c>
      <c r="C1163" s="17">
        <v>45995</v>
      </c>
      <c r="D1163" s="2" t="s">
        <v>1373</v>
      </c>
      <c r="E1163" s="18">
        <v>39096.589999999997</v>
      </c>
      <c r="F1163" s="18">
        <v>728.02</v>
      </c>
      <c r="G1163" s="2" t="s">
        <v>1361</v>
      </c>
      <c r="H1163" s="2" t="s">
        <v>18</v>
      </c>
    </row>
    <row r="1164" spans="1:8" ht="15" customHeight="1" x14ac:dyDescent="0.25">
      <c r="A1164" s="2" t="s">
        <v>2503</v>
      </c>
      <c r="B1164" s="2" t="s">
        <v>90</v>
      </c>
      <c r="C1164" s="17">
        <v>45986</v>
      </c>
      <c r="D1164" s="2" t="s">
        <v>1360</v>
      </c>
      <c r="E1164" s="18">
        <v>1892.38</v>
      </c>
      <c r="F1164" s="18">
        <v>47.08</v>
      </c>
      <c r="G1164" s="2" t="s">
        <v>1361</v>
      </c>
      <c r="H1164" s="2" t="s">
        <v>21</v>
      </c>
    </row>
    <row r="1165" spans="1:8" ht="15" customHeight="1" x14ac:dyDescent="0.25">
      <c r="A1165" s="2" t="s">
        <v>2504</v>
      </c>
      <c r="B1165" s="2" t="s">
        <v>90</v>
      </c>
      <c r="C1165" s="17">
        <v>45989</v>
      </c>
      <c r="D1165" s="2" t="s">
        <v>1360</v>
      </c>
      <c r="E1165" s="18">
        <v>2609.61</v>
      </c>
      <c r="F1165" s="18">
        <v>0</v>
      </c>
      <c r="G1165" s="2" t="s">
        <v>1408</v>
      </c>
      <c r="H1165" s="2" t="s">
        <v>21</v>
      </c>
    </row>
    <row r="1166" spans="1:8" ht="15" customHeight="1" x14ac:dyDescent="0.25">
      <c r="A1166" s="2" t="s">
        <v>133</v>
      </c>
      <c r="B1166" s="2" t="s">
        <v>90</v>
      </c>
      <c r="C1166" s="17">
        <v>45983</v>
      </c>
      <c r="D1166" s="2" t="s">
        <v>1360</v>
      </c>
      <c r="E1166" s="18">
        <v>5104.17</v>
      </c>
      <c r="F1166" s="18">
        <v>152.41</v>
      </c>
      <c r="G1166" s="2" t="s">
        <v>1408</v>
      </c>
      <c r="H1166" s="2" t="s">
        <v>21</v>
      </c>
    </row>
    <row r="1167" spans="1:8" ht="15" customHeight="1" x14ac:dyDescent="0.25">
      <c r="A1167" s="2" t="s">
        <v>2505</v>
      </c>
      <c r="B1167" s="2" t="s">
        <v>90</v>
      </c>
      <c r="C1167" s="17">
        <v>46011</v>
      </c>
      <c r="D1167" s="2" t="s">
        <v>1360</v>
      </c>
      <c r="E1167" s="18">
        <v>5003.6899999999996</v>
      </c>
      <c r="F1167" s="18">
        <v>121.81</v>
      </c>
      <c r="G1167" s="2" t="s">
        <v>1361</v>
      </c>
      <c r="H1167" s="2" t="s">
        <v>21</v>
      </c>
    </row>
    <row r="1168" spans="1:8" ht="15" customHeight="1" x14ac:dyDescent="0.25">
      <c r="A1168" s="2" t="s">
        <v>2506</v>
      </c>
      <c r="B1168" s="2" t="s">
        <v>1285</v>
      </c>
      <c r="C1168" s="17">
        <v>45984</v>
      </c>
      <c r="D1168" s="2" t="s">
        <v>1360</v>
      </c>
      <c r="E1168" s="18">
        <v>10856.86</v>
      </c>
      <c r="F1168" s="18">
        <v>294.47000000000003</v>
      </c>
      <c r="G1168" s="2" t="s">
        <v>1361</v>
      </c>
      <c r="H1168" s="2" t="s">
        <v>22</v>
      </c>
    </row>
    <row r="1169" spans="1:8" ht="15" customHeight="1" x14ac:dyDescent="0.25">
      <c r="A1169" s="2" t="s">
        <v>2507</v>
      </c>
      <c r="B1169" s="2" t="s">
        <v>1285</v>
      </c>
      <c r="C1169" s="17">
        <v>45989</v>
      </c>
      <c r="D1169" s="2" t="s">
        <v>1360</v>
      </c>
      <c r="E1169" s="18">
        <v>15732.11</v>
      </c>
      <c r="F1169" s="18">
        <v>386.73</v>
      </c>
      <c r="G1169" s="2" t="s">
        <v>1361</v>
      </c>
      <c r="H1169" s="2" t="s">
        <v>22</v>
      </c>
    </row>
    <row r="1170" spans="1:8" ht="15" customHeight="1" x14ac:dyDescent="0.25">
      <c r="A1170" s="2" t="s">
        <v>2508</v>
      </c>
      <c r="B1170" s="2" t="s">
        <v>1285</v>
      </c>
      <c r="C1170" s="17">
        <v>45996</v>
      </c>
      <c r="D1170" s="2" t="s">
        <v>1360</v>
      </c>
      <c r="E1170" s="18">
        <v>12820.05</v>
      </c>
      <c r="F1170" s="18">
        <v>284.18</v>
      </c>
      <c r="G1170" s="2" t="s">
        <v>1361</v>
      </c>
      <c r="H1170" s="2" t="s">
        <v>22</v>
      </c>
    </row>
    <row r="1171" spans="1:8" ht="15" customHeight="1" x14ac:dyDescent="0.25">
      <c r="A1171" s="2" t="s">
        <v>112</v>
      </c>
      <c r="B1171" s="2" t="s">
        <v>1285</v>
      </c>
      <c r="C1171" s="17">
        <v>46005</v>
      </c>
      <c r="D1171" s="2" t="s">
        <v>1360</v>
      </c>
      <c r="E1171" s="18">
        <v>12500.06</v>
      </c>
      <c r="F1171" s="18">
        <v>347.35</v>
      </c>
      <c r="G1171" s="2" t="s">
        <v>1361</v>
      </c>
      <c r="H1171" s="2" t="s">
        <v>22</v>
      </c>
    </row>
    <row r="1172" spans="1:8" ht="15" customHeight="1" x14ac:dyDescent="0.25">
      <c r="A1172" s="2" t="s">
        <v>2509</v>
      </c>
      <c r="B1172" s="2" t="s">
        <v>1285</v>
      </c>
      <c r="C1172" s="17">
        <v>46014</v>
      </c>
      <c r="D1172" s="2" t="s">
        <v>1360</v>
      </c>
      <c r="E1172" s="18">
        <v>4780.6000000000004</v>
      </c>
      <c r="F1172" s="18">
        <v>104.51</v>
      </c>
      <c r="G1172" s="2" t="s">
        <v>1361</v>
      </c>
      <c r="H1172" s="2" t="s">
        <v>22</v>
      </c>
    </row>
    <row r="1173" spans="1:8" ht="15" customHeight="1" x14ac:dyDescent="0.25">
      <c r="A1173" s="2" t="s">
        <v>2510</v>
      </c>
      <c r="B1173" s="2" t="s">
        <v>1286</v>
      </c>
      <c r="C1173" s="17">
        <v>45941</v>
      </c>
      <c r="D1173" s="2" t="s">
        <v>1360</v>
      </c>
      <c r="E1173" s="18">
        <v>7710.25</v>
      </c>
      <c r="F1173" s="18">
        <v>221.18</v>
      </c>
      <c r="G1173" s="2" t="s">
        <v>1361</v>
      </c>
      <c r="H1173" s="2" t="s">
        <v>21</v>
      </c>
    </row>
    <row r="1174" spans="1:8" ht="15" customHeight="1" x14ac:dyDescent="0.25">
      <c r="A1174" s="2" t="s">
        <v>2511</v>
      </c>
      <c r="B1174" s="2" t="s">
        <v>1286</v>
      </c>
      <c r="C1174" s="17">
        <v>45958</v>
      </c>
      <c r="D1174" s="2" t="s">
        <v>1360</v>
      </c>
      <c r="E1174" s="18">
        <v>5837.81</v>
      </c>
      <c r="F1174" s="18">
        <v>127.61</v>
      </c>
      <c r="G1174" s="2" t="s">
        <v>1361</v>
      </c>
      <c r="H1174" s="2" t="s">
        <v>21</v>
      </c>
    </row>
    <row r="1175" spans="1:8" ht="15" customHeight="1" x14ac:dyDescent="0.25">
      <c r="A1175" s="2" t="s">
        <v>2512</v>
      </c>
      <c r="B1175" s="2" t="s">
        <v>1286</v>
      </c>
      <c r="C1175" s="17">
        <v>45991</v>
      </c>
      <c r="D1175" s="2" t="s">
        <v>1360</v>
      </c>
      <c r="E1175" s="18">
        <v>12687.76</v>
      </c>
      <c r="F1175" s="18">
        <v>354.17</v>
      </c>
      <c r="G1175" s="2" t="s">
        <v>1361</v>
      </c>
      <c r="H1175" s="2" t="s">
        <v>21</v>
      </c>
    </row>
    <row r="1176" spans="1:8" ht="15" customHeight="1" x14ac:dyDescent="0.25">
      <c r="A1176" s="2" t="s">
        <v>2513</v>
      </c>
      <c r="B1176" s="2" t="s">
        <v>1286</v>
      </c>
      <c r="C1176" s="17">
        <v>45973</v>
      </c>
      <c r="D1176" s="2" t="s">
        <v>1360</v>
      </c>
      <c r="E1176" s="18">
        <v>16721.349999999999</v>
      </c>
      <c r="F1176" s="18">
        <v>465.49</v>
      </c>
      <c r="G1176" s="2" t="s">
        <v>1361</v>
      </c>
      <c r="H1176" s="2" t="s">
        <v>21</v>
      </c>
    </row>
    <row r="1177" spans="1:8" ht="15" customHeight="1" x14ac:dyDescent="0.25">
      <c r="A1177" s="2" t="s">
        <v>2514</v>
      </c>
      <c r="B1177" s="2" t="s">
        <v>1286</v>
      </c>
      <c r="C1177" s="17">
        <v>45975</v>
      </c>
      <c r="D1177" s="2" t="s">
        <v>1360</v>
      </c>
      <c r="E1177" s="18">
        <v>16018.15</v>
      </c>
      <c r="F1177" s="18">
        <v>361.99</v>
      </c>
      <c r="G1177" s="2" t="s">
        <v>1361</v>
      </c>
      <c r="H1177" s="2" t="s">
        <v>21</v>
      </c>
    </row>
    <row r="1178" spans="1:8" ht="15" customHeight="1" x14ac:dyDescent="0.25">
      <c r="A1178" s="2" t="s">
        <v>2515</v>
      </c>
      <c r="B1178" s="2" t="s">
        <v>1286</v>
      </c>
      <c r="C1178" s="17">
        <v>46006</v>
      </c>
      <c r="D1178" s="2" t="s">
        <v>1360</v>
      </c>
      <c r="E1178" s="18">
        <v>5534.58</v>
      </c>
      <c r="F1178" s="18">
        <v>0</v>
      </c>
      <c r="G1178" s="2" t="s">
        <v>1408</v>
      </c>
      <c r="H1178" s="2" t="s">
        <v>21</v>
      </c>
    </row>
    <row r="1179" spans="1:8" ht="15" customHeight="1" x14ac:dyDescent="0.25">
      <c r="A1179" s="2" t="s">
        <v>2516</v>
      </c>
      <c r="B1179" s="2" t="s">
        <v>1286</v>
      </c>
      <c r="C1179" s="17">
        <v>45998</v>
      </c>
      <c r="D1179" s="2" t="s">
        <v>1360</v>
      </c>
      <c r="E1179" s="18">
        <v>7939.26</v>
      </c>
      <c r="F1179" s="18">
        <v>192.71</v>
      </c>
      <c r="G1179" s="2" t="s">
        <v>1361</v>
      </c>
      <c r="H1179" s="2" t="s">
        <v>21</v>
      </c>
    </row>
    <row r="1180" spans="1:8" ht="15" customHeight="1" x14ac:dyDescent="0.25">
      <c r="A1180" s="2" t="s">
        <v>2517</v>
      </c>
      <c r="B1180" s="2" t="s">
        <v>1287</v>
      </c>
      <c r="C1180" s="17">
        <v>45958</v>
      </c>
      <c r="D1180" s="2" t="s">
        <v>1360</v>
      </c>
      <c r="E1180" s="18">
        <v>2213.77</v>
      </c>
      <c r="F1180" s="18">
        <v>50.32</v>
      </c>
      <c r="G1180" s="2" t="s">
        <v>1361</v>
      </c>
      <c r="H1180" s="2" t="s">
        <v>19</v>
      </c>
    </row>
    <row r="1181" spans="1:8" ht="15" customHeight="1" x14ac:dyDescent="0.25">
      <c r="A1181" s="2" t="s">
        <v>2518</v>
      </c>
      <c r="B1181" s="2" t="s">
        <v>1287</v>
      </c>
      <c r="C1181" s="17">
        <v>45986</v>
      </c>
      <c r="D1181" s="2" t="s">
        <v>1360</v>
      </c>
      <c r="E1181" s="18">
        <v>1400.1</v>
      </c>
      <c r="F1181" s="18">
        <v>31.26</v>
      </c>
      <c r="G1181" s="2" t="s">
        <v>1361</v>
      </c>
      <c r="H1181" s="2" t="s">
        <v>19</v>
      </c>
    </row>
    <row r="1182" spans="1:8" ht="15" customHeight="1" x14ac:dyDescent="0.25">
      <c r="A1182" s="2" t="s">
        <v>2519</v>
      </c>
      <c r="B1182" s="2" t="s">
        <v>1287</v>
      </c>
      <c r="C1182" s="17">
        <v>46009</v>
      </c>
      <c r="D1182" s="2" t="s">
        <v>1360</v>
      </c>
      <c r="E1182" s="18">
        <v>2715.35</v>
      </c>
      <c r="F1182" s="18">
        <v>72.290000000000006</v>
      </c>
      <c r="G1182" s="2" t="s">
        <v>1361</v>
      </c>
      <c r="H1182" s="2" t="s">
        <v>19</v>
      </c>
    </row>
    <row r="1183" spans="1:8" ht="15" customHeight="1" x14ac:dyDescent="0.25">
      <c r="A1183" s="2" t="s">
        <v>2520</v>
      </c>
      <c r="B1183" s="2" t="s">
        <v>1287</v>
      </c>
      <c r="C1183" s="17">
        <v>46000</v>
      </c>
      <c r="D1183" s="2" t="s">
        <v>1360</v>
      </c>
      <c r="E1183" s="18">
        <v>3173.78</v>
      </c>
      <c r="F1183" s="18">
        <v>70.38</v>
      </c>
      <c r="G1183" s="2" t="s">
        <v>1361</v>
      </c>
      <c r="H1183" s="2" t="s">
        <v>19</v>
      </c>
    </row>
    <row r="1184" spans="1:8" ht="15" customHeight="1" x14ac:dyDescent="0.25">
      <c r="A1184" s="2" t="s">
        <v>2521</v>
      </c>
      <c r="B1184" s="2" t="s">
        <v>1289</v>
      </c>
      <c r="C1184" s="17">
        <v>45834</v>
      </c>
      <c r="D1184" s="2" t="s">
        <v>1479</v>
      </c>
      <c r="E1184" s="18">
        <v>2481.5500000000002</v>
      </c>
      <c r="F1184" s="18">
        <v>58.9</v>
      </c>
      <c r="G1184" s="2" t="s">
        <v>1361</v>
      </c>
      <c r="H1184" s="2" t="s">
        <v>21</v>
      </c>
    </row>
    <row r="1185" spans="1:8" ht="15" customHeight="1" x14ac:dyDescent="0.25">
      <c r="A1185" s="2" t="s">
        <v>2522</v>
      </c>
      <c r="B1185" s="2" t="s">
        <v>1289</v>
      </c>
      <c r="C1185" s="17">
        <v>45821</v>
      </c>
      <c r="D1185" s="2" t="s">
        <v>1479</v>
      </c>
      <c r="E1185" s="18">
        <v>3296.68</v>
      </c>
      <c r="F1185" s="18">
        <v>101.81</v>
      </c>
      <c r="G1185" s="2" t="s">
        <v>1361</v>
      </c>
      <c r="H1185" s="2" t="s">
        <v>21</v>
      </c>
    </row>
    <row r="1186" spans="1:8" ht="15" customHeight="1" x14ac:dyDescent="0.25">
      <c r="A1186" s="2" t="s">
        <v>2523</v>
      </c>
      <c r="B1186" s="2" t="s">
        <v>1289</v>
      </c>
      <c r="C1186" s="17">
        <v>45837</v>
      </c>
      <c r="D1186" s="2" t="s">
        <v>1360</v>
      </c>
      <c r="E1186" s="18">
        <v>1236.97</v>
      </c>
      <c r="F1186" s="18">
        <v>30</v>
      </c>
      <c r="G1186" s="2" t="s">
        <v>1361</v>
      </c>
      <c r="H1186" s="2" t="s">
        <v>21</v>
      </c>
    </row>
    <row r="1187" spans="1:8" ht="15" customHeight="1" x14ac:dyDescent="0.25">
      <c r="A1187" s="2" t="s">
        <v>2524</v>
      </c>
      <c r="B1187" s="2" t="s">
        <v>1289</v>
      </c>
      <c r="C1187" s="17">
        <v>45852</v>
      </c>
      <c r="D1187" s="2" t="s">
        <v>1481</v>
      </c>
      <c r="E1187" s="18">
        <v>1750.25</v>
      </c>
      <c r="F1187" s="18">
        <v>51.46</v>
      </c>
      <c r="G1187" s="2" t="s">
        <v>1361</v>
      </c>
      <c r="H1187" s="2" t="s">
        <v>21</v>
      </c>
    </row>
    <row r="1188" spans="1:8" ht="15" customHeight="1" x14ac:dyDescent="0.25">
      <c r="A1188" s="2" t="s">
        <v>2525</v>
      </c>
      <c r="B1188" s="2" t="s">
        <v>1289</v>
      </c>
      <c r="C1188" s="17">
        <v>45853</v>
      </c>
      <c r="D1188" s="2" t="s">
        <v>1479</v>
      </c>
      <c r="E1188" s="18">
        <v>2958.43</v>
      </c>
      <c r="F1188" s="18">
        <v>69.13</v>
      </c>
      <c r="G1188" s="2" t="s">
        <v>1361</v>
      </c>
      <c r="H1188" s="2" t="s">
        <v>21</v>
      </c>
    </row>
    <row r="1189" spans="1:8" ht="15" customHeight="1" x14ac:dyDescent="0.25">
      <c r="A1189" s="2" t="s">
        <v>2526</v>
      </c>
      <c r="B1189" s="2" t="s">
        <v>1289</v>
      </c>
      <c r="C1189" s="17">
        <v>45888</v>
      </c>
      <c r="D1189" s="2" t="s">
        <v>1479</v>
      </c>
      <c r="E1189" s="18">
        <v>2406.98</v>
      </c>
      <c r="F1189" s="18">
        <v>60.97</v>
      </c>
      <c r="G1189" s="2" t="s">
        <v>1361</v>
      </c>
      <c r="H1189" s="2" t="s">
        <v>21</v>
      </c>
    </row>
    <row r="1190" spans="1:8" ht="15" customHeight="1" x14ac:dyDescent="0.25">
      <c r="A1190" s="2" t="s">
        <v>2527</v>
      </c>
      <c r="B1190" s="2" t="s">
        <v>1290</v>
      </c>
      <c r="C1190" s="17">
        <v>46022</v>
      </c>
      <c r="D1190" s="2" t="s">
        <v>1360</v>
      </c>
      <c r="E1190" s="18">
        <v>2198.7600000000002</v>
      </c>
      <c r="F1190" s="18">
        <v>49.75</v>
      </c>
      <c r="G1190" s="2" t="s">
        <v>1361</v>
      </c>
      <c r="H1190" s="2" t="s">
        <v>20</v>
      </c>
    </row>
    <row r="1191" spans="1:8" ht="15" customHeight="1" x14ac:dyDescent="0.25">
      <c r="A1191" s="2" t="s">
        <v>2528</v>
      </c>
      <c r="B1191" s="2" t="s">
        <v>1292</v>
      </c>
      <c r="C1191" s="17">
        <v>45954</v>
      </c>
      <c r="D1191" s="2" t="s">
        <v>1423</v>
      </c>
      <c r="E1191" s="18">
        <v>25169.31</v>
      </c>
      <c r="F1191" s="18">
        <v>669.11</v>
      </c>
      <c r="G1191" s="2" t="s">
        <v>1361</v>
      </c>
      <c r="H1191" s="2" t="s">
        <v>18</v>
      </c>
    </row>
    <row r="1192" spans="1:8" ht="15" customHeight="1" x14ac:dyDescent="0.25">
      <c r="A1192" s="2" t="s">
        <v>2529</v>
      </c>
      <c r="B1192" s="2" t="s">
        <v>1292</v>
      </c>
      <c r="C1192" s="17">
        <v>45965</v>
      </c>
      <c r="D1192" s="2" t="s">
        <v>1423</v>
      </c>
      <c r="E1192" s="18">
        <v>36005.25</v>
      </c>
      <c r="F1192" s="18">
        <v>1108.8</v>
      </c>
      <c r="G1192" s="2" t="s">
        <v>1361</v>
      </c>
      <c r="H1192" s="2" t="s">
        <v>18</v>
      </c>
    </row>
    <row r="1193" spans="1:8" ht="15" customHeight="1" x14ac:dyDescent="0.25">
      <c r="A1193" s="2" t="s">
        <v>2530</v>
      </c>
      <c r="B1193" s="2" t="s">
        <v>1292</v>
      </c>
      <c r="C1193" s="17">
        <v>46001</v>
      </c>
      <c r="D1193" s="2" t="s">
        <v>1423</v>
      </c>
      <c r="E1193" s="18">
        <v>19231.990000000002</v>
      </c>
      <c r="F1193" s="18">
        <v>550.75</v>
      </c>
      <c r="G1193" s="2" t="s">
        <v>1361</v>
      </c>
      <c r="H1193" s="2" t="s">
        <v>18</v>
      </c>
    </row>
    <row r="1194" spans="1:8" ht="15" customHeight="1" x14ac:dyDescent="0.25">
      <c r="A1194" s="2" t="s">
        <v>2531</v>
      </c>
      <c r="B1194" s="2" t="s">
        <v>1296</v>
      </c>
      <c r="C1194" s="17">
        <v>45771</v>
      </c>
      <c r="D1194" s="2" t="s">
        <v>1373</v>
      </c>
      <c r="E1194" s="18">
        <v>8047.27</v>
      </c>
      <c r="F1194" s="18">
        <v>162.93</v>
      </c>
      <c r="G1194" s="2" t="s">
        <v>1361</v>
      </c>
      <c r="H1194" s="2" t="s">
        <v>22</v>
      </c>
    </row>
    <row r="1195" spans="1:8" ht="15" customHeight="1" x14ac:dyDescent="0.25">
      <c r="A1195" s="2" t="s">
        <v>2532</v>
      </c>
      <c r="B1195" s="2" t="s">
        <v>1296</v>
      </c>
      <c r="C1195" s="17">
        <v>45775</v>
      </c>
      <c r="D1195" s="2" t="s">
        <v>1373</v>
      </c>
      <c r="E1195" s="18">
        <v>10945.56</v>
      </c>
      <c r="F1195" s="18">
        <v>215.94</v>
      </c>
      <c r="G1195" s="2" t="s">
        <v>1361</v>
      </c>
      <c r="H1195" s="2" t="s">
        <v>22</v>
      </c>
    </row>
    <row r="1196" spans="1:8" ht="15" customHeight="1" x14ac:dyDescent="0.25">
      <c r="A1196" s="2" t="s">
        <v>2533</v>
      </c>
      <c r="B1196" s="2" t="s">
        <v>1296</v>
      </c>
      <c r="C1196" s="17">
        <v>45774</v>
      </c>
      <c r="D1196" s="2" t="s">
        <v>1373</v>
      </c>
      <c r="E1196" s="18">
        <v>13989.84</v>
      </c>
      <c r="F1196" s="18">
        <v>267.73</v>
      </c>
      <c r="G1196" s="2" t="s">
        <v>1361</v>
      </c>
      <c r="H1196" s="2" t="s">
        <v>22</v>
      </c>
    </row>
    <row r="1197" spans="1:8" ht="15" customHeight="1" x14ac:dyDescent="0.25">
      <c r="A1197" s="2" t="s">
        <v>2534</v>
      </c>
      <c r="B1197" s="2" t="s">
        <v>1296</v>
      </c>
      <c r="C1197" s="17">
        <v>45799</v>
      </c>
      <c r="D1197" s="2" t="s">
        <v>1373</v>
      </c>
      <c r="E1197" s="18">
        <v>5526.93</v>
      </c>
      <c r="F1197" s="18">
        <v>87.1</v>
      </c>
      <c r="G1197" s="2" t="s">
        <v>1361</v>
      </c>
      <c r="H1197" s="2" t="s">
        <v>22</v>
      </c>
    </row>
    <row r="1198" spans="1:8" ht="15" customHeight="1" x14ac:dyDescent="0.25">
      <c r="A1198" s="2" t="s">
        <v>2535</v>
      </c>
      <c r="B1198" s="2" t="s">
        <v>1296</v>
      </c>
      <c r="C1198" s="17">
        <v>45787</v>
      </c>
      <c r="D1198" s="2" t="s">
        <v>1373</v>
      </c>
      <c r="E1198" s="18">
        <v>5400.01</v>
      </c>
      <c r="F1198" s="18">
        <v>103.66</v>
      </c>
      <c r="G1198" s="2" t="s">
        <v>1361</v>
      </c>
      <c r="H1198" s="2" t="s">
        <v>22</v>
      </c>
    </row>
    <row r="1199" spans="1:8" ht="15" customHeight="1" x14ac:dyDescent="0.25">
      <c r="A1199" s="2" t="s">
        <v>2536</v>
      </c>
      <c r="B1199" s="2" t="s">
        <v>1296</v>
      </c>
      <c r="C1199" s="17">
        <v>45801</v>
      </c>
      <c r="D1199" s="2" t="s">
        <v>1373</v>
      </c>
      <c r="E1199" s="18">
        <v>17808.54</v>
      </c>
      <c r="F1199" s="18">
        <v>321.86</v>
      </c>
      <c r="G1199" s="2" t="s">
        <v>1361</v>
      </c>
      <c r="H1199" s="2" t="s">
        <v>22</v>
      </c>
    </row>
    <row r="1200" spans="1:8" ht="15" customHeight="1" x14ac:dyDescent="0.25">
      <c r="A1200" s="2" t="s">
        <v>2537</v>
      </c>
      <c r="B1200" s="2" t="s">
        <v>1296</v>
      </c>
      <c r="C1200" s="17">
        <v>45820</v>
      </c>
      <c r="D1200" s="2" t="s">
        <v>1373</v>
      </c>
      <c r="E1200" s="18">
        <v>13604.36</v>
      </c>
      <c r="F1200" s="18">
        <v>0</v>
      </c>
      <c r="G1200" s="2" t="s">
        <v>1408</v>
      </c>
      <c r="H1200" s="2" t="s">
        <v>22</v>
      </c>
    </row>
    <row r="1201" spans="1:8" ht="15" customHeight="1" x14ac:dyDescent="0.25">
      <c r="A1201" s="2" t="s">
        <v>2538</v>
      </c>
      <c r="B1201" s="2" t="s">
        <v>1296</v>
      </c>
      <c r="C1201" s="17">
        <v>45809</v>
      </c>
      <c r="D1201" s="2" t="s">
        <v>1373</v>
      </c>
      <c r="E1201" s="18">
        <v>12996.7</v>
      </c>
      <c r="F1201" s="18">
        <v>255.11</v>
      </c>
      <c r="G1201" s="2" t="s">
        <v>1361</v>
      </c>
      <c r="H1201" s="2" t="s">
        <v>22</v>
      </c>
    </row>
    <row r="1202" spans="1:8" ht="15" customHeight="1" x14ac:dyDescent="0.25">
      <c r="A1202" s="2" t="s">
        <v>2539</v>
      </c>
      <c r="B1202" s="2" t="s">
        <v>1296</v>
      </c>
      <c r="C1202" s="17">
        <v>45822</v>
      </c>
      <c r="D1202" s="2" t="s">
        <v>1373</v>
      </c>
      <c r="E1202" s="18">
        <v>11287.17</v>
      </c>
      <c r="F1202" s="18">
        <v>179.8</v>
      </c>
      <c r="G1202" s="2" t="s">
        <v>1361</v>
      </c>
      <c r="H1202" s="2" t="s">
        <v>22</v>
      </c>
    </row>
    <row r="1203" spans="1:8" ht="15" customHeight="1" x14ac:dyDescent="0.25">
      <c r="A1203" s="2" t="s">
        <v>2540</v>
      </c>
      <c r="B1203" s="2" t="s">
        <v>1296</v>
      </c>
      <c r="C1203" s="17">
        <v>45868</v>
      </c>
      <c r="D1203" s="2" t="s">
        <v>1373</v>
      </c>
      <c r="E1203" s="18">
        <v>9796.08</v>
      </c>
      <c r="F1203" s="18">
        <v>199.11</v>
      </c>
      <c r="G1203" s="2" t="s">
        <v>1361</v>
      </c>
      <c r="H1203" s="2" t="s">
        <v>22</v>
      </c>
    </row>
    <row r="1204" spans="1:8" ht="15" customHeight="1" x14ac:dyDescent="0.25">
      <c r="A1204" s="2" t="s">
        <v>2541</v>
      </c>
      <c r="B1204" s="2" t="s">
        <v>1296</v>
      </c>
      <c r="C1204" s="17">
        <v>45861</v>
      </c>
      <c r="D1204" s="2" t="s">
        <v>1373</v>
      </c>
      <c r="E1204" s="18">
        <v>5495.21</v>
      </c>
      <c r="F1204" s="18">
        <v>99.38</v>
      </c>
      <c r="G1204" s="2" t="s">
        <v>1361</v>
      </c>
      <c r="H1204" s="2" t="s">
        <v>2961</v>
      </c>
    </row>
    <row r="1205" spans="1:8" ht="15" customHeight="1" x14ac:dyDescent="0.25">
      <c r="A1205" s="2" t="s">
        <v>2542</v>
      </c>
      <c r="B1205" s="2" t="s">
        <v>1296</v>
      </c>
      <c r="C1205" s="17">
        <v>45868</v>
      </c>
      <c r="D1205" s="2" t="s">
        <v>1373</v>
      </c>
      <c r="E1205" s="18">
        <v>12224.49</v>
      </c>
      <c r="F1205" s="18">
        <v>239.05</v>
      </c>
      <c r="G1205" s="2" t="s">
        <v>1361</v>
      </c>
      <c r="H1205" s="2" t="s">
        <v>22</v>
      </c>
    </row>
    <row r="1206" spans="1:8" ht="15" customHeight="1" x14ac:dyDescent="0.25">
      <c r="A1206" s="2" t="s">
        <v>2543</v>
      </c>
      <c r="B1206" s="2" t="s">
        <v>1296</v>
      </c>
      <c r="C1206" s="17">
        <v>45877</v>
      </c>
      <c r="D1206" s="2" t="s">
        <v>1373</v>
      </c>
      <c r="E1206" s="18">
        <v>15702.78</v>
      </c>
      <c r="F1206" s="18">
        <v>313.42</v>
      </c>
      <c r="G1206" s="2" t="s">
        <v>1361</v>
      </c>
      <c r="H1206" s="2" t="s">
        <v>22</v>
      </c>
    </row>
    <row r="1207" spans="1:8" ht="15" customHeight="1" x14ac:dyDescent="0.25">
      <c r="A1207" s="2" t="s">
        <v>2544</v>
      </c>
      <c r="B1207" s="2" t="s">
        <v>1296</v>
      </c>
      <c r="C1207" s="17">
        <v>45919</v>
      </c>
      <c r="D1207" s="2" t="s">
        <v>1373</v>
      </c>
      <c r="E1207" s="18">
        <v>11887.59</v>
      </c>
      <c r="F1207" s="18">
        <v>227.63</v>
      </c>
      <c r="G1207" s="2" t="s">
        <v>1361</v>
      </c>
      <c r="H1207" s="2" t="s">
        <v>22</v>
      </c>
    </row>
    <row r="1208" spans="1:8" ht="15" customHeight="1" x14ac:dyDescent="0.25">
      <c r="A1208" s="2" t="s">
        <v>2545</v>
      </c>
      <c r="B1208" s="2" t="s">
        <v>1296</v>
      </c>
      <c r="C1208" s="17">
        <v>45927</v>
      </c>
      <c r="D1208" s="2" t="s">
        <v>1373</v>
      </c>
      <c r="E1208" s="18">
        <v>17553.75</v>
      </c>
      <c r="F1208" s="18">
        <v>286.64999999999998</v>
      </c>
      <c r="G1208" s="2" t="s">
        <v>1361</v>
      </c>
      <c r="H1208" s="2" t="s">
        <v>22</v>
      </c>
    </row>
    <row r="1209" spans="1:8" ht="15" customHeight="1" x14ac:dyDescent="0.25">
      <c r="A1209" s="2" t="s">
        <v>2546</v>
      </c>
      <c r="B1209" s="2" t="s">
        <v>1296</v>
      </c>
      <c r="C1209" s="17">
        <v>45915</v>
      </c>
      <c r="D1209" s="2" t="s">
        <v>1373</v>
      </c>
      <c r="E1209" s="18">
        <v>12375.29</v>
      </c>
      <c r="F1209" s="18">
        <v>245.94</v>
      </c>
      <c r="G1209" s="2" t="s">
        <v>1361</v>
      </c>
      <c r="H1209" s="2" t="s">
        <v>22</v>
      </c>
    </row>
    <row r="1210" spans="1:8" ht="15" customHeight="1" x14ac:dyDescent="0.25">
      <c r="A1210" s="2" t="s">
        <v>2547</v>
      </c>
      <c r="B1210" s="2" t="s">
        <v>1296</v>
      </c>
      <c r="C1210" s="17">
        <v>45950</v>
      </c>
      <c r="D1210" s="2" t="s">
        <v>1373</v>
      </c>
      <c r="E1210" s="18">
        <v>8166.39</v>
      </c>
      <c r="F1210" s="18">
        <v>147.85</v>
      </c>
      <c r="G1210" s="2" t="s">
        <v>1361</v>
      </c>
      <c r="H1210" s="2" t="s">
        <v>22</v>
      </c>
    </row>
    <row r="1211" spans="1:8" ht="15" customHeight="1" x14ac:dyDescent="0.25">
      <c r="A1211" s="2" t="s">
        <v>2548</v>
      </c>
      <c r="B1211" s="2" t="s">
        <v>1296</v>
      </c>
      <c r="C1211" s="17">
        <v>45955</v>
      </c>
      <c r="D1211" s="2" t="s">
        <v>1373</v>
      </c>
      <c r="E1211" s="18">
        <v>8698.52</v>
      </c>
      <c r="F1211" s="18">
        <v>161.99</v>
      </c>
      <c r="G1211" s="2" t="s">
        <v>1361</v>
      </c>
      <c r="H1211" s="2" t="s">
        <v>22</v>
      </c>
    </row>
    <row r="1212" spans="1:8" ht="15" customHeight="1" x14ac:dyDescent="0.25">
      <c r="A1212" s="2" t="s">
        <v>2549</v>
      </c>
      <c r="B1212" s="2" t="s">
        <v>1296</v>
      </c>
      <c r="C1212" s="17">
        <v>45961</v>
      </c>
      <c r="D1212" s="2" t="s">
        <v>1373</v>
      </c>
      <c r="E1212" s="18">
        <v>13364.16</v>
      </c>
      <c r="F1212" s="18">
        <v>218.8</v>
      </c>
      <c r="G1212" s="2" t="s">
        <v>1361</v>
      </c>
      <c r="H1212" s="2" t="s">
        <v>22</v>
      </c>
    </row>
    <row r="1213" spans="1:8" ht="15" customHeight="1" x14ac:dyDescent="0.25">
      <c r="A1213" s="2" t="s">
        <v>2550</v>
      </c>
      <c r="B1213" s="2" t="s">
        <v>1296</v>
      </c>
      <c r="C1213" s="17">
        <v>45977</v>
      </c>
      <c r="D1213" s="2" t="s">
        <v>1373</v>
      </c>
      <c r="E1213" s="18">
        <v>8071.44</v>
      </c>
      <c r="F1213" s="18">
        <v>155.99</v>
      </c>
      <c r="G1213" s="2" t="s">
        <v>1361</v>
      </c>
      <c r="H1213" s="2" t="s">
        <v>22</v>
      </c>
    </row>
    <row r="1214" spans="1:8" ht="15" customHeight="1" x14ac:dyDescent="0.25">
      <c r="A1214" s="2" t="s">
        <v>2551</v>
      </c>
      <c r="B1214" s="2" t="s">
        <v>1296</v>
      </c>
      <c r="C1214" s="17">
        <v>45975</v>
      </c>
      <c r="D1214" s="2" t="s">
        <v>1373</v>
      </c>
      <c r="E1214" s="18">
        <v>12929.27</v>
      </c>
      <c r="F1214" s="18">
        <v>257.33</v>
      </c>
      <c r="G1214" s="2" t="s">
        <v>1361</v>
      </c>
      <c r="H1214" s="2" t="s">
        <v>22</v>
      </c>
    </row>
    <row r="1215" spans="1:8" ht="15" customHeight="1" x14ac:dyDescent="0.25">
      <c r="A1215" s="2" t="s">
        <v>2552</v>
      </c>
      <c r="B1215" s="2" t="s">
        <v>1296</v>
      </c>
      <c r="C1215" s="17">
        <v>46002</v>
      </c>
      <c r="D1215" s="2" t="s">
        <v>1373</v>
      </c>
      <c r="E1215" s="18">
        <v>10179.74</v>
      </c>
      <c r="F1215" s="18">
        <v>163.18</v>
      </c>
      <c r="G1215" s="2" t="s">
        <v>1361</v>
      </c>
      <c r="H1215" s="2" t="s">
        <v>22</v>
      </c>
    </row>
    <row r="1216" spans="1:8" ht="15" customHeight="1" x14ac:dyDescent="0.25">
      <c r="A1216" s="2" t="s">
        <v>2553</v>
      </c>
      <c r="B1216" s="2" t="s">
        <v>1297</v>
      </c>
      <c r="C1216" s="17">
        <v>45711</v>
      </c>
      <c r="D1216" s="2" t="s">
        <v>1423</v>
      </c>
      <c r="E1216" s="18">
        <v>53136.55</v>
      </c>
      <c r="F1216" s="18">
        <v>1574.58</v>
      </c>
      <c r="G1216" s="2" t="s">
        <v>1361</v>
      </c>
      <c r="H1216" s="2" t="s">
        <v>19</v>
      </c>
    </row>
    <row r="1217" spans="1:8" ht="15" customHeight="1" x14ac:dyDescent="0.25">
      <c r="A1217" s="2" t="s">
        <v>2554</v>
      </c>
      <c r="B1217" s="2" t="s">
        <v>1297</v>
      </c>
      <c r="C1217" s="17">
        <v>45716</v>
      </c>
      <c r="D1217" s="2" t="s">
        <v>1423</v>
      </c>
      <c r="E1217" s="18">
        <v>48205.77</v>
      </c>
      <c r="F1217" s="18">
        <v>1463.05</v>
      </c>
      <c r="G1217" s="2" t="s">
        <v>1361</v>
      </c>
      <c r="H1217" s="2" t="s">
        <v>19</v>
      </c>
    </row>
    <row r="1218" spans="1:8" ht="15" customHeight="1" x14ac:dyDescent="0.25">
      <c r="A1218" s="2" t="s">
        <v>2555</v>
      </c>
      <c r="B1218" s="2" t="s">
        <v>1297</v>
      </c>
      <c r="C1218" s="17">
        <v>45710</v>
      </c>
      <c r="D1218" s="2" t="s">
        <v>1423</v>
      </c>
      <c r="E1218" s="18">
        <v>30768.14</v>
      </c>
      <c r="F1218" s="18">
        <v>829.23</v>
      </c>
      <c r="G1218" s="2" t="s">
        <v>1361</v>
      </c>
      <c r="H1218" s="2" t="s">
        <v>19</v>
      </c>
    </row>
    <row r="1219" spans="1:8" ht="15" customHeight="1" x14ac:dyDescent="0.25">
      <c r="A1219" s="2" t="s">
        <v>2556</v>
      </c>
      <c r="B1219" s="2" t="s">
        <v>1297</v>
      </c>
      <c r="C1219" s="17">
        <v>45734</v>
      </c>
      <c r="D1219" s="2" t="s">
        <v>1423</v>
      </c>
      <c r="E1219" s="18">
        <v>20983.4</v>
      </c>
      <c r="F1219" s="18">
        <v>643.51</v>
      </c>
      <c r="G1219" s="2" t="s">
        <v>1361</v>
      </c>
      <c r="H1219" s="2" t="s">
        <v>19</v>
      </c>
    </row>
    <row r="1220" spans="1:8" ht="15" customHeight="1" x14ac:dyDescent="0.25">
      <c r="A1220" s="2" t="s">
        <v>2557</v>
      </c>
      <c r="B1220" s="2" t="s">
        <v>1297</v>
      </c>
      <c r="C1220" s="17">
        <v>45753</v>
      </c>
      <c r="D1220" s="2" t="s">
        <v>1423</v>
      </c>
      <c r="E1220" s="18">
        <v>41281.99</v>
      </c>
      <c r="F1220" s="18">
        <v>1317.48</v>
      </c>
      <c r="G1220" s="2" t="s">
        <v>1361</v>
      </c>
      <c r="H1220" s="2" t="s">
        <v>19</v>
      </c>
    </row>
    <row r="1221" spans="1:8" ht="15" customHeight="1" x14ac:dyDescent="0.25">
      <c r="A1221" s="2" t="s">
        <v>2558</v>
      </c>
      <c r="B1221" s="2" t="s">
        <v>1297</v>
      </c>
      <c r="C1221" s="17">
        <v>45755</v>
      </c>
      <c r="D1221" s="2" t="s">
        <v>1423</v>
      </c>
      <c r="E1221" s="18">
        <v>48972.39</v>
      </c>
      <c r="F1221" s="18">
        <v>1564.95</v>
      </c>
      <c r="G1221" s="2" t="s">
        <v>1361</v>
      </c>
      <c r="H1221" s="2" t="s">
        <v>19</v>
      </c>
    </row>
    <row r="1222" spans="1:8" ht="15" customHeight="1" x14ac:dyDescent="0.25">
      <c r="A1222" s="2" t="s">
        <v>2559</v>
      </c>
      <c r="B1222" s="2" t="s">
        <v>1297</v>
      </c>
      <c r="C1222" s="17">
        <v>45779</v>
      </c>
      <c r="D1222" s="2" t="s">
        <v>1423</v>
      </c>
      <c r="E1222" s="18">
        <v>15787.48</v>
      </c>
      <c r="F1222" s="18">
        <v>423.04</v>
      </c>
      <c r="G1222" s="2" t="s">
        <v>1361</v>
      </c>
      <c r="H1222" s="2" t="s">
        <v>19</v>
      </c>
    </row>
    <row r="1223" spans="1:8" ht="15" customHeight="1" x14ac:dyDescent="0.25">
      <c r="A1223" s="2" t="s">
        <v>2560</v>
      </c>
      <c r="B1223" s="2" t="s">
        <v>1297</v>
      </c>
      <c r="C1223" s="17">
        <v>45781</v>
      </c>
      <c r="D1223" s="2" t="s">
        <v>1423</v>
      </c>
      <c r="E1223" s="18">
        <v>24261.88</v>
      </c>
      <c r="F1223" s="18">
        <v>785.1</v>
      </c>
      <c r="G1223" s="2" t="s">
        <v>1361</v>
      </c>
      <c r="H1223" s="2" t="s">
        <v>19</v>
      </c>
    </row>
    <row r="1224" spans="1:8" ht="15" customHeight="1" x14ac:dyDescent="0.25">
      <c r="A1224" s="2" t="s">
        <v>2561</v>
      </c>
      <c r="B1224" s="2" t="s">
        <v>1297</v>
      </c>
      <c r="C1224" s="17">
        <v>45832</v>
      </c>
      <c r="D1224" s="2" t="s">
        <v>1423</v>
      </c>
      <c r="E1224" s="18">
        <v>43663.43</v>
      </c>
      <c r="F1224" s="18">
        <v>0</v>
      </c>
      <c r="G1224" s="2" t="s">
        <v>1408</v>
      </c>
      <c r="H1224" s="2" t="s">
        <v>19</v>
      </c>
    </row>
    <row r="1225" spans="1:8" ht="15" customHeight="1" x14ac:dyDescent="0.25">
      <c r="A1225" s="2" t="s">
        <v>2562</v>
      </c>
      <c r="B1225" s="2" t="s">
        <v>1297</v>
      </c>
      <c r="C1225" s="17">
        <v>45832</v>
      </c>
      <c r="D1225" s="2" t="s">
        <v>1423</v>
      </c>
      <c r="E1225" s="18">
        <v>61083.27</v>
      </c>
      <c r="F1225" s="18">
        <v>1636.5</v>
      </c>
      <c r="G1225" s="2" t="s">
        <v>1361</v>
      </c>
      <c r="H1225" s="2" t="s">
        <v>19</v>
      </c>
    </row>
    <row r="1226" spans="1:8" ht="15" customHeight="1" x14ac:dyDescent="0.25">
      <c r="A1226" s="2" t="s">
        <v>2563</v>
      </c>
      <c r="B1226" s="2" t="s">
        <v>1297</v>
      </c>
      <c r="C1226" s="17">
        <v>45810</v>
      </c>
      <c r="D1226" s="2" t="s">
        <v>1423</v>
      </c>
      <c r="E1226" s="18">
        <v>48222.41</v>
      </c>
      <c r="F1226" s="18">
        <v>1501.55</v>
      </c>
      <c r="G1226" s="2" t="s">
        <v>1361</v>
      </c>
      <c r="H1226" s="2" t="s">
        <v>19</v>
      </c>
    </row>
    <row r="1227" spans="1:8" ht="15" customHeight="1" x14ac:dyDescent="0.25">
      <c r="A1227" s="2" t="s">
        <v>2564</v>
      </c>
      <c r="B1227" s="2" t="s">
        <v>1297</v>
      </c>
      <c r="C1227" s="17">
        <v>45841</v>
      </c>
      <c r="D1227" s="2" t="s">
        <v>1423</v>
      </c>
      <c r="E1227" s="18">
        <v>31194.26</v>
      </c>
      <c r="F1227" s="18">
        <v>940.74</v>
      </c>
      <c r="G1227" s="2" t="s">
        <v>1361</v>
      </c>
      <c r="H1227" s="2" t="s">
        <v>19</v>
      </c>
    </row>
    <row r="1228" spans="1:8" ht="15" customHeight="1" x14ac:dyDescent="0.25">
      <c r="A1228" s="2" t="s">
        <v>2565</v>
      </c>
      <c r="B1228" s="2" t="s">
        <v>1297</v>
      </c>
      <c r="C1228" s="17">
        <v>45876</v>
      </c>
      <c r="D1228" s="2" t="s">
        <v>1423</v>
      </c>
      <c r="E1228" s="18">
        <v>28137.48</v>
      </c>
      <c r="F1228" s="18">
        <v>925.89</v>
      </c>
      <c r="G1228" s="2" t="s">
        <v>1361</v>
      </c>
      <c r="H1228" s="2" t="s">
        <v>19</v>
      </c>
    </row>
    <row r="1229" spans="1:8" ht="15" customHeight="1" x14ac:dyDescent="0.25">
      <c r="A1229" s="2" t="s">
        <v>2566</v>
      </c>
      <c r="B1229" s="2" t="s">
        <v>1297</v>
      </c>
      <c r="C1229" s="17">
        <v>45885</v>
      </c>
      <c r="D1229" s="2" t="s">
        <v>1423</v>
      </c>
      <c r="E1229" s="18">
        <v>19415.73</v>
      </c>
      <c r="F1229" s="18">
        <v>564.41999999999996</v>
      </c>
      <c r="G1229" s="2" t="s">
        <v>1361</v>
      </c>
      <c r="H1229" s="2" t="s">
        <v>19</v>
      </c>
    </row>
    <row r="1230" spans="1:8" ht="15" customHeight="1" x14ac:dyDescent="0.25">
      <c r="A1230" s="2" t="s">
        <v>2567</v>
      </c>
      <c r="B1230" s="2" t="s">
        <v>1297</v>
      </c>
      <c r="C1230" s="17">
        <v>45902</v>
      </c>
      <c r="D1230" s="2" t="s">
        <v>1423</v>
      </c>
      <c r="E1230" s="18">
        <v>38230.550000000003</v>
      </c>
      <c r="F1230" s="18">
        <v>1030.67</v>
      </c>
      <c r="G1230" s="2" t="s">
        <v>1361</v>
      </c>
      <c r="H1230" s="2" t="s">
        <v>19</v>
      </c>
    </row>
    <row r="1231" spans="1:8" ht="15" customHeight="1" x14ac:dyDescent="0.25">
      <c r="A1231" s="2" t="s">
        <v>2568</v>
      </c>
      <c r="B1231" s="2" t="s">
        <v>1297</v>
      </c>
      <c r="C1231" s="17">
        <v>45924</v>
      </c>
      <c r="D1231" s="2" t="s">
        <v>1423</v>
      </c>
      <c r="E1231" s="18">
        <v>25791.16</v>
      </c>
      <c r="F1231" s="18">
        <v>770.26</v>
      </c>
      <c r="G1231" s="2" t="s">
        <v>1361</v>
      </c>
      <c r="H1231" s="2" t="s">
        <v>19</v>
      </c>
    </row>
    <row r="1232" spans="1:8" ht="15" customHeight="1" x14ac:dyDescent="0.25">
      <c r="A1232" s="2" t="s">
        <v>2569</v>
      </c>
      <c r="B1232" s="2" t="s">
        <v>1297</v>
      </c>
      <c r="C1232" s="17">
        <v>45917</v>
      </c>
      <c r="D1232" s="2" t="s">
        <v>1423</v>
      </c>
      <c r="E1232" s="18">
        <v>57014.38</v>
      </c>
      <c r="F1232" s="18">
        <v>1601.28</v>
      </c>
      <c r="G1232" s="2" t="s">
        <v>1361</v>
      </c>
      <c r="H1232" s="2" t="s">
        <v>19</v>
      </c>
    </row>
    <row r="1233" spans="1:8" ht="15" customHeight="1" x14ac:dyDescent="0.25">
      <c r="A1233" s="2" t="s">
        <v>2570</v>
      </c>
      <c r="B1233" s="2" t="s">
        <v>1297</v>
      </c>
      <c r="C1233" s="17">
        <v>45954</v>
      </c>
      <c r="D1233" s="2" t="s">
        <v>1423</v>
      </c>
      <c r="E1233" s="18">
        <v>54293.03</v>
      </c>
      <c r="F1233" s="18">
        <v>1768.41</v>
      </c>
      <c r="G1233" s="2" t="s">
        <v>1361</v>
      </c>
      <c r="H1233" s="2" t="s">
        <v>19</v>
      </c>
    </row>
    <row r="1234" spans="1:8" ht="15" customHeight="1" x14ac:dyDescent="0.25">
      <c r="A1234" s="2" t="s">
        <v>2571</v>
      </c>
      <c r="B1234" s="2" t="s">
        <v>1297</v>
      </c>
      <c r="C1234" s="17">
        <v>45963</v>
      </c>
      <c r="D1234" s="2" t="s">
        <v>1423</v>
      </c>
      <c r="E1234" s="18">
        <v>26705.040000000001</v>
      </c>
      <c r="F1234" s="18">
        <v>872.25</v>
      </c>
      <c r="G1234" s="2" t="s">
        <v>1361</v>
      </c>
      <c r="H1234" s="2" t="s">
        <v>19</v>
      </c>
    </row>
    <row r="1235" spans="1:8" ht="15" customHeight="1" x14ac:dyDescent="0.25">
      <c r="A1235" s="2" t="s">
        <v>2572</v>
      </c>
      <c r="B1235" s="2" t="s">
        <v>1297</v>
      </c>
      <c r="C1235" s="17">
        <v>46007</v>
      </c>
      <c r="D1235" s="2" t="s">
        <v>1423</v>
      </c>
      <c r="E1235" s="18">
        <v>31657.87</v>
      </c>
      <c r="F1235" s="18">
        <v>896.82</v>
      </c>
      <c r="G1235" s="2" t="s">
        <v>1361</v>
      </c>
      <c r="H1235" s="2" t="s">
        <v>19</v>
      </c>
    </row>
    <row r="1236" spans="1:8" ht="15" customHeight="1" x14ac:dyDescent="0.25">
      <c r="A1236" s="2" t="s">
        <v>2573</v>
      </c>
      <c r="B1236" s="2" t="s">
        <v>1298</v>
      </c>
      <c r="C1236" s="17">
        <v>45856</v>
      </c>
      <c r="D1236" s="2" t="s">
        <v>1360</v>
      </c>
      <c r="E1236" s="18">
        <v>3972.73</v>
      </c>
      <c r="F1236" s="18">
        <v>113.27</v>
      </c>
      <c r="G1236" s="2" t="s">
        <v>1361</v>
      </c>
      <c r="H1236" s="2" t="s">
        <v>22</v>
      </c>
    </row>
    <row r="1237" spans="1:8" ht="15" customHeight="1" x14ac:dyDescent="0.25">
      <c r="A1237" s="2" t="s">
        <v>2574</v>
      </c>
      <c r="B1237" s="2" t="s">
        <v>1298</v>
      </c>
      <c r="C1237" s="17">
        <v>45891</v>
      </c>
      <c r="D1237" s="2" t="s">
        <v>1360</v>
      </c>
      <c r="E1237" s="18">
        <v>3341.59</v>
      </c>
      <c r="F1237" s="18">
        <v>95.3</v>
      </c>
      <c r="G1237" s="2" t="s">
        <v>1361</v>
      </c>
      <c r="H1237" s="2" t="s">
        <v>22</v>
      </c>
    </row>
    <row r="1238" spans="1:8" ht="15" customHeight="1" x14ac:dyDescent="0.25">
      <c r="A1238" s="2" t="s">
        <v>2575</v>
      </c>
      <c r="B1238" s="2" t="s">
        <v>1298</v>
      </c>
      <c r="C1238" s="17">
        <v>45898</v>
      </c>
      <c r="D1238" s="2" t="s">
        <v>1360</v>
      </c>
      <c r="E1238" s="18">
        <v>2346.92</v>
      </c>
      <c r="F1238" s="18">
        <v>60.54</v>
      </c>
      <c r="G1238" s="2" t="s">
        <v>1361</v>
      </c>
      <c r="H1238" s="2" t="s">
        <v>22</v>
      </c>
    </row>
    <row r="1239" spans="1:8" ht="15" customHeight="1" x14ac:dyDescent="0.25">
      <c r="A1239" s="2" t="s">
        <v>2576</v>
      </c>
      <c r="B1239" s="2" t="s">
        <v>1298</v>
      </c>
      <c r="C1239" s="17">
        <v>45894</v>
      </c>
      <c r="D1239" s="2" t="s">
        <v>1360</v>
      </c>
      <c r="E1239" s="18">
        <v>4308.8100000000004</v>
      </c>
      <c r="F1239" s="18">
        <v>100.35</v>
      </c>
      <c r="G1239" s="2" t="s">
        <v>1361</v>
      </c>
      <c r="H1239" s="2" t="s">
        <v>22</v>
      </c>
    </row>
    <row r="1240" spans="1:8" ht="15" customHeight="1" x14ac:dyDescent="0.25">
      <c r="A1240" s="2" t="s">
        <v>2577</v>
      </c>
      <c r="B1240" s="2" t="s">
        <v>1298</v>
      </c>
      <c r="C1240" s="17">
        <v>45915</v>
      </c>
      <c r="D1240" s="2" t="s">
        <v>1360</v>
      </c>
      <c r="E1240" s="18">
        <v>3093.04</v>
      </c>
      <c r="F1240" s="18">
        <v>67.37</v>
      </c>
      <c r="G1240" s="2" t="s">
        <v>1361</v>
      </c>
      <c r="H1240" s="2" t="s">
        <v>22</v>
      </c>
    </row>
    <row r="1241" spans="1:8" ht="15" customHeight="1" x14ac:dyDescent="0.25">
      <c r="A1241" s="2" t="s">
        <v>2578</v>
      </c>
      <c r="B1241" s="2" t="s">
        <v>1298</v>
      </c>
      <c r="C1241" s="17">
        <v>45921</v>
      </c>
      <c r="D1241" s="2" t="s">
        <v>1360</v>
      </c>
      <c r="E1241" s="18">
        <v>1877.61</v>
      </c>
      <c r="F1241" s="18">
        <v>50.51</v>
      </c>
      <c r="G1241" s="2" t="s">
        <v>1361</v>
      </c>
      <c r="H1241" s="2" t="s">
        <v>22</v>
      </c>
    </row>
    <row r="1242" spans="1:8" ht="15" customHeight="1" x14ac:dyDescent="0.25">
      <c r="A1242" s="2" t="s">
        <v>2579</v>
      </c>
      <c r="B1242" s="2" t="s">
        <v>1298</v>
      </c>
      <c r="C1242" s="17">
        <v>45914</v>
      </c>
      <c r="D1242" s="2" t="s">
        <v>1360</v>
      </c>
      <c r="E1242" s="18">
        <v>2224.1799999999998</v>
      </c>
      <c r="F1242" s="18">
        <v>0</v>
      </c>
      <c r="G1242" s="2" t="s">
        <v>1408</v>
      </c>
      <c r="H1242" s="2" t="s">
        <v>22</v>
      </c>
    </row>
    <row r="1243" spans="1:8" ht="15" customHeight="1" x14ac:dyDescent="0.25">
      <c r="A1243" s="2" t="s">
        <v>2580</v>
      </c>
      <c r="B1243" s="2" t="s">
        <v>1298</v>
      </c>
      <c r="C1243" s="17">
        <v>45948</v>
      </c>
      <c r="D1243" s="2" t="s">
        <v>1360</v>
      </c>
      <c r="E1243" s="18">
        <v>2176.84</v>
      </c>
      <c r="F1243" s="18">
        <v>52.74</v>
      </c>
      <c r="G1243" s="2" t="s">
        <v>1361</v>
      </c>
      <c r="H1243" s="2" t="s">
        <v>22</v>
      </c>
    </row>
    <row r="1244" spans="1:8" ht="15" customHeight="1" x14ac:dyDescent="0.25">
      <c r="A1244" s="2" t="s">
        <v>2581</v>
      </c>
      <c r="B1244" s="2" t="s">
        <v>1298</v>
      </c>
      <c r="C1244" s="17">
        <v>45946</v>
      </c>
      <c r="D1244" s="2" t="s">
        <v>1360</v>
      </c>
      <c r="E1244" s="18">
        <v>5000.9799999999996</v>
      </c>
      <c r="F1244" s="18">
        <v>115.4</v>
      </c>
      <c r="G1244" s="2" t="s">
        <v>1361</v>
      </c>
      <c r="H1244" s="2" t="s">
        <v>22</v>
      </c>
    </row>
    <row r="1245" spans="1:8" ht="15" customHeight="1" x14ac:dyDescent="0.25">
      <c r="A1245" s="2" t="s">
        <v>2582</v>
      </c>
      <c r="B1245" s="2" t="s">
        <v>1298</v>
      </c>
      <c r="C1245" s="17">
        <v>45949</v>
      </c>
      <c r="D1245" s="2" t="s">
        <v>1360</v>
      </c>
      <c r="E1245" s="18">
        <v>5162.75</v>
      </c>
      <c r="F1245" s="18">
        <v>140.91</v>
      </c>
      <c r="G1245" s="2" t="s">
        <v>1361</v>
      </c>
      <c r="H1245" s="2" t="s">
        <v>2962</v>
      </c>
    </row>
    <row r="1246" spans="1:8" ht="15" customHeight="1" x14ac:dyDescent="0.25">
      <c r="A1246" s="2" t="s">
        <v>2583</v>
      </c>
      <c r="B1246" s="2" t="s">
        <v>1298</v>
      </c>
      <c r="C1246" s="17">
        <v>45989</v>
      </c>
      <c r="D1246" s="2" t="s">
        <v>1360</v>
      </c>
      <c r="E1246" s="18">
        <v>3559.68</v>
      </c>
      <c r="F1246" s="18">
        <v>78.790000000000006</v>
      </c>
      <c r="G1246" s="2" t="s">
        <v>1361</v>
      </c>
      <c r="H1246" s="2" t="s">
        <v>22</v>
      </c>
    </row>
    <row r="1247" spans="1:8" ht="15" customHeight="1" x14ac:dyDescent="0.25">
      <c r="A1247" s="2" t="s">
        <v>2584</v>
      </c>
      <c r="B1247" s="2" t="s">
        <v>1298</v>
      </c>
      <c r="C1247" s="17">
        <v>45986</v>
      </c>
      <c r="D1247" s="2" t="s">
        <v>1360</v>
      </c>
      <c r="E1247" s="18">
        <v>3165.16</v>
      </c>
      <c r="F1247" s="18">
        <v>79.680000000000007</v>
      </c>
      <c r="G1247" s="2" t="s">
        <v>1361</v>
      </c>
      <c r="H1247" s="2" t="s">
        <v>22</v>
      </c>
    </row>
    <row r="1248" spans="1:8" ht="15" customHeight="1" x14ac:dyDescent="0.25">
      <c r="A1248" s="2" t="s">
        <v>2585</v>
      </c>
      <c r="B1248" s="2" t="s">
        <v>1298</v>
      </c>
      <c r="C1248" s="17">
        <v>46021</v>
      </c>
      <c r="D1248" s="2" t="s">
        <v>1360</v>
      </c>
      <c r="E1248" s="18">
        <v>4233.03</v>
      </c>
      <c r="F1248" s="18">
        <v>99.9</v>
      </c>
      <c r="G1248" s="2" t="s">
        <v>1361</v>
      </c>
      <c r="H1248" s="2" t="s">
        <v>22</v>
      </c>
    </row>
    <row r="1249" spans="1:8" ht="15" customHeight="1" x14ac:dyDescent="0.25">
      <c r="A1249" s="2" t="s">
        <v>2586</v>
      </c>
      <c r="B1249" s="2" t="s">
        <v>1298</v>
      </c>
      <c r="C1249" s="17">
        <v>46016</v>
      </c>
      <c r="D1249" s="2" t="s">
        <v>1360</v>
      </c>
      <c r="E1249" s="18">
        <v>5062.66</v>
      </c>
      <c r="F1249" s="18">
        <v>136.38999999999999</v>
      </c>
      <c r="G1249" s="2" t="s">
        <v>1361</v>
      </c>
      <c r="H1249" s="2" t="s">
        <v>22</v>
      </c>
    </row>
    <row r="1250" spans="1:8" ht="15" customHeight="1" x14ac:dyDescent="0.25">
      <c r="A1250" s="2" t="s">
        <v>2587</v>
      </c>
      <c r="B1250" s="2" t="s">
        <v>78</v>
      </c>
      <c r="C1250" s="17">
        <v>45929</v>
      </c>
      <c r="D1250" s="2" t="s">
        <v>1373</v>
      </c>
      <c r="E1250" s="18">
        <v>5237.13</v>
      </c>
      <c r="F1250" s="18">
        <v>81.19</v>
      </c>
      <c r="G1250" s="2" t="s">
        <v>1361</v>
      </c>
      <c r="H1250" s="2" t="s">
        <v>19</v>
      </c>
    </row>
    <row r="1251" spans="1:8" ht="15" customHeight="1" x14ac:dyDescent="0.25">
      <c r="A1251" s="2" t="s">
        <v>2588</v>
      </c>
      <c r="B1251" s="2" t="s">
        <v>78</v>
      </c>
      <c r="C1251" s="17">
        <v>45929</v>
      </c>
      <c r="D1251" s="2" t="s">
        <v>1373</v>
      </c>
      <c r="E1251" s="18">
        <v>4146.63</v>
      </c>
      <c r="F1251" s="18">
        <v>84.48</v>
      </c>
      <c r="G1251" s="2" t="s">
        <v>1361</v>
      </c>
      <c r="H1251" s="2" t="s">
        <v>19</v>
      </c>
    </row>
    <row r="1252" spans="1:8" ht="15" customHeight="1" x14ac:dyDescent="0.25">
      <c r="A1252" s="2" t="s">
        <v>2589</v>
      </c>
      <c r="B1252" s="2" t="s">
        <v>78</v>
      </c>
      <c r="C1252" s="17">
        <v>45931</v>
      </c>
      <c r="D1252" s="2" t="s">
        <v>1373</v>
      </c>
      <c r="E1252" s="18">
        <v>1408.75</v>
      </c>
      <c r="F1252" s="18">
        <v>25.51</v>
      </c>
      <c r="G1252" s="2" t="s">
        <v>1361</v>
      </c>
      <c r="H1252" s="2" t="s">
        <v>19</v>
      </c>
    </row>
    <row r="1253" spans="1:8" ht="15" customHeight="1" x14ac:dyDescent="0.25">
      <c r="A1253" s="2" t="s">
        <v>2590</v>
      </c>
      <c r="B1253" s="2" t="s">
        <v>78</v>
      </c>
      <c r="C1253" s="17">
        <v>45974</v>
      </c>
      <c r="D1253" s="2" t="s">
        <v>1373</v>
      </c>
      <c r="E1253" s="18">
        <v>4890.6899999999996</v>
      </c>
      <c r="F1253" s="18">
        <v>100.4</v>
      </c>
      <c r="G1253" s="2" t="s">
        <v>1361</v>
      </c>
      <c r="H1253" s="2" t="s">
        <v>19</v>
      </c>
    </row>
    <row r="1254" spans="1:8" ht="15" customHeight="1" x14ac:dyDescent="0.25">
      <c r="A1254" s="2" t="s">
        <v>2591</v>
      </c>
      <c r="B1254" s="2" t="s">
        <v>78</v>
      </c>
      <c r="C1254" s="17">
        <v>46014</v>
      </c>
      <c r="D1254" s="2" t="s">
        <v>1373</v>
      </c>
      <c r="E1254" s="18">
        <v>2179.34</v>
      </c>
      <c r="F1254" s="18">
        <v>34.9</v>
      </c>
      <c r="G1254" s="2" t="s">
        <v>1361</v>
      </c>
      <c r="H1254" s="2" t="s">
        <v>19</v>
      </c>
    </row>
    <row r="1255" spans="1:8" ht="15" customHeight="1" x14ac:dyDescent="0.25">
      <c r="A1255" s="2" t="s">
        <v>2592</v>
      </c>
      <c r="B1255" s="2" t="s">
        <v>78</v>
      </c>
      <c r="C1255" s="17">
        <v>46017</v>
      </c>
      <c r="D1255" s="2" t="s">
        <v>1373</v>
      </c>
      <c r="E1255" s="18">
        <v>4136.6400000000003</v>
      </c>
      <c r="F1255" s="18">
        <v>79.849999999999994</v>
      </c>
      <c r="G1255" s="2" t="s">
        <v>1361</v>
      </c>
      <c r="H1255" s="2" t="s">
        <v>19</v>
      </c>
    </row>
    <row r="1256" spans="1:8" ht="15" customHeight="1" x14ac:dyDescent="0.25">
      <c r="A1256" s="2" t="s">
        <v>2593</v>
      </c>
      <c r="B1256" s="2" t="s">
        <v>78</v>
      </c>
      <c r="C1256" s="17">
        <v>46010</v>
      </c>
      <c r="D1256" s="2" t="s">
        <v>1373</v>
      </c>
      <c r="E1256" s="18">
        <v>4309.07</v>
      </c>
      <c r="F1256" s="18">
        <v>76.78</v>
      </c>
      <c r="G1256" s="2" t="s">
        <v>1361</v>
      </c>
      <c r="H1256" s="2" t="s">
        <v>19</v>
      </c>
    </row>
    <row r="1257" spans="1:8" ht="15" customHeight="1" x14ac:dyDescent="0.25">
      <c r="A1257" s="2" t="s">
        <v>2594</v>
      </c>
      <c r="B1257" s="2" t="s">
        <v>1301</v>
      </c>
      <c r="C1257" s="17">
        <v>45924</v>
      </c>
      <c r="D1257" s="2" t="s">
        <v>1423</v>
      </c>
      <c r="E1257" s="18">
        <v>5474.2</v>
      </c>
      <c r="F1257" s="18">
        <v>146.59</v>
      </c>
      <c r="G1257" s="2" t="s">
        <v>1361</v>
      </c>
      <c r="H1257" s="2" t="s">
        <v>18</v>
      </c>
    </row>
    <row r="1258" spans="1:8" ht="15" customHeight="1" x14ac:dyDescent="0.25">
      <c r="A1258" s="2" t="s">
        <v>2595</v>
      </c>
      <c r="B1258" s="2" t="s">
        <v>1301</v>
      </c>
      <c r="C1258" s="17">
        <v>45928</v>
      </c>
      <c r="D1258" s="2" t="s">
        <v>1423</v>
      </c>
      <c r="E1258" s="18">
        <v>6954.46</v>
      </c>
      <c r="F1258" s="18">
        <v>187.59</v>
      </c>
      <c r="G1258" s="2" t="s">
        <v>1361</v>
      </c>
      <c r="H1258" s="2" t="s">
        <v>18</v>
      </c>
    </row>
    <row r="1259" spans="1:8" ht="15" customHeight="1" x14ac:dyDescent="0.25">
      <c r="A1259" s="2" t="s">
        <v>2596</v>
      </c>
      <c r="B1259" s="2" t="s">
        <v>1301</v>
      </c>
      <c r="C1259" s="17">
        <v>45961</v>
      </c>
      <c r="D1259" s="2" t="s">
        <v>1423</v>
      </c>
      <c r="E1259" s="18">
        <v>13254.12</v>
      </c>
      <c r="F1259" s="18">
        <v>467.44</v>
      </c>
      <c r="G1259" s="2" t="s">
        <v>1361</v>
      </c>
      <c r="H1259" s="2" t="s">
        <v>18</v>
      </c>
    </row>
    <row r="1260" spans="1:8" ht="15" customHeight="1" x14ac:dyDescent="0.25">
      <c r="A1260" s="2" t="s">
        <v>2597</v>
      </c>
      <c r="B1260" s="2" t="s">
        <v>1301</v>
      </c>
      <c r="C1260" s="17">
        <v>45939</v>
      </c>
      <c r="D1260" s="2" t="s">
        <v>1423</v>
      </c>
      <c r="E1260" s="18">
        <v>11695.26</v>
      </c>
      <c r="F1260" s="18">
        <v>320.26</v>
      </c>
      <c r="G1260" s="2" t="s">
        <v>1361</v>
      </c>
      <c r="H1260" s="2" t="s">
        <v>18</v>
      </c>
    </row>
    <row r="1261" spans="1:8" ht="15" customHeight="1" x14ac:dyDescent="0.25">
      <c r="A1261" s="2" t="s">
        <v>2598</v>
      </c>
      <c r="B1261" s="2" t="s">
        <v>1301</v>
      </c>
      <c r="C1261" s="17">
        <v>45949</v>
      </c>
      <c r="D1261" s="2" t="s">
        <v>1423</v>
      </c>
      <c r="E1261" s="18">
        <v>14572.38</v>
      </c>
      <c r="F1261" s="18">
        <v>389.22</v>
      </c>
      <c r="G1261" s="2" t="s">
        <v>1361</v>
      </c>
      <c r="H1261" s="2" t="s">
        <v>18</v>
      </c>
    </row>
    <row r="1262" spans="1:8" ht="15" customHeight="1" x14ac:dyDescent="0.25">
      <c r="A1262" s="2" t="s">
        <v>2599</v>
      </c>
      <c r="B1262" s="2" t="s">
        <v>1301</v>
      </c>
      <c r="C1262" s="17">
        <v>45978</v>
      </c>
      <c r="D1262" s="2" t="s">
        <v>1423</v>
      </c>
      <c r="E1262" s="18">
        <v>8137.8</v>
      </c>
      <c r="F1262" s="18">
        <v>254.22</v>
      </c>
      <c r="G1262" s="2" t="s">
        <v>1361</v>
      </c>
      <c r="H1262" s="2" t="s">
        <v>18</v>
      </c>
    </row>
    <row r="1263" spans="1:8" ht="15" customHeight="1" x14ac:dyDescent="0.25">
      <c r="A1263" s="2" t="s">
        <v>2600</v>
      </c>
      <c r="B1263" s="2" t="s">
        <v>1301</v>
      </c>
      <c r="C1263" s="17">
        <v>45973</v>
      </c>
      <c r="D1263" s="2" t="s">
        <v>1423</v>
      </c>
      <c r="E1263" s="18">
        <v>5388.16</v>
      </c>
      <c r="F1263" s="18">
        <v>174.51</v>
      </c>
      <c r="G1263" s="2" t="s">
        <v>1361</v>
      </c>
      <c r="H1263" s="2" t="s">
        <v>18</v>
      </c>
    </row>
    <row r="1264" spans="1:8" ht="15" customHeight="1" x14ac:dyDescent="0.25">
      <c r="A1264" s="2" t="s">
        <v>2601</v>
      </c>
      <c r="B1264" s="2" t="s">
        <v>1301</v>
      </c>
      <c r="C1264" s="17">
        <v>46021</v>
      </c>
      <c r="D1264" s="2" t="s">
        <v>1423</v>
      </c>
      <c r="E1264" s="18">
        <v>15133</v>
      </c>
      <c r="F1264" s="18">
        <v>0</v>
      </c>
      <c r="G1264" s="2" t="s">
        <v>1408</v>
      </c>
      <c r="H1264" s="2" t="s">
        <v>18</v>
      </c>
    </row>
    <row r="1265" spans="1:8" ht="15" customHeight="1" x14ac:dyDescent="0.25">
      <c r="A1265" s="2" t="s">
        <v>2602</v>
      </c>
      <c r="B1265" s="2" t="s">
        <v>1301</v>
      </c>
      <c r="C1265" s="17">
        <v>45998</v>
      </c>
      <c r="D1265" s="2" t="s">
        <v>1423</v>
      </c>
      <c r="E1265" s="18">
        <v>11437.48</v>
      </c>
      <c r="F1265" s="18">
        <v>0</v>
      </c>
      <c r="G1265" s="2" t="s">
        <v>1408</v>
      </c>
      <c r="H1265" s="2" t="s">
        <v>18</v>
      </c>
    </row>
    <row r="1266" spans="1:8" ht="15" customHeight="1" x14ac:dyDescent="0.25">
      <c r="A1266" s="2" t="s">
        <v>2603</v>
      </c>
      <c r="B1266" s="2" t="s">
        <v>1301</v>
      </c>
      <c r="C1266" s="17">
        <v>45993</v>
      </c>
      <c r="D1266" s="2" t="s">
        <v>1423</v>
      </c>
      <c r="E1266" s="18">
        <v>8946.84</v>
      </c>
      <c r="F1266" s="18">
        <v>237.99</v>
      </c>
      <c r="G1266" s="2" t="s">
        <v>1361</v>
      </c>
      <c r="H1266" s="2" t="s">
        <v>18</v>
      </c>
    </row>
    <row r="1267" spans="1:8" ht="15" customHeight="1" x14ac:dyDescent="0.25">
      <c r="A1267" s="2" t="s">
        <v>2604</v>
      </c>
      <c r="B1267" s="2" t="s">
        <v>1303</v>
      </c>
      <c r="C1267" s="17">
        <v>45899</v>
      </c>
      <c r="D1267" s="2" t="s">
        <v>1360</v>
      </c>
      <c r="E1267" s="18">
        <v>13141.85</v>
      </c>
      <c r="F1267" s="18">
        <v>364.65</v>
      </c>
      <c r="G1267" s="2" t="s">
        <v>1361</v>
      </c>
      <c r="H1267" s="2" t="s">
        <v>2975</v>
      </c>
    </row>
    <row r="1268" spans="1:8" ht="15" customHeight="1" x14ac:dyDescent="0.25">
      <c r="A1268" s="2" t="s">
        <v>2605</v>
      </c>
      <c r="B1268" s="2" t="s">
        <v>1303</v>
      </c>
      <c r="C1268" s="17">
        <v>45899</v>
      </c>
      <c r="D1268" s="2" t="s">
        <v>1360</v>
      </c>
      <c r="E1268" s="18">
        <v>11704.32</v>
      </c>
      <c r="F1268" s="18">
        <v>328.28</v>
      </c>
      <c r="G1268" s="2" t="s">
        <v>1361</v>
      </c>
      <c r="H1268" s="2" t="s">
        <v>2975</v>
      </c>
    </row>
    <row r="1269" spans="1:8" ht="15" customHeight="1" x14ac:dyDescent="0.25">
      <c r="A1269" s="2" t="s">
        <v>2606</v>
      </c>
      <c r="B1269" s="2" t="s">
        <v>1303</v>
      </c>
      <c r="C1269" s="17">
        <v>45930</v>
      </c>
      <c r="D1269" s="2" t="s">
        <v>1360</v>
      </c>
      <c r="E1269" s="18">
        <v>8657.77</v>
      </c>
      <c r="F1269" s="18">
        <v>211.48</v>
      </c>
      <c r="G1269" s="2" t="s">
        <v>1361</v>
      </c>
      <c r="H1269" s="2" t="s">
        <v>2975</v>
      </c>
    </row>
    <row r="1270" spans="1:8" ht="15" customHeight="1" x14ac:dyDescent="0.25">
      <c r="A1270" s="2" t="s">
        <v>2607</v>
      </c>
      <c r="B1270" s="2" t="s">
        <v>1303</v>
      </c>
      <c r="C1270" s="17">
        <v>45911</v>
      </c>
      <c r="D1270" s="2" t="s">
        <v>1360</v>
      </c>
      <c r="E1270" s="18">
        <v>13131.54</v>
      </c>
      <c r="F1270" s="18">
        <v>371.42</v>
      </c>
      <c r="G1270" s="2" t="s">
        <v>1361</v>
      </c>
      <c r="H1270" s="2" t="s">
        <v>2975</v>
      </c>
    </row>
    <row r="1271" spans="1:8" ht="15" customHeight="1" x14ac:dyDescent="0.25">
      <c r="A1271" s="2" t="s">
        <v>2608</v>
      </c>
      <c r="B1271" s="2" t="s">
        <v>1303</v>
      </c>
      <c r="C1271" s="17">
        <v>45959</v>
      </c>
      <c r="D1271" s="2" t="s">
        <v>1360</v>
      </c>
      <c r="E1271" s="18">
        <v>17579.79</v>
      </c>
      <c r="F1271" s="18">
        <v>433</v>
      </c>
      <c r="G1271" s="2" t="s">
        <v>1361</v>
      </c>
      <c r="H1271" s="2" t="s">
        <v>2975</v>
      </c>
    </row>
    <row r="1272" spans="1:8" ht="15" customHeight="1" x14ac:dyDescent="0.25">
      <c r="A1272" s="2" t="s">
        <v>2609</v>
      </c>
      <c r="B1272" s="2" t="s">
        <v>1303</v>
      </c>
      <c r="C1272" s="17">
        <v>45963</v>
      </c>
      <c r="D1272" s="2" t="s">
        <v>1360</v>
      </c>
      <c r="E1272" s="18">
        <v>8121.08</v>
      </c>
      <c r="F1272" s="18">
        <v>204.67</v>
      </c>
      <c r="G1272" s="2" t="s">
        <v>1361</v>
      </c>
      <c r="H1272" s="2" t="s">
        <v>2975</v>
      </c>
    </row>
    <row r="1273" spans="1:8" ht="15" customHeight="1" x14ac:dyDescent="0.25">
      <c r="A1273" s="2" t="s">
        <v>2610</v>
      </c>
      <c r="B1273" s="2" t="s">
        <v>1303</v>
      </c>
      <c r="C1273" s="17">
        <v>45974</v>
      </c>
      <c r="D1273" s="2" t="s">
        <v>1360</v>
      </c>
      <c r="E1273" s="18">
        <v>6307.37</v>
      </c>
      <c r="F1273" s="18">
        <v>135.61000000000001</v>
      </c>
      <c r="G1273" s="2" t="s">
        <v>1361</v>
      </c>
      <c r="H1273" s="2" t="s">
        <v>2975</v>
      </c>
    </row>
    <row r="1274" spans="1:8" ht="15" customHeight="1" x14ac:dyDescent="0.25">
      <c r="A1274" s="2" t="s">
        <v>2611</v>
      </c>
      <c r="B1274" s="2" t="s">
        <v>1303</v>
      </c>
      <c r="C1274" s="17">
        <v>45977</v>
      </c>
      <c r="D1274" s="2" t="s">
        <v>1360</v>
      </c>
      <c r="E1274" s="18">
        <v>14568.44</v>
      </c>
      <c r="F1274" s="18">
        <v>360.82</v>
      </c>
      <c r="G1274" s="2" t="s">
        <v>1361</v>
      </c>
      <c r="H1274" s="2" t="s">
        <v>2975</v>
      </c>
    </row>
    <row r="1275" spans="1:8" ht="15" customHeight="1" x14ac:dyDescent="0.25">
      <c r="A1275" s="2" t="s">
        <v>2612</v>
      </c>
      <c r="B1275" s="2" t="s">
        <v>1303</v>
      </c>
      <c r="C1275" s="17">
        <v>46005</v>
      </c>
      <c r="D1275" s="2" t="s">
        <v>1360</v>
      </c>
      <c r="E1275" s="18">
        <v>15381.92</v>
      </c>
      <c r="F1275" s="18">
        <v>428.19</v>
      </c>
      <c r="G1275" s="2" t="s">
        <v>1361</v>
      </c>
      <c r="H1275" s="2" t="s">
        <v>2975</v>
      </c>
    </row>
    <row r="1276" spans="1:8" ht="15" customHeight="1" x14ac:dyDescent="0.25">
      <c r="A1276" s="2" t="s">
        <v>2613</v>
      </c>
      <c r="B1276" s="2" t="s">
        <v>1304</v>
      </c>
      <c r="C1276" s="17">
        <v>45776</v>
      </c>
      <c r="D1276" s="2" t="s">
        <v>1373</v>
      </c>
      <c r="E1276" s="18">
        <v>1825.29</v>
      </c>
      <c r="F1276" s="18">
        <v>29.9</v>
      </c>
      <c r="G1276" s="2" t="s">
        <v>1361</v>
      </c>
      <c r="H1276" s="2" t="s">
        <v>2962</v>
      </c>
    </row>
    <row r="1277" spans="1:8" ht="15" customHeight="1" x14ac:dyDescent="0.25">
      <c r="A1277" s="2" t="s">
        <v>2614</v>
      </c>
      <c r="B1277" s="2" t="s">
        <v>1304</v>
      </c>
      <c r="C1277" s="17">
        <v>45782</v>
      </c>
      <c r="D1277" s="2" t="s">
        <v>1373</v>
      </c>
      <c r="E1277" s="18">
        <v>2179</v>
      </c>
      <c r="F1277" s="18">
        <v>35.1</v>
      </c>
      <c r="G1277" s="2" t="s">
        <v>1361</v>
      </c>
      <c r="H1277" s="2" t="s">
        <v>22</v>
      </c>
    </row>
    <row r="1278" spans="1:8" ht="15" customHeight="1" x14ac:dyDescent="0.25">
      <c r="A1278" s="2" t="s">
        <v>2615</v>
      </c>
      <c r="B1278" s="2" t="s">
        <v>1304</v>
      </c>
      <c r="C1278" s="17">
        <v>45793</v>
      </c>
      <c r="D1278" s="2" t="s">
        <v>1373</v>
      </c>
      <c r="E1278" s="18">
        <v>5007.5200000000004</v>
      </c>
      <c r="F1278" s="18">
        <v>78.75</v>
      </c>
      <c r="G1278" s="2" t="s">
        <v>1361</v>
      </c>
      <c r="H1278" s="2" t="s">
        <v>22</v>
      </c>
    </row>
    <row r="1279" spans="1:8" ht="15" customHeight="1" x14ac:dyDescent="0.25">
      <c r="A1279" s="2" t="s">
        <v>2616</v>
      </c>
      <c r="B1279" s="2" t="s">
        <v>1304</v>
      </c>
      <c r="C1279" s="17">
        <v>45803</v>
      </c>
      <c r="D1279" s="2" t="s">
        <v>1373</v>
      </c>
      <c r="E1279" s="18">
        <v>4725.97</v>
      </c>
      <c r="F1279" s="18">
        <v>88.37</v>
      </c>
      <c r="G1279" s="2" t="s">
        <v>1361</v>
      </c>
      <c r="H1279" s="2" t="s">
        <v>22</v>
      </c>
    </row>
    <row r="1280" spans="1:8" ht="15" customHeight="1" x14ac:dyDescent="0.25">
      <c r="A1280" s="2" t="s">
        <v>121</v>
      </c>
      <c r="B1280" s="2" t="s">
        <v>1437</v>
      </c>
      <c r="C1280" s="17">
        <v>45834</v>
      </c>
      <c r="D1280" s="2" t="s">
        <v>1373</v>
      </c>
      <c r="E1280" s="18">
        <v>4430.1899999999996</v>
      </c>
      <c r="F1280" s="18">
        <v>79.06</v>
      </c>
      <c r="G1280" s="2" t="s">
        <v>1361</v>
      </c>
      <c r="H1280" s="2" t="s">
        <v>22</v>
      </c>
    </row>
    <row r="1281" spans="1:8" ht="15" customHeight="1" x14ac:dyDescent="0.25">
      <c r="A1281" s="2" t="s">
        <v>2617</v>
      </c>
      <c r="B1281" s="2" t="s">
        <v>1304</v>
      </c>
      <c r="C1281" s="17">
        <v>45846</v>
      </c>
      <c r="D1281" s="2" t="s">
        <v>1373</v>
      </c>
      <c r="E1281" s="18">
        <v>3595.29</v>
      </c>
      <c r="F1281" s="18">
        <v>69.89</v>
      </c>
      <c r="G1281" s="2" t="s">
        <v>1361</v>
      </c>
      <c r="H1281" s="2" t="s">
        <v>22</v>
      </c>
    </row>
    <row r="1282" spans="1:8" ht="15" customHeight="1" x14ac:dyDescent="0.25">
      <c r="A1282" s="2" t="s">
        <v>2618</v>
      </c>
      <c r="B1282" s="2" t="s">
        <v>1304</v>
      </c>
      <c r="C1282" s="17">
        <v>45857</v>
      </c>
      <c r="D1282" s="2" t="s">
        <v>1373</v>
      </c>
      <c r="E1282" s="18">
        <v>1387.16</v>
      </c>
      <c r="F1282" s="18">
        <v>24.84</v>
      </c>
      <c r="G1282" s="2" t="s">
        <v>1361</v>
      </c>
      <c r="H1282" s="2" t="s">
        <v>22</v>
      </c>
    </row>
    <row r="1283" spans="1:8" ht="15" customHeight="1" x14ac:dyDescent="0.25">
      <c r="A1283" s="2" t="s">
        <v>2619</v>
      </c>
      <c r="B1283" s="2" t="s">
        <v>1304</v>
      </c>
      <c r="C1283" s="17">
        <v>45854</v>
      </c>
      <c r="D1283" s="2" t="s">
        <v>1373</v>
      </c>
      <c r="E1283" s="18">
        <v>3956.35</v>
      </c>
      <c r="F1283" s="18">
        <v>74.069999999999993</v>
      </c>
      <c r="G1283" s="2" t="s">
        <v>1361</v>
      </c>
      <c r="H1283" s="2" t="s">
        <v>22</v>
      </c>
    </row>
    <row r="1284" spans="1:8" ht="15" customHeight="1" x14ac:dyDescent="0.25">
      <c r="A1284" s="2" t="s">
        <v>2620</v>
      </c>
      <c r="B1284" s="2" t="s">
        <v>1304</v>
      </c>
      <c r="C1284" s="17">
        <v>45889</v>
      </c>
      <c r="D1284" s="2" t="s">
        <v>1373</v>
      </c>
      <c r="E1284" s="18">
        <v>4787.12</v>
      </c>
      <c r="F1284" s="18">
        <v>74.28</v>
      </c>
      <c r="G1284" s="2" t="s">
        <v>1361</v>
      </c>
      <c r="H1284" s="2" t="s">
        <v>22</v>
      </c>
    </row>
    <row r="1285" spans="1:8" ht="15" customHeight="1" x14ac:dyDescent="0.25">
      <c r="A1285" s="2" t="s">
        <v>2621</v>
      </c>
      <c r="B1285" s="2" t="s">
        <v>1304</v>
      </c>
      <c r="C1285" s="17">
        <v>45901</v>
      </c>
      <c r="D1285" s="2" t="s">
        <v>1373</v>
      </c>
      <c r="E1285" s="18">
        <v>4769.53</v>
      </c>
      <c r="F1285" s="18">
        <v>98.62</v>
      </c>
      <c r="G1285" s="2" t="s">
        <v>1361</v>
      </c>
      <c r="H1285" s="2" t="s">
        <v>22</v>
      </c>
    </row>
    <row r="1286" spans="1:8" ht="15" customHeight="1" x14ac:dyDescent="0.25">
      <c r="A1286" s="2" t="s">
        <v>2622</v>
      </c>
      <c r="B1286" s="2" t="s">
        <v>1304</v>
      </c>
      <c r="C1286" s="17">
        <v>45901</v>
      </c>
      <c r="D1286" s="2" t="s">
        <v>1373</v>
      </c>
      <c r="E1286" s="18">
        <v>4612.0600000000004</v>
      </c>
      <c r="F1286" s="18">
        <v>86.94</v>
      </c>
      <c r="G1286" s="2" t="s">
        <v>1361</v>
      </c>
      <c r="H1286" s="2" t="s">
        <v>22</v>
      </c>
    </row>
    <row r="1287" spans="1:8" ht="15" customHeight="1" x14ac:dyDescent="0.25">
      <c r="A1287" s="2" t="s">
        <v>2623</v>
      </c>
      <c r="B1287" s="2" t="s">
        <v>1304</v>
      </c>
      <c r="C1287" s="17">
        <v>45901</v>
      </c>
      <c r="D1287" s="2" t="s">
        <v>1373</v>
      </c>
      <c r="E1287" s="18">
        <v>5017.53</v>
      </c>
      <c r="F1287" s="18">
        <v>82.73</v>
      </c>
      <c r="G1287" s="2" t="s">
        <v>1361</v>
      </c>
      <c r="H1287" s="2" t="s">
        <v>22</v>
      </c>
    </row>
    <row r="1288" spans="1:8" ht="15" customHeight="1" x14ac:dyDescent="0.25">
      <c r="A1288" s="2" t="s">
        <v>2624</v>
      </c>
      <c r="B1288" s="2" t="s">
        <v>1305</v>
      </c>
      <c r="C1288" s="17">
        <v>45908</v>
      </c>
      <c r="D1288" s="2" t="s">
        <v>1360</v>
      </c>
      <c r="E1288" s="18">
        <v>43646.75</v>
      </c>
      <c r="F1288" s="18">
        <v>1030.45</v>
      </c>
      <c r="G1288" s="2" t="s">
        <v>1361</v>
      </c>
      <c r="H1288" s="2" t="s">
        <v>20</v>
      </c>
    </row>
    <row r="1289" spans="1:8" ht="15" customHeight="1" x14ac:dyDescent="0.25">
      <c r="A1289" s="2" t="s">
        <v>2625</v>
      </c>
      <c r="B1289" s="2" t="s">
        <v>1305</v>
      </c>
      <c r="C1289" s="17">
        <v>45922</v>
      </c>
      <c r="D1289" s="2" t="s">
        <v>1360</v>
      </c>
      <c r="E1289" s="18">
        <v>57899.33</v>
      </c>
      <c r="F1289" s="18">
        <v>1546.32</v>
      </c>
      <c r="G1289" s="2" t="s">
        <v>1361</v>
      </c>
      <c r="H1289" s="2" t="s">
        <v>20</v>
      </c>
    </row>
    <row r="1290" spans="1:8" ht="15" customHeight="1" x14ac:dyDescent="0.25">
      <c r="A1290" s="2" t="s">
        <v>2626</v>
      </c>
      <c r="B1290" s="2" t="s">
        <v>1305</v>
      </c>
      <c r="C1290" s="17">
        <v>45940</v>
      </c>
      <c r="D1290" s="2" t="s">
        <v>1360</v>
      </c>
      <c r="E1290" s="18">
        <v>28691.75</v>
      </c>
      <c r="F1290" s="18">
        <v>737.33</v>
      </c>
      <c r="G1290" s="2" t="s">
        <v>1361</v>
      </c>
      <c r="H1290" s="2" t="s">
        <v>20</v>
      </c>
    </row>
    <row r="1291" spans="1:8" ht="15" customHeight="1" x14ac:dyDescent="0.25">
      <c r="A1291" s="2" t="s">
        <v>2627</v>
      </c>
      <c r="B1291" s="2" t="s">
        <v>1305</v>
      </c>
      <c r="C1291" s="17">
        <v>45954</v>
      </c>
      <c r="D1291" s="2" t="s">
        <v>1360</v>
      </c>
      <c r="E1291" s="18">
        <v>54290.27</v>
      </c>
      <c r="F1291" s="18">
        <v>1158.3599999999999</v>
      </c>
      <c r="G1291" s="2" t="s">
        <v>1361</v>
      </c>
      <c r="H1291" s="2" t="s">
        <v>20</v>
      </c>
    </row>
    <row r="1292" spans="1:8" ht="15" customHeight="1" x14ac:dyDescent="0.25">
      <c r="A1292" s="2" t="s">
        <v>2628</v>
      </c>
      <c r="B1292" s="2" t="s">
        <v>1305</v>
      </c>
      <c r="C1292" s="17">
        <v>45991</v>
      </c>
      <c r="D1292" s="2" t="s">
        <v>1360</v>
      </c>
      <c r="E1292" s="18">
        <v>29203.18</v>
      </c>
      <c r="F1292" s="18">
        <v>691.7</v>
      </c>
      <c r="G1292" s="2" t="s">
        <v>1361</v>
      </c>
      <c r="H1292" s="2" t="s">
        <v>20</v>
      </c>
    </row>
    <row r="1293" spans="1:8" ht="15" customHeight="1" x14ac:dyDescent="0.25">
      <c r="A1293" s="2" t="s">
        <v>2629</v>
      </c>
      <c r="B1293" s="2" t="s">
        <v>1305</v>
      </c>
      <c r="C1293" s="17">
        <v>45998</v>
      </c>
      <c r="D1293" s="2" t="s">
        <v>1360</v>
      </c>
      <c r="E1293" s="18">
        <v>59148.67</v>
      </c>
      <c r="F1293" s="18">
        <v>0</v>
      </c>
      <c r="G1293" s="2" t="s">
        <v>1408</v>
      </c>
      <c r="H1293" s="2" t="s">
        <v>20</v>
      </c>
    </row>
    <row r="1294" spans="1:8" ht="15" customHeight="1" x14ac:dyDescent="0.25">
      <c r="A1294" s="2" t="s">
        <v>2630</v>
      </c>
      <c r="B1294" s="2" t="s">
        <v>1305</v>
      </c>
      <c r="C1294" s="17">
        <v>45992</v>
      </c>
      <c r="D1294" s="2" t="s">
        <v>1360</v>
      </c>
      <c r="E1294" s="18">
        <v>28705.74</v>
      </c>
      <c r="F1294" s="18">
        <v>726.23</v>
      </c>
      <c r="G1294" s="2" t="s">
        <v>1361</v>
      </c>
      <c r="H1294" s="2" t="s">
        <v>20</v>
      </c>
    </row>
    <row r="1295" spans="1:8" ht="15" customHeight="1" x14ac:dyDescent="0.25">
      <c r="A1295" s="2" t="s">
        <v>2631</v>
      </c>
      <c r="B1295" s="2" t="s">
        <v>1306</v>
      </c>
      <c r="C1295" s="17">
        <v>45999</v>
      </c>
      <c r="D1295" s="2" t="s">
        <v>1481</v>
      </c>
      <c r="E1295" s="18">
        <v>3420.9</v>
      </c>
      <c r="F1295" s="18">
        <v>81.53</v>
      </c>
      <c r="G1295" s="2" t="s">
        <v>1361</v>
      </c>
      <c r="H1295" s="2" t="s">
        <v>21</v>
      </c>
    </row>
    <row r="1296" spans="1:8" ht="15" customHeight="1" x14ac:dyDescent="0.25">
      <c r="A1296" s="2" t="s">
        <v>2632</v>
      </c>
      <c r="B1296" s="2" t="s">
        <v>1306</v>
      </c>
      <c r="C1296" s="17">
        <v>45997</v>
      </c>
      <c r="D1296" s="2" t="s">
        <v>1481</v>
      </c>
      <c r="E1296" s="18">
        <v>3566.71</v>
      </c>
      <c r="F1296" s="18">
        <v>86.16</v>
      </c>
      <c r="G1296" s="2" t="s">
        <v>1361</v>
      </c>
      <c r="H1296" s="2" t="s">
        <v>21</v>
      </c>
    </row>
    <row r="1297" spans="1:8" ht="15" customHeight="1" x14ac:dyDescent="0.25">
      <c r="A1297" s="2" t="s">
        <v>2633</v>
      </c>
      <c r="B1297" s="2" t="s">
        <v>1307</v>
      </c>
      <c r="C1297" s="17">
        <v>45746</v>
      </c>
      <c r="D1297" s="2" t="s">
        <v>1360</v>
      </c>
      <c r="E1297" s="18">
        <v>3626.96</v>
      </c>
      <c r="F1297" s="18">
        <v>78.58</v>
      </c>
      <c r="G1297" s="2" t="s">
        <v>1361</v>
      </c>
      <c r="H1297" s="2" t="s">
        <v>18</v>
      </c>
    </row>
    <row r="1298" spans="1:8" ht="15" customHeight="1" x14ac:dyDescent="0.25">
      <c r="A1298" s="2" t="s">
        <v>2634</v>
      </c>
      <c r="B1298" s="2" t="s">
        <v>1307</v>
      </c>
      <c r="C1298" s="17">
        <v>45743</v>
      </c>
      <c r="D1298" s="2" t="s">
        <v>1360</v>
      </c>
      <c r="E1298" s="18">
        <v>3179.96</v>
      </c>
      <c r="F1298" s="18">
        <v>90.19</v>
      </c>
      <c r="G1298" s="2" t="s">
        <v>1361</v>
      </c>
      <c r="H1298" s="2" t="s">
        <v>18</v>
      </c>
    </row>
    <row r="1299" spans="1:8" ht="15" customHeight="1" x14ac:dyDescent="0.25">
      <c r="A1299" s="2" t="s">
        <v>2635</v>
      </c>
      <c r="B1299" s="2" t="s">
        <v>1307</v>
      </c>
      <c r="C1299" s="17">
        <v>45753</v>
      </c>
      <c r="D1299" s="2" t="s">
        <v>1360</v>
      </c>
      <c r="E1299" s="18">
        <v>1276.93</v>
      </c>
      <c r="F1299" s="18">
        <v>28.63</v>
      </c>
      <c r="G1299" s="2" t="s">
        <v>1361</v>
      </c>
      <c r="H1299" s="2" t="s">
        <v>18</v>
      </c>
    </row>
    <row r="1300" spans="1:8" ht="15" customHeight="1" x14ac:dyDescent="0.25">
      <c r="A1300" s="2" t="s">
        <v>2636</v>
      </c>
      <c r="B1300" s="2" t="s">
        <v>1307</v>
      </c>
      <c r="C1300" s="17">
        <v>45754</v>
      </c>
      <c r="D1300" s="2" t="s">
        <v>1360</v>
      </c>
      <c r="E1300" s="18">
        <v>4690.2700000000004</v>
      </c>
      <c r="F1300" s="18">
        <v>113.95</v>
      </c>
      <c r="G1300" s="2" t="s">
        <v>1361</v>
      </c>
      <c r="H1300" s="2" t="s">
        <v>18</v>
      </c>
    </row>
    <row r="1301" spans="1:8" ht="15" customHeight="1" x14ac:dyDescent="0.25">
      <c r="A1301" s="2" t="s">
        <v>2637</v>
      </c>
      <c r="B1301" s="2" t="s">
        <v>1307</v>
      </c>
      <c r="C1301" s="17">
        <v>45796</v>
      </c>
      <c r="D1301" s="2" t="s">
        <v>1360</v>
      </c>
      <c r="E1301" s="18">
        <v>2248.11</v>
      </c>
      <c r="F1301" s="18">
        <v>55.13</v>
      </c>
      <c r="G1301" s="2" t="s">
        <v>1361</v>
      </c>
      <c r="H1301" s="2" t="s">
        <v>18</v>
      </c>
    </row>
    <row r="1302" spans="1:8" ht="15" customHeight="1" x14ac:dyDescent="0.25">
      <c r="A1302" s="2" t="s">
        <v>2638</v>
      </c>
      <c r="B1302" s="2" t="s">
        <v>1307</v>
      </c>
      <c r="C1302" s="17">
        <v>45834</v>
      </c>
      <c r="D1302" s="2" t="s">
        <v>1360</v>
      </c>
      <c r="E1302" s="18">
        <v>4570.08</v>
      </c>
      <c r="F1302" s="18">
        <v>127.96</v>
      </c>
      <c r="G1302" s="2" t="s">
        <v>1361</v>
      </c>
      <c r="H1302" s="2" t="s">
        <v>18</v>
      </c>
    </row>
    <row r="1303" spans="1:8" ht="15" customHeight="1" x14ac:dyDescent="0.25">
      <c r="A1303" s="2" t="s">
        <v>2639</v>
      </c>
      <c r="B1303" s="2" t="s">
        <v>1307</v>
      </c>
      <c r="C1303" s="17">
        <v>45863</v>
      </c>
      <c r="D1303" s="2" t="s">
        <v>1360</v>
      </c>
      <c r="E1303" s="18">
        <v>3252.7</v>
      </c>
      <c r="F1303" s="18">
        <v>72.45</v>
      </c>
      <c r="G1303" s="2" t="s">
        <v>1361</v>
      </c>
      <c r="H1303" s="2" t="s">
        <v>18</v>
      </c>
    </row>
    <row r="1304" spans="1:8" ht="15" customHeight="1" x14ac:dyDescent="0.25">
      <c r="A1304" s="2" t="s">
        <v>2640</v>
      </c>
      <c r="B1304" s="2" t="s">
        <v>1307</v>
      </c>
      <c r="C1304" s="17">
        <v>45858</v>
      </c>
      <c r="D1304" s="2" t="s">
        <v>1360</v>
      </c>
      <c r="E1304" s="18">
        <v>4586.1899999999996</v>
      </c>
      <c r="F1304" s="18">
        <v>128.55000000000001</v>
      </c>
      <c r="G1304" s="2" t="s">
        <v>1361</v>
      </c>
      <c r="H1304" s="2" t="s">
        <v>18</v>
      </c>
    </row>
    <row r="1305" spans="1:8" ht="15" customHeight="1" x14ac:dyDescent="0.25">
      <c r="A1305" s="2" t="s">
        <v>2641</v>
      </c>
      <c r="B1305" s="2" t="s">
        <v>1307</v>
      </c>
      <c r="C1305" s="17">
        <v>45842</v>
      </c>
      <c r="D1305" s="2" t="s">
        <v>1360</v>
      </c>
      <c r="E1305" s="18">
        <v>1759.65</v>
      </c>
      <c r="F1305" s="18">
        <v>39.93</v>
      </c>
      <c r="G1305" s="2" t="s">
        <v>1361</v>
      </c>
      <c r="H1305" s="2" t="s">
        <v>18</v>
      </c>
    </row>
    <row r="1306" spans="1:8" ht="15" customHeight="1" x14ac:dyDescent="0.25">
      <c r="A1306" s="2" t="s">
        <v>2642</v>
      </c>
      <c r="B1306" s="2" t="s">
        <v>1307</v>
      </c>
      <c r="C1306" s="17">
        <v>45870</v>
      </c>
      <c r="D1306" s="2" t="s">
        <v>1360</v>
      </c>
      <c r="E1306" s="18">
        <v>1878.84</v>
      </c>
      <c r="F1306" s="18">
        <v>41.11</v>
      </c>
      <c r="G1306" s="2" t="s">
        <v>1361</v>
      </c>
      <c r="H1306" s="2" t="s">
        <v>18</v>
      </c>
    </row>
    <row r="1307" spans="1:8" ht="15" customHeight="1" x14ac:dyDescent="0.25">
      <c r="A1307" s="2" t="s">
        <v>2643</v>
      </c>
      <c r="B1307" s="2" t="s">
        <v>1307</v>
      </c>
      <c r="C1307" s="17">
        <v>45888</v>
      </c>
      <c r="D1307" s="2" t="s">
        <v>1360</v>
      </c>
      <c r="E1307" s="18">
        <v>2760.84</v>
      </c>
      <c r="F1307" s="18">
        <v>61.76</v>
      </c>
      <c r="G1307" s="2" t="s">
        <v>1361</v>
      </c>
      <c r="H1307" s="2" t="s">
        <v>18</v>
      </c>
    </row>
    <row r="1308" spans="1:8" ht="15" customHeight="1" x14ac:dyDescent="0.25">
      <c r="A1308" s="2" t="s">
        <v>2644</v>
      </c>
      <c r="B1308" s="2" t="s">
        <v>1307</v>
      </c>
      <c r="C1308" s="17">
        <v>45891</v>
      </c>
      <c r="D1308" s="2" t="s">
        <v>1360</v>
      </c>
      <c r="E1308" s="18">
        <v>3077.09</v>
      </c>
      <c r="F1308" s="18">
        <v>74.58</v>
      </c>
      <c r="G1308" s="2" t="s">
        <v>1361</v>
      </c>
      <c r="H1308" s="2" t="s">
        <v>18</v>
      </c>
    </row>
    <row r="1309" spans="1:8" ht="15" customHeight="1" x14ac:dyDescent="0.25">
      <c r="A1309" s="2" t="s">
        <v>2645</v>
      </c>
      <c r="B1309" s="2" t="s">
        <v>1307</v>
      </c>
      <c r="C1309" s="17">
        <v>45914</v>
      </c>
      <c r="D1309" s="2" t="s">
        <v>1360</v>
      </c>
      <c r="E1309" s="18">
        <v>3731.8</v>
      </c>
      <c r="F1309" s="18">
        <v>87.84</v>
      </c>
      <c r="G1309" s="2" t="s">
        <v>1361</v>
      </c>
      <c r="H1309" s="2" t="s">
        <v>18</v>
      </c>
    </row>
    <row r="1310" spans="1:8" ht="15" customHeight="1" x14ac:dyDescent="0.25">
      <c r="A1310" s="2" t="s">
        <v>2646</v>
      </c>
      <c r="B1310" s="2" t="s">
        <v>1307</v>
      </c>
      <c r="C1310" s="17">
        <v>45940</v>
      </c>
      <c r="D1310" s="2" t="s">
        <v>1360</v>
      </c>
      <c r="E1310" s="18">
        <v>2730.36</v>
      </c>
      <c r="F1310" s="18">
        <v>69.89</v>
      </c>
      <c r="G1310" s="2" t="s">
        <v>1361</v>
      </c>
      <c r="H1310" s="2" t="s">
        <v>18</v>
      </c>
    </row>
    <row r="1311" spans="1:8" ht="15" customHeight="1" x14ac:dyDescent="0.25">
      <c r="A1311" s="2" t="s">
        <v>2647</v>
      </c>
      <c r="B1311" s="2" t="s">
        <v>1307</v>
      </c>
      <c r="C1311" s="17">
        <v>45948</v>
      </c>
      <c r="D1311" s="2" t="s">
        <v>1360</v>
      </c>
      <c r="E1311" s="18">
        <v>2650.78</v>
      </c>
      <c r="F1311" s="18">
        <v>64.8</v>
      </c>
      <c r="G1311" s="2" t="s">
        <v>1361</v>
      </c>
      <c r="H1311" s="2" t="s">
        <v>18</v>
      </c>
    </row>
    <row r="1312" spans="1:8" ht="15" customHeight="1" x14ac:dyDescent="0.25">
      <c r="A1312" s="2" t="s">
        <v>2648</v>
      </c>
      <c r="B1312" s="2" t="s">
        <v>1307</v>
      </c>
      <c r="C1312" s="17">
        <v>45989</v>
      </c>
      <c r="D1312" s="2" t="s">
        <v>1360</v>
      </c>
      <c r="E1312" s="18">
        <v>3729.5</v>
      </c>
      <c r="F1312" s="18">
        <v>85.1</v>
      </c>
      <c r="G1312" s="2" t="s">
        <v>1361</v>
      </c>
      <c r="H1312" s="2" t="s">
        <v>18</v>
      </c>
    </row>
    <row r="1313" spans="1:8" ht="15" customHeight="1" x14ac:dyDescent="0.25">
      <c r="A1313" s="2" t="s">
        <v>2649</v>
      </c>
      <c r="B1313" s="2" t="s">
        <v>1307</v>
      </c>
      <c r="C1313" s="17">
        <v>45993</v>
      </c>
      <c r="D1313" s="2" t="s">
        <v>1360</v>
      </c>
      <c r="E1313" s="18">
        <v>4199.84</v>
      </c>
      <c r="F1313" s="18">
        <v>94.15</v>
      </c>
      <c r="G1313" s="2" t="s">
        <v>1361</v>
      </c>
      <c r="H1313" s="2" t="s">
        <v>18</v>
      </c>
    </row>
    <row r="1314" spans="1:8" ht="15" customHeight="1" x14ac:dyDescent="0.25">
      <c r="A1314" s="2" t="s">
        <v>2650</v>
      </c>
      <c r="B1314" s="2" t="s">
        <v>1308</v>
      </c>
      <c r="C1314" s="17">
        <v>45991</v>
      </c>
      <c r="D1314" s="2" t="s">
        <v>1360</v>
      </c>
      <c r="E1314" s="18">
        <v>10082.200000000001</v>
      </c>
      <c r="F1314" s="18">
        <v>286.42</v>
      </c>
      <c r="G1314" s="2" t="s">
        <v>1361</v>
      </c>
      <c r="H1314" s="2" t="s">
        <v>21</v>
      </c>
    </row>
    <row r="1315" spans="1:8" ht="15" customHeight="1" x14ac:dyDescent="0.25">
      <c r="A1315" s="2" t="s">
        <v>2651</v>
      </c>
      <c r="B1315" s="2" t="s">
        <v>1308</v>
      </c>
      <c r="C1315" s="17">
        <v>45988</v>
      </c>
      <c r="D1315" s="2" t="s">
        <v>1360</v>
      </c>
      <c r="E1315" s="18">
        <v>8166.65</v>
      </c>
      <c r="F1315" s="18">
        <v>202.11</v>
      </c>
      <c r="G1315" s="2" t="s">
        <v>1361</v>
      </c>
      <c r="H1315" s="2" t="s">
        <v>21</v>
      </c>
    </row>
    <row r="1316" spans="1:8" ht="15" customHeight="1" x14ac:dyDescent="0.25">
      <c r="A1316" s="2" t="s">
        <v>2652</v>
      </c>
      <c r="B1316" s="2" t="s">
        <v>1308</v>
      </c>
      <c r="C1316" s="17">
        <v>46012</v>
      </c>
      <c r="D1316" s="2" t="s">
        <v>1360</v>
      </c>
      <c r="E1316" s="18">
        <v>14614.37</v>
      </c>
      <c r="F1316" s="18">
        <v>341.43</v>
      </c>
      <c r="G1316" s="2" t="s">
        <v>1361</v>
      </c>
      <c r="H1316" s="2" t="s">
        <v>21</v>
      </c>
    </row>
    <row r="1317" spans="1:8" ht="15" customHeight="1" x14ac:dyDescent="0.25">
      <c r="A1317" s="2" t="s">
        <v>2653</v>
      </c>
      <c r="B1317" s="2" t="s">
        <v>1308</v>
      </c>
      <c r="C1317" s="17">
        <v>46004</v>
      </c>
      <c r="D1317" s="2" t="s">
        <v>1360</v>
      </c>
      <c r="E1317" s="18">
        <v>15552.55</v>
      </c>
      <c r="F1317" s="18">
        <v>338.96</v>
      </c>
      <c r="G1317" s="2" t="s">
        <v>1361</v>
      </c>
      <c r="H1317" s="2" t="s">
        <v>21</v>
      </c>
    </row>
    <row r="1318" spans="1:8" ht="15" customHeight="1" x14ac:dyDescent="0.25">
      <c r="A1318" s="2" t="s">
        <v>2654</v>
      </c>
      <c r="B1318" s="2" t="s">
        <v>1309</v>
      </c>
      <c r="C1318" s="17">
        <v>45806</v>
      </c>
      <c r="D1318" s="2" t="s">
        <v>1481</v>
      </c>
      <c r="E1318" s="18">
        <v>4493.6000000000004</v>
      </c>
      <c r="F1318" s="18">
        <v>119.08</v>
      </c>
      <c r="G1318" s="2" t="s">
        <v>1361</v>
      </c>
      <c r="H1318" s="2" t="s">
        <v>20</v>
      </c>
    </row>
    <row r="1319" spans="1:8" ht="15" customHeight="1" x14ac:dyDescent="0.25">
      <c r="A1319" s="2" t="s">
        <v>2655</v>
      </c>
      <c r="B1319" s="2" t="s">
        <v>1309</v>
      </c>
      <c r="C1319" s="17">
        <v>45805</v>
      </c>
      <c r="D1319" s="2" t="s">
        <v>1479</v>
      </c>
      <c r="E1319" s="18">
        <v>3033.52</v>
      </c>
      <c r="F1319" s="18">
        <v>78.62</v>
      </c>
      <c r="G1319" s="2" t="s">
        <v>1361</v>
      </c>
      <c r="H1319" s="2" t="s">
        <v>20</v>
      </c>
    </row>
    <row r="1320" spans="1:8" ht="15" customHeight="1" x14ac:dyDescent="0.25">
      <c r="A1320" s="2" t="s">
        <v>2656</v>
      </c>
      <c r="B1320" s="2" t="s">
        <v>1309</v>
      </c>
      <c r="C1320" s="17">
        <v>45799</v>
      </c>
      <c r="D1320" s="2" t="s">
        <v>1481</v>
      </c>
      <c r="E1320" s="18">
        <v>5146.33</v>
      </c>
      <c r="F1320" s="18">
        <v>137.88999999999999</v>
      </c>
      <c r="G1320" s="2" t="s">
        <v>1361</v>
      </c>
      <c r="H1320" s="2" t="s">
        <v>20</v>
      </c>
    </row>
    <row r="1321" spans="1:8" ht="15" customHeight="1" x14ac:dyDescent="0.25">
      <c r="A1321" s="2" t="s">
        <v>2657</v>
      </c>
      <c r="B1321" s="2" t="s">
        <v>1309</v>
      </c>
      <c r="C1321" s="17">
        <v>45809</v>
      </c>
      <c r="D1321" s="2" t="s">
        <v>1481</v>
      </c>
      <c r="E1321" s="18">
        <v>1762.23</v>
      </c>
      <c r="F1321" s="18">
        <v>47.74</v>
      </c>
      <c r="G1321" s="2" t="s">
        <v>1361</v>
      </c>
      <c r="H1321" s="2" t="s">
        <v>20</v>
      </c>
    </row>
    <row r="1322" spans="1:8" ht="15" customHeight="1" x14ac:dyDescent="0.25">
      <c r="A1322" s="2" t="s">
        <v>2658</v>
      </c>
      <c r="B1322" s="2" t="s">
        <v>1309</v>
      </c>
      <c r="C1322" s="17">
        <v>45867</v>
      </c>
      <c r="D1322" s="2" t="s">
        <v>1360</v>
      </c>
      <c r="E1322" s="18">
        <v>5233.22</v>
      </c>
      <c r="F1322" s="18">
        <v>124.62</v>
      </c>
      <c r="G1322" s="2" t="s">
        <v>1361</v>
      </c>
      <c r="H1322" s="2" t="s">
        <v>20</v>
      </c>
    </row>
    <row r="1323" spans="1:8" ht="15" customHeight="1" x14ac:dyDescent="0.25">
      <c r="A1323" s="2" t="s">
        <v>2659</v>
      </c>
      <c r="B1323" s="2" t="s">
        <v>1309</v>
      </c>
      <c r="C1323" s="17">
        <v>45869</v>
      </c>
      <c r="D1323" s="2" t="s">
        <v>1481</v>
      </c>
      <c r="E1323" s="18">
        <v>2233.9899999999998</v>
      </c>
      <c r="F1323" s="18">
        <v>0</v>
      </c>
      <c r="G1323" s="2" t="s">
        <v>1408</v>
      </c>
      <c r="H1323" s="2" t="s">
        <v>20</v>
      </c>
    </row>
    <row r="1324" spans="1:8" ht="15" customHeight="1" x14ac:dyDescent="0.25">
      <c r="A1324" s="2" t="s">
        <v>2660</v>
      </c>
      <c r="B1324" s="2" t="s">
        <v>1309</v>
      </c>
      <c r="C1324" s="17">
        <v>45863</v>
      </c>
      <c r="D1324" s="2" t="s">
        <v>1479</v>
      </c>
      <c r="E1324" s="18">
        <v>5005.82</v>
      </c>
      <c r="F1324" s="18">
        <v>131.72</v>
      </c>
      <c r="G1324" s="2" t="s">
        <v>1361</v>
      </c>
      <c r="H1324" s="2" t="s">
        <v>20</v>
      </c>
    </row>
    <row r="1325" spans="1:8" ht="15" customHeight="1" x14ac:dyDescent="0.25">
      <c r="A1325" s="2" t="s">
        <v>2661</v>
      </c>
      <c r="B1325" s="2" t="s">
        <v>1309</v>
      </c>
      <c r="C1325" s="17">
        <v>45870</v>
      </c>
      <c r="D1325" s="2" t="s">
        <v>1360</v>
      </c>
      <c r="E1325" s="18">
        <v>3931.99</v>
      </c>
      <c r="F1325" s="18">
        <v>108.78</v>
      </c>
      <c r="G1325" s="2" t="s">
        <v>1361</v>
      </c>
      <c r="H1325" s="2" t="s">
        <v>20</v>
      </c>
    </row>
    <row r="1326" spans="1:8" ht="15" customHeight="1" x14ac:dyDescent="0.25">
      <c r="A1326" s="2" t="s">
        <v>2662</v>
      </c>
      <c r="B1326" s="2" t="s">
        <v>1309</v>
      </c>
      <c r="C1326" s="17">
        <v>45904</v>
      </c>
      <c r="D1326" s="2" t="s">
        <v>1360</v>
      </c>
      <c r="E1326" s="18">
        <v>3269.84</v>
      </c>
      <c r="F1326" s="18">
        <v>93.27</v>
      </c>
      <c r="G1326" s="2" t="s">
        <v>1361</v>
      </c>
      <c r="H1326" s="2" t="s">
        <v>20</v>
      </c>
    </row>
    <row r="1327" spans="1:8" ht="15" customHeight="1" x14ac:dyDescent="0.25">
      <c r="A1327" s="2" t="s">
        <v>2663</v>
      </c>
      <c r="B1327" s="2" t="s">
        <v>1309</v>
      </c>
      <c r="C1327" s="17">
        <v>45959</v>
      </c>
      <c r="D1327" s="2" t="s">
        <v>1479</v>
      </c>
      <c r="E1327" s="18">
        <v>4825.7700000000004</v>
      </c>
      <c r="F1327" s="18">
        <v>114.56</v>
      </c>
      <c r="G1327" s="2" t="s">
        <v>1361</v>
      </c>
      <c r="H1327" s="2" t="s">
        <v>20</v>
      </c>
    </row>
    <row r="1328" spans="1:8" ht="15" customHeight="1" x14ac:dyDescent="0.25">
      <c r="A1328" s="2" t="s">
        <v>2664</v>
      </c>
      <c r="B1328" s="2" t="s">
        <v>1309</v>
      </c>
      <c r="C1328" s="17">
        <v>45985</v>
      </c>
      <c r="D1328" s="2" t="s">
        <v>1479</v>
      </c>
      <c r="E1328" s="18">
        <v>2337.75</v>
      </c>
      <c r="F1328" s="18">
        <v>67.790000000000006</v>
      </c>
      <c r="G1328" s="2" t="s">
        <v>1361</v>
      </c>
      <c r="H1328" s="2" t="s">
        <v>20</v>
      </c>
    </row>
    <row r="1329" spans="1:8" ht="15" customHeight="1" x14ac:dyDescent="0.25">
      <c r="A1329" s="2" t="s">
        <v>2665</v>
      </c>
      <c r="B1329" s="2" t="s">
        <v>1309</v>
      </c>
      <c r="C1329" s="17">
        <v>45963</v>
      </c>
      <c r="D1329" s="2" t="s">
        <v>1360</v>
      </c>
      <c r="E1329" s="18">
        <v>4503.04</v>
      </c>
      <c r="F1329" s="18">
        <v>130.91999999999999</v>
      </c>
      <c r="G1329" s="2" t="s">
        <v>1361</v>
      </c>
      <c r="H1329" s="2" t="s">
        <v>20</v>
      </c>
    </row>
    <row r="1330" spans="1:8" ht="15" customHeight="1" x14ac:dyDescent="0.25">
      <c r="A1330" s="2" t="s">
        <v>2666</v>
      </c>
      <c r="B1330" s="2" t="s">
        <v>1309</v>
      </c>
      <c r="C1330" s="17">
        <v>45998</v>
      </c>
      <c r="D1330" s="2" t="s">
        <v>1360</v>
      </c>
      <c r="E1330" s="18">
        <v>4690.42</v>
      </c>
      <c r="F1330" s="18">
        <v>112.82</v>
      </c>
      <c r="G1330" s="2" t="s">
        <v>1361</v>
      </c>
      <c r="H1330" s="2" t="s">
        <v>20</v>
      </c>
    </row>
    <row r="1331" spans="1:8" ht="15" customHeight="1" x14ac:dyDescent="0.25">
      <c r="A1331" s="2" t="s">
        <v>2667</v>
      </c>
      <c r="B1331" s="2" t="s">
        <v>1309</v>
      </c>
      <c r="C1331" s="17">
        <v>45995</v>
      </c>
      <c r="D1331" s="2" t="s">
        <v>1481</v>
      </c>
      <c r="E1331" s="18">
        <v>4432.08</v>
      </c>
      <c r="F1331" s="18">
        <v>113.78</v>
      </c>
      <c r="G1331" s="2" t="s">
        <v>1361</v>
      </c>
      <c r="H1331" s="2" t="s">
        <v>20</v>
      </c>
    </row>
    <row r="1332" spans="1:8" ht="15" customHeight="1" x14ac:dyDescent="0.25">
      <c r="A1332" s="2" t="s">
        <v>2668</v>
      </c>
      <c r="B1332" s="2" t="s">
        <v>1312</v>
      </c>
      <c r="C1332" s="17">
        <v>45836</v>
      </c>
      <c r="D1332" s="2" t="s">
        <v>1360</v>
      </c>
      <c r="E1332" s="18">
        <v>16522.97</v>
      </c>
      <c r="F1332" s="18">
        <v>424.96</v>
      </c>
      <c r="G1332" s="2" t="s">
        <v>1361</v>
      </c>
      <c r="H1332" s="2" t="s">
        <v>21</v>
      </c>
    </row>
    <row r="1333" spans="1:8" ht="15" customHeight="1" x14ac:dyDescent="0.25">
      <c r="A1333" s="2" t="s">
        <v>2669</v>
      </c>
      <c r="B1333" s="2" t="s">
        <v>1312</v>
      </c>
      <c r="C1333" s="17">
        <v>45859</v>
      </c>
      <c r="D1333" s="2" t="s">
        <v>1360</v>
      </c>
      <c r="E1333" s="18">
        <v>10722.96</v>
      </c>
      <c r="F1333" s="18">
        <v>249.06</v>
      </c>
      <c r="G1333" s="2" t="s">
        <v>1361</v>
      </c>
      <c r="H1333" s="2" t="s">
        <v>21</v>
      </c>
    </row>
    <row r="1334" spans="1:8" ht="15" customHeight="1" x14ac:dyDescent="0.25">
      <c r="A1334" s="2" t="s">
        <v>113</v>
      </c>
      <c r="B1334" s="2" t="s">
        <v>1312</v>
      </c>
      <c r="C1334" s="17">
        <v>45846</v>
      </c>
      <c r="D1334" s="2" t="s">
        <v>1360</v>
      </c>
      <c r="E1334" s="18">
        <v>7850.1</v>
      </c>
      <c r="F1334" s="18">
        <v>211.13</v>
      </c>
      <c r="G1334" s="2" t="s">
        <v>1361</v>
      </c>
      <c r="H1334" s="2" t="s">
        <v>21</v>
      </c>
    </row>
    <row r="1335" spans="1:8" ht="15" customHeight="1" x14ac:dyDescent="0.25">
      <c r="A1335" s="2" t="s">
        <v>2670</v>
      </c>
      <c r="B1335" s="2" t="s">
        <v>1312</v>
      </c>
      <c r="C1335" s="17">
        <v>45888</v>
      </c>
      <c r="D1335" s="2" t="s">
        <v>1360</v>
      </c>
      <c r="E1335" s="18">
        <v>9172.91</v>
      </c>
      <c r="F1335" s="18">
        <v>261.19</v>
      </c>
      <c r="G1335" s="2" t="s">
        <v>1361</v>
      </c>
      <c r="H1335" s="2" t="s">
        <v>21</v>
      </c>
    </row>
    <row r="1336" spans="1:8" ht="15" customHeight="1" x14ac:dyDescent="0.25">
      <c r="A1336" s="2" t="s">
        <v>2671</v>
      </c>
      <c r="B1336" s="2" t="s">
        <v>1312</v>
      </c>
      <c r="C1336" s="17">
        <v>45916</v>
      </c>
      <c r="D1336" s="2" t="s">
        <v>1360</v>
      </c>
      <c r="E1336" s="18">
        <v>12101.11</v>
      </c>
      <c r="F1336" s="18">
        <v>313.72000000000003</v>
      </c>
      <c r="G1336" s="2" t="s">
        <v>1361</v>
      </c>
      <c r="H1336" s="2" t="s">
        <v>21</v>
      </c>
    </row>
    <row r="1337" spans="1:8" ht="15" customHeight="1" x14ac:dyDescent="0.25">
      <c r="A1337" s="2" t="s">
        <v>2672</v>
      </c>
      <c r="B1337" s="2" t="s">
        <v>1312</v>
      </c>
      <c r="C1337" s="17">
        <v>45914</v>
      </c>
      <c r="D1337" s="2" t="s">
        <v>1360</v>
      </c>
      <c r="E1337" s="18">
        <v>14274.87</v>
      </c>
      <c r="F1337" s="18">
        <v>326.22000000000003</v>
      </c>
      <c r="G1337" s="2" t="s">
        <v>1361</v>
      </c>
      <c r="H1337" s="2" t="s">
        <v>21</v>
      </c>
    </row>
    <row r="1338" spans="1:8" ht="15" customHeight="1" x14ac:dyDescent="0.25">
      <c r="A1338" s="2" t="s">
        <v>2673</v>
      </c>
      <c r="B1338" s="2" t="s">
        <v>1312</v>
      </c>
      <c r="C1338" s="17">
        <v>45937</v>
      </c>
      <c r="D1338" s="2" t="s">
        <v>1360</v>
      </c>
      <c r="E1338" s="18">
        <v>4493.1000000000004</v>
      </c>
      <c r="F1338" s="18">
        <v>117.2</v>
      </c>
      <c r="G1338" s="2" t="s">
        <v>1361</v>
      </c>
      <c r="H1338" s="2" t="s">
        <v>21</v>
      </c>
    </row>
    <row r="1339" spans="1:8" ht="15" customHeight="1" x14ac:dyDescent="0.25">
      <c r="A1339" s="2" t="s">
        <v>2674</v>
      </c>
      <c r="B1339" s="2" t="s">
        <v>1312</v>
      </c>
      <c r="C1339" s="17">
        <v>45972</v>
      </c>
      <c r="D1339" s="2" t="s">
        <v>1360</v>
      </c>
      <c r="E1339" s="18">
        <v>14313.35</v>
      </c>
      <c r="F1339" s="18">
        <v>351.32</v>
      </c>
      <c r="G1339" s="2" t="s">
        <v>1361</v>
      </c>
      <c r="H1339" s="2" t="s">
        <v>21</v>
      </c>
    </row>
    <row r="1340" spans="1:8" ht="15" customHeight="1" x14ac:dyDescent="0.25">
      <c r="A1340" s="2" t="s">
        <v>2675</v>
      </c>
      <c r="B1340" s="2" t="s">
        <v>1312</v>
      </c>
      <c r="C1340" s="17">
        <v>46006</v>
      </c>
      <c r="D1340" s="2" t="s">
        <v>1360</v>
      </c>
      <c r="E1340" s="18">
        <v>17537.95</v>
      </c>
      <c r="F1340" s="18">
        <v>462.33</v>
      </c>
      <c r="G1340" s="2" t="s">
        <v>1361</v>
      </c>
      <c r="H1340" s="2" t="s">
        <v>21</v>
      </c>
    </row>
    <row r="1341" spans="1:8" ht="15" customHeight="1" x14ac:dyDescent="0.25">
      <c r="A1341" s="2" t="s">
        <v>2676</v>
      </c>
      <c r="B1341" s="2" t="s">
        <v>1312</v>
      </c>
      <c r="C1341" s="17">
        <v>46002</v>
      </c>
      <c r="D1341" s="2" t="s">
        <v>1360</v>
      </c>
      <c r="E1341" s="18">
        <v>9762.89</v>
      </c>
      <c r="F1341" s="18">
        <v>241.88</v>
      </c>
      <c r="G1341" s="2" t="s">
        <v>1361</v>
      </c>
      <c r="H1341" s="2" t="s">
        <v>21</v>
      </c>
    </row>
    <row r="1342" spans="1:8" ht="15" customHeight="1" x14ac:dyDescent="0.25">
      <c r="A1342" s="2" t="s">
        <v>2677</v>
      </c>
      <c r="B1342" s="2" t="s">
        <v>1312</v>
      </c>
      <c r="C1342" s="17">
        <v>45992</v>
      </c>
      <c r="D1342" s="2" t="s">
        <v>1360</v>
      </c>
      <c r="E1342" s="18">
        <v>6570.57</v>
      </c>
      <c r="F1342" s="18">
        <v>176.13</v>
      </c>
      <c r="G1342" s="2" t="s">
        <v>1361</v>
      </c>
      <c r="H1342" s="2" t="s">
        <v>21</v>
      </c>
    </row>
    <row r="1343" spans="1:8" ht="15" customHeight="1" x14ac:dyDescent="0.25">
      <c r="A1343" s="2" t="s">
        <v>2678</v>
      </c>
      <c r="B1343" s="2" t="s">
        <v>91</v>
      </c>
      <c r="C1343" s="17">
        <v>45714</v>
      </c>
      <c r="D1343" s="2" t="s">
        <v>1360</v>
      </c>
      <c r="E1343" s="18">
        <v>3094.96</v>
      </c>
      <c r="F1343" s="18">
        <v>81.55</v>
      </c>
      <c r="G1343" s="2" t="s">
        <v>1361</v>
      </c>
      <c r="H1343" s="2" t="s">
        <v>20</v>
      </c>
    </row>
    <row r="1344" spans="1:8" ht="15" customHeight="1" x14ac:dyDescent="0.25">
      <c r="A1344" s="2" t="s">
        <v>2679</v>
      </c>
      <c r="B1344" s="2" t="s">
        <v>91</v>
      </c>
      <c r="C1344" s="17">
        <v>45726</v>
      </c>
      <c r="D1344" s="2" t="s">
        <v>1360</v>
      </c>
      <c r="E1344" s="18">
        <v>2307.31</v>
      </c>
      <c r="F1344" s="18">
        <v>62.61</v>
      </c>
      <c r="G1344" s="2" t="s">
        <v>1361</v>
      </c>
      <c r="H1344" s="2" t="s">
        <v>20</v>
      </c>
    </row>
    <row r="1345" spans="1:8" ht="15" customHeight="1" x14ac:dyDescent="0.25">
      <c r="A1345" s="2" t="s">
        <v>2680</v>
      </c>
      <c r="B1345" s="2" t="s">
        <v>91</v>
      </c>
      <c r="C1345" s="17">
        <v>45732</v>
      </c>
      <c r="D1345" s="2" t="s">
        <v>1360</v>
      </c>
      <c r="E1345" s="18">
        <v>2711.55</v>
      </c>
      <c r="F1345" s="18">
        <v>73.239999999999995</v>
      </c>
      <c r="G1345" s="2" t="s">
        <v>1361</v>
      </c>
      <c r="H1345" s="2" t="s">
        <v>20</v>
      </c>
    </row>
    <row r="1346" spans="1:8" ht="15" customHeight="1" x14ac:dyDescent="0.25">
      <c r="A1346" s="2" t="s">
        <v>2681</v>
      </c>
      <c r="B1346" s="2" t="s">
        <v>91</v>
      </c>
      <c r="C1346" s="17">
        <v>45772</v>
      </c>
      <c r="D1346" s="2" t="s">
        <v>1360</v>
      </c>
      <c r="E1346" s="18">
        <v>2465.41</v>
      </c>
      <c r="F1346" s="18">
        <v>70.33</v>
      </c>
      <c r="G1346" s="2" t="s">
        <v>1361</v>
      </c>
      <c r="H1346" s="2" t="s">
        <v>20</v>
      </c>
    </row>
    <row r="1347" spans="1:8" ht="15" customHeight="1" x14ac:dyDescent="0.25">
      <c r="A1347" s="2" t="s">
        <v>2682</v>
      </c>
      <c r="B1347" s="2" t="s">
        <v>91</v>
      </c>
      <c r="C1347" s="17">
        <v>45764</v>
      </c>
      <c r="D1347" s="2" t="s">
        <v>1360</v>
      </c>
      <c r="E1347" s="18">
        <v>3333.72</v>
      </c>
      <c r="F1347" s="18">
        <v>80.040000000000006</v>
      </c>
      <c r="G1347" s="2" t="s">
        <v>1361</v>
      </c>
      <c r="H1347" s="2" t="s">
        <v>20</v>
      </c>
    </row>
    <row r="1348" spans="1:8" ht="15" customHeight="1" x14ac:dyDescent="0.25">
      <c r="A1348" s="2" t="s">
        <v>2683</v>
      </c>
      <c r="B1348" s="2" t="s">
        <v>91</v>
      </c>
      <c r="C1348" s="17">
        <v>45800</v>
      </c>
      <c r="D1348" s="2" t="s">
        <v>1360</v>
      </c>
      <c r="E1348" s="18">
        <v>2484.21</v>
      </c>
      <c r="F1348" s="18">
        <v>67.150000000000006</v>
      </c>
      <c r="G1348" s="2" t="s">
        <v>1361</v>
      </c>
      <c r="H1348" s="2" t="s">
        <v>20</v>
      </c>
    </row>
    <row r="1349" spans="1:8" ht="15" customHeight="1" x14ac:dyDescent="0.25">
      <c r="A1349" s="2" t="s">
        <v>2684</v>
      </c>
      <c r="B1349" s="2" t="s">
        <v>91</v>
      </c>
      <c r="C1349" s="17">
        <v>45803</v>
      </c>
      <c r="D1349" s="2" t="s">
        <v>1360</v>
      </c>
      <c r="E1349" s="18">
        <v>2998.69</v>
      </c>
      <c r="F1349" s="18">
        <v>66.14</v>
      </c>
      <c r="G1349" s="2" t="s">
        <v>1361</v>
      </c>
      <c r="H1349" s="2" t="s">
        <v>20</v>
      </c>
    </row>
    <row r="1350" spans="1:8" ht="15" customHeight="1" x14ac:dyDescent="0.25">
      <c r="A1350" s="2" t="s">
        <v>2685</v>
      </c>
      <c r="B1350" s="2" t="s">
        <v>91</v>
      </c>
      <c r="C1350" s="17">
        <v>45833</v>
      </c>
      <c r="D1350" s="2" t="s">
        <v>1360</v>
      </c>
      <c r="E1350" s="18">
        <v>3245.62</v>
      </c>
      <c r="F1350" s="18">
        <v>69.48</v>
      </c>
      <c r="G1350" s="2" t="s">
        <v>1361</v>
      </c>
      <c r="H1350" s="2" t="s">
        <v>20</v>
      </c>
    </row>
    <row r="1351" spans="1:8" ht="15" customHeight="1" x14ac:dyDescent="0.25">
      <c r="A1351" s="2" t="s">
        <v>2686</v>
      </c>
      <c r="B1351" s="2" t="s">
        <v>91</v>
      </c>
      <c r="C1351" s="17">
        <v>45821</v>
      </c>
      <c r="D1351" s="2" t="s">
        <v>1360</v>
      </c>
      <c r="E1351" s="18">
        <v>2492.8000000000002</v>
      </c>
      <c r="F1351" s="18">
        <v>60.75</v>
      </c>
      <c r="G1351" s="2" t="s">
        <v>1361</v>
      </c>
      <c r="H1351" s="2" t="s">
        <v>20</v>
      </c>
    </row>
    <row r="1352" spans="1:8" ht="15" customHeight="1" x14ac:dyDescent="0.25">
      <c r="A1352" s="2" t="s">
        <v>2687</v>
      </c>
      <c r="B1352" s="2" t="s">
        <v>91</v>
      </c>
      <c r="C1352" s="17">
        <v>45849</v>
      </c>
      <c r="D1352" s="2" t="s">
        <v>1360</v>
      </c>
      <c r="E1352" s="18">
        <v>2302.2399999999998</v>
      </c>
      <c r="F1352" s="18">
        <v>52.31</v>
      </c>
      <c r="G1352" s="2" t="s">
        <v>1361</v>
      </c>
      <c r="H1352" s="2" t="s">
        <v>20</v>
      </c>
    </row>
    <row r="1353" spans="1:8" ht="15" customHeight="1" x14ac:dyDescent="0.25">
      <c r="A1353" s="2" t="s">
        <v>2688</v>
      </c>
      <c r="B1353" s="2" t="s">
        <v>91</v>
      </c>
      <c r="C1353" s="17">
        <v>45850</v>
      </c>
      <c r="D1353" s="2" t="s">
        <v>1360</v>
      </c>
      <c r="E1353" s="18">
        <v>1949.84</v>
      </c>
      <c r="F1353" s="18">
        <v>46.17</v>
      </c>
      <c r="G1353" s="2" t="s">
        <v>1361</v>
      </c>
      <c r="H1353" s="2" t="s">
        <v>20</v>
      </c>
    </row>
    <row r="1354" spans="1:8" ht="15" customHeight="1" x14ac:dyDescent="0.25">
      <c r="A1354" s="2" t="s">
        <v>2689</v>
      </c>
      <c r="B1354" s="2" t="s">
        <v>91</v>
      </c>
      <c r="C1354" s="17">
        <v>45883</v>
      </c>
      <c r="D1354" s="2" t="s">
        <v>1360</v>
      </c>
      <c r="E1354" s="18">
        <v>1290.04</v>
      </c>
      <c r="F1354" s="18">
        <v>30.18</v>
      </c>
      <c r="G1354" s="2" t="s">
        <v>1361</v>
      </c>
      <c r="H1354" s="2" t="s">
        <v>20</v>
      </c>
    </row>
    <row r="1355" spans="1:8" ht="15" customHeight="1" x14ac:dyDescent="0.25">
      <c r="A1355" s="2" t="s">
        <v>2690</v>
      </c>
      <c r="B1355" s="2" t="s">
        <v>91</v>
      </c>
      <c r="C1355" s="17">
        <v>45878</v>
      </c>
      <c r="D1355" s="2" t="s">
        <v>1360</v>
      </c>
      <c r="E1355" s="18">
        <v>4756.8</v>
      </c>
      <c r="F1355" s="18">
        <v>128.01</v>
      </c>
      <c r="G1355" s="2" t="s">
        <v>1361</v>
      </c>
      <c r="H1355" s="2" t="s">
        <v>20</v>
      </c>
    </row>
    <row r="1356" spans="1:8" ht="15" customHeight="1" x14ac:dyDescent="0.25">
      <c r="A1356" s="2" t="s">
        <v>2691</v>
      </c>
      <c r="B1356" s="2" t="s">
        <v>91</v>
      </c>
      <c r="C1356" s="17">
        <v>45896</v>
      </c>
      <c r="D1356" s="2" t="s">
        <v>1360</v>
      </c>
      <c r="E1356" s="18">
        <v>4891.6400000000003</v>
      </c>
      <c r="F1356" s="18">
        <v>111.74</v>
      </c>
      <c r="G1356" s="2" t="s">
        <v>1361</v>
      </c>
      <c r="H1356" s="2" t="s">
        <v>20</v>
      </c>
    </row>
    <row r="1357" spans="1:8" ht="15" customHeight="1" x14ac:dyDescent="0.25">
      <c r="A1357" s="2" t="s">
        <v>2692</v>
      </c>
      <c r="B1357" s="2" t="s">
        <v>91</v>
      </c>
      <c r="C1357" s="17">
        <v>45913</v>
      </c>
      <c r="D1357" s="2" t="s">
        <v>1360</v>
      </c>
      <c r="E1357" s="18">
        <v>3845.87</v>
      </c>
      <c r="F1357" s="18">
        <v>93.26</v>
      </c>
      <c r="G1357" s="2" t="s">
        <v>1361</v>
      </c>
      <c r="H1357" s="2" t="s">
        <v>20</v>
      </c>
    </row>
    <row r="1358" spans="1:8" ht="15" customHeight="1" x14ac:dyDescent="0.25">
      <c r="A1358" s="2" t="s">
        <v>2693</v>
      </c>
      <c r="B1358" s="2" t="s">
        <v>91</v>
      </c>
      <c r="C1358" s="17">
        <v>45925</v>
      </c>
      <c r="D1358" s="2" t="s">
        <v>1360</v>
      </c>
      <c r="E1358" s="18">
        <v>5039.3100000000004</v>
      </c>
      <c r="F1358" s="18">
        <v>110.81</v>
      </c>
      <c r="G1358" s="2" t="s">
        <v>1361</v>
      </c>
      <c r="H1358" s="2" t="s">
        <v>20</v>
      </c>
    </row>
    <row r="1359" spans="1:8" ht="15" customHeight="1" x14ac:dyDescent="0.25">
      <c r="A1359" s="2" t="s">
        <v>2694</v>
      </c>
      <c r="B1359" s="2" t="s">
        <v>91</v>
      </c>
      <c r="C1359" s="17">
        <v>45920</v>
      </c>
      <c r="D1359" s="2" t="s">
        <v>1360</v>
      </c>
      <c r="E1359" s="18">
        <v>2106.9299999999998</v>
      </c>
      <c r="F1359" s="18">
        <v>49.71</v>
      </c>
      <c r="G1359" s="2" t="s">
        <v>1361</v>
      </c>
      <c r="H1359" s="2" t="s">
        <v>20</v>
      </c>
    </row>
    <row r="1360" spans="1:8" ht="15" customHeight="1" x14ac:dyDescent="0.25">
      <c r="A1360" s="2" t="s">
        <v>2695</v>
      </c>
      <c r="B1360" s="2" t="s">
        <v>91</v>
      </c>
      <c r="C1360" s="17">
        <v>45935</v>
      </c>
      <c r="D1360" s="2" t="s">
        <v>1360</v>
      </c>
      <c r="E1360" s="18">
        <v>3525.92</v>
      </c>
      <c r="F1360" s="18">
        <v>95.53</v>
      </c>
      <c r="G1360" s="2" t="s">
        <v>1361</v>
      </c>
      <c r="H1360" s="2" t="s">
        <v>20</v>
      </c>
    </row>
    <row r="1361" spans="1:8" ht="15" customHeight="1" x14ac:dyDescent="0.25">
      <c r="A1361" s="2" t="s">
        <v>2696</v>
      </c>
      <c r="B1361" s="2" t="s">
        <v>91</v>
      </c>
      <c r="C1361" s="17">
        <v>45945</v>
      </c>
      <c r="D1361" s="2" t="s">
        <v>1360</v>
      </c>
      <c r="E1361" s="18">
        <v>2403.81</v>
      </c>
      <c r="F1361" s="18">
        <v>0</v>
      </c>
      <c r="G1361" s="2" t="s">
        <v>1408</v>
      </c>
      <c r="H1361" s="2" t="s">
        <v>20</v>
      </c>
    </row>
    <row r="1362" spans="1:8" ht="15" customHeight="1" x14ac:dyDescent="0.25">
      <c r="A1362" s="2" t="s">
        <v>2697</v>
      </c>
      <c r="B1362" s="2" t="s">
        <v>91</v>
      </c>
      <c r="C1362" s="17">
        <v>45933</v>
      </c>
      <c r="D1362" s="2" t="s">
        <v>1360</v>
      </c>
      <c r="E1362" s="18">
        <v>4877.25</v>
      </c>
      <c r="F1362" s="18">
        <v>130.57</v>
      </c>
      <c r="G1362" s="2" t="s">
        <v>1361</v>
      </c>
      <c r="H1362" s="2" t="s">
        <v>20</v>
      </c>
    </row>
    <row r="1363" spans="1:8" ht="15" customHeight="1" x14ac:dyDescent="0.25">
      <c r="A1363" s="2" t="s">
        <v>2698</v>
      </c>
      <c r="B1363" s="2" t="s">
        <v>91</v>
      </c>
      <c r="C1363" s="17">
        <v>45974</v>
      </c>
      <c r="D1363" s="2" t="s">
        <v>1360</v>
      </c>
      <c r="E1363" s="18">
        <v>2960.02</v>
      </c>
      <c r="F1363" s="18">
        <v>74.81</v>
      </c>
      <c r="G1363" s="2" t="s">
        <v>1361</v>
      </c>
      <c r="H1363" s="2" t="s">
        <v>20</v>
      </c>
    </row>
    <row r="1364" spans="1:8" ht="15" customHeight="1" x14ac:dyDescent="0.25">
      <c r="A1364" s="2" t="s">
        <v>2699</v>
      </c>
      <c r="B1364" s="2" t="s">
        <v>91</v>
      </c>
      <c r="C1364" s="17">
        <v>46009</v>
      </c>
      <c r="D1364" s="2" t="s">
        <v>1360</v>
      </c>
      <c r="E1364" s="18">
        <v>5039.82</v>
      </c>
      <c r="F1364" s="18">
        <v>129.33000000000001</v>
      </c>
      <c r="G1364" s="2" t="s">
        <v>1361</v>
      </c>
      <c r="H1364" s="2" t="s">
        <v>20</v>
      </c>
    </row>
    <row r="1365" spans="1:8" ht="15" customHeight="1" x14ac:dyDescent="0.25">
      <c r="A1365" s="2" t="s">
        <v>2700</v>
      </c>
      <c r="B1365" s="2" t="s">
        <v>1313</v>
      </c>
      <c r="C1365" s="17">
        <v>46017</v>
      </c>
      <c r="D1365" s="2" t="s">
        <v>1423</v>
      </c>
      <c r="E1365" s="18">
        <v>12763.13</v>
      </c>
      <c r="F1365" s="18">
        <v>447.71</v>
      </c>
      <c r="G1365" s="2" t="s">
        <v>1361</v>
      </c>
      <c r="H1365" s="2" t="s">
        <v>21</v>
      </c>
    </row>
    <row r="1366" spans="1:8" ht="15" customHeight="1" x14ac:dyDescent="0.25">
      <c r="A1366" s="2" t="s">
        <v>2701</v>
      </c>
      <c r="B1366" s="2" t="s">
        <v>1313</v>
      </c>
      <c r="C1366" s="17">
        <v>46022</v>
      </c>
      <c r="D1366" s="2" t="s">
        <v>1423</v>
      </c>
      <c r="E1366" s="18">
        <v>15008.58</v>
      </c>
      <c r="F1366" s="18">
        <v>472.15</v>
      </c>
      <c r="G1366" s="2" t="s">
        <v>1361</v>
      </c>
      <c r="H1366" s="2" t="s">
        <v>21</v>
      </c>
    </row>
    <row r="1367" spans="1:8" ht="15" customHeight="1" x14ac:dyDescent="0.25">
      <c r="A1367" s="2" t="s">
        <v>2702</v>
      </c>
      <c r="B1367" s="2" t="s">
        <v>1313</v>
      </c>
      <c r="C1367" s="17">
        <v>46011</v>
      </c>
      <c r="D1367" s="2" t="s">
        <v>1423</v>
      </c>
      <c r="E1367" s="18">
        <v>4863.21</v>
      </c>
      <c r="F1367" s="18">
        <v>138.66999999999999</v>
      </c>
      <c r="G1367" s="2" t="s">
        <v>1361</v>
      </c>
      <c r="H1367" s="2" t="s">
        <v>21</v>
      </c>
    </row>
    <row r="1368" spans="1:8" ht="15" customHeight="1" x14ac:dyDescent="0.25">
      <c r="A1368" s="2" t="s">
        <v>2703</v>
      </c>
      <c r="B1368" s="2" t="s">
        <v>1314</v>
      </c>
      <c r="C1368" s="17">
        <v>45917</v>
      </c>
      <c r="D1368" s="2" t="s">
        <v>1373</v>
      </c>
      <c r="E1368" s="18">
        <v>4201.41</v>
      </c>
      <c r="F1368" s="18">
        <v>76.94</v>
      </c>
      <c r="G1368" s="2" t="s">
        <v>1361</v>
      </c>
      <c r="H1368" s="2" t="s">
        <v>21</v>
      </c>
    </row>
    <row r="1369" spans="1:8" ht="15" customHeight="1" x14ac:dyDescent="0.25">
      <c r="A1369" s="2" t="s">
        <v>2704</v>
      </c>
      <c r="B1369" s="2" t="s">
        <v>1314</v>
      </c>
      <c r="C1369" s="17">
        <v>45901</v>
      </c>
      <c r="D1369" s="2" t="s">
        <v>1373</v>
      </c>
      <c r="E1369" s="18">
        <v>4917.24</v>
      </c>
      <c r="F1369" s="18">
        <v>75.55</v>
      </c>
      <c r="G1369" s="2" t="s">
        <v>1361</v>
      </c>
      <c r="H1369" s="2" t="s">
        <v>21</v>
      </c>
    </row>
    <row r="1370" spans="1:8" ht="15" customHeight="1" x14ac:dyDescent="0.25">
      <c r="A1370" s="2" t="s">
        <v>2705</v>
      </c>
      <c r="B1370" s="2" t="s">
        <v>1314</v>
      </c>
      <c r="C1370" s="17">
        <v>45951</v>
      </c>
      <c r="D1370" s="2" t="s">
        <v>1373</v>
      </c>
      <c r="E1370" s="18">
        <v>2133.63</v>
      </c>
      <c r="F1370" s="18">
        <v>35.4</v>
      </c>
      <c r="G1370" s="2" t="s">
        <v>1361</v>
      </c>
      <c r="H1370" s="2" t="s">
        <v>21</v>
      </c>
    </row>
    <row r="1371" spans="1:8" ht="15" customHeight="1" x14ac:dyDescent="0.25">
      <c r="A1371" s="2" t="s">
        <v>2706</v>
      </c>
      <c r="B1371" s="2" t="s">
        <v>1314</v>
      </c>
      <c r="C1371" s="17">
        <v>45985</v>
      </c>
      <c r="D1371" s="2" t="s">
        <v>1373</v>
      </c>
      <c r="E1371" s="18">
        <v>5041.33</v>
      </c>
      <c r="F1371" s="18">
        <v>99.3</v>
      </c>
      <c r="G1371" s="2" t="s">
        <v>1361</v>
      </c>
      <c r="H1371" s="2" t="s">
        <v>21</v>
      </c>
    </row>
    <row r="1372" spans="1:8" ht="15" customHeight="1" x14ac:dyDescent="0.25">
      <c r="A1372" s="2" t="s">
        <v>2707</v>
      </c>
      <c r="B1372" s="2" t="s">
        <v>1314</v>
      </c>
      <c r="C1372" s="17">
        <v>45971</v>
      </c>
      <c r="D1372" s="2" t="s">
        <v>1373</v>
      </c>
      <c r="E1372" s="18">
        <v>4796.5</v>
      </c>
      <c r="F1372" s="18">
        <v>75.430000000000007</v>
      </c>
      <c r="G1372" s="2" t="s">
        <v>1361</v>
      </c>
      <c r="H1372" s="2" t="s">
        <v>21</v>
      </c>
    </row>
    <row r="1373" spans="1:8" ht="15" customHeight="1" x14ac:dyDescent="0.25">
      <c r="A1373" s="2" t="s">
        <v>2708</v>
      </c>
      <c r="B1373" s="2" t="s">
        <v>1314</v>
      </c>
      <c r="C1373" s="17">
        <v>46012</v>
      </c>
      <c r="D1373" s="2" t="s">
        <v>1373</v>
      </c>
      <c r="E1373" s="18">
        <v>2392.96</v>
      </c>
      <c r="F1373" s="18">
        <v>40.06</v>
      </c>
      <c r="G1373" s="2" t="s">
        <v>1361</v>
      </c>
      <c r="H1373" s="2" t="s">
        <v>21</v>
      </c>
    </row>
    <row r="1374" spans="1:8" ht="15" customHeight="1" x14ac:dyDescent="0.25">
      <c r="A1374" s="2" t="s">
        <v>2709</v>
      </c>
      <c r="B1374" s="2" t="s">
        <v>1314</v>
      </c>
      <c r="C1374" s="17">
        <v>46021</v>
      </c>
      <c r="D1374" s="2" t="s">
        <v>1373</v>
      </c>
      <c r="E1374" s="18">
        <v>2768.82</v>
      </c>
      <c r="F1374" s="18">
        <v>47.78</v>
      </c>
      <c r="G1374" s="2" t="s">
        <v>1361</v>
      </c>
      <c r="H1374" s="2" t="s">
        <v>21</v>
      </c>
    </row>
    <row r="1375" spans="1:8" ht="15" customHeight="1" x14ac:dyDescent="0.25">
      <c r="A1375" s="2" t="s">
        <v>2710</v>
      </c>
      <c r="B1375" s="2" t="s">
        <v>1317</v>
      </c>
      <c r="C1375" s="17">
        <v>45732</v>
      </c>
      <c r="D1375" s="2" t="s">
        <v>1360</v>
      </c>
      <c r="E1375" s="18">
        <v>3091.99</v>
      </c>
      <c r="F1375" s="18">
        <v>77.58</v>
      </c>
      <c r="G1375" s="2" t="s">
        <v>1361</v>
      </c>
      <c r="H1375" s="2" t="s">
        <v>21</v>
      </c>
    </row>
    <row r="1376" spans="1:8" ht="15" customHeight="1" x14ac:dyDescent="0.25">
      <c r="A1376" s="2" t="s">
        <v>2711</v>
      </c>
      <c r="B1376" s="2" t="s">
        <v>1317</v>
      </c>
      <c r="C1376" s="17">
        <v>45735</v>
      </c>
      <c r="D1376" s="2" t="s">
        <v>1360</v>
      </c>
      <c r="E1376" s="18">
        <v>3145.12</v>
      </c>
      <c r="F1376" s="18">
        <v>85.68</v>
      </c>
      <c r="G1376" s="2" t="s">
        <v>1361</v>
      </c>
      <c r="H1376" s="2" t="s">
        <v>21</v>
      </c>
    </row>
    <row r="1377" spans="1:8" ht="15" customHeight="1" x14ac:dyDescent="0.25">
      <c r="A1377" s="2" t="s">
        <v>2712</v>
      </c>
      <c r="B1377" s="2" t="s">
        <v>1317</v>
      </c>
      <c r="C1377" s="17">
        <v>45745</v>
      </c>
      <c r="D1377" s="2" t="s">
        <v>1360</v>
      </c>
      <c r="E1377" s="18">
        <v>4279.3900000000003</v>
      </c>
      <c r="F1377" s="18">
        <v>101.28</v>
      </c>
      <c r="G1377" s="2" t="s">
        <v>1361</v>
      </c>
      <c r="H1377" s="2" t="s">
        <v>21</v>
      </c>
    </row>
    <row r="1378" spans="1:8" ht="15" customHeight="1" x14ac:dyDescent="0.25">
      <c r="A1378" s="2" t="s">
        <v>2713</v>
      </c>
      <c r="B1378" s="2" t="s">
        <v>1317</v>
      </c>
      <c r="C1378" s="17">
        <v>45757</v>
      </c>
      <c r="D1378" s="2" t="s">
        <v>1360</v>
      </c>
      <c r="E1378" s="18">
        <v>1784.79</v>
      </c>
      <c r="F1378" s="18">
        <v>44.37</v>
      </c>
      <c r="G1378" s="2" t="s">
        <v>1361</v>
      </c>
      <c r="H1378" s="2" t="s">
        <v>21</v>
      </c>
    </row>
    <row r="1379" spans="1:8" ht="15" customHeight="1" x14ac:dyDescent="0.25">
      <c r="A1379" s="2" t="s">
        <v>2714</v>
      </c>
      <c r="B1379" s="2" t="s">
        <v>1317</v>
      </c>
      <c r="C1379" s="17">
        <v>45806</v>
      </c>
      <c r="D1379" s="2" t="s">
        <v>1360</v>
      </c>
      <c r="E1379" s="18">
        <v>4323.24</v>
      </c>
      <c r="F1379" s="18">
        <v>111.63</v>
      </c>
      <c r="G1379" s="2" t="s">
        <v>1361</v>
      </c>
      <c r="H1379" s="2" t="s">
        <v>21</v>
      </c>
    </row>
    <row r="1380" spans="1:8" ht="15" customHeight="1" x14ac:dyDescent="0.25">
      <c r="A1380" s="2" t="s">
        <v>2715</v>
      </c>
      <c r="B1380" s="2" t="s">
        <v>1317</v>
      </c>
      <c r="C1380" s="17">
        <v>45802</v>
      </c>
      <c r="D1380" s="2" t="s">
        <v>1360</v>
      </c>
      <c r="E1380" s="18">
        <v>2129.5</v>
      </c>
      <c r="F1380" s="18">
        <v>57.89</v>
      </c>
      <c r="G1380" s="2" t="s">
        <v>1361</v>
      </c>
      <c r="H1380" s="2" t="s">
        <v>21</v>
      </c>
    </row>
    <row r="1381" spans="1:8" ht="15" customHeight="1" x14ac:dyDescent="0.25">
      <c r="A1381" s="2" t="s">
        <v>2716</v>
      </c>
      <c r="B1381" s="2" t="s">
        <v>1317</v>
      </c>
      <c r="C1381" s="17">
        <v>45795</v>
      </c>
      <c r="D1381" s="2" t="s">
        <v>1360</v>
      </c>
      <c r="E1381" s="18">
        <v>1725.93</v>
      </c>
      <c r="F1381" s="18">
        <v>48.56</v>
      </c>
      <c r="G1381" s="2" t="s">
        <v>1361</v>
      </c>
      <c r="H1381" s="2" t="s">
        <v>21</v>
      </c>
    </row>
    <row r="1382" spans="1:8" ht="15" customHeight="1" x14ac:dyDescent="0.25">
      <c r="A1382" s="2" t="s">
        <v>2717</v>
      </c>
      <c r="B1382" s="2" t="s">
        <v>1317</v>
      </c>
      <c r="C1382" s="17">
        <v>45831</v>
      </c>
      <c r="D1382" s="2" t="s">
        <v>1360</v>
      </c>
      <c r="E1382" s="18">
        <v>5075.09</v>
      </c>
      <c r="F1382" s="18">
        <v>119.09</v>
      </c>
      <c r="G1382" s="2" t="s">
        <v>1361</v>
      </c>
      <c r="H1382" s="2" t="s">
        <v>21</v>
      </c>
    </row>
    <row r="1383" spans="1:8" ht="15" customHeight="1" x14ac:dyDescent="0.25">
      <c r="A1383" s="2" t="s">
        <v>2718</v>
      </c>
      <c r="B1383" s="2" t="s">
        <v>1317</v>
      </c>
      <c r="C1383" s="17">
        <v>45818</v>
      </c>
      <c r="D1383" s="2" t="s">
        <v>1360</v>
      </c>
      <c r="E1383" s="18">
        <v>4598.13</v>
      </c>
      <c r="F1383" s="18">
        <v>130.78</v>
      </c>
      <c r="G1383" s="2" t="s">
        <v>1361</v>
      </c>
      <c r="H1383" s="2" t="s">
        <v>21</v>
      </c>
    </row>
    <row r="1384" spans="1:8" ht="15" customHeight="1" x14ac:dyDescent="0.25">
      <c r="A1384" s="2" t="s">
        <v>2719</v>
      </c>
      <c r="B1384" s="2" t="s">
        <v>1317</v>
      </c>
      <c r="C1384" s="17">
        <v>45855</v>
      </c>
      <c r="D1384" s="2" t="s">
        <v>1360</v>
      </c>
      <c r="E1384" s="18">
        <v>4391.75</v>
      </c>
      <c r="F1384" s="18">
        <v>121.37</v>
      </c>
      <c r="G1384" s="2" t="s">
        <v>1361</v>
      </c>
      <c r="H1384" s="2" t="s">
        <v>21</v>
      </c>
    </row>
    <row r="1385" spans="1:8" ht="15" customHeight="1" x14ac:dyDescent="0.25">
      <c r="A1385" s="2" t="s">
        <v>2720</v>
      </c>
      <c r="B1385" s="2" t="s">
        <v>1317</v>
      </c>
      <c r="C1385" s="17">
        <v>45852</v>
      </c>
      <c r="D1385" s="2" t="s">
        <v>1360</v>
      </c>
      <c r="E1385" s="18">
        <v>2127.21</v>
      </c>
      <c r="F1385" s="18">
        <v>45.93</v>
      </c>
      <c r="G1385" s="2" t="s">
        <v>1361</v>
      </c>
      <c r="H1385" s="2" t="s">
        <v>21</v>
      </c>
    </row>
    <row r="1386" spans="1:8" ht="15" customHeight="1" x14ac:dyDescent="0.25">
      <c r="A1386" s="2" t="s">
        <v>2721</v>
      </c>
      <c r="B1386" s="2" t="s">
        <v>1317</v>
      </c>
      <c r="C1386" s="17">
        <v>45880</v>
      </c>
      <c r="D1386" s="2" t="s">
        <v>1360</v>
      </c>
      <c r="E1386" s="18">
        <v>3942.17</v>
      </c>
      <c r="F1386" s="18">
        <v>106.46</v>
      </c>
      <c r="G1386" s="2" t="s">
        <v>1361</v>
      </c>
      <c r="H1386" s="2" t="s">
        <v>21</v>
      </c>
    </row>
    <row r="1387" spans="1:8" ht="15" customHeight="1" x14ac:dyDescent="0.25">
      <c r="A1387" s="2" t="s">
        <v>2722</v>
      </c>
      <c r="B1387" s="2" t="s">
        <v>1317</v>
      </c>
      <c r="C1387" s="17">
        <v>45913</v>
      </c>
      <c r="D1387" s="2" t="s">
        <v>1360</v>
      </c>
      <c r="E1387" s="18">
        <v>1498.86</v>
      </c>
      <c r="F1387" s="18">
        <v>0</v>
      </c>
      <c r="G1387" s="2" t="s">
        <v>1408</v>
      </c>
      <c r="H1387" s="2" t="s">
        <v>21</v>
      </c>
    </row>
    <row r="1388" spans="1:8" ht="15" customHeight="1" x14ac:dyDescent="0.25">
      <c r="A1388" s="2" t="s">
        <v>2723</v>
      </c>
      <c r="B1388" s="2" t="s">
        <v>1317</v>
      </c>
      <c r="C1388" s="17">
        <v>45922</v>
      </c>
      <c r="D1388" s="2" t="s">
        <v>1360</v>
      </c>
      <c r="E1388" s="18">
        <v>2424.8000000000002</v>
      </c>
      <c r="F1388" s="18">
        <v>68.510000000000005</v>
      </c>
      <c r="G1388" s="2" t="s">
        <v>1361</v>
      </c>
      <c r="H1388" s="2" t="s">
        <v>21</v>
      </c>
    </row>
    <row r="1389" spans="1:8" ht="15" customHeight="1" x14ac:dyDescent="0.25">
      <c r="A1389" s="2" t="s">
        <v>2724</v>
      </c>
      <c r="B1389" s="2" t="s">
        <v>1317</v>
      </c>
      <c r="C1389" s="17">
        <v>45955</v>
      </c>
      <c r="D1389" s="2" t="s">
        <v>1360</v>
      </c>
      <c r="E1389" s="18">
        <v>1828.03</v>
      </c>
      <c r="F1389" s="18">
        <v>0</v>
      </c>
      <c r="G1389" s="2" t="s">
        <v>1408</v>
      </c>
      <c r="H1389" s="2" t="s">
        <v>21</v>
      </c>
    </row>
    <row r="1390" spans="1:8" ht="15" customHeight="1" x14ac:dyDescent="0.25">
      <c r="A1390" s="2" t="s">
        <v>2725</v>
      </c>
      <c r="B1390" s="2" t="s">
        <v>1317</v>
      </c>
      <c r="C1390" s="17">
        <v>45962</v>
      </c>
      <c r="D1390" s="2" t="s">
        <v>1360</v>
      </c>
      <c r="E1390" s="18">
        <v>2974.44</v>
      </c>
      <c r="F1390" s="18">
        <v>67.81</v>
      </c>
      <c r="G1390" s="2" t="s">
        <v>1361</v>
      </c>
      <c r="H1390" s="2" t="s">
        <v>21</v>
      </c>
    </row>
    <row r="1391" spans="1:8" ht="15" customHeight="1" x14ac:dyDescent="0.25">
      <c r="A1391" s="2" t="s">
        <v>2726</v>
      </c>
      <c r="B1391" s="2" t="s">
        <v>1317</v>
      </c>
      <c r="C1391" s="17">
        <v>45962</v>
      </c>
      <c r="D1391" s="2" t="s">
        <v>1360</v>
      </c>
      <c r="E1391" s="18">
        <v>2736.75</v>
      </c>
      <c r="F1391" s="18">
        <v>76.459999999999994</v>
      </c>
      <c r="G1391" s="2" t="s">
        <v>1361</v>
      </c>
      <c r="H1391" s="2" t="s">
        <v>21</v>
      </c>
    </row>
    <row r="1392" spans="1:8" ht="15" customHeight="1" x14ac:dyDescent="0.25">
      <c r="A1392" s="2" t="s">
        <v>2727</v>
      </c>
      <c r="B1392" s="2" t="s">
        <v>1317</v>
      </c>
      <c r="C1392" s="17">
        <v>45980</v>
      </c>
      <c r="D1392" s="2" t="s">
        <v>1360</v>
      </c>
      <c r="E1392" s="18">
        <v>2898.04</v>
      </c>
      <c r="F1392" s="18">
        <v>72.75</v>
      </c>
      <c r="G1392" s="2" t="s">
        <v>1361</v>
      </c>
      <c r="H1392" s="2" t="s">
        <v>21</v>
      </c>
    </row>
    <row r="1393" spans="1:8" ht="15" customHeight="1" x14ac:dyDescent="0.25">
      <c r="A1393" s="2" t="s">
        <v>2728</v>
      </c>
      <c r="B1393" s="2" t="s">
        <v>1317</v>
      </c>
      <c r="C1393" s="17">
        <v>46010</v>
      </c>
      <c r="D1393" s="2" t="s">
        <v>1360</v>
      </c>
      <c r="E1393" s="18">
        <v>4990.1000000000004</v>
      </c>
      <c r="F1393" s="18">
        <v>123.15</v>
      </c>
      <c r="G1393" s="2" t="s">
        <v>1361</v>
      </c>
      <c r="H1393" s="2" t="s">
        <v>21</v>
      </c>
    </row>
    <row r="1394" spans="1:8" ht="15" customHeight="1" x14ac:dyDescent="0.25">
      <c r="A1394" s="2" t="s">
        <v>2729</v>
      </c>
      <c r="B1394" s="2" t="s">
        <v>1317</v>
      </c>
      <c r="C1394" s="17">
        <v>45993</v>
      </c>
      <c r="D1394" s="2" t="s">
        <v>1360</v>
      </c>
      <c r="E1394" s="18">
        <v>2791.24</v>
      </c>
      <c r="F1394" s="18">
        <v>61.76</v>
      </c>
      <c r="G1394" s="2" t="s">
        <v>1361</v>
      </c>
      <c r="H1394" s="2" t="s">
        <v>21</v>
      </c>
    </row>
    <row r="1395" spans="1:8" ht="15" customHeight="1" x14ac:dyDescent="0.25">
      <c r="A1395" s="2" t="s">
        <v>2730</v>
      </c>
      <c r="B1395" s="2" t="s">
        <v>104</v>
      </c>
      <c r="C1395" s="17">
        <v>45866</v>
      </c>
      <c r="D1395" s="2" t="s">
        <v>1423</v>
      </c>
      <c r="E1395" s="18">
        <v>16942.77</v>
      </c>
      <c r="F1395" s="18">
        <v>502.04</v>
      </c>
      <c r="G1395" s="2" t="s">
        <v>1361</v>
      </c>
      <c r="H1395" s="2" t="s">
        <v>21</v>
      </c>
    </row>
    <row r="1396" spans="1:8" ht="15" customHeight="1" x14ac:dyDescent="0.25">
      <c r="A1396" s="2" t="s">
        <v>2731</v>
      </c>
      <c r="B1396" s="2" t="s">
        <v>104</v>
      </c>
      <c r="C1396" s="17">
        <v>45853</v>
      </c>
      <c r="D1396" s="2" t="s">
        <v>1423</v>
      </c>
      <c r="E1396" s="18">
        <v>13683.3</v>
      </c>
      <c r="F1396" s="18">
        <v>405.95</v>
      </c>
      <c r="G1396" s="2" t="s">
        <v>1361</v>
      </c>
      <c r="H1396" s="2" t="s">
        <v>21</v>
      </c>
    </row>
    <row r="1397" spans="1:8" ht="15" customHeight="1" x14ac:dyDescent="0.25">
      <c r="A1397" s="2" t="s">
        <v>2732</v>
      </c>
      <c r="B1397" s="2" t="s">
        <v>104</v>
      </c>
      <c r="C1397" s="17">
        <v>45880</v>
      </c>
      <c r="D1397" s="2" t="s">
        <v>1423</v>
      </c>
      <c r="E1397" s="18">
        <v>16512.75</v>
      </c>
      <c r="F1397" s="18">
        <v>472.55</v>
      </c>
      <c r="G1397" s="2" t="s">
        <v>1361</v>
      </c>
      <c r="H1397" s="2" t="s">
        <v>21</v>
      </c>
    </row>
    <row r="1398" spans="1:8" ht="15" customHeight="1" x14ac:dyDescent="0.25">
      <c r="A1398" s="2" t="s">
        <v>2733</v>
      </c>
      <c r="B1398" s="2" t="s">
        <v>104</v>
      </c>
      <c r="C1398" s="17">
        <v>45899</v>
      </c>
      <c r="D1398" s="2" t="s">
        <v>1423</v>
      </c>
      <c r="E1398" s="18">
        <v>6434.01</v>
      </c>
      <c r="F1398" s="18">
        <v>207.82</v>
      </c>
      <c r="G1398" s="2" t="s">
        <v>1361</v>
      </c>
      <c r="H1398" s="2" t="s">
        <v>21</v>
      </c>
    </row>
    <row r="1399" spans="1:8" ht="15" customHeight="1" x14ac:dyDescent="0.25">
      <c r="A1399" s="2" t="s">
        <v>2734</v>
      </c>
      <c r="B1399" s="2" t="s">
        <v>104</v>
      </c>
      <c r="C1399" s="17">
        <v>45927</v>
      </c>
      <c r="D1399" s="2" t="s">
        <v>1423</v>
      </c>
      <c r="E1399" s="18">
        <v>8768.5400000000009</v>
      </c>
      <c r="F1399" s="18">
        <v>295.13</v>
      </c>
      <c r="G1399" s="2" t="s">
        <v>1361</v>
      </c>
      <c r="H1399" s="2" t="s">
        <v>21</v>
      </c>
    </row>
    <row r="1400" spans="1:8" ht="15" customHeight="1" x14ac:dyDescent="0.25">
      <c r="A1400" s="2" t="s">
        <v>2735</v>
      </c>
      <c r="B1400" s="2" t="s">
        <v>104</v>
      </c>
      <c r="C1400" s="17">
        <v>45912</v>
      </c>
      <c r="D1400" s="2" t="s">
        <v>1423</v>
      </c>
      <c r="E1400" s="18">
        <v>9002.4500000000007</v>
      </c>
      <c r="F1400" s="18">
        <v>239.04</v>
      </c>
      <c r="G1400" s="2" t="s">
        <v>1361</v>
      </c>
      <c r="H1400" s="2" t="s">
        <v>21</v>
      </c>
    </row>
    <row r="1401" spans="1:8" ht="15" customHeight="1" x14ac:dyDescent="0.25">
      <c r="A1401" s="2" t="s">
        <v>2736</v>
      </c>
      <c r="B1401" s="2" t="s">
        <v>104</v>
      </c>
      <c r="C1401" s="17">
        <v>45938</v>
      </c>
      <c r="D1401" s="2" t="s">
        <v>1423</v>
      </c>
      <c r="E1401" s="18">
        <v>5796.85</v>
      </c>
      <c r="F1401" s="18">
        <v>196.74</v>
      </c>
      <c r="G1401" s="2" t="s">
        <v>1361</v>
      </c>
      <c r="H1401" s="2" t="s">
        <v>21</v>
      </c>
    </row>
    <row r="1402" spans="1:8" ht="15" customHeight="1" x14ac:dyDescent="0.25">
      <c r="A1402" s="2" t="s">
        <v>114</v>
      </c>
      <c r="B1402" s="2" t="s">
        <v>104</v>
      </c>
      <c r="C1402" s="17">
        <v>45955</v>
      </c>
      <c r="D1402" s="2" t="s">
        <v>1423</v>
      </c>
      <c r="E1402" s="18">
        <v>12601.23</v>
      </c>
      <c r="F1402" s="18">
        <v>333.07</v>
      </c>
      <c r="G1402" s="2" t="s">
        <v>1361</v>
      </c>
      <c r="H1402" s="2" t="s">
        <v>21</v>
      </c>
    </row>
    <row r="1403" spans="1:8" ht="15" customHeight="1" x14ac:dyDescent="0.25">
      <c r="A1403" s="2" t="s">
        <v>2737</v>
      </c>
      <c r="B1403" s="2" t="s">
        <v>104</v>
      </c>
      <c r="C1403" s="17">
        <v>45931</v>
      </c>
      <c r="D1403" s="2" t="s">
        <v>1423</v>
      </c>
      <c r="E1403" s="18">
        <v>5260.6</v>
      </c>
      <c r="F1403" s="18">
        <v>172.77</v>
      </c>
      <c r="G1403" s="2" t="s">
        <v>1361</v>
      </c>
      <c r="H1403" s="2" t="s">
        <v>21</v>
      </c>
    </row>
    <row r="1404" spans="1:8" ht="15" customHeight="1" x14ac:dyDescent="0.25">
      <c r="A1404" s="2" t="s">
        <v>2738</v>
      </c>
      <c r="B1404" s="2" t="s">
        <v>104</v>
      </c>
      <c r="C1404" s="17">
        <v>45977</v>
      </c>
      <c r="D1404" s="2" t="s">
        <v>1423</v>
      </c>
      <c r="E1404" s="18">
        <v>14552.17</v>
      </c>
      <c r="F1404" s="18">
        <v>390.46</v>
      </c>
      <c r="G1404" s="2" t="s">
        <v>1361</v>
      </c>
      <c r="H1404" s="2" t="s">
        <v>21</v>
      </c>
    </row>
    <row r="1405" spans="1:8" ht="15" customHeight="1" x14ac:dyDescent="0.25">
      <c r="A1405" s="2" t="s">
        <v>2739</v>
      </c>
      <c r="B1405" s="2" t="s">
        <v>104</v>
      </c>
      <c r="C1405" s="17">
        <v>45981</v>
      </c>
      <c r="D1405" s="2" t="s">
        <v>1423</v>
      </c>
      <c r="E1405" s="18">
        <v>11387.67</v>
      </c>
      <c r="F1405" s="18">
        <v>316.43</v>
      </c>
      <c r="G1405" s="2" t="s">
        <v>1361</v>
      </c>
      <c r="H1405" s="2" t="s">
        <v>21</v>
      </c>
    </row>
    <row r="1406" spans="1:8" ht="15" customHeight="1" x14ac:dyDescent="0.25">
      <c r="A1406" s="2" t="s">
        <v>2740</v>
      </c>
      <c r="B1406" s="2" t="s">
        <v>104</v>
      </c>
      <c r="C1406" s="17">
        <v>45970</v>
      </c>
      <c r="D1406" s="2" t="s">
        <v>1423</v>
      </c>
      <c r="E1406" s="18">
        <v>16267.03</v>
      </c>
      <c r="F1406" s="18">
        <v>446.38</v>
      </c>
      <c r="G1406" s="2" t="s">
        <v>1361</v>
      </c>
      <c r="H1406" s="2" t="s">
        <v>21</v>
      </c>
    </row>
    <row r="1407" spans="1:8" ht="15" customHeight="1" x14ac:dyDescent="0.25">
      <c r="A1407" s="2" t="s">
        <v>2741</v>
      </c>
      <c r="B1407" s="2" t="s">
        <v>104</v>
      </c>
      <c r="C1407" s="17">
        <v>46013</v>
      </c>
      <c r="D1407" s="2" t="s">
        <v>1423</v>
      </c>
      <c r="E1407" s="18">
        <v>5120.42</v>
      </c>
      <c r="F1407" s="18">
        <v>168.35</v>
      </c>
      <c r="G1407" s="2" t="s">
        <v>1361</v>
      </c>
      <c r="H1407" s="2" t="s">
        <v>21</v>
      </c>
    </row>
    <row r="1408" spans="1:8" ht="15" customHeight="1" x14ac:dyDescent="0.25">
      <c r="A1408" s="2" t="s">
        <v>2742</v>
      </c>
      <c r="B1408" s="2" t="s">
        <v>95</v>
      </c>
      <c r="C1408" s="17">
        <v>45851</v>
      </c>
      <c r="D1408" s="2" t="s">
        <v>1360</v>
      </c>
      <c r="E1408" s="18">
        <v>30246.880000000001</v>
      </c>
      <c r="F1408" s="18">
        <v>833.5</v>
      </c>
      <c r="G1408" s="2" t="s">
        <v>1361</v>
      </c>
      <c r="H1408" s="2" t="s">
        <v>19</v>
      </c>
    </row>
    <row r="1409" spans="1:8" ht="15" customHeight="1" x14ac:dyDescent="0.25">
      <c r="A1409" s="2" t="s">
        <v>2743</v>
      </c>
      <c r="B1409" s="2" t="s">
        <v>95</v>
      </c>
      <c r="C1409" s="17">
        <v>45848</v>
      </c>
      <c r="D1409" s="2" t="s">
        <v>1360</v>
      </c>
      <c r="E1409" s="18">
        <v>18853.91</v>
      </c>
      <c r="F1409" s="18">
        <v>475.15</v>
      </c>
      <c r="G1409" s="2" t="s">
        <v>1361</v>
      </c>
      <c r="H1409" s="2" t="s">
        <v>19</v>
      </c>
    </row>
    <row r="1410" spans="1:8" ht="15" customHeight="1" x14ac:dyDescent="0.25">
      <c r="A1410" s="2" t="s">
        <v>2744</v>
      </c>
      <c r="B1410" s="2" t="s">
        <v>95</v>
      </c>
      <c r="C1410" s="17">
        <v>45874</v>
      </c>
      <c r="D1410" s="2" t="s">
        <v>1481</v>
      </c>
      <c r="E1410" s="18">
        <v>32129.58</v>
      </c>
      <c r="F1410" s="18">
        <v>972.33</v>
      </c>
      <c r="G1410" s="2" t="s">
        <v>1361</v>
      </c>
      <c r="H1410" s="2" t="s">
        <v>19</v>
      </c>
    </row>
    <row r="1411" spans="1:8" ht="15" customHeight="1" x14ac:dyDescent="0.25">
      <c r="A1411" s="2" t="s">
        <v>2745</v>
      </c>
      <c r="B1411" s="2" t="s">
        <v>95</v>
      </c>
      <c r="C1411" s="17">
        <v>45919</v>
      </c>
      <c r="D1411" s="2" t="s">
        <v>1360</v>
      </c>
      <c r="E1411" s="18">
        <v>18197.47</v>
      </c>
      <c r="F1411" s="18">
        <v>525.33000000000004</v>
      </c>
      <c r="G1411" s="2" t="s">
        <v>1361</v>
      </c>
      <c r="H1411" s="2" t="s">
        <v>19</v>
      </c>
    </row>
    <row r="1412" spans="1:8" ht="15" customHeight="1" x14ac:dyDescent="0.25">
      <c r="A1412" s="2" t="s">
        <v>2746</v>
      </c>
      <c r="B1412" s="2" t="s">
        <v>95</v>
      </c>
      <c r="C1412" s="17">
        <v>45934</v>
      </c>
      <c r="D1412" s="2" t="s">
        <v>1360</v>
      </c>
      <c r="E1412" s="18">
        <v>61327.22</v>
      </c>
      <c r="F1412" s="18">
        <v>1776.14</v>
      </c>
      <c r="G1412" s="2" t="s">
        <v>1361</v>
      </c>
      <c r="H1412" s="2" t="s">
        <v>19</v>
      </c>
    </row>
    <row r="1413" spans="1:8" ht="15" customHeight="1" x14ac:dyDescent="0.25">
      <c r="A1413" s="2" t="s">
        <v>2747</v>
      </c>
      <c r="B1413" s="2" t="s">
        <v>95</v>
      </c>
      <c r="C1413" s="17">
        <v>45985</v>
      </c>
      <c r="D1413" s="2" t="s">
        <v>1481</v>
      </c>
      <c r="E1413" s="18">
        <v>45880.92</v>
      </c>
      <c r="F1413" s="18">
        <v>1294.1400000000001</v>
      </c>
      <c r="G1413" s="2" t="s">
        <v>1361</v>
      </c>
      <c r="H1413" s="2" t="s">
        <v>19</v>
      </c>
    </row>
    <row r="1414" spans="1:8" ht="15" customHeight="1" x14ac:dyDescent="0.25">
      <c r="A1414" s="2" t="s">
        <v>2748</v>
      </c>
      <c r="B1414" s="2" t="s">
        <v>95</v>
      </c>
      <c r="C1414" s="17">
        <v>46014</v>
      </c>
      <c r="D1414" s="2" t="s">
        <v>1360</v>
      </c>
      <c r="E1414" s="18">
        <v>29732.62</v>
      </c>
      <c r="F1414" s="18">
        <v>801.73</v>
      </c>
      <c r="G1414" s="2" t="s">
        <v>1361</v>
      </c>
      <c r="H1414" s="2" t="s">
        <v>19</v>
      </c>
    </row>
    <row r="1415" spans="1:8" ht="15" customHeight="1" x14ac:dyDescent="0.25">
      <c r="A1415" s="2" t="s">
        <v>2749</v>
      </c>
      <c r="B1415" s="2" t="s">
        <v>1321</v>
      </c>
      <c r="C1415" s="17">
        <v>45790</v>
      </c>
      <c r="D1415" s="2" t="s">
        <v>1360</v>
      </c>
      <c r="E1415" s="18">
        <v>4249.41</v>
      </c>
      <c r="F1415" s="18">
        <v>100.57</v>
      </c>
      <c r="G1415" s="2" t="s">
        <v>1361</v>
      </c>
      <c r="H1415" s="2" t="s">
        <v>20</v>
      </c>
    </row>
    <row r="1416" spans="1:8" ht="15" customHeight="1" x14ac:dyDescent="0.25">
      <c r="A1416" s="2" t="s">
        <v>2750</v>
      </c>
      <c r="B1416" s="2" t="s">
        <v>1321</v>
      </c>
      <c r="C1416" s="17">
        <v>45837</v>
      </c>
      <c r="D1416" s="2" t="s">
        <v>1360</v>
      </c>
      <c r="E1416" s="18">
        <v>1583.93</v>
      </c>
      <c r="F1416" s="18">
        <v>35.46</v>
      </c>
      <c r="G1416" s="2" t="s">
        <v>1361</v>
      </c>
      <c r="H1416" s="2" t="s">
        <v>20</v>
      </c>
    </row>
    <row r="1417" spans="1:8" ht="15" customHeight="1" x14ac:dyDescent="0.25">
      <c r="A1417" s="2" t="s">
        <v>2751</v>
      </c>
      <c r="B1417" s="2" t="s">
        <v>1321</v>
      </c>
      <c r="C1417" s="17">
        <v>45861</v>
      </c>
      <c r="D1417" s="2" t="s">
        <v>1360</v>
      </c>
      <c r="E1417" s="18">
        <v>5235.79</v>
      </c>
      <c r="F1417" s="18">
        <v>129.07</v>
      </c>
      <c r="G1417" s="2" t="s">
        <v>1361</v>
      </c>
      <c r="H1417" s="2" t="s">
        <v>20</v>
      </c>
    </row>
    <row r="1418" spans="1:8" ht="15" customHeight="1" x14ac:dyDescent="0.25">
      <c r="A1418" s="2" t="s">
        <v>2752</v>
      </c>
      <c r="B1418" s="2" t="s">
        <v>1321</v>
      </c>
      <c r="C1418" s="17">
        <v>45860</v>
      </c>
      <c r="D1418" s="2" t="s">
        <v>1360</v>
      </c>
      <c r="E1418" s="18">
        <v>2950.5</v>
      </c>
      <c r="F1418" s="18">
        <v>79.73</v>
      </c>
      <c r="G1418" s="2" t="s">
        <v>1361</v>
      </c>
      <c r="H1418" s="2" t="s">
        <v>20</v>
      </c>
    </row>
    <row r="1419" spans="1:8" ht="15" customHeight="1" x14ac:dyDescent="0.25">
      <c r="A1419" s="2" t="s">
        <v>2753</v>
      </c>
      <c r="B1419" s="2" t="s">
        <v>1321</v>
      </c>
      <c r="C1419" s="17">
        <v>45861</v>
      </c>
      <c r="D1419" s="2" t="s">
        <v>1360</v>
      </c>
      <c r="E1419" s="18">
        <v>4487.0200000000004</v>
      </c>
      <c r="F1419" s="18">
        <v>110.7</v>
      </c>
      <c r="G1419" s="2" t="s">
        <v>1361</v>
      </c>
      <c r="H1419" s="2" t="s">
        <v>20</v>
      </c>
    </row>
    <row r="1420" spans="1:8" ht="15" customHeight="1" x14ac:dyDescent="0.25">
      <c r="A1420" s="2" t="s">
        <v>122</v>
      </c>
      <c r="B1420" s="2" t="s">
        <v>1437</v>
      </c>
      <c r="C1420" s="17">
        <v>45896</v>
      </c>
      <c r="D1420" s="2" t="s">
        <v>1360</v>
      </c>
      <c r="E1420" s="18">
        <v>1389.41</v>
      </c>
      <c r="F1420" s="18">
        <v>33.909999999999997</v>
      </c>
      <c r="G1420" s="2" t="s">
        <v>1361</v>
      </c>
      <c r="H1420" s="2" t="s">
        <v>20</v>
      </c>
    </row>
    <row r="1421" spans="1:8" ht="15" customHeight="1" x14ac:dyDescent="0.25">
      <c r="A1421" s="2" t="s">
        <v>2754</v>
      </c>
      <c r="B1421" s="2" t="s">
        <v>1321</v>
      </c>
      <c r="C1421" s="17">
        <v>45927</v>
      </c>
      <c r="D1421" s="2" t="s">
        <v>1360</v>
      </c>
      <c r="E1421" s="18">
        <v>1661.41</v>
      </c>
      <c r="F1421" s="18">
        <v>38.299999999999997</v>
      </c>
      <c r="G1421" s="2" t="s">
        <v>1361</v>
      </c>
      <c r="H1421" s="2" t="s">
        <v>20</v>
      </c>
    </row>
    <row r="1422" spans="1:8" ht="15" customHeight="1" x14ac:dyDescent="0.25">
      <c r="A1422" s="2" t="s">
        <v>2755</v>
      </c>
      <c r="B1422" s="2" t="s">
        <v>1321</v>
      </c>
      <c r="C1422" s="17">
        <v>45915</v>
      </c>
      <c r="D1422" s="2" t="s">
        <v>1360</v>
      </c>
      <c r="E1422" s="18">
        <v>4824.7</v>
      </c>
      <c r="F1422" s="18">
        <v>109.48</v>
      </c>
      <c r="G1422" s="2" t="s">
        <v>1361</v>
      </c>
      <c r="H1422" s="2" t="s">
        <v>20</v>
      </c>
    </row>
    <row r="1423" spans="1:8" ht="15" customHeight="1" x14ac:dyDescent="0.25">
      <c r="A1423" s="2" t="s">
        <v>2756</v>
      </c>
      <c r="B1423" s="2" t="s">
        <v>1321</v>
      </c>
      <c r="C1423" s="17">
        <v>45918</v>
      </c>
      <c r="D1423" s="2" t="s">
        <v>1360</v>
      </c>
      <c r="E1423" s="18">
        <v>2311.64</v>
      </c>
      <c r="F1423" s="18">
        <v>62.52</v>
      </c>
      <c r="G1423" s="2" t="s">
        <v>1361</v>
      </c>
      <c r="H1423" s="2" t="s">
        <v>20</v>
      </c>
    </row>
    <row r="1424" spans="1:8" ht="15" customHeight="1" x14ac:dyDescent="0.25">
      <c r="A1424" s="2" t="s">
        <v>2757</v>
      </c>
      <c r="B1424" s="2" t="s">
        <v>1321</v>
      </c>
      <c r="C1424" s="17">
        <v>45937</v>
      </c>
      <c r="D1424" s="2" t="s">
        <v>1360</v>
      </c>
      <c r="E1424" s="18">
        <v>2050.4899999999998</v>
      </c>
      <c r="F1424" s="18">
        <v>52.88</v>
      </c>
      <c r="G1424" s="2" t="s">
        <v>1361</v>
      </c>
      <c r="H1424" s="2" t="s">
        <v>20</v>
      </c>
    </row>
    <row r="1425" spans="1:8" ht="15" customHeight="1" x14ac:dyDescent="0.25">
      <c r="A1425" s="2" t="s">
        <v>2758</v>
      </c>
      <c r="B1425" s="2" t="s">
        <v>1321</v>
      </c>
      <c r="C1425" s="17">
        <v>45975</v>
      </c>
      <c r="D1425" s="2" t="s">
        <v>1360</v>
      </c>
      <c r="E1425" s="18">
        <v>1584.37</v>
      </c>
      <c r="F1425" s="18">
        <v>34.520000000000003</v>
      </c>
      <c r="G1425" s="2" t="s">
        <v>1361</v>
      </c>
      <c r="H1425" s="2" t="s">
        <v>20</v>
      </c>
    </row>
    <row r="1426" spans="1:8" ht="15" customHeight="1" x14ac:dyDescent="0.25">
      <c r="A1426" s="2" t="s">
        <v>2759</v>
      </c>
      <c r="B1426" s="2" t="s">
        <v>1321</v>
      </c>
      <c r="C1426" s="17">
        <v>45984</v>
      </c>
      <c r="D1426" s="2" t="s">
        <v>1360</v>
      </c>
      <c r="E1426" s="18">
        <v>2926.16</v>
      </c>
      <c r="F1426" s="18">
        <v>68.62</v>
      </c>
      <c r="G1426" s="2" t="s">
        <v>1361</v>
      </c>
      <c r="H1426" s="2" t="s">
        <v>20</v>
      </c>
    </row>
    <row r="1427" spans="1:8" ht="15" customHeight="1" x14ac:dyDescent="0.25">
      <c r="A1427" s="2" t="s">
        <v>2760</v>
      </c>
      <c r="B1427" s="2" t="s">
        <v>1321</v>
      </c>
      <c r="C1427" s="17">
        <v>46015</v>
      </c>
      <c r="D1427" s="2" t="s">
        <v>1360</v>
      </c>
      <c r="E1427" s="18">
        <v>2197.3000000000002</v>
      </c>
      <c r="F1427" s="18">
        <v>55.49</v>
      </c>
      <c r="G1427" s="2" t="s">
        <v>1361</v>
      </c>
      <c r="H1427" s="2" t="s">
        <v>20</v>
      </c>
    </row>
    <row r="1428" spans="1:8" ht="15" customHeight="1" x14ac:dyDescent="0.25">
      <c r="A1428" s="2" t="s">
        <v>2761</v>
      </c>
      <c r="B1428" s="2" t="s">
        <v>1321</v>
      </c>
      <c r="C1428" s="17">
        <v>46005</v>
      </c>
      <c r="D1428" s="2" t="s">
        <v>1360</v>
      </c>
      <c r="E1428" s="18">
        <v>1534.44</v>
      </c>
      <c r="F1428" s="18">
        <v>43.9</v>
      </c>
      <c r="G1428" s="2" t="s">
        <v>1361</v>
      </c>
      <c r="H1428" s="2" t="s">
        <v>20</v>
      </c>
    </row>
    <row r="1429" spans="1:8" ht="15" customHeight="1" x14ac:dyDescent="0.25">
      <c r="A1429" s="2" t="s">
        <v>2762</v>
      </c>
      <c r="B1429" s="2" t="s">
        <v>1321</v>
      </c>
      <c r="C1429" s="17">
        <v>46013</v>
      </c>
      <c r="D1429" s="2" t="s">
        <v>1360</v>
      </c>
      <c r="E1429" s="18">
        <v>3951.9</v>
      </c>
      <c r="F1429" s="18">
        <v>0</v>
      </c>
      <c r="G1429" s="2" t="s">
        <v>1408</v>
      </c>
      <c r="H1429" s="2" t="s">
        <v>20</v>
      </c>
    </row>
    <row r="1430" spans="1:8" ht="15" customHeight="1" x14ac:dyDescent="0.25">
      <c r="A1430" s="2" t="s">
        <v>2763</v>
      </c>
      <c r="B1430" s="2" t="s">
        <v>1322</v>
      </c>
      <c r="C1430" s="17">
        <v>45738</v>
      </c>
      <c r="D1430" s="2" t="s">
        <v>1373</v>
      </c>
      <c r="E1430" s="18">
        <v>7354.56</v>
      </c>
      <c r="F1430" s="18">
        <v>146.97999999999999</v>
      </c>
      <c r="G1430" s="2" t="s">
        <v>1361</v>
      </c>
      <c r="H1430" s="2" t="s">
        <v>20</v>
      </c>
    </row>
    <row r="1431" spans="1:8" ht="15" customHeight="1" x14ac:dyDescent="0.25">
      <c r="A1431" s="2" t="s">
        <v>2764</v>
      </c>
      <c r="B1431" s="2" t="s">
        <v>1322</v>
      </c>
      <c r="C1431" s="17">
        <v>45751</v>
      </c>
      <c r="D1431" s="2" t="s">
        <v>1373</v>
      </c>
      <c r="E1431" s="18">
        <v>12557.54</v>
      </c>
      <c r="F1431" s="18">
        <v>212.46</v>
      </c>
      <c r="G1431" s="2" t="s">
        <v>1361</v>
      </c>
      <c r="H1431" s="2" t="s">
        <v>20</v>
      </c>
    </row>
    <row r="1432" spans="1:8" ht="15" customHeight="1" x14ac:dyDescent="0.25">
      <c r="A1432" s="2" t="s">
        <v>2765</v>
      </c>
      <c r="B1432" s="2" t="s">
        <v>1322</v>
      </c>
      <c r="C1432" s="17">
        <v>45761</v>
      </c>
      <c r="D1432" s="2" t="s">
        <v>1373</v>
      </c>
      <c r="E1432" s="18">
        <v>8586.0499999999993</v>
      </c>
      <c r="F1432" s="18">
        <v>173.47</v>
      </c>
      <c r="G1432" s="2" t="s">
        <v>1361</v>
      </c>
      <c r="H1432" s="2" t="s">
        <v>20</v>
      </c>
    </row>
    <row r="1433" spans="1:8" ht="15" customHeight="1" x14ac:dyDescent="0.25">
      <c r="A1433" s="2" t="s">
        <v>2766</v>
      </c>
      <c r="B1433" s="2" t="s">
        <v>1322</v>
      </c>
      <c r="C1433" s="17">
        <v>45792</v>
      </c>
      <c r="D1433" s="2" t="s">
        <v>1373</v>
      </c>
      <c r="E1433" s="18">
        <v>17009.36</v>
      </c>
      <c r="F1433" s="18">
        <v>278.05</v>
      </c>
      <c r="G1433" s="2" t="s">
        <v>1361</v>
      </c>
      <c r="H1433" s="2" t="s">
        <v>20</v>
      </c>
    </row>
    <row r="1434" spans="1:8" ht="15" customHeight="1" x14ac:dyDescent="0.25">
      <c r="A1434" s="2" t="s">
        <v>2767</v>
      </c>
      <c r="B1434" s="2" t="s">
        <v>1322</v>
      </c>
      <c r="C1434" s="17">
        <v>45793</v>
      </c>
      <c r="D1434" s="2" t="s">
        <v>1373</v>
      </c>
      <c r="E1434" s="18">
        <v>5665.19</v>
      </c>
      <c r="F1434" s="18">
        <v>87.75</v>
      </c>
      <c r="G1434" s="2" t="s">
        <v>1361</v>
      </c>
      <c r="H1434" s="2" t="s">
        <v>20</v>
      </c>
    </row>
    <row r="1435" spans="1:8" ht="15" customHeight="1" x14ac:dyDescent="0.25">
      <c r="A1435" s="2" t="s">
        <v>2768</v>
      </c>
      <c r="B1435" s="2" t="s">
        <v>1322</v>
      </c>
      <c r="C1435" s="17">
        <v>45782</v>
      </c>
      <c r="D1435" s="2" t="s">
        <v>1373</v>
      </c>
      <c r="E1435" s="18">
        <v>17163.91</v>
      </c>
      <c r="F1435" s="18">
        <v>290.64</v>
      </c>
      <c r="G1435" s="2" t="s">
        <v>1361</v>
      </c>
      <c r="H1435" s="2" t="s">
        <v>20</v>
      </c>
    </row>
    <row r="1436" spans="1:8" ht="15" customHeight="1" x14ac:dyDescent="0.25">
      <c r="A1436" s="2" t="s">
        <v>2769</v>
      </c>
      <c r="B1436" s="2" t="s">
        <v>1322</v>
      </c>
      <c r="C1436" s="17">
        <v>45829</v>
      </c>
      <c r="D1436" s="2" t="s">
        <v>1373</v>
      </c>
      <c r="E1436" s="18">
        <v>14124.22</v>
      </c>
      <c r="F1436" s="18">
        <v>222.5</v>
      </c>
      <c r="G1436" s="2" t="s">
        <v>1361</v>
      </c>
      <c r="H1436" s="2" t="s">
        <v>20</v>
      </c>
    </row>
    <row r="1437" spans="1:8" ht="15" customHeight="1" x14ac:dyDescent="0.25">
      <c r="A1437" s="2" t="s">
        <v>2770</v>
      </c>
      <c r="B1437" s="2" t="s">
        <v>1322</v>
      </c>
      <c r="C1437" s="17">
        <v>45858</v>
      </c>
      <c r="D1437" s="2" t="s">
        <v>1373</v>
      </c>
      <c r="E1437" s="18">
        <v>17488.79</v>
      </c>
      <c r="F1437" s="18">
        <v>294.45999999999998</v>
      </c>
      <c r="G1437" s="2" t="s">
        <v>1361</v>
      </c>
      <c r="H1437" s="2" t="s">
        <v>20</v>
      </c>
    </row>
    <row r="1438" spans="1:8" ht="15" customHeight="1" x14ac:dyDescent="0.25">
      <c r="A1438" s="2" t="s">
        <v>2771</v>
      </c>
      <c r="B1438" s="2" t="s">
        <v>1322</v>
      </c>
      <c r="C1438" s="17">
        <v>45844</v>
      </c>
      <c r="D1438" s="2" t="s">
        <v>1373</v>
      </c>
      <c r="E1438" s="18">
        <v>6191.68</v>
      </c>
      <c r="F1438" s="18">
        <v>0</v>
      </c>
      <c r="G1438" s="2" t="s">
        <v>1408</v>
      </c>
      <c r="H1438" s="2" t="s">
        <v>20</v>
      </c>
    </row>
    <row r="1439" spans="1:8" ht="15" customHeight="1" x14ac:dyDescent="0.25">
      <c r="A1439" s="2" t="s">
        <v>2772</v>
      </c>
      <c r="B1439" s="2" t="s">
        <v>1322</v>
      </c>
      <c r="C1439" s="17">
        <v>45885</v>
      </c>
      <c r="D1439" s="2" t="s">
        <v>1373</v>
      </c>
      <c r="E1439" s="18">
        <v>15714.05</v>
      </c>
      <c r="F1439" s="18">
        <v>315.08999999999997</v>
      </c>
      <c r="G1439" s="2" t="s">
        <v>1361</v>
      </c>
      <c r="H1439" s="2" t="s">
        <v>20</v>
      </c>
    </row>
    <row r="1440" spans="1:8" ht="15" customHeight="1" x14ac:dyDescent="0.25">
      <c r="A1440" s="2" t="s">
        <v>2773</v>
      </c>
      <c r="B1440" s="2" t="s">
        <v>1322</v>
      </c>
      <c r="C1440" s="17">
        <v>45883</v>
      </c>
      <c r="D1440" s="2" t="s">
        <v>1373</v>
      </c>
      <c r="E1440" s="18">
        <v>4455.1899999999996</v>
      </c>
      <c r="F1440" s="18">
        <v>83.06</v>
      </c>
      <c r="G1440" s="2" t="s">
        <v>1361</v>
      </c>
      <c r="H1440" s="2" t="s">
        <v>20</v>
      </c>
    </row>
    <row r="1441" spans="1:8" ht="15" customHeight="1" x14ac:dyDescent="0.25">
      <c r="A1441" s="2" t="s">
        <v>2774</v>
      </c>
      <c r="B1441" s="2" t="s">
        <v>1322</v>
      </c>
      <c r="C1441" s="17">
        <v>45884</v>
      </c>
      <c r="D1441" s="2" t="s">
        <v>1373</v>
      </c>
      <c r="E1441" s="18">
        <v>10380.01</v>
      </c>
      <c r="F1441" s="18">
        <v>181.35</v>
      </c>
      <c r="G1441" s="2" t="s">
        <v>1361</v>
      </c>
      <c r="H1441" s="2" t="s">
        <v>20</v>
      </c>
    </row>
    <row r="1442" spans="1:8" ht="15" customHeight="1" x14ac:dyDescent="0.25">
      <c r="A1442" s="2" t="s">
        <v>2775</v>
      </c>
      <c r="B1442" s="2" t="s">
        <v>1322</v>
      </c>
      <c r="C1442" s="17">
        <v>45924</v>
      </c>
      <c r="D1442" s="2" t="s">
        <v>1373</v>
      </c>
      <c r="E1442" s="18">
        <v>16487.72</v>
      </c>
      <c r="F1442" s="18">
        <v>307.35000000000002</v>
      </c>
      <c r="G1442" s="2" t="s">
        <v>1361</v>
      </c>
      <c r="H1442" s="2" t="s">
        <v>2965</v>
      </c>
    </row>
    <row r="1443" spans="1:8" ht="15" customHeight="1" x14ac:dyDescent="0.25">
      <c r="A1443" s="2" t="s">
        <v>2776</v>
      </c>
      <c r="B1443" s="2" t="s">
        <v>1322</v>
      </c>
      <c r="C1443" s="17">
        <v>45917</v>
      </c>
      <c r="D1443" s="2" t="s">
        <v>1373</v>
      </c>
      <c r="E1443" s="18">
        <v>5308.06</v>
      </c>
      <c r="F1443" s="18">
        <v>88.97</v>
      </c>
      <c r="G1443" s="2" t="s">
        <v>1361</v>
      </c>
      <c r="H1443" s="2" t="s">
        <v>20</v>
      </c>
    </row>
    <row r="1444" spans="1:8" ht="15" customHeight="1" x14ac:dyDescent="0.25">
      <c r="A1444" s="2" t="s">
        <v>2777</v>
      </c>
      <c r="B1444" s="2" t="s">
        <v>1322</v>
      </c>
      <c r="C1444" s="17">
        <v>45921</v>
      </c>
      <c r="D1444" s="2" t="s">
        <v>1373</v>
      </c>
      <c r="E1444" s="18">
        <v>7296.35</v>
      </c>
      <c r="F1444" s="18">
        <v>141.35</v>
      </c>
      <c r="G1444" s="2" t="s">
        <v>1361</v>
      </c>
      <c r="H1444" s="2" t="s">
        <v>20</v>
      </c>
    </row>
    <row r="1445" spans="1:8" ht="15" customHeight="1" x14ac:dyDescent="0.25">
      <c r="A1445" s="2" t="s">
        <v>2778</v>
      </c>
      <c r="B1445" s="2" t="s">
        <v>1322</v>
      </c>
      <c r="C1445" s="17">
        <v>45960</v>
      </c>
      <c r="D1445" s="2" t="s">
        <v>1373</v>
      </c>
      <c r="E1445" s="18">
        <v>17834.95</v>
      </c>
      <c r="F1445" s="18">
        <v>0</v>
      </c>
      <c r="G1445" s="2" t="s">
        <v>1408</v>
      </c>
      <c r="H1445" s="2" t="s">
        <v>20</v>
      </c>
    </row>
    <row r="1446" spans="1:8" ht="15" customHeight="1" x14ac:dyDescent="0.25">
      <c r="A1446" s="2" t="s">
        <v>2779</v>
      </c>
      <c r="B1446" s="2" t="s">
        <v>1322</v>
      </c>
      <c r="C1446" s="17">
        <v>45939</v>
      </c>
      <c r="D1446" s="2" t="s">
        <v>1373</v>
      </c>
      <c r="E1446" s="18">
        <v>13536.82</v>
      </c>
      <c r="F1446" s="18">
        <v>277.36</v>
      </c>
      <c r="G1446" s="2" t="s">
        <v>1361</v>
      </c>
      <c r="H1446" s="2" t="s">
        <v>20</v>
      </c>
    </row>
    <row r="1447" spans="1:8" ht="15" customHeight="1" x14ac:dyDescent="0.25">
      <c r="A1447" s="2" t="s">
        <v>2780</v>
      </c>
      <c r="B1447" s="2" t="s">
        <v>1322</v>
      </c>
      <c r="C1447" s="17">
        <v>45989</v>
      </c>
      <c r="D1447" s="2" t="s">
        <v>1373</v>
      </c>
      <c r="E1447" s="18">
        <v>12324.1</v>
      </c>
      <c r="F1447" s="18">
        <v>194.64</v>
      </c>
      <c r="G1447" s="2" t="s">
        <v>1361</v>
      </c>
      <c r="H1447" s="2" t="s">
        <v>20</v>
      </c>
    </row>
    <row r="1448" spans="1:8" ht="15" customHeight="1" x14ac:dyDescent="0.25">
      <c r="A1448" s="2" t="s">
        <v>2781</v>
      </c>
      <c r="B1448" s="2" t="s">
        <v>1322</v>
      </c>
      <c r="C1448" s="17">
        <v>45989</v>
      </c>
      <c r="D1448" s="2" t="s">
        <v>1373</v>
      </c>
      <c r="E1448" s="18">
        <v>5661.98</v>
      </c>
      <c r="F1448" s="18">
        <v>91.21</v>
      </c>
      <c r="G1448" s="2" t="s">
        <v>1361</v>
      </c>
      <c r="H1448" s="2" t="s">
        <v>20</v>
      </c>
    </row>
    <row r="1449" spans="1:8" ht="15" customHeight="1" x14ac:dyDescent="0.25">
      <c r="A1449" s="2" t="s">
        <v>2782</v>
      </c>
      <c r="B1449" s="2" t="s">
        <v>1322</v>
      </c>
      <c r="C1449" s="17">
        <v>45999</v>
      </c>
      <c r="D1449" s="2" t="s">
        <v>1373</v>
      </c>
      <c r="E1449" s="18">
        <v>10217.11</v>
      </c>
      <c r="F1449" s="18">
        <v>199.45</v>
      </c>
      <c r="G1449" s="2" t="s">
        <v>1408</v>
      </c>
      <c r="H1449" s="2" t="s">
        <v>20</v>
      </c>
    </row>
    <row r="1450" spans="1:8" ht="15" customHeight="1" x14ac:dyDescent="0.25">
      <c r="A1450" s="2" t="s">
        <v>2783</v>
      </c>
      <c r="B1450" s="2" t="s">
        <v>1324</v>
      </c>
      <c r="C1450" s="17">
        <v>45772</v>
      </c>
      <c r="D1450" s="2" t="s">
        <v>1479</v>
      </c>
      <c r="E1450" s="18">
        <v>21341.47</v>
      </c>
      <c r="F1450" s="18">
        <v>569.76</v>
      </c>
      <c r="G1450" s="2" t="s">
        <v>1361</v>
      </c>
      <c r="H1450" s="2" t="s">
        <v>22</v>
      </c>
    </row>
    <row r="1451" spans="1:8" ht="15" customHeight="1" x14ac:dyDescent="0.25">
      <c r="A1451" s="2" t="s">
        <v>2784</v>
      </c>
      <c r="B1451" s="2" t="s">
        <v>1324</v>
      </c>
      <c r="C1451" s="17">
        <v>45782</v>
      </c>
      <c r="D1451" s="2" t="s">
        <v>1481</v>
      </c>
      <c r="E1451" s="18">
        <v>23830.77</v>
      </c>
      <c r="F1451" s="18">
        <v>696.65</v>
      </c>
      <c r="G1451" s="2" t="s">
        <v>1361</v>
      </c>
      <c r="H1451" s="2" t="s">
        <v>22</v>
      </c>
    </row>
    <row r="1452" spans="1:8" ht="15" customHeight="1" x14ac:dyDescent="0.25">
      <c r="A1452" s="2" t="s">
        <v>2785</v>
      </c>
      <c r="B1452" s="2" t="s">
        <v>1324</v>
      </c>
      <c r="C1452" s="17">
        <v>45832</v>
      </c>
      <c r="D1452" s="2" t="s">
        <v>1360</v>
      </c>
      <c r="E1452" s="18">
        <v>52930.14</v>
      </c>
      <c r="F1452" s="18">
        <v>1521.86</v>
      </c>
      <c r="G1452" s="2" t="s">
        <v>1361</v>
      </c>
      <c r="H1452" s="2" t="s">
        <v>22</v>
      </c>
    </row>
    <row r="1453" spans="1:8" ht="15" customHeight="1" x14ac:dyDescent="0.25">
      <c r="A1453" s="2" t="s">
        <v>2786</v>
      </c>
      <c r="B1453" s="2" t="s">
        <v>1324</v>
      </c>
      <c r="C1453" s="17">
        <v>45822</v>
      </c>
      <c r="D1453" s="2" t="s">
        <v>1481</v>
      </c>
      <c r="E1453" s="18">
        <v>18807.97</v>
      </c>
      <c r="F1453" s="18">
        <v>492.94</v>
      </c>
      <c r="G1453" s="2" t="s">
        <v>1361</v>
      </c>
      <c r="H1453" s="2" t="s">
        <v>22</v>
      </c>
    </row>
    <row r="1454" spans="1:8" ht="15" customHeight="1" x14ac:dyDescent="0.25">
      <c r="A1454" s="2" t="s">
        <v>2787</v>
      </c>
      <c r="B1454" s="2" t="s">
        <v>1324</v>
      </c>
      <c r="C1454" s="17">
        <v>45821</v>
      </c>
      <c r="D1454" s="2" t="s">
        <v>1479</v>
      </c>
      <c r="E1454" s="18">
        <v>49061.38</v>
      </c>
      <c r="F1454" s="18">
        <v>1267.8</v>
      </c>
      <c r="G1454" s="2" t="s">
        <v>1361</v>
      </c>
      <c r="H1454" s="2" t="s">
        <v>22</v>
      </c>
    </row>
    <row r="1455" spans="1:8" ht="15" customHeight="1" x14ac:dyDescent="0.25">
      <c r="A1455" s="2" t="s">
        <v>2788</v>
      </c>
      <c r="B1455" s="2" t="s">
        <v>1324</v>
      </c>
      <c r="C1455" s="17">
        <v>45855</v>
      </c>
      <c r="D1455" s="2" t="s">
        <v>1360</v>
      </c>
      <c r="E1455" s="18">
        <v>48938.13</v>
      </c>
      <c r="F1455" s="18">
        <v>1252.45</v>
      </c>
      <c r="G1455" s="2" t="s">
        <v>1361</v>
      </c>
      <c r="H1455" s="2" t="s">
        <v>22</v>
      </c>
    </row>
    <row r="1456" spans="1:8" ht="15" customHeight="1" x14ac:dyDescent="0.25">
      <c r="A1456" s="2" t="s">
        <v>2789</v>
      </c>
      <c r="B1456" s="2" t="s">
        <v>1324</v>
      </c>
      <c r="C1456" s="17">
        <v>45856</v>
      </c>
      <c r="D1456" s="2" t="s">
        <v>1481</v>
      </c>
      <c r="E1456" s="18">
        <v>44762.43</v>
      </c>
      <c r="F1456" s="18">
        <v>1038.33</v>
      </c>
      <c r="G1456" s="2" t="s">
        <v>1361</v>
      </c>
      <c r="H1456" s="2" t="s">
        <v>22</v>
      </c>
    </row>
    <row r="1457" spans="1:8" ht="15" customHeight="1" x14ac:dyDescent="0.25">
      <c r="A1457" s="2" t="s">
        <v>2790</v>
      </c>
      <c r="B1457" s="2" t="s">
        <v>1324</v>
      </c>
      <c r="C1457" s="17">
        <v>45861</v>
      </c>
      <c r="D1457" s="2" t="s">
        <v>1360</v>
      </c>
      <c r="E1457" s="18">
        <v>41664.5</v>
      </c>
      <c r="F1457" s="18">
        <v>1051.58</v>
      </c>
      <c r="G1457" s="2" t="s">
        <v>1361</v>
      </c>
      <c r="H1457" s="2" t="s">
        <v>22</v>
      </c>
    </row>
    <row r="1458" spans="1:8" ht="15" customHeight="1" x14ac:dyDescent="0.25">
      <c r="A1458" s="2" t="s">
        <v>2791</v>
      </c>
      <c r="B1458" s="2" t="s">
        <v>1324</v>
      </c>
      <c r="C1458" s="17">
        <v>45876</v>
      </c>
      <c r="D1458" s="2" t="s">
        <v>1479</v>
      </c>
      <c r="E1458" s="18">
        <v>22314.07</v>
      </c>
      <c r="F1458" s="18">
        <v>627.04</v>
      </c>
      <c r="G1458" s="2" t="s">
        <v>1361</v>
      </c>
      <c r="H1458" s="2" t="s">
        <v>22</v>
      </c>
    </row>
    <row r="1459" spans="1:8" ht="15" customHeight="1" x14ac:dyDescent="0.25">
      <c r="A1459" s="2" t="s">
        <v>2792</v>
      </c>
      <c r="B1459" s="2" t="s">
        <v>1324</v>
      </c>
      <c r="C1459" s="17">
        <v>45915</v>
      </c>
      <c r="D1459" s="2" t="s">
        <v>1481</v>
      </c>
      <c r="E1459" s="18">
        <v>24058.28</v>
      </c>
      <c r="F1459" s="18">
        <v>699.48</v>
      </c>
      <c r="G1459" s="2" t="s">
        <v>1361</v>
      </c>
      <c r="H1459" s="2" t="s">
        <v>22</v>
      </c>
    </row>
    <row r="1460" spans="1:8" ht="15" customHeight="1" x14ac:dyDescent="0.25">
      <c r="A1460" s="2" t="s">
        <v>2793</v>
      </c>
      <c r="B1460" s="2" t="s">
        <v>1324</v>
      </c>
      <c r="C1460" s="17">
        <v>45950</v>
      </c>
      <c r="D1460" s="2" t="s">
        <v>1481</v>
      </c>
      <c r="E1460" s="18">
        <v>50893.31</v>
      </c>
      <c r="F1460" s="18">
        <v>1340.85</v>
      </c>
      <c r="G1460" s="2" t="s">
        <v>1361</v>
      </c>
      <c r="H1460" s="2" t="s">
        <v>22</v>
      </c>
    </row>
    <row r="1461" spans="1:8" ht="15" customHeight="1" x14ac:dyDescent="0.25">
      <c r="A1461" s="2" t="s">
        <v>2794</v>
      </c>
      <c r="B1461" s="2" t="s">
        <v>1324</v>
      </c>
      <c r="C1461" s="17">
        <v>45961</v>
      </c>
      <c r="D1461" s="2" t="s">
        <v>1479</v>
      </c>
      <c r="E1461" s="18">
        <v>38361.14</v>
      </c>
      <c r="F1461" s="18">
        <v>979.21</v>
      </c>
      <c r="G1461" s="2" t="s">
        <v>1361</v>
      </c>
      <c r="H1461" s="2" t="s">
        <v>22</v>
      </c>
    </row>
    <row r="1462" spans="1:8" ht="15" customHeight="1" x14ac:dyDescent="0.25">
      <c r="A1462" s="2" t="s">
        <v>2795</v>
      </c>
      <c r="B1462" s="2" t="s">
        <v>1324</v>
      </c>
      <c r="C1462" s="17">
        <v>45991</v>
      </c>
      <c r="D1462" s="2" t="s">
        <v>1479</v>
      </c>
      <c r="E1462" s="18">
        <v>19190.37</v>
      </c>
      <c r="F1462" s="18">
        <v>455.05</v>
      </c>
      <c r="G1462" s="2" t="s">
        <v>1361</v>
      </c>
      <c r="H1462" s="2" t="s">
        <v>22</v>
      </c>
    </row>
    <row r="1463" spans="1:8" ht="15" customHeight="1" x14ac:dyDescent="0.25">
      <c r="A1463" s="2" t="s">
        <v>2796</v>
      </c>
      <c r="B1463" s="2" t="s">
        <v>1324</v>
      </c>
      <c r="C1463" s="17">
        <v>45962</v>
      </c>
      <c r="D1463" s="2" t="s">
        <v>1360</v>
      </c>
      <c r="E1463" s="18">
        <v>45614.94</v>
      </c>
      <c r="F1463" s="18">
        <v>1363.1</v>
      </c>
      <c r="G1463" s="2" t="s">
        <v>1361</v>
      </c>
      <c r="H1463" s="2" t="s">
        <v>22</v>
      </c>
    </row>
    <row r="1464" spans="1:8" ht="15" customHeight="1" x14ac:dyDescent="0.25">
      <c r="A1464" s="2" t="s">
        <v>2797</v>
      </c>
      <c r="B1464" s="2" t="s">
        <v>1324</v>
      </c>
      <c r="C1464" s="17">
        <v>45981</v>
      </c>
      <c r="D1464" s="2" t="s">
        <v>1479</v>
      </c>
      <c r="E1464" s="18">
        <v>48137.71</v>
      </c>
      <c r="F1464" s="18">
        <v>1387.44</v>
      </c>
      <c r="G1464" s="2" t="s">
        <v>1361</v>
      </c>
      <c r="H1464" s="2" t="s">
        <v>2961</v>
      </c>
    </row>
    <row r="1465" spans="1:8" ht="15" customHeight="1" x14ac:dyDescent="0.25">
      <c r="A1465" s="2" t="s">
        <v>2798</v>
      </c>
      <c r="B1465" s="2" t="s">
        <v>1324</v>
      </c>
      <c r="C1465" s="17">
        <v>46019</v>
      </c>
      <c r="D1465" s="2" t="s">
        <v>1360</v>
      </c>
      <c r="E1465" s="18">
        <v>37887.370000000003</v>
      </c>
      <c r="F1465" s="18">
        <v>0</v>
      </c>
      <c r="G1465" s="2" t="s">
        <v>1408</v>
      </c>
      <c r="H1465" s="2" t="s">
        <v>22</v>
      </c>
    </row>
    <row r="1466" spans="1:8" ht="15" customHeight="1" x14ac:dyDescent="0.25">
      <c r="A1466" s="2" t="s">
        <v>2799</v>
      </c>
      <c r="B1466" s="2" t="s">
        <v>1324</v>
      </c>
      <c r="C1466" s="17">
        <v>46004</v>
      </c>
      <c r="D1466" s="2" t="s">
        <v>1481</v>
      </c>
      <c r="E1466" s="18">
        <v>49678.62</v>
      </c>
      <c r="F1466" s="18">
        <v>1489.77</v>
      </c>
      <c r="G1466" s="2" t="s">
        <v>1361</v>
      </c>
      <c r="H1466" s="2" t="s">
        <v>22</v>
      </c>
    </row>
    <row r="1467" spans="1:8" ht="15" customHeight="1" x14ac:dyDescent="0.25">
      <c r="A1467" s="2" t="s">
        <v>2800</v>
      </c>
      <c r="B1467" s="2" t="s">
        <v>1325</v>
      </c>
      <c r="C1467" s="17">
        <v>46020</v>
      </c>
      <c r="D1467" s="2" t="s">
        <v>1360</v>
      </c>
      <c r="E1467" s="18">
        <v>3822.73</v>
      </c>
      <c r="F1467" s="18">
        <v>88.91</v>
      </c>
      <c r="G1467" s="2" t="s">
        <v>1361</v>
      </c>
      <c r="H1467" s="2" t="s">
        <v>22</v>
      </c>
    </row>
    <row r="1468" spans="1:8" ht="15" customHeight="1" x14ac:dyDescent="0.25">
      <c r="A1468" s="2" t="s">
        <v>2801</v>
      </c>
      <c r="B1468" s="2" t="s">
        <v>1325</v>
      </c>
      <c r="C1468" s="17">
        <v>46018</v>
      </c>
      <c r="D1468" s="2" t="s">
        <v>1360</v>
      </c>
      <c r="E1468" s="18">
        <v>5024.84</v>
      </c>
      <c r="F1468" s="18">
        <v>0</v>
      </c>
      <c r="G1468" s="2" t="s">
        <v>1408</v>
      </c>
      <c r="H1468" s="2" t="s">
        <v>22</v>
      </c>
    </row>
    <row r="1469" spans="1:8" ht="15" customHeight="1" x14ac:dyDescent="0.25">
      <c r="A1469" s="2" t="s">
        <v>2802</v>
      </c>
      <c r="B1469" s="2" t="s">
        <v>1325</v>
      </c>
      <c r="C1469" s="17">
        <v>46004</v>
      </c>
      <c r="D1469" s="2" t="s">
        <v>1360</v>
      </c>
      <c r="E1469" s="18">
        <v>5176.8900000000003</v>
      </c>
      <c r="F1469" s="18">
        <v>132.62</v>
      </c>
      <c r="G1469" s="2" t="s">
        <v>1361</v>
      </c>
      <c r="H1469" s="2" t="s">
        <v>22</v>
      </c>
    </row>
    <row r="1470" spans="1:8" ht="15" customHeight="1" x14ac:dyDescent="0.25">
      <c r="A1470" s="2" t="s">
        <v>2803</v>
      </c>
      <c r="B1470" s="2" t="s">
        <v>77</v>
      </c>
      <c r="C1470" s="17">
        <v>45976</v>
      </c>
      <c r="D1470" s="2" t="s">
        <v>1360</v>
      </c>
      <c r="E1470" s="18">
        <v>3529.86</v>
      </c>
      <c r="F1470" s="18">
        <v>102.91</v>
      </c>
      <c r="G1470" s="2" t="s">
        <v>1361</v>
      </c>
      <c r="H1470" s="2" t="s">
        <v>22</v>
      </c>
    </row>
    <row r="1471" spans="1:8" ht="15" customHeight="1" x14ac:dyDescent="0.25">
      <c r="A1471" s="2" t="s">
        <v>2804</v>
      </c>
      <c r="B1471" s="2" t="s">
        <v>77</v>
      </c>
      <c r="C1471" s="17">
        <v>46003</v>
      </c>
      <c r="D1471" s="2" t="s">
        <v>1479</v>
      </c>
      <c r="E1471" s="18">
        <v>4877.7700000000004</v>
      </c>
      <c r="F1471" s="18">
        <v>144.18</v>
      </c>
      <c r="G1471" s="2" t="s">
        <v>1361</v>
      </c>
      <c r="H1471" s="2" t="s">
        <v>22</v>
      </c>
    </row>
    <row r="1472" spans="1:8" ht="15" customHeight="1" x14ac:dyDescent="0.25">
      <c r="A1472" s="2" t="s">
        <v>2805</v>
      </c>
      <c r="B1472" s="2" t="s">
        <v>77</v>
      </c>
      <c r="C1472" s="17">
        <v>45998</v>
      </c>
      <c r="D1472" s="2" t="s">
        <v>1481</v>
      </c>
      <c r="E1472" s="18">
        <v>3051.19</v>
      </c>
      <c r="F1472" s="18">
        <v>71.06</v>
      </c>
      <c r="G1472" s="2" t="s">
        <v>1361</v>
      </c>
      <c r="H1472" s="2" t="s">
        <v>22</v>
      </c>
    </row>
    <row r="1473" spans="1:8" ht="15" customHeight="1" x14ac:dyDescent="0.25">
      <c r="A1473" s="2" t="s">
        <v>2806</v>
      </c>
      <c r="B1473" s="2" t="s">
        <v>1327</v>
      </c>
      <c r="C1473" s="17">
        <v>45807</v>
      </c>
      <c r="D1473" s="2" t="s">
        <v>1360</v>
      </c>
      <c r="E1473" s="18">
        <v>10751.59</v>
      </c>
      <c r="F1473" s="18">
        <v>273</v>
      </c>
      <c r="G1473" s="2" t="s">
        <v>1361</v>
      </c>
      <c r="H1473" s="2" t="s">
        <v>22</v>
      </c>
    </row>
    <row r="1474" spans="1:8" ht="15" customHeight="1" x14ac:dyDescent="0.25">
      <c r="A1474" s="2" t="s">
        <v>2807</v>
      </c>
      <c r="B1474" s="2" t="s">
        <v>1327</v>
      </c>
      <c r="C1474" s="17">
        <v>45827</v>
      </c>
      <c r="D1474" s="2" t="s">
        <v>1360</v>
      </c>
      <c r="E1474" s="18">
        <v>17425.669999999998</v>
      </c>
      <c r="F1474" s="18">
        <v>489.79</v>
      </c>
      <c r="G1474" s="2" t="s">
        <v>1361</v>
      </c>
      <c r="H1474" s="2" t="s">
        <v>22</v>
      </c>
    </row>
    <row r="1475" spans="1:8" ht="15" customHeight="1" x14ac:dyDescent="0.25">
      <c r="A1475" s="2" t="s">
        <v>2808</v>
      </c>
      <c r="B1475" s="2" t="s">
        <v>1327</v>
      </c>
      <c r="C1475" s="17">
        <v>45857</v>
      </c>
      <c r="D1475" s="2" t="s">
        <v>1360</v>
      </c>
      <c r="E1475" s="18">
        <v>8919.07</v>
      </c>
      <c r="F1475" s="18">
        <v>215.15</v>
      </c>
      <c r="G1475" s="2" t="s">
        <v>1361</v>
      </c>
      <c r="H1475" s="2" t="s">
        <v>22</v>
      </c>
    </row>
    <row r="1476" spans="1:8" ht="15" customHeight="1" x14ac:dyDescent="0.25">
      <c r="A1476" s="2" t="s">
        <v>2809</v>
      </c>
      <c r="B1476" s="2" t="s">
        <v>1327</v>
      </c>
      <c r="C1476" s="17">
        <v>45859</v>
      </c>
      <c r="D1476" s="2" t="s">
        <v>1360</v>
      </c>
      <c r="E1476" s="18">
        <v>15030.82</v>
      </c>
      <c r="F1476" s="18">
        <v>398.34</v>
      </c>
      <c r="G1476" s="2" t="s">
        <v>1361</v>
      </c>
      <c r="H1476" s="2" t="s">
        <v>22</v>
      </c>
    </row>
    <row r="1477" spans="1:8" ht="15" customHeight="1" x14ac:dyDescent="0.25">
      <c r="A1477" s="2" t="s">
        <v>2810</v>
      </c>
      <c r="B1477" s="2" t="s">
        <v>1327</v>
      </c>
      <c r="C1477" s="17">
        <v>45845</v>
      </c>
      <c r="D1477" s="2" t="s">
        <v>1360</v>
      </c>
      <c r="E1477" s="18">
        <v>13261.26</v>
      </c>
      <c r="F1477" s="18">
        <v>285.13</v>
      </c>
      <c r="G1477" s="2" t="s">
        <v>1361</v>
      </c>
      <c r="H1477" s="2" t="s">
        <v>22</v>
      </c>
    </row>
    <row r="1478" spans="1:8" ht="15" customHeight="1" x14ac:dyDescent="0.25">
      <c r="A1478" s="2" t="s">
        <v>2811</v>
      </c>
      <c r="B1478" s="2" t="s">
        <v>1327</v>
      </c>
      <c r="C1478" s="17">
        <v>45877</v>
      </c>
      <c r="D1478" s="2" t="s">
        <v>1360</v>
      </c>
      <c r="E1478" s="18">
        <v>6550.86</v>
      </c>
      <c r="F1478" s="18">
        <v>166.74</v>
      </c>
      <c r="G1478" s="2" t="s">
        <v>1361</v>
      </c>
      <c r="H1478" s="2" t="s">
        <v>22</v>
      </c>
    </row>
    <row r="1479" spans="1:8" ht="15" customHeight="1" x14ac:dyDescent="0.25">
      <c r="A1479" s="2" t="s">
        <v>2812</v>
      </c>
      <c r="B1479" s="2" t="s">
        <v>1327</v>
      </c>
      <c r="C1479" s="17">
        <v>45890</v>
      </c>
      <c r="D1479" s="2" t="s">
        <v>1360</v>
      </c>
      <c r="E1479" s="18">
        <v>9533.35</v>
      </c>
      <c r="F1479" s="18">
        <v>263.60000000000002</v>
      </c>
      <c r="G1479" s="2" t="s">
        <v>1361</v>
      </c>
      <c r="H1479" s="2" t="s">
        <v>22</v>
      </c>
    </row>
    <row r="1480" spans="1:8" ht="15" customHeight="1" x14ac:dyDescent="0.25">
      <c r="A1480" s="2" t="s">
        <v>2813</v>
      </c>
      <c r="B1480" s="2" t="s">
        <v>1327</v>
      </c>
      <c r="C1480" s="17">
        <v>45886</v>
      </c>
      <c r="D1480" s="2" t="s">
        <v>1360</v>
      </c>
      <c r="E1480" s="18">
        <v>15059.84</v>
      </c>
      <c r="F1480" s="18">
        <v>369.13</v>
      </c>
      <c r="G1480" s="2" t="s">
        <v>1361</v>
      </c>
      <c r="H1480" s="2" t="s">
        <v>22</v>
      </c>
    </row>
    <row r="1481" spans="1:8" ht="15" customHeight="1" x14ac:dyDescent="0.25">
      <c r="A1481" s="2" t="s">
        <v>2814</v>
      </c>
      <c r="B1481" s="2" t="s">
        <v>1327</v>
      </c>
      <c r="C1481" s="17">
        <v>45914</v>
      </c>
      <c r="D1481" s="2" t="s">
        <v>1360</v>
      </c>
      <c r="E1481" s="18">
        <v>12467.65</v>
      </c>
      <c r="F1481" s="18">
        <v>285.86</v>
      </c>
      <c r="G1481" s="2" t="s">
        <v>1361</v>
      </c>
      <c r="H1481" s="2" t="s">
        <v>22</v>
      </c>
    </row>
    <row r="1482" spans="1:8" ht="15" customHeight="1" x14ac:dyDescent="0.25">
      <c r="A1482" s="2" t="s">
        <v>2815</v>
      </c>
      <c r="B1482" s="2" t="s">
        <v>1327</v>
      </c>
      <c r="C1482" s="17">
        <v>45942</v>
      </c>
      <c r="D1482" s="2" t="s">
        <v>1360</v>
      </c>
      <c r="E1482" s="18">
        <v>15786.2</v>
      </c>
      <c r="F1482" s="18">
        <v>368.23</v>
      </c>
      <c r="G1482" s="2" t="s">
        <v>1361</v>
      </c>
      <c r="H1482" s="2" t="s">
        <v>22</v>
      </c>
    </row>
    <row r="1483" spans="1:8" ht="15" customHeight="1" x14ac:dyDescent="0.25">
      <c r="A1483" s="2" t="s">
        <v>2816</v>
      </c>
      <c r="B1483" s="2" t="s">
        <v>1327</v>
      </c>
      <c r="C1483" s="17">
        <v>45958</v>
      </c>
      <c r="D1483" s="2" t="s">
        <v>1360</v>
      </c>
      <c r="E1483" s="18">
        <v>10417.52</v>
      </c>
      <c r="F1483" s="18">
        <v>244.24</v>
      </c>
      <c r="G1483" s="2" t="s">
        <v>1361</v>
      </c>
      <c r="H1483" s="2" t="s">
        <v>22</v>
      </c>
    </row>
    <row r="1484" spans="1:8" ht="15" customHeight="1" x14ac:dyDescent="0.25">
      <c r="A1484" s="2" t="s">
        <v>2817</v>
      </c>
      <c r="B1484" s="2" t="s">
        <v>1327</v>
      </c>
      <c r="C1484" s="17">
        <v>45938</v>
      </c>
      <c r="D1484" s="2" t="s">
        <v>1360</v>
      </c>
      <c r="E1484" s="18">
        <v>17514.28</v>
      </c>
      <c r="F1484" s="18">
        <v>380.09</v>
      </c>
      <c r="G1484" s="2" t="s">
        <v>1361</v>
      </c>
      <c r="H1484" s="2" t="s">
        <v>22</v>
      </c>
    </row>
    <row r="1485" spans="1:8" ht="15" customHeight="1" x14ac:dyDescent="0.25">
      <c r="A1485" s="2" t="s">
        <v>2818</v>
      </c>
      <c r="B1485" s="2" t="s">
        <v>1327</v>
      </c>
      <c r="C1485" s="17">
        <v>45970</v>
      </c>
      <c r="D1485" s="2" t="s">
        <v>1360</v>
      </c>
      <c r="E1485" s="18">
        <v>14397.44</v>
      </c>
      <c r="F1485" s="18">
        <v>336.3</v>
      </c>
      <c r="G1485" s="2" t="s">
        <v>1361</v>
      </c>
      <c r="H1485" s="2" t="s">
        <v>22</v>
      </c>
    </row>
    <row r="1486" spans="1:8" ht="15" customHeight="1" x14ac:dyDescent="0.25">
      <c r="A1486" s="2" t="s">
        <v>2819</v>
      </c>
      <c r="B1486" s="2" t="s">
        <v>1327</v>
      </c>
      <c r="C1486" s="17">
        <v>46013</v>
      </c>
      <c r="D1486" s="2" t="s">
        <v>1360</v>
      </c>
      <c r="E1486" s="18">
        <v>8015.55</v>
      </c>
      <c r="F1486" s="18">
        <v>213.68</v>
      </c>
      <c r="G1486" s="2" t="s">
        <v>1361</v>
      </c>
      <c r="H1486" s="2" t="s">
        <v>22</v>
      </c>
    </row>
    <row r="1487" spans="1:8" ht="15" customHeight="1" x14ac:dyDescent="0.25">
      <c r="A1487" s="2" t="s">
        <v>2820</v>
      </c>
      <c r="B1487" s="2" t="s">
        <v>1327</v>
      </c>
      <c r="C1487" s="17">
        <v>45999</v>
      </c>
      <c r="D1487" s="2" t="s">
        <v>1360</v>
      </c>
      <c r="E1487" s="18">
        <v>5221.21</v>
      </c>
      <c r="F1487" s="18">
        <v>114.28</v>
      </c>
      <c r="G1487" s="2" t="s">
        <v>1361</v>
      </c>
      <c r="H1487" s="2" t="s">
        <v>22</v>
      </c>
    </row>
    <row r="1488" spans="1:8" ht="15" customHeight="1" x14ac:dyDescent="0.25">
      <c r="A1488" s="2" t="s">
        <v>2821</v>
      </c>
      <c r="B1488" s="2" t="s">
        <v>1327</v>
      </c>
      <c r="C1488" s="17">
        <v>46000</v>
      </c>
      <c r="D1488" s="2" t="s">
        <v>1360</v>
      </c>
      <c r="E1488" s="18">
        <v>5926.64</v>
      </c>
      <c r="F1488" s="18">
        <v>153.41999999999999</v>
      </c>
      <c r="G1488" s="2" t="s">
        <v>1361</v>
      </c>
      <c r="H1488" s="2" t="s">
        <v>22</v>
      </c>
    </row>
    <row r="1489" spans="1:8" ht="15" customHeight="1" x14ac:dyDescent="0.25">
      <c r="A1489" s="2" t="s">
        <v>2822</v>
      </c>
      <c r="B1489" s="2" t="s">
        <v>1329</v>
      </c>
      <c r="C1489" s="17">
        <v>45916</v>
      </c>
      <c r="D1489" s="2" t="s">
        <v>1423</v>
      </c>
      <c r="E1489" s="18">
        <v>2668.83</v>
      </c>
      <c r="F1489" s="18">
        <v>91.02</v>
      </c>
      <c r="G1489" s="2" t="s">
        <v>1361</v>
      </c>
      <c r="H1489" s="2" t="s">
        <v>21</v>
      </c>
    </row>
    <row r="1490" spans="1:8" ht="15" customHeight="1" x14ac:dyDescent="0.25">
      <c r="A1490" s="2" t="s">
        <v>2823</v>
      </c>
      <c r="B1490" s="2" t="s">
        <v>1329</v>
      </c>
      <c r="C1490" s="17">
        <v>45922</v>
      </c>
      <c r="D1490" s="2" t="s">
        <v>1423</v>
      </c>
      <c r="E1490" s="18">
        <v>4222.8900000000003</v>
      </c>
      <c r="F1490" s="18">
        <v>119.87</v>
      </c>
      <c r="G1490" s="2" t="s">
        <v>1361</v>
      </c>
      <c r="H1490" s="2" t="s">
        <v>21</v>
      </c>
    </row>
    <row r="1491" spans="1:8" ht="15" customHeight="1" x14ac:dyDescent="0.25">
      <c r="A1491" s="2" t="s">
        <v>2824</v>
      </c>
      <c r="B1491" s="2" t="s">
        <v>1329</v>
      </c>
      <c r="C1491" s="17">
        <v>45926</v>
      </c>
      <c r="D1491" s="2" t="s">
        <v>1423</v>
      </c>
      <c r="E1491" s="18">
        <v>4599.5</v>
      </c>
      <c r="F1491" s="18">
        <v>163.41</v>
      </c>
      <c r="G1491" s="2" t="s">
        <v>1361</v>
      </c>
      <c r="H1491" s="2" t="s">
        <v>21</v>
      </c>
    </row>
    <row r="1492" spans="1:8" ht="15" customHeight="1" x14ac:dyDescent="0.25">
      <c r="A1492" s="2" t="s">
        <v>2825</v>
      </c>
      <c r="B1492" s="2" t="s">
        <v>1329</v>
      </c>
      <c r="C1492" s="17">
        <v>45941</v>
      </c>
      <c r="D1492" s="2" t="s">
        <v>1423</v>
      </c>
      <c r="E1492" s="18">
        <v>3267.55</v>
      </c>
      <c r="F1492" s="18">
        <v>89.74</v>
      </c>
      <c r="G1492" s="2" t="s">
        <v>1361</v>
      </c>
      <c r="H1492" s="2" t="s">
        <v>21</v>
      </c>
    </row>
    <row r="1493" spans="1:8" ht="15" customHeight="1" x14ac:dyDescent="0.25">
      <c r="A1493" s="2" t="s">
        <v>2826</v>
      </c>
      <c r="B1493" s="2" t="s">
        <v>1329</v>
      </c>
      <c r="C1493" s="17">
        <v>45941</v>
      </c>
      <c r="D1493" s="2" t="s">
        <v>1423</v>
      </c>
      <c r="E1493" s="18">
        <v>3696.46</v>
      </c>
      <c r="F1493" s="18">
        <v>125.66</v>
      </c>
      <c r="G1493" s="2" t="s">
        <v>1361</v>
      </c>
      <c r="H1493" s="2" t="s">
        <v>21</v>
      </c>
    </row>
    <row r="1494" spans="1:8" ht="15" customHeight="1" x14ac:dyDescent="0.25">
      <c r="A1494" s="2" t="s">
        <v>2827</v>
      </c>
      <c r="B1494" s="2" t="s">
        <v>1329</v>
      </c>
      <c r="C1494" s="17">
        <v>45976</v>
      </c>
      <c r="D1494" s="2" t="s">
        <v>1423</v>
      </c>
      <c r="E1494" s="18">
        <v>4405.76</v>
      </c>
      <c r="F1494" s="18">
        <v>122.23</v>
      </c>
      <c r="G1494" s="2" t="s">
        <v>1361</v>
      </c>
      <c r="H1494" s="2" t="s">
        <v>21</v>
      </c>
    </row>
    <row r="1495" spans="1:8" ht="15" customHeight="1" x14ac:dyDescent="0.25">
      <c r="A1495" s="2" t="s">
        <v>2828</v>
      </c>
      <c r="B1495" s="2" t="s">
        <v>1329</v>
      </c>
      <c r="C1495" s="17">
        <v>45976</v>
      </c>
      <c r="D1495" s="2" t="s">
        <v>1423</v>
      </c>
      <c r="E1495" s="18">
        <v>5035.71</v>
      </c>
      <c r="F1495" s="18">
        <v>173.35</v>
      </c>
      <c r="G1495" s="2" t="s">
        <v>1361</v>
      </c>
      <c r="H1495" s="2" t="s">
        <v>21</v>
      </c>
    </row>
    <row r="1496" spans="1:8" ht="15" customHeight="1" x14ac:dyDescent="0.25">
      <c r="A1496" s="2" t="s">
        <v>2829</v>
      </c>
      <c r="B1496" s="2" t="s">
        <v>1329</v>
      </c>
      <c r="C1496" s="17">
        <v>45978</v>
      </c>
      <c r="D1496" s="2" t="s">
        <v>1423</v>
      </c>
      <c r="E1496" s="18">
        <v>1641.32</v>
      </c>
      <c r="F1496" s="18">
        <v>48.87</v>
      </c>
      <c r="G1496" s="2" t="s">
        <v>1361</v>
      </c>
      <c r="H1496" s="2" t="s">
        <v>21</v>
      </c>
    </row>
    <row r="1497" spans="1:8" ht="15" customHeight="1" x14ac:dyDescent="0.25">
      <c r="A1497" s="2" t="s">
        <v>2830</v>
      </c>
      <c r="B1497" s="2" t="s">
        <v>1329</v>
      </c>
      <c r="C1497" s="17">
        <v>46021</v>
      </c>
      <c r="D1497" s="2" t="s">
        <v>1423</v>
      </c>
      <c r="E1497" s="18">
        <v>3404.27</v>
      </c>
      <c r="F1497" s="18">
        <v>104.71</v>
      </c>
      <c r="G1497" s="2" t="s">
        <v>1361</v>
      </c>
      <c r="H1497" s="2" t="s">
        <v>21</v>
      </c>
    </row>
    <row r="1498" spans="1:8" ht="15" customHeight="1" x14ac:dyDescent="0.25">
      <c r="A1498" s="2" t="s">
        <v>2831</v>
      </c>
      <c r="B1498" s="2" t="s">
        <v>1331</v>
      </c>
      <c r="C1498" s="17">
        <v>45889</v>
      </c>
      <c r="D1498" s="2" t="s">
        <v>1360</v>
      </c>
      <c r="E1498" s="18">
        <v>9572.77</v>
      </c>
      <c r="F1498" s="18">
        <v>247.04</v>
      </c>
      <c r="G1498" s="2" t="s">
        <v>1361</v>
      </c>
      <c r="H1498" s="2" t="s">
        <v>21</v>
      </c>
    </row>
    <row r="1499" spans="1:8" ht="15" customHeight="1" x14ac:dyDescent="0.25">
      <c r="A1499" s="2" t="s">
        <v>2832</v>
      </c>
      <c r="B1499" s="2" t="s">
        <v>1331</v>
      </c>
      <c r="C1499" s="17">
        <v>45891</v>
      </c>
      <c r="D1499" s="2" t="s">
        <v>1360</v>
      </c>
      <c r="E1499" s="18">
        <v>4369.46</v>
      </c>
      <c r="F1499" s="18">
        <v>107.06</v>
      </c>
      <c r="G1499" s="2" t="s">
        <v>1361</v>
      </c>
      <c r="H1499" s="2" t="s">
        <v>21</v>
      </c>
    </row>
    <row r="1500" spans="1:8" ht="15" customHeight="1" x14ac:dyDescent="0.25">
      <c r="A1500" s="2" t="s">
        <v>2833</v>
      </c>
      <c r="B1500" s="2" t="s">
        <v>1331</v>
      </c>
      <c r="C1500" s="17">
        <v>45911</v>
      </c>
      <c r="D1500" s="2" t="s">
        <v>1360</v>
      </c>
      <c r="E1500" s="18">
        <v>4370.5200000000004</v>
      </c>
      <c r="F1500" s="18">
        <v>101.34</v>
      </c>
      <c r="G1500" s="2" t="s">
        <v>1361</v>
      </c>
      <c r="H1500" s="2" t="s">
        <v>21</v>
      </c>
    </row>
    <row r="1501" spans="1:8" ht="15" customHeight="1" x14ac:dyDescent="0.25">
      <c r="A1501" s="2" t="s">
        <v>2834</v>
      </c>
      <c r="B1501" s="2" t="s">
        <v>1331</v>
      </c>
      <c r="C1501" s="17">
        <v>45925</v>
      </c>
      <c r="D1501" s="2" t="s">
        <v>1360</v>
      </c>
      <c r="E1501" s="18">
        <v>17423.59</v>
      </c>
      <c r="F1501" s="18">
        <v>416.17</v>
      </c>
      <c r="G1501" s="2" t="s">
        <v>1361</v>
      </c>
      <c r="H1501" s="2" t="s">
        <v>21</v>
      </c>
    </row>
    <row r="1502" spans="1:8" ht="15" customHeight="1" x14ac:dyDescent="0.25">
      <c r="A1502" s="2" t="s">
        <v>2835</v>
      </c>
      <c r="B1502" s="2" t="s">
        <v>1331</v>
      </c>
      <c r="C1502" s="17">
        <v>45941</v>
      </c>
      <c r="D1502" s="2" t="s">
        <v>1360</v>
      </c>
      <c r="E1502" s="18">
        <v>13856.81</v>
      </c>
      <c r="F1502" s="18">
        <v>378.49</v>
      </c>
      <c r="G1502" s="2" t="s">
        <v>1361</v>
      </c>
      <c r="H1502" s="2" t="s">
        <v>21</v>
      </c>
    </row>
    <row r="1503" spans="1:8" ht="15" customHeight="1" x14ac:dyDescent="0.25">
      <c r="A1503" s="2" t="s">
        <v>2836</v>
      </c>
      <c r="B1503" s="2" t="s">
        <v>1331</v>
      </c>
      <c r="C1503" s="17">
        <v>45936</v>
      </c>
      <c r="D1503" s="2" t="s">
        <v>1360</v>
      </c>
      <c r="E1503" s="18">
        <v>15097.57</v>
      </c>
      <c r="F1503" s="18">
        <v>329.51</v>
      </c>
      <c r="G1503" s="2" t="s">
        <v>1361</v>
      </c>
      <c r="H1503" s="2" t="s">
        <v>21</v>
      </c>
    </row>
    <row r="1504" spans="1:8" ht="15" customHeight="1" x14ac:dyDescent="0.25">
      <c r="A1504" s="2" t="s">
        <v>2837</v>
      </c>
      <c r="B1504" s="2" t="s">
        <v>1331</v>
      </c>
      <c r="C1504" s="17">
        <v>45956</v>
      </c>
      <c r="D1504" s="2" t="s">
        <v>1360</v>
      </c>
      <c r="E1504" s="18">
        <v>8720</v>
      </c>
      <c r="F1504" s="18">
        <v>249.01</v>
      </c>
      <c r="G1504" s="2" t="s">
        <v>1361</v>
      </c>
      <c r="H1504" s="2" t="s">
        <v>21</v>
      </c>
    </row>
    <row r="1505" spans="1:8" ht="15" customHeight="1" x14ac:dyDescent="0.25">
      <c r="A1505" s="2" t="s">
        <v>2838</v>
      </c>
      <c r="B1505" s="2" t="s">
        <v>1331</v>
      </c>
      <c r="C1505" s="17">
        <v>45969</v>
      </c>
      <c r="D1505" s="2" t="s">
        <v>1360</v>
      </c>
      <c r="E1505" s="18">
        <v>16095.36</v>
      </c>
      <c r="F1505" s="18">
        <v>369.41</v>
      </c>
      <c r="G1505" s="2" t="s">
        <v>1361</v>
      </c>
      <c r="H1505" s="2" t="s">
        <v>21</v>
      </c>
    </row>
    <row r="1506" spans="1:8" ht="15" customHeight="1" x14ac:dyDescent="0.25">
      <c r="A1506" s="2" t="s">
        <v>2839</v>
      </c>
      <c r="B1506" s="2" t="s">
        <v>1331</v>
      </c>
      <c r="C1506" s="17">
        <v>45980</v>
      </c>
      <c r="D1506" s="2" t="s">
        <v>1360</v>
      </c>
      <c r="E1506" s="18">
        <v>14214.32</v>
      </c>
      <c r="F1506" s="18">
        <v>354.71</v>
      </c>
      <c r="G1506" s="2" t="s">
        <v>1361</v>
      </c>
      <c r="H1506" s="2" t="s">
        <v>21</v>
      </c>
    </row>
    <row r="1507" spans="1:8" ht="15" customHeight="1" x14ac:dyDescent="0.25">
      <c r="A1507" s="2" t="s">
        <v>2840</v>
      </c>
      <c r="B1507" s="2" t="s">
        <v>1331</v>
      </c>
      <c r="C1507" s="17">
        <v>45973</v>
      </c>
      <c r="D1507" s="2" t="s">
        <v>1360</v>
      </c>
      <c r="E1507" s="18">
        <v>11756.35</v>
      </c>
      <c r="F1507" s="18">
        <v>288.86</v>
      </c>
      <c r="G1507" s="2" t="s">
        <v>1361</v>
      </c>
      <c r="H1507" s="2" t="s">
        <v>21</v>
      </c>
    </row>
    <row r="1508" spans="1:8" ht="15" customHeight="1" x14ac:dyDescent="0.25">
      <c r="A1508" s="2" t="s">
        <v>2841</v>
      </c>
      <c r="B1508" s="2" t="s">
        <v>1331</v>
      </c>
      <c r="C1508" s="17">
        <v>45994</v>
      </c>
      <c r="D1508" s="2" t="s">
        <v>1360</v>
      </c>
      <c r="E1508" s="18">
        <v>5955.43</v>
      </c>
      <c r="F1508" s="18">
        <v>131.99</v>
      </c>
      <c r="G1508" s="2" t="s">
        <v>1361</v>
      </c>
      <c r="H1508" s="2" t="s">
        <v>21</v>
      </c>
    </row>
    <row r="1509" spans="1:8" ht="15" customHeight="1" x14ac:dyDescent="0.25">
      <c r="A1509" s="2" t="s">
        <v>2842</v>
      </c>
      <c r="B1509" s="2" t="s">
        <v>1331</v>
      </c>
      <c r="C1509" s="17">
        <v>46003</v>
      </c>
      <c r="D1509" s="2" t="s">
        <v>1360</v>
      </c>
      <c r="E1509" s="18">
        <v>6012.3</v>
      </c>
      <c r="F1509" s="18">
        <v>141.38999999999999</v>
      </c>
      <c r="G1509" s="2" t="s">
        <v>1361</v>
      </c>
      <c r="H1509" s="2" t="s">
        <v>21</v>
      </c>
    </row>
    <row r="1510" spans="1:8" ht="15" customHeight="1" x14ac:dyDescent="0.25">
      <c r="A1510" s="2" t="s">
        <v>2843</v>
      </c>
      <c r="B1510" s="2" t="s">
        <v>1331</v>
      </c>
      <c r="C1510" s="17">
        <v>46009</v>
      </c>
      <c r="D1510" s="2" t="s">
        <v>1360</v>
      </c>
      <c r="E1510" s="18">
        <v>6022.97</v>
      </c>
      <c r="F1510" s="18">
        <v>145.86000000000001</v>
      </c>
      <c r="G1510" s="2" t="s">
        <v>1361</v>
      </c>
      <c r="H1510" s="2" t="s">
        <v>21</v>
      </c>
    </row>
    <row r="1511" spans="1:8" ht="15" customHeight="1" x14ac:dyDescent="0.25">
      <c r="A1511" s="2" t="s">
        <v>2844</v>
      </c>
      <c r="B1511" s="2" t="s">
        <v>1332</v>
      </c>
      <c r="C1511" s="17">
        <v>45956</v>
      </c>
      <c r="D1511" s="2" t="s">
        <v>1373</v>
      </c>
      <c r="E1511" s="18">
        <v>2043</v>
      </c>
      <c r="F1511" s="18">
        <v>33.6</v>
      </c>
      <c r="G1511" s="2" t="s">
        <v>1361</v>
      </c>
      <c r="H1511" s="2" t="s">
        <v>2976</v>
      </c>
    </row>
    <row r="1512" spans="1:8" ht="15" customHeight="1" x14ac:dyDescent="0.25">
      <c r="A1512" s="2" t="s">
        <v>2845</v>
      </c>
      <c r="B1512" s="2" t="s">
        <v>1332</v>
      </c>
      <c r="C1512" s="17">
        <v>45957</v>
      </c>
      <c r="D1512" s="2" t="s">
        <v>1373</v>
      </c>
      <c r="E1512" s="18">
        <v>2852.06</v>
      </c>
      <c r="F1512" s="18">
        <v>56.9</v>
      </c>
      <c r="G1512" s="2" t="s">
        <v>1361</v>
      </c>
      <c r="H1512" s="2" t="s">
        <v>2976</v>
      </c>
    </row>
    <row r="1513" spans="1:8" ht="15" customHeight="1" x14ac:dyDescent="0.25">
      <c r="A1513" s="2" t="s">
        <v>2846</v>
      </c>
      <c r="B1513" s="2" t="s">
        <v>1332</v>
      </c>
      <c r="C1513" s="17">
        <v>45952</v>
      </c>
      <c r="D1513" s="2" t="s">
        <v>1373</v>
      </c>
      <c r="E1513" s="18">
        <v>3708.82</v>
      </c>
      <c r="F1513" s="18">
        <v>61.11</v>
      </c>
      <c r="G1513" s="2" t="s">
        <v>1361</v>
      </c>
      <c r="H1513" s="2" t="s">
        <v>2976</v>
      </c>
    </row>
    <row r="1514" spans="1:8" ht="15" customHeight="1" x14ac:dyDescent="0.25">
      <c r="A1514" s="2" t="s">
        <v>2847</v>
      </c>
      <c r="B1514" s="2" t="s">
        <v>1332</v>
      </c>
      <c r="C1514" s="17">
        <v>45975</v>
      </c>
      <c r="D1514" s="2" t="s">
        <v>1373</v>
      </c>
      <c r="E1514" s="18">
        <v>1905.91</v>
      </c>
      <c r="F1514" s="18">
        <v>33.409999999999997</v>
      </c>
      <c r="G1514" s="2" t="s">
        <v>1361</v>
      </c>
      <c r="H1514" s="2" t="s">
        <v>2976</v>
      </c>
    </row>
    <row r="1515" spans="1:8" ht="15" customHeight="1" x14ac:dyDescent="0.25">
      <c r="A1515" s="2" t="s">
        <v>2848</v>
      </c>
      <c r="B1515" s="2" t="s">
        <v>1332</v>
      </c>
      <c r="C1515" s="17">
        <v>45968</v>
      </c>
      <c r="D1515" s="2" t="s">
        <v>1373</v>
      </c>
      <c r="E1515" s="18">
        <v>4005.67</v>
      </c>
      <c r="F1515" s="18">
        <v>68.62</v>
      </c>
      <c r="G1515" s="2" t="s">
        <v>1361</v>
      </c>
      <c r="H1515" s="2" t="s">
        <v>2976</v>
      </c>
    </row>
    <row r="1516" spans="1:8" ht="15" customHeight="1" x14ac:dyDescent="0.25">
      <c r="A1516" s="2" t="s">
        <v>2849</v>
      </c>
      <c r="B1516" s="2" t="s">
        <v>1332</v>
      </c>
      <c r="C1516" s="17">
        <v>46017</v>
      </c>
      <c r="D1516" s="2" t="s">
        <v>1373</v>
      </c>
      <c r="E1516" s="18">
        <v>3263.21</v>
      </c>
      <c r="F1516" s="18">
        <v>60.89</v>
      </c>
      <c r="G1516" s="2" t="s">
        <v>1361</v>
      </c>
      <c r="H1516" s="2" t="s">
        <v>2976</v>
      </c>
    </row>
    <row r="1517" spans="1:8" ht="15" customHeight="1" x14ac:dyDescent="0.25">
      <c r="A1517" s="2" t="s">
        <v>2850</v>
      </c>
      <c r="B1517" s="2" t="s">
        <v>1332</v>
      </c>
      <c r="C1517" s="17">
        <v>46019</v>
      </c>
      <c r="D1517" s="2" t="s">
        <v>1373</v>
      </c>
      <c r="E1517" s="18">
        <v>3113.93</v>
      </c>
      <c r="F1517" s="18">
        <v>53.69</v>
      </c>
      <c r="G1517" s="2" t="s">
        <v>1361</v>
      </c>
      <c r="H1517" s="2" t="s">
        <v>2976</v>
      </c>
    </row>
    <row r="1518" spans="1:8" ht="15" customHeight="1" x14ac:dyDescent="0.25">
      <c r="A1518" s="2" t="s">
        <v>2851</v>
      </c>
      <c r="B1518" s="2" t="s">
        <v>1333</v>
      </c>
      <c r="C1518" s="17">
        <v>45991</v>
      </c>
      <c r="D1518" s="2" t="s">
        <v>1360</v>
      </c>
      <c r="E1518" s="18">
        <v>9179.0300000000007</v>
      </c>
      <c r="F1518" s="18">
        <v>249.4</v>
      </c>
      <c r="G1518" s="2" t="s">
        <v>1361</v>
      </c>
      <c r="H1518" s="2" t="s">
        <v>19</v>
      </c>
    </row>
    <row r="1519" spans="1:8" ht="15" customHeight="1" x14ac:dyDescent="0.25">
      <c r="A1519" s="2" t="s">
        <v>2852</v>
      </c>
      <c r="B1519" s="2" t="s">
        <v>1333</v>
      </c>
      <c r="C1519" s="17">
        <v>45991</v>
      </c>
      <c r="D1519" s="2" t="s">
        <v>1360</v>
      </c>
      <c r="E1519" s="18">
        <v>17202.05</v>
      </c>
      <c r="F1519" s="18">
        <v>376.26</v>
      </c>
      <c r="G1519" s="2" t="s">
        <v>1361</v>
      </c>
      <c r="H1519" s="2" t="s">
        <v>19</v>
      </c>
    </row>
    <row r="1520" spans="1:8" ht="15" customHeight="1" x14ac:dyDescent="0.25">
      <c r="A1520" s="2" t="s">
        <v>2853</v>
      </c>
      <c r="B1520" s="2" t="s">
        <v>1333</v>
      </c>
      <c r="C1520" s="17">
        <v>45991</v>
      </c>
      <c r="D1520" s="2" t="s">
        <v>1360</v>
      </c>
      <c r="E1520" s="18">
        <v>4358.34</v>
      </c>
      <c r="F1520" s="18">
        <v>99.89</v>
      </c>
      <c r="G1520" s="2" t="s">
        <v>1361</v>
      </c>
      <c r="H1520" s="2" t="s">
        <v>19</v>
      </c>
    </row>
    <row r="1521" spans="1:8" ht="15" customHeight="1" x14ac:dyDescent="0.25">
      <c r="A1521" s="2" t="s">
        <v>2854</v>
      </c>
      <c r="B1521" s="2" t="s">
        <v>1333</v>
      </c>
      <c r="C1521" s="17">
        <v>46008</v>
      </c>
      <c r="D1521" s="2" t="s">
        <v>1360</v>
      </c>
      <c r="E1521" s="18">
        <v>15410.26</v>
      </c>
      <c r="F1521" s="18">
        <v>407.99</v>
      </c>
      <c r="G1521" s="2" t="s">
        <v>1361</v>
      </c>
      <c r="H1521" s="2" t="s">
        <v>19</v>
      </c>
    </row>
    <row r="1522" spans="1:8" ht="15" customHeight="1" x14ac:dyDescent="0.25">
      <c r="A1522" s="2" t="s">
        <v>2855</v>
      </c>
      <c r="B1522" s="2" t="s">
        <v>1333</v>
      </c>
      <c r="C1522" s="17">
        <v>45995</v>
      </c>
      <c r="D1522" s="2" t="s">
        <v>1360</v>
      </c>
      <c r="E1522" s="18">
        <v>7447.23</v>
      </c>
      <c r="F1522" s="18">
        <v>181.78</v>
      </c>
      <c r="G1522" s="2" t="s">
        <v>1361</v>
      </c>
      <c r="H1522" s="2" t="s">
        <v>19</v>
      </c>
    </row>
    <row r="1523" spans="1:8" ht="15" customHeight="1" x14ac:dyDescent="0.25">
      <c r="A1523" s="2" t="s">
        <v>127</v>
      </c>
      <c r="B1523" s="2" t="s">
        <v>1333</v>
      </c>
      <c r="C1523" s="17">
        <v>45996</v>
      </c>
      <c r="D1523" s="2" t="s">
        <v>1360</v>
      </c>
      <c r="E1523" s="18">
        <v>12833.63</v>
      </c>
      <c r="F1523" s="18">
        <v>-280.97000000000003</v>
      </c>
      <c r="G1523" s="2" t="s">
        <v>1361</v>
      </c>
      <c r="H1523" s="2" t="s">
        <v>19</v>
      </c>
    </row>
    <row r="1524" spans="1:8" ht="15" customHeight="1" x14ac:dyDescent="0.25">
      <c r="A1524" s="2" t="s">
        <v>2856</v>
      </c>
      <c r="B1524" s="2" t="s">
        <v>1334</v>
      </c>
      <c r="C1524" s="17">
        <v>45923</v>
      </c>
      <c r="D1524" s="2" t="s">
        <v>1360</v>
      </c>
      <c r="E1524" s="18">
        <v>13379.59</v>
      </c>
      <c r="F1524" s="18">
        <v>411.7</v>
      </c>
      <c r="G1524" s="2" t="s">
        <v>1361</v>
      </c>
      <c r="H1524" s="2" t="s">
        <v>20</v>
      </c>
    </row>
    <row r="1525" spans="1:8" ht="15" customHeight="1" x14ac:dyDescent="0.25">
      <c r="A1525" s="2" t="s">
        <v>2857</v>
      </c>
      <c r="B1525" s="2" t="s">
        <v>1334</v>
      </c>
      <c r="C1525" s="17">
        <v>45925</v>
      </c>
      <c r="D1525" s="2" t="s">
        <v>1360</v>
      </c>
      <c r="E1525" s="18">
        <v>8881.57</v>
      </c>
      <c r="F1525" s="18">
        <v>223.93</v>
      </c>
      <c r="G1525" s="2" t="s">
        <v>1361</v>
      </c>
      <c r="H1525" s="2" t="s">
        <v>20</v>
      </c>
    </row>
    <row r="1526" spans="1:8" ht="15" customHeight="1" x14ac:dyDescent="0.25">
      <c r="A1526" s="2" t="s">
        <v>2858</v>
      </c>
      <c r="B1526" s="2" t="s">
        <v>1334</v>
      </c>
      <c r="C1526" s="17">
        <v>45924</v>
      </c>
      <c r="D1526" s="2" t="s">
        <v>1479</v>
      </c>
      <c r="E1526" s="18">
        <v>11908.94</v>
      </c>
      <c r="F1526" s="18">
        <v>367.5</v>
      </c>
      <c r="G1526" s="2" t="s">
        <v>1361</v>
      </c>
      <c r="H1526" s="2" t="s">
        <v>20</v>
      </c>
    </row>
    <row r="1527" spans="1:8" ht="15" customHeight="1" x14ac:dyDescent="0.25">
      <c r="A1527" s="2" t="s">
        <v>2859</v>
      </c>
      <c r="B1527" s="2" t="s">
        <v>1334</v>
      </c>
      <c r="C1527" s="17">
        <v>45961</v>
      </c>
      <c r="D1527" s="2" t="s">
        <v>1360</v>
      </c>
      <c r="E1527" s="18">
        <v>9073.6200000000008</v>
      </c>
      <c r="F1527" s="18">
        <v>0</v>
      </c>
      <c r="G1527" s="2" t="s">
        <v>1408</v>
      </c>
      <c r="H1527" s="2" t="s">
        <v>20</v>
      </c>
    </row>
    <row r="1528" spans="1:8" ht="15" customHeight="1" x14ac:dyDescent="0.25">
      <c r="A1528" s="2" t="s">
        <v>2860</v>
      </c>
      <c r="B1528" s="2" t="s">
        <v>1334</v>
      </c>
      <c r="C1528" s="17">
        <v>45984</v>
      </c>
      <c r="D1528" s="2" t="s">
        <v>1479</v>
      </c>
      <c r="E1528" s="18">
        <v>11561.25</v>
      </c>
      <c r="F1528" s="18">
        <v>301.36</v>
      </c>
      <c r="G1528" s="2" t="s">
        <v>1361</v>
      </c>
      <c r="H1528" s="2" t="s">
        <v>20</v>
      </c>
    </row>
    <row r="1529" spans="1:8" ht="15" customHeight="1" x14ac:dyDescent="0.25">
      <c r="A1529" s="2" t="s">
        <v>2861</v>
      </c>
      <c r="B1529" s="2" t="s">
        <v>1334</v>
      </c>
      <c r="C1529" s="17">
        <v>45981</v>
      </c>
      <c r="D1529" s="2" t="s">
        <v>1479</v>
      </c>
      <c r="E1529" s="18">
        <v>9448.09</v>
      </c>
      <c r="F1529" s="18">
        <v>251.09</v>
      </c>
      <c r="G1529" s="2" t="s">
        <v>1361</v>
      </c>
      <c r="H1529" s="2" t="s">
        <v>20</v>
      </c>
    </row>
    <row r="1530" spans="1:8" ht="15" customHeight="1" x14ac:dyDescent="0.25">
      <c r="A1530" s="2" t="s">
        <v>2862</v>
      </c>
      <c r="B1530" s="2" t="s">
        <v>1334</v>
      </c>
      <c r="C1530" s="17">
        <v>46022</v>
      </c>
      <c r="D1530" s="2" t="s">
        <v>1479</v>
      </c>
      <c r="E1530" s="18">
        <v>15292.42</v>
      </c>
      <c r="F1530" s="18">
        <v>388.39</v>
      </c>
      <c r="G1530" s="2" t="s">
        <v>1361</v>
      </c>
      <c r="H1530" s="2" t="s">
        <v>20</v>
      </c>
    </row>
    <row r="1531" spans="1:8" ht="15" customHeight="1" x14ac:dyDescent="0.25">
      <c r="A1531" s="2" t="s">
        <v>2863</v>
      </c>
      <c r="B1531" s="2" t="s">
        <v>1334</v>
      </c>
      <c r="C1531" s="17">
        <v>46016</v>
      </c>
      <c r="D1531" s="2" t="s">
        <v>1360</v>
      </c>
      <c r="E1531" s="18">
        <v>9301.61</v>
      </c>
      <c r="F1531" s="18">
        <v>244.35</v>
      </c>
      <c r="G1531" s="2" t="s">
        <v>1361</v>
      </c>
      <c r="H1531" s="2" t="s">
        <v>20</v>
      </c>
    </row>
    <row r="1532" spans="1:8" ht="15" customHeight="1" x14ac:dyDescent="0.25">
      <c r="A1532" s="2" t="s">
        <v>2864</v>
      </c>
      <c r="B1532" s="2" t="s">
        <v>1334</v>
      </c>
      <c r="C1532" s="17">
        <v>45993</v>
      </c>
      <c r="D1532" s="2" t="s">
        <v>1481</v>
      </c>
      <c r="E1532" s="18">
        <v>5909.62</v>
      </c>
      <c r="F1532" s="18">
        <v>166.96</v>
      </c>
      <c r="G1532" s="2" t="s">
        <v>1361</v>
      </c>
      <c r="H1532" s="2" t="s">
        <v>20</v>
      </c>
    </row>
    <row r="1533" spans="1:8" ht="15" customHeight="1" x14ac:dyDescent="0.25">
      <c r="A1533" s="2" t="s">
        <v>2865</v>
      </c>
      <c r="B1533" s="2" t="s">
        <v>1337</v>
      </c>
      <c r="C1533" s="17">
        <v>45716</v>
      </c>
      <c r="D1533" s="2" t="s">
        <v>1479</v>
      </c>
      <c r="E1533" s="18">
        <v>1352.48</v>
      </c>
      <c r="F1533" s="18">
        <v>37.83</v>
      </c>
      <c r="G1533" s="2" t="s">
        <v>1361</v>
      </c>
      <c r="H1533" s="2" t="s">
        <v>19</v>
      </c>
    </row>
    <row r="1534" spans="1:8" ht="15" customHeight="1" x14ac:dyDescent="0.25">
      <c r="A1534" s="2" t="s">
        <v>2866</v>
      </c>
      <c r="B1534" s="2" t="s">
        <v>1337</v>
      </c>
      <c r="C1534" s="17">
        <v>45728</v>
      </c>
      <c r="D1534" s="2" t="s">
        <v>1479</v>
      </c>
      <c r="E1534" s="18">
        <v>4489.91</v>
      </c>
      <c r="F1534" s="18">
        <v>107.24</v>
      </c>
      <c r="G1534" s="2" t="s">
        <v>1361</v>
      </c>
      <c r="H1534" s="2" t="s">
        <v>19</v>
      </c>
    </row>
    <row r="1535" spans="1:8" ht="15" customHeight="1" x14ac:dyDescent="0.25">
      <c r="A1535" s="2" t="s">
        <v>2867</v>
      </c>
      <c r="B1535" s="2" t="s">
        <v>1337</v>
      </c>
      <c r="C1535" s="17">
        <v>45732</v>
      </c>
      <c r="D1535" s="2" t="s">
        <v>1479</v>
      </c>
      <c r="E1535" s="18">
        <v>3493.76</v>
      </c>
      <c r="F1535" s="18">
        <v>88.79</v>
      </c>
      <c r="G1535" s="2" t="s">
        <v>1361</v>
      </c>
      <c r="H1535" s="2" t="s">
        <v>19</v>
      </c>
    </row>
    <row r="1536" spans="1:8" ht="15" customHeight="1" x14ac:dyDescent="0.25">
      <c r="A1536" s="2" t="s">
        <v>2868</v>
      </c>
      <c r="B1536" s="2" t="s">
        <v>1337</v>
      </c>
      <c r="C1536" s="17">
        <v>45756</v>
      </c>
      <c r="D1536" s="2" t="s">
        <v>1481</v>
      </c>
      <c r="E1536" s="18">
        <v>3757.05</v>
      </c>
      <c r="F1536" s="18">
        <v>101.36</v>
      </c>
      <c r="G1536" s="2" t="s">
        <v>1361</v>
      </c>
      <c r="H1536" s="2" t="s">
        <v>19</v>
      </c>
    </row>
    <row r="1537" spans="1:8" ht="15" customHeight="1" x14ac:dyDescent="0.25">
      <c r="A1537" s="2" t="s">
        <v>2869</v>
      </c>
      <c r="B1537" s="2" t="s">
        <v>1337</v>
      </c>
      <c r="C1537" s="17">
        <v>45767</v>
      </c>
      <c r="D1537" s="2" t="s">
        <v>1479</v>
      </c>
      <c r="E1537" s="18">
        <v>4060.06</v>
      </c>
      <c r="F1537" s="18">
        <v>98.48</v>
      </c>
      <c r="G1537" s="2" t="s">
        <v>1361</v>
      </c>
      <c r="H1537" s="2" t="s">
        <v>19</v>
      </c>
    </row>
    <row r="1538" spans="1:8" ht="15" customHeight="1" x14ac:dyDescent="0.25">
      <c r="A1538" s="2" t="s">
        <v>2870</v>
      </c>
      <c r="B1538" s="2" t="s">
        <v>1337</v>
      </c>
      <c r="C1538" s="17">
        <v>45757</v>
      </c>
      <c r="D1538" s="2" t="s">
        <v>1479</v>
      </c>
      <c r="E1538" s="18">
        <v>2749.22</v>
      </c>
      <c r="F1538" s="18">
        <v>65.58</v>
      </c>
      <c r="G1538" s="2" t="s">
        <v>1361</v>
      </c>
      <c r="H1538" s="2" t="s">
        <v>19</v>
      </c>
    </row>
    <row r="1539" spans="1:8" ht="15" customHeight="1" x14ac:dyDescent="0.25">
      <c r="A1539" s="2" t="s">
        <v>2871</v>
      </c>
      <c r="B1539" s="2" t="s">
        <v>1337</v>
      </c>
      <c r="C1539" s="17">
        <v>45804</v>
      </c>
      <c r="D1539" s="2" t="s">
        <v>1360</v>
      </c>
      <c r="E1539" s="18">
        <v>4456.26</v>
      </c>
      <c r="F1539" s="18">
        <v>108.4</v>
      </c>
      <c r="G1539" s="2" t="s">
        <v>1361</v>
      </c>
      <c r="H1539" s="2" t="s">
        <v>19</v>
      </c>
    </row>
    <row r="1540" spans="1:8" ht="15" customHeight="1" x14ac:dyDescent="0.25">
      <c r="A1540" s="2" t="s">
        <v>2872</v>
      </c>
      <c r="B1540" s="2" t="s">
        <v>1337</v>
      </c>
      <c r="C1540" s="17">
        <v>45786</v>
      </c>
      <c r="D1540" s="2" t="s">
        <v>1360</v>
      </c>
      <c r="E1540" s="18">
        <v>5085.46</v>
      </c>
      <c r="F1540" s="18">
        <v>147.62</v>
      </c>
      <c r="G1540" s="2" t="s">
        <v>1361</v>
      </c>
      <c r="H1540" s="2" t="s">
        <v>19</v>
      </c>
    </row>
    <row r="1541" spans="1:8" ht="15" customHeight="1" x14ac:dyDescent="0.25">
      <c r="A1541" s="2" t="s">
        <v>2873</v>
      </c>
      <c r="B1541" s="2" t="s">
        <v>1337</v>
      </c>
      <c r="C1541" s="17">
        <v>45800</v>
      </c>
      <c r="D1541" s="2" t="s">
        <v>1481</v>
      </c>
      <c r="E1541" s="18">
        <v>4906.2700000000004</v>
      </c>
      <c r="F1541" s="18">
        <v>150.84</v>
      </c>
      <c r="G1541" s="2" t="s">
        <v>1361</v>
      </c>
      <c r="H1541" s="2" t="s">
        <v>19</v>
      </c>
    </row>
    <row r="1542" spans="1:8" ht="15" customHeight="1" x14ac:dyDescent="0.25">
      <c r="A1542" s="2" t="s">
        <v>2874</v>
      </c>
      <c r="B1542" s="2" t="s">
        <v>1337</v>
      </c>
      <c r="C1542" s="17">
        <v>45828</v>
      </c>
      <c r="D1542" s="2" t="s">
        <v>1479</v>
      </c>
      <c r="E1542" s="18">
        <v>4701.4399999999996</v>
      </c>
      <c r="F1542" s="18">
        <v>122.96</v>
      </c>
      <c r="G1542" s="2" t="s">
        <v>1361</v>
      </c>
      <c r="H1542" s="2" t="s">
        <v>19</v>
      </c>
    </row>
    <row r="1543" spans="1:8" ht="15" customHeight="1" x14ac:dyDescent="0.25">
      <c r="A1543" s="2" t="s">
        <v>2875</v>
      </c>
      <c r="B1543" s="2" t="s">
        <v>1337</v>
      </c>
      <c r="C1543" s="17">
        <v>45824</v>
      </c>
      <c r="D1543" s="2" t="s">
        <v>1481</v>
      </c>
      <c r="E1543" s="18">
        <v>1935.12</v>
      </c>
      <c r="F1543" s="18">
        <v>47.24</v>
      </c>
      <c r="G1543" s="2" t="s">
        <v>1361</v>
      </c>
      <c r="H1543" s="2" t="s">
        <v>19</v>
      </c>
    </row>
    <row r="1544" spans="1:8" ht="15" customHeight="1" x14ac:dyDescent="0.25">
      <c r="A1544" s="2" t="s">
        <v>2876</v>
      </c>
      <c r="B1544" s="2" t="s">
        <v>1337</v>
      </c>
      <c r="C1544" s="17">
        <v>45818</v>
      </c>
      <c r="D1544" s="2" t="s">
        <v>1360</v>
      </c>
      <c r="E1544" s="18">
        <v>3333.26</v>
      </c>
      <c r="F1544" s="18">
        <v>101.59</v>
      </c>
      <c r="G1544" s="2" t="s">
        <v>1361</v>
      </c>
      <c r="H1544" s="2" t="s">
        <v>19</v>
      </c>
    </row>
    <row r="1545" spans="1:8" ht="15" customHeight="1" x14ac:dyDescent="0.25">
      <c r="A1545" s="2" t="s">
        <v>2877</v>
      </c>
      <c r="B1545" s="2" t="s">
        <v>1337</v>
      </c>
      <c r="C1545" s="17">
        <v>45847</v>
      </c>
      <c r="D1545" s="2" t="s">
        <v>1360</v>
      </c>
      <c r="E1545" s="18">
        <v>1712.12</v>
      </c>
      <c r="F1545" s="18">
        <v>46.17</v>
      </c>
      <c r="G1545" s="2" t="s">
        <v>1361</v>
      </c>
      <c r="H1545" s="2" t="s">
        <v>19</v>
      </c>
    </row>
    <row r="1546" spans="1:8" ht="15" customHeight="1" x14ac:dyDescent="0.25">
      <c r="A1546" s="2" t="s">
        <v>2878</v>
      </c>
      <c r="B1546" s="2" t="s">
        <v>1337</v>
      </c>
      <c r="C1546" s="17">
        <v>45868</v>
      </c>
      <c r="D1546" s="2" t="s">
        <v>1360</v>
      </c>
      <c r="E1546" s="18">
        <v>4693.76</v>
      </c>
      <c r="F1546" s="18">
        <v>141.13</v>
      </c>
      <c r="G1546" s="2" t="s">
        <v>1361</v>
      </c>
      <c r="H1546" s="2" t="s">
        <v>19</v>
      </c>
    </row>
    <row r="1547" spans="1:8" ht="15" customHeight="1" x14ac:dyDescent="0.25">
      <c r="A1547" s="2" t="s">
        <v>2879</v>
      </c>
      <c r="B1547" s="2" t="s">
        <v>1337</v>
      </c>
      <c r="C1547" s="17">
        <v>45870</v>
      </c>
      <c r="D1547" s="2" t="s">
        <v>1360</v>
      </c>
      <c r="E1547" s="18">
        <v>3203.54</v>
      </c>
      <c r="F1547" s="18">
        <v>83.62</v>
      </c>
      <c r="G1547" s="2" t="s">
        <v>1361</v>
      </c>
      <c r="H1547" s="2" t="s">
        <v>19</v>
      </c>
    </row>
    <row r="1548" spans="1:8" ht="15" customHeight="1" x14ac:dyDescent="0.25">
      <c r="A1548" s="2" t="s">
        <v>2880</v>
      </c>
      <c r="B1548" s="2" t="s">
        <v>1337</v>
      </c>
      <c r="C1548" s="17">
        <v>45895</v>
      </c>
      <c r="D1548" s="2" t="s">
        <v>1479</v>
      </c>
      <c r="E1548" s="18">
        <v>1354.84</v>
      </c>
      <c r="F1548" s="18">
        <v>0</v>
      </c>
      <c r="G1548" s="2" t="s">
        <v>1408</v>
      </c>
      <c r="H1548" s="2" t="s">
        <v>19</v>
      </c>
    </row>
    <row r="1549" spans="1:8" ht="15" customHeight="1" x14ac:dyDescent="0.25">
      <c r="A1549" s="2" t="s">
        <v>2881</v>
      </c>
      <c r="B1549" s="2" t="s">
        <v>1337</v>
      </c>
      <c r="C1549" s="17">
        <v>45924</v>
      </c>
      <c r="D1549" s="2" t="s">
        <v>1479</v>
      </c>
      <c r="E1549" s="18">
        <v>1343.96</v>
      </c>
      <c r="F1549" s="18">
        <v>34.92</v>
      </c>
      <c r="G1549" s="2" t="s">
        <v>1361</v>
      </c>
      <c r="H1549" s="2" t="s">
        <v>19</v>
      </c>
    </row>
    <row r="1550" spans="1:8" ht="15" customHeight="1" x14ac:dyDescent="0.25">
      <c r="A1550" s="2" t="s">
        <v>2882</v>
      </c>
      <c r="B1550" s="2" t="s">
        <v>1337</v>
      </c>
      <c r="C1550" s="17">
        <v>45902</v>
      </c>
      <c r="D1550" s="2" t="s">
        <v>1481</v>
      </c>
      <c r="E1550" s="18">
        <v>2104.71</v>
      </c>
      <c r="F1550" s="18">
        <v>54.81</v>
      </c>
      <c r="G1550" s="2" t="s">
        <v>1361</v>
      </c>
      <c r="H1550" s="2" t="s">
        <v>19</v>
      </c>
    </row>
    <row r="1551" spans="1:8" ht="15" customHeight="1" x14ac:dyDescent="0.25">
      <c r="A1551" s="2" t="s">
        <v>2883</v>
      </c>
      <c r="B1551" s="2" t="s">
        <v>1337</v>
      </c>
      <c r="C1551" s="17">
        <v>45948</v>
      </c>
      <c r="D1551" s="2" t="s">
        <v>1481</v>
      </c>
      <c r="E1551" s="18">
        <v>2304.14</v>
      </c>
      <c r="F1551" s="18">
        <v>58.58</v>
      </c>
      <c r="G1551" s="2" t="s">
        <v>1361</v>
      </c>
      <c r="H1551" s="2" t="s">
        <v>19</v>
      </c>
    </row>
    <row r="1552" spans="1:8" ht="15" customHeight="1" x14ac:dyDescent="0.25">
      <c r="A1552" s="2" t="s">
        <v>2884</v>
      </c>
      <c r="B1552" s="2" t="s">
        <v>1337</v>
      </c>
      <c r="C1552" s="17">
        <v>45931</v>
      </c>
      <c r="D1552" s="2" t="s">
        <v>1360</v>
      </c>
      <c r="E1552" s="18">
        <v>4879.1899999999996</v>
      </c>
      <c r="F1552" s="18">
        <v>120.4</v>
      </c>
      <c r="G1552" s="2" t="s">
        <v>1361</v>
      </c>
      <c r="H1552" s="2" t="s">
        <v>19</v>
      </c>
    </row>
    <row r="1553" spans="1:8" ht="15" customHeight="1" x14ac:dyDescent="0.25">
      <c r="A1553" s="2" t="s">
        <v>2885</v>
      </c>
      <c r="B1553" s="2" t="s">
        <v>1337</v>
      </c>
      <c r="C1553" s="17">
        <v>45958</v>
      </c>
      <c r="D1553" s="2" t="s">
        <v>1479</v>
      </c>
      <c r="E1553" s="18">
        <v>3938.04</v>
      </c>
      <c r="F1553" s="18">
        <v>104.6</v>
      </c>
      <c r="G1553" s="2" t="s">
        <v>1361</v>
      </c>
      <c r="H1553" s="2" t="s">
        <v>19</v>
      </c>
    </row>
    <row r="1554" spans="1:8" ht="15" customHeight="1" x14ac:dyDescent="0.25">
      <c r="A1554" s="2" t="s">
        <v>2886</v>
      </c>
      <c r="B1554" s="2" t="s">
        <v>1337</v>
      </c>
      <c r="C1554" s="17">
        <v>45978</v>
      </c>
      <c r="D1554" s="2" t="s">
        <v>1479</v>
      </c>
      <c r="E1554" s="18">
        <v>3863.96</v>
      </c>
      <c r="F1554" s="18">
        <v>98.22</v>
      </c>
      <c r="G1554" s="2" t="s">
        <v>1361</v>
      </c>
      <c r="H1554" s="2" t="s">
        <v>19</v>
      </c>
    </row>
    <row r="1555" spans="1:8" ht="15" customHeight="1" x14ac:dyDescent="0.25">
      <c r="A1555" s="2" t="s">
        <v>2887</v>
      </c>
      <c r="B1555" s="2" t="s">
        <v>1337</v>
      </c>
      <c r="C1555" s="17">
        <v>45989</v>
      </c>
      <c r="D1555" s="2" t="s">
        <v>1360</v>
      </c>
      <c r="E1555" s="18">
        <v>3855.04</v>
      </c>
      <c r="F1555" s="18">
        <v>98.94</v>
      </c>
      <c r="G1555" s="2" t="s">
        <v>1361</v>
      </c>
      <c r="H1555" s="2" t="s">
        <v>19</v>
      </c>
    </row>
    <row r="1556" spans="1:8" ht="15" customHeight="1" x14ac:dyDescent="0.25">
      <c r="A1556" s="2" t="s">
        <v>2888</v>
      </c>
      <c r="B1556" s="2" t="s">
        <v>1337</v>
      </c>
      <c r="C1556" s="17">
        <v>45987</v>
      </c>
      <c r="D1556" s="2" t="s">
        <v>1360</v>
      </c>
      <c r="E1556" s="18">
        <v>3436.46</v>
      </c>
      <c r="F1556" s="18">
        <v>89.84</v>
      </c>
      <c r="G1556" s="2" t="s">
        <v>1361</v>
      </c>
      <c r="H1556" s="2" t="s">
        <v>19</v>
      </c>
    </row>
    <row r="1557" spans="1:8" ht="15" customHeight="1" x14ac:dyDescent="0.25">
      <c r="A1557" s="2" t="s">
        <v>2889</v>
      </c>
      <c r="B1557" s="2" t="s">
        <v>1337</v>
      </c>
      <c r="C1557" s="17">
        <v>46015</v>
      </c>
      <c r="D1557" s="2" t="s">
        <v>1479</v>
      </c>
      <c r="E1557" s="18">
        <v>4160.74</v>
      </c>
      <c r="F1557" s="18">
        <v>112.17</v>
      </c>
      <c r="G1557" s="2" t="s">
        <v>1361</v>
      </c>
      <c r="H1557" s="2" t="s">
        <v>19</v>
      </c>
    </row>
    <row r="1558" spans="1:8" ht="15" customHeight="1" x14ac:dyDescent="0.25">
      <c r="A1558" s="2" t="s">
        <v>2890</v>
      </c>
      <c r="B1558" s="2" t="s">
        <v>80</v>
      </c>
      <c r="C1558" s="17">
        <v>45807</v>
      </c>
      <c r="D1558" s="2" t="s">
        <v>1360</v>
      </c>
      <c r="E1558" s="18">
        <v>17800.150000000001</v>
      </c>
      <c r="F1558" s="18">
        <v>479.26</v>
      </c>
      <c r="G1558" s="2" t="s">
        <v>1361</v>
      </c>
      <c r="H1558" s="2" t="s">
        <v>19</v>
      </c>
    </row>
    <row r="1559" spans="1:8" ht="15" customHeight="1" x14ac:dyDescent="0.25">
      <c r="A1559" s="2" t="s">
        <v>2891</v>
      </c>
      <c r="B1559" s="2" t="s">
        <v>80</v>
      </c>
      <c r="C1559" s="17">
        <v>45802</v>
      </c>
      <c r="D1559" s="2" t="s">
        <v>1360</v>
      </c>
      <c r="E1559" s="18">
        <v>8483.0300000000007</v>
      </c>
      <c r="F1559" s="18">
        <v>239.21</v>
      </c>
      <c r="G1559" s="2" t="s">
        <v>1361</v>
      </c>
      <c r="H1559" s="2" t="s">
        <v>19</v>
      </c>
    </row>
    <row r="1560" spans="1:8" ht="15" customHeight="1" x14ac:dyDescent="0.25">
      <c r="A1560" s="2" t="s">
        <v>2892</v>
      </c>
      <c r="B1560" s="2" t="s">
        <v>80</v>
      </c>
      <c r="C1560" s="17">
        <v>45803</v>
      </c>
      <c r="D1560" s="2" t="s">
        <v>1360</v>
      </c>
      <c r="E1560" s="18">
        <v>12667.28</v>
      </c>
      <c r="F1560" s="18">
        <v>361.73</v>
      </c>
      <c r="G1560" s="2" t="s">
        <v>1361</v>
      </c>
      <c r="H1560" s="2" t="s">
        <v>19</v>
      </c>
    </row>
    <row r="1561" spans="1:8" ht="15" customHeight="1" x14ac:dyDescent="0.25">
      <c r="A1561" s="2" t="s">
        <v>2893</v>
      </c>
      <c r="B1561" s="2" t="s">
        <v>80</v>
      </c>
      <c r="C1561" s="17">
        <v>45817</v>
      </c>
      <c r="D1561" s="2" t="s">
        <v>1360</v>
      </c>
      <c r="E1561" s="18">
        <v>4743.37</v>
      </c>
      <c r="F1561" s="18">
        <v>115.38</v>
      </c>
      <c r="G1561" s="2" t="s">
        <v>1361</v>
      </c>
      <c r="H1561" s="2" t="s">
        <v>19</v>
      </c>
    </row>
    <row r="1562" spans="1:8" ht="15" customHeight="1" x14ac:dyDescent="0.25">
      <c r="A1562" s="2" t="s">
        <v>2894</v>
      </c>
      <c r="B1562" s="2" t="s">
        <v>80</v>
      </c>
      <c r="C1562" s="17">
        <v>45822</v>
      </c>
      <c r="D1562" s="2" t="s">
        <v>1360</v>
      </c>
      <c r="E1562" s="18">
        <v>4749.95</v>
      </c>
      <c r="F1562" s="18">
        <v>0</v>
      </c>
      <c r="G1562" s="2" t="s">
        <v>1408</v>
      </c>
      <c r="H1562" s="2" t="s">
        <v>19</v>
      </c>
    </row>
    <row r="1563" spans="1:8" ht="15" customHeight="1" x14ac:dyDescent="0.25">
      <c r="A1563" s="2" t="s">
        <v>2895</v>
      </c>
      <c r="B1563" s="2" t="s">
        <v>80</v>
      </c>
      <c r="C1563" s="17">
        <v>45865</v>
      </c>
      <c r="D1563" s="2" t="s">
        <v>1360</v>
      </c>
      <c r="E1563" s="18">
        <v>7361.81</v>
      </c>
      <c r="F1563" s="18">
        <v>177.93</v>
      </c>
      <c r="G1563" s="2" t="s">
        <v>1361</v>
      </c>
      <c r="H1563" s="2" t="s">
        <v>19</v>
      </c>
    </row>
    <row r="1564" spans="1:8" ht="15" customHeight="1" x14ac:dyDescent="0.25">
      <c r="A1564" s="2" t="s">
        <v>2896</v>
      </c>
      <c r="B1564" s="2" t="s">
        <v>80</v>
      </c>
      <c r="C1564" s="17">
        <v>45900</v>
      </c>
      <c r="D1564" s="2" t="s">
        <v>1360</v>
      </c>
      <c r="E1564" s="18">
        <v>12086.75</v>
      </c>
      <c r="F1564" s="18">
        <v>262.66000000000003</v>
      </c>
      <c r="G1564" s="2" t="s">
        <v>1361</v>
      </c>
      <c r="H1564" s="2" t="s">
        <v>19</v>
      </c>
    </row>
    <row r="1565" spans="1:8" ht="15" customHeight="1" x14ac:dyDescent="0.25">
      <c r="A1565" s="2" t="s">
        <v>2897</v>
      </c>
      <c r="B1565" s="2" t="s">
        <v>80</v>
      </c>
      <c r="C1565" s="17">
        <v>45907</v>
      </c>
      <c r="D1565" s="2" t="s">
        <v>1360</v>
      </c>
      <c r="E1565" s="18">
        <v>10911.3</v>
      </c>
      <c r="F1565" s="18">
        <v>254.51</v>
      </c>
      <c r="G1565" s="2" t="s">
        <v>1361</v>
      </c>
      <c r="H1565" s="2" t="s">
        <v>19</v>
      </c>
    </row>
    <row r="1566" spans="1:8" ht="15" customHeight="1" x14ac:dyDescent="0.25">
      <c r="A1566" s="2" t="s">
        <v>2898</v>
      </c>
      <c r="B1566" s="2" t="s">
        <v>80</v>
      </c>
      <c r="C1566" s="17">
        <v>45922</v>
      </c>
      <c r="D1566" s="2" t="s">
        <v>1360</v>
      </c>
      <c r="E1566" s="18">
        <v>17707.52</v>
      </c>
      <c r="F1566" s="18">
        <v>432.56</v>
      </c>
      <c r="G1566" s="2" t="s">
        <v>1361</v>
      </c>
      <c r="H1566" s="2" t="s">
        <v>19</v>
      </c>
    </row>
    <row r="1567" spans="1:8" ht="15" customHeight="1" x14ac:dyDescent="0.25">
      <c r="A1567" s="2" t="s">
        <v>2899</v>
      </c>
      <c r="B1567" s="2" t="s">
        <v>80</v>
      </c>
      <c r="C1567" s="17">
        <v>45944</v>
      </c>
      <c r="D1567" s="2" t="s">
        <v>1360</v>
      </c>
      <c r="E1567" s="18">
        <v>10738.44</v>
      </c>
      <c r="F1567" s="18">
        <v>265.67</v>
      </c>
      <c r="G1567" s="2" t="s">
        <v>1361</v>
      </c>
      <c r="H1567" s="2" t="s">
        <v>19</v>
      </c>
    </row>
    <row r="1568" spans="1:8" ht="15" customHeight="1" x14ac:dyDescent="0.25">
      <c r="A1568" s="2" t="s">
        <v>2900</v>
      </c>
      <c r="B1568" s="2" t="s">
        <v>80</v>
      </c>
      <c r="C1568" s="17">
        <v>45977</v>
      </c>
      <c r="D1568" s="2" t="s">
        <v>1360</v>
      </c>
      <c r="E1568" s="18">
        <v>10057.280000000001</v>
      </c>
      <c r="F1568" s="18">
        <v>268.83999999999997</v>
      </c>
      <c r="G1568" s="2" t="s">
        <v>1361</v>
      </c>
      <c r="H1568" s="2" t="s">
        <v>19</v>
      </c>
    </row>
    <row r="1569" spans="1:8" ht="15" customHeight="1" x14ac:dyDescent="0.25">
      <c r="A1569" s="2" t="s">
        <v>2901</v>
      </c>
      <c r="B1569" s="2" t="s">
        <v>80</v>
      </c>
      <c r="C1569" s="17">
        <v>46008</v>
      </c>
      <c r="D1569" s="2" t="s">
        <v>1360</v>
      </c>
      <c r="E1569" s="18">
        <v>17861.150000000001</v>
      </c>
      <c r="F1569" s="18">
        <v>438.62</v>
      </c>
      <c r="G1569" s="2" t="s">
        <v>1361</v>
      </c>
      <c r="H1569" s="2" t="s">
        <v>19</v>
      </c>
    </row>
    <row r="1570" spans="1:8" ht="15" customHeight="1" x14ac:dyDescent="0.25">
      <c r="A1570" s="2" t="s">
        <v>2902</v>
      </c>
      <c r="B1570" s="2" t="s">
        <v>1343</v>
      </c>
      <c r="C1570" s="17">
        <v>46014</v>
      </c>
      <c r="D1570" s="2" t="s">
        <v>1360</v>
      </c>
      <c r="E1570" s="18">
        <v>3821.82</v>
      </c>
      <c r="F1570" s="18">
        <v>88.23</v>
      </c>
      <c r="G1570" s="2" t="s">
        <v>1361</v>
      </c>
      <c r="H1570" s="2" t="s">
        <v>21</v>
      </c>
    </row>
    <row r="1571" spans="1:8" ht="15" customHeight="1" x14ac:dyDescent="0.25">
      <c r="A1571" s="2" t="s">
        <v>2903</v>
      </c>
      <c r="B1571" s="2" t="s">
        <v>1343</v>
      </c>
      <c r="C1571" s="17">
        <v>46014</v>
      </c>
      <c r="D1571" s="2" t="s">
        <v>1360</v>
      </c>
      <c r="E1571" s="18">
        <v>4270.1000000000004</v>
      </c>
      <c r="F1571" s="18">
        <v>117.32</v>
      </c>
      <c r="G1571" s="2" t="s">
        <v>1361</v>
      </c>
      <c r="H1571" s="2" t="s">
        <v>21</v>
      </c>
    </row>
    <row r="1572" spans="1:8" ht="15" customHeight="1" x14ac:dyDescent="0.25">
      <c r="A1572" s="2" t="s">
        <v>2904</v>
      </c>
      <c r="B1572" s="2" t="s">
        <v>1343</v>
      </c>
      <c r="C1572" s="17">
        <v>46015</v>
      </c>
      <c r="D1572" s="2" t="s">
        <v>1360</v>
      </c>
      <c r="E1572" s="18">
        <v>4774.24</v>
      </c>
      <c r="F1572" s="18">
        <v>147.38999999999999</v>
      </c>
      <c r="G1572" s="2" t="s">
        <v>1361</v>
      </c>
      <c r="H1572" s="2" t="s">
        <v>21</v>
      </c>
    </row>
    <row r="1573" spans="1:8" ht="15" customHeight="1" x14ac:dyDescent="0.25">
      <c r="A1573" s="2" t="s">
        <v>2905</v>
      </c>
      <c r="B1573" s="2" t="s">
        <v>1345</v>
      </c>
      <c r="C1573" s="17">
        <v>45693</v>
      </c>
      <c r="D1573" s="2" t="s">
        <v>1423</v>
      </c>
      <c r="E1573" s="18">
        <v>2038.49</v>
      </c>
      <c r="F1573" s="18">
        <v>54.95</v>
      </c>
      <c r="G1573" s="2" t="s">
        <v>1361</v>
      </c>
      <c r="H1573" s="2" t="s">
        <v>2964</v>
      </c>
    </row>
    <row r="1574" spans="1:8" ht="15" customHeight="1" x14ac:dyDescent="0.25">
      <c r="A1574" s="2" t="s">
        <v>2906</v>
      </c>
      <c r="B1574" s="2" t="s">
        <v>1345</v>
      </c>
      <c r="C1574" s="17">
        <v>45701</v>
      </c>
      <c r="D1574" s="2" t="s">
        <v>1423</v>
      </c>
      <c r="E1574" s="18">
        <v>4455.13</v>
      </c>
      <c r="F1574" s="18">
        <v>139.93</v>
      </c>
      <c r="G1574" s="2" t="s">
        <v>1361</v>
      </c>
      <c r="H1574" s="2" t="s">
        <v>2964</v>
      </c>
    </row>
    <row r="1575" spans="1:8" ht="15" customHeight="1" x14ac:dyDescent="0.25">
      <c r="A1575" s="2" t="s">
        <v>2907</v>
      </c>
      <c r="B1575" s="2" t="s">
        <v>1345</v>
      </c>
      <c r="C1575" s="17">
        <v>45724</v>
      </c>
      <c r="D1575" s="2" t="s">
        <v>1423</v>
      </c>
      <c r="E1575" s="18">
        <v>3189.59</v>
      </c>
      <c r="F1575" s="18">
        <v>89.78</v>
      </c>
      <c r="G1575" s="2" t="s">
        <v>1361</v>
      </c>
      <c r="H1575" s="2" t="s">
        <v>2964</v>
      </c>
    </row>
    <row r="1576" spans="1:8" ht="15" customHeight="1" x14ac:dyDescent="0.25">
      <c r="A1576" s="2" t="s">
        <v>2908</v>
      </c>
      <c r="B1576" s="2" t="s">
        <v>1345</v>
      </c>
      <c r="C1576" s="17">
        <v>45736</v>
      </c>
      <c r="D1576" s="2" t="s">
        <v>1423</v>
      </c>
      <c r="E1576" s="18">
        <v>1580.1</v>
      </c>
      <c r="F1576" s="18">
        <v>42.45</v>
      </c>
      <c r="G1576" s="2" t="s">
        <v>1361</v>
      </c>
      <c r="H1576" s="2" t="s">
        <v>2964</v>
      </c>
    </row>
    <row r="1577" spans="1:8" ht="15" customHeight="1" x14ac:dyDescent="0.25">
      <c r="A1577" s="2" t="s">
        <v>2909</v>
      </c>
      <c r="B1577" s="2" t="s">
        <v>1345</v>
      </c>
      <c r="C1577" s="17">
        <v>45762</v>
      </c>
      <c r="D1577" s="2" t="s">
        <v>1423</v>
      </c>
      <c r="E1577" s="18">
        <v>2257.29</v>
      </c>
      <c r="F1577" s="18">
        <v>80.34</v>
      </c>
      <c r="G1577" s="2" t="s">
        <v>1361</v>
      </c>
      <c r="H1577" s="2" t="s">
        <v>2964</v>
      </c>
    </row>
    <row r="1578" spans="1:8" ht="15" customHeight="1" x14ac:dyDescent="0.25">
      <c r="A1578" s="2" t="s">
        <v>2910</v>
      </c>
      <c r="B1578" s="2" t="s">
        <v>1345</v>
      </c>
      <c r="C1578" s="17">
        <v>45806</v>
      </c>
      <c r="D1578" s="2" t="s">
        <v>1423</v>
      </c>
      <c r="E1578" s="18">
        <v>3858.1</v>
      </c>
      <c r="F1578" s="18">
        <v>111.83</v>
      </c>
      <c r="G1578" s="2" t="s">
        <v>1361</v>
      </c>
      <c r="H1578" s="2" t="s">
        <v>2964</v>
      </c>
    </row>
    <row r="1579" spans="1:8" ht="15" customHeight="1" x14ac:dyDescent="0.25">
      <c r="A1579" s="2" t="s">
        <v>2911</v>
      </c>
      <c r="B1579" s="2" t="s">
        <v>1345</v>
      </c>
      <c r="C1579" s="17">
        <v>45782</v>
      </c>
      <c r="D1579" s="2" t="s">
        <v>1423</v>
      </c>
      <c r="E1579" s="18">
        <v>3044.94</v>
      </c>
      <c r="F1579" s="18">
        <v>99.61</v>
      </c>
      <c r="G1579" s="2" t="s">
        <v>1361</v>
      </c>
      <c r="H1579" s="2" t="s">
        <v>2964</v>
      </c>
    </row>
    <row r="1580" spans="1:8" ht="15" customHeight="1" x14ac:dyDescent="0.25">
      <c r="A1580" s="2" t="s">
        <v>2912</v>
      </c>
      <c r="B1580" s="2" t="s">
        <v>1345</v>
      </c>
      <c r="C1580" s="17">
        <v>45795</v>
      </c>
      <c r="D1580" s="2" t="s">
        <v>1423</v>
      </c>
      <c r="E1580" s="18">
        <v>3326.97</v>
      </c>
      <c r="F1580" s="18">
        <v>109.06</v>
      </c>
      <c r="G1580" s="2" t="s">
        <v>1361</v>
      </c>
      <c r="H1580" s="2" t="s">
        <v>2964</v>
      </c>
    </row>
    <row r="1581" spans="1:8" ht="15" customHeight="1" x14ac:dyDescent="0.25">
      <c r="A1581" s="2" t="s">
        <v>2913</v>
      </c>
      <c r="B1581" s="2" t="s">
        <v>1345</v>
      </c>
      <c r="C1581" s="17">
        <v>45828</v>
      </c>
      <c r="D1581" s="2" t="s">
        <v>1423</v>
      </c>
      <c r="E1581" s="18">
        <v>3332.41</v>
      </c>
      <c r="F1581" s="18">
        <v>114.14</v>
      </c>
      <c r="G1581" s="2" t="s">
        <v>1361</v>
      </c>
      <c r="H1581" s="2" t="s">
        <v>2964</v>
      </c>
    </row>
    <row r="1582" spans="1:8" ht="15" customHeight="1" x14ac:dyDescent="0.25">
      <c r="A1582" s="2" t="s">
        <v>2914</v>
      </c>
      <c r="B1582" s="2" t="s">
        <v>1345</v>
      </c>
      <c r="C1582" s="17">
        <v>45831</v>
      </c>
      <c r="D1582" s="2" t="s">
        <v>1423</v>
      </c>
      <c r="E1582" s="18">
        <v>4094.13</v>
      </c>
      <c r="F1582" s="18">
        <v>129.94999999999999</v>
      </c>
      <c r="G1582" s="2" t="s">
        <v>1361</v>
      </c>
      <c r="H1582" s="2" t="s">
        <v>2964</v>
      </c>
    </row>
    <row r="1583" spans="1:8" ht="15" customHeight="1" x14ac:dyDescent="0.25">
      <c r="A1583" s="2" t="s">
        <v>2915</v>
      </c>
      <c r="B1583" s="2" t="s">
        <v>1345</v>
      </c>
      <c r="C1583" s="17">
        <v>45836</v>
      </c>
      <c r="D1583" s="2" t="s">
        <v>1423</v>
      </c>
      <c r="E1583" s="18">
        <v>1867.36</v>
      </c>
      <c r="F1583" s="18">
        <v>54.17</v>
      </c>
      <c r="G1583" s="2" t="s">
        <v>1361</v>
      </c>
      <c r="H1583" s="2" t="s">
        <v>2964</v>
      </c>
    </row>
    <row r="1584" spans="1:8" ht="15" customHeight="1" x14ac:dyDescent="0.25">
      <c r="A1584" s="2" t="s">
        <v>2916</v>
      </c>
      <c r="B1584" s="2" t="s">
        <v>1345</v>
      </c>
      <c r="C1584" s="17">
        <v>45858</v>
      </c>
      <c r="D1584" s="2" t="s">
        <v>1423</v>
      </c>
      <c r="E1584" s="18">
        <v>2851.47</v>
      </c>
      <c r="F1584" s="18">
        <v>77.47</v>
      </c>
      <c r="G1584" s="2" t="s">
        <v>1361</v>
      </c>
      <c r="H1584" s="2" t="s">
        <v>2964</v>
      </c>
    </row>
    <row r="1585" spans="1:8" ht="15" customHeight="1" x14ac:dyDescent="0.25">
      <c r="A1585" s="2" t="s">
        <v>2917</v>
      </c>
      <c r="B1585" s="2" t="s">
        <v>1345</v>
      </c>
      <c r="C1585" s="17">
        <v>45865</v>
      </c>
      <c r="D1585" s="2" t="s">
        <v>1423</v>
      </c>
      <c r="E1585" s="18">
        <v>3786.57</v>
      </c>
      <c r="F1585" s="18">
        <v>111.28</v>
      </c>
      <c r="G1585" s="2" t="s">
        <v>1361</v>
      </c>
      <c r="H1585" s="2" t="s">
        <v>2964</v>
      </c>
    </row>
    <row r="1586" spans="1:8" ht="15" customHeight="1" x14ac:dyDescent="0.25">
      <c r="A1586" s="2" t="s">
        <v>2918</v>
      </c>
      <c r="B1586" s="2" t="s">
        <v>1345</v>
      </c>
      <c r="C1586" s="17">
        <v>45867</v>
      </c>
      <c r="D1586" s="2" t="s">
        <v>1423</v>
      </c>
      <c r="E1586" s="18">
        <v>2864.72</v>
      </c>
      <c r="F1586" s="18">
        <v>85.99</v>
      </c>
      <c r="G1586" s="2" t="s">
        <v>1361</v>
      </c>
      <c r="H1586" s="2" t="s">
        <v>2964</v>
      </c>
    </row>
    <row r="1587" spans="1:8" ht="15" customHeight="1" x14ac:dyDescent="0.25">
      <c r="A1587" s="2" t="s">
        <v>2919</v>
      </c>
      <c r="B1587" s="2" t="s">
        <v>1345</v>
      </c>
      <c r="C1587" s="17">
        <v>45871</v>
      </c>
      <c r="D1587" s="2" t="s">
        <v>1423</v>
      </c>
      <c r="E1587" s="18">
        <v>4478.7299999999996</v>
      </c>
      <c r="F1587" s="18">
        <v>144.74</v>
      </c>
      <c r="G1587" s="2" t="s">
        <v>1361</v>
      </c>
      <c r="H1587" s="2" t="s">
        <v>2964</v>
      </c>
    </row>
    <row r="1588" spans="1:8" ht="15" customHeight="1" x14ac:dyDescent="0.25">
      <c r="A1588" s="2" t="s">
        <v>2920</v>
      </c>
      <c r="B1588" s="2" t="s">
        <v>1345</v>
      </c>
      <c r="C1588" s="17">
        <v>45885</v>
      </c>
      <c r="D1588" s="2" t="s">
        <v>1423</v>
      </c>
      <c r="E1588" s="18">
        <v>2773.35</v>
      </c>
      <c r="F1588" s="18">
        <v>80.819999999999993</v>
      </c>
      <c r="G1588" s="2" t="s">
        <v>1361</v>
      </c>
      <c r="H1588" s="2" t="s">
        <v>2964</v>
      </c>
    </row>
    <row r="1589" spans="1:8" ht="15" customHeight="1" x14ac:dyDescent="0.25">
      <c r="A1589" s="2" t="s">
        <v>2921</v>
      </c>
      <c r="B1589" s="2" t="s">
        <v>1345</v>
      </c>
      <c r="C1589" s="17">
        <v>45887</v>
      </c>
      <c r="D1589" s="2" t="s">
        <v>1423</v>
      </c>
      <c r="E1589" s="18">
        <v>1934.33</v>
      </c>
      <c r="F1589" s="18">
        <v>58.63</v>
      </c>
      <c r="G1589" s="2" t="s">
        <v>1361</v>
      </c>
      <c r="H1589" s="2" t="s">
        <v>2964</v>
      </c>
    </row>
    <row r="1590" spans="1:8" ht="15" customHeight="1" x14ac:dyDescent="0.25">
      <c r="A1590" s="2" t="s">
        <v>2922</v>
      </c>
      <c r="B1590" s="2" t="s">
        <v>1345</v>
      </c>
      <c r="C1590" s="17">
        <v>45917</v>
      </c>
      <c r="D1590" s="2" t="s">
        <v>1423</v>
      </c>
      <c r="E1590" s="18">
        <v>4097.25</v>
      </c>
      <c r="F1590" s="18">
        <v>110.55</v>
      </c>
      <c r="G1590" s="2" t="s">
        <v>1361</v>
      </c>
      <c r="H1590" s="2" t="s">
        <v>2964</v>
      </c>
    </row>
    <row r="1591" spans="1:8" ht="15" customHeight="1" x14ac:dyDescent="0.25">
      <c r="A1591" s="2" t="s">
        <v>2923</v>
      </c>
      <c r="B1591" s="2" t="s">
        <v>1345</v>
      </c>
      <c r="C1591" s="17">
        <v>45943</v>
      </c>
      <c r="D1591" s="2" t="s">
        <v>1423</v>
      </c>
      <c r="E1591" s="18">
        <v>2871.21</v>
      </c>
      <c r="F1591" s="18">
        <v>82.31</v>
      </c>
      <c r="G1591" s="2" t="s">
        <v>1361</v>
      </c>
      <c r="H1591" s="2" t="s">
        <v>2964</v>
      </c>
    </row>
    <row r="1592" spans="1:8" ht="15" customHeight="1" x14ac:dyDescent="0.25">
      <c r="A1592" s="2" t="s">
        <v>2924</v>
      </c>
      <c r="B1592" s="2" t="s">
        <v>1345</v>
      </c>
      <c r="C1592" s="17">
        <v>45958</v>
      </c>
      <c r="D1592" s="2" t="s">
        <v>1423</v>
      </c>
      <c r="E1592" s="18">
        <v>1795.05</v>
      </c>
      <c r="F1592" s="18">
        <v>48.76</v>
      </c>
      <c r="G1592" s="2" t="s">
        <v>1361</v>
      </c>
      <c r="H1592" s="2" t="s">
        <v>2964</v>
      </c>
    </row>
    <row r="1593" spans="1:8" ht="15" customHeight="1" x14ac:dyDescent="0.25">
      <c r="A1593" s="2" t="s">
        <v>2925</v>
      </c>
      <c r="B1593" s="2" t="s">
        <v>1345</v>
      </c>
      <c r="C1593" s="17">
        <v>45979</v>
      </c>
      <c r="D1593" s="2" t="s">
        <v>1423</v>
      </c>
      <c r="E1593" s="18">
        <v>3832.01</v>
      </c>
      <c r="F1593" s="18">
        <v>105.81</v>
      </c>
      <c r="G1593" s="2" t="s">
        <v>1361</v>
      </c>
      <c r="H1593" s="2" t="s">
        <v>2964</v>
      </c>
    </row>
    <row r="1594" spans="1:8" ht="15" customHeight="1" x14ac:dyDescent="0.25">
      <c r="A1594" s="2" t="s">
        <v>2926</v>
      </c>
      <c r="B1594" s="2" t="s">
        <v>1345</v>
      </c>
      <c r="C1594" s="17">
        <v>45980</v>
      </c>
      <c r="D1594" s="2" t="s">
        <v>1423</v>
      </c>
      <c r="E1594" s="18">
        <v>2985.7</v>
      </c>
      <c r="F1594" s="18">
        <v>89.29</v>
      </c>
      <c r="G1594" s="2" t="s">
        <v>1361</v>
      </c>
      <c r="H1594" s="2" t="s">
        <v>2964</v>
      </c>
    </row>
    <row r="1595" spans="1:8" ht="15" customHeight="1" x14ac:dyDescent="0.25">
      <c r="A1595" s="2" t="s">
        <v>2927</v>
      </c>
      <c r="B1595" s="2" t="s">
        <v>1345</v>
      </c>
      <c r="C1595" s="17">
        <v>45980</v>
      </c>
      <c r="D1595" s="2" t="s">
        <v>1423</v>
      </c>
      <c r="E1595" s="18">
        <v>2099.25</v>
      </c>
      <c r="F1595" s="18">
        <v>0</v>
      </c>
      <c r="G1595" s="2" t="s">
        <v>1408</v>
      </c>
      <c r="H1595" s="2" t="s">
        <v>2964</v>
      </c>
    </row>
    <row r="1596" spans="1:8" ht="15" customHeight="1" x14ac:dyDescent="0.25">
      <c r="A1596" s="2" t="s">
        <v>2928</v>
      </c>
      <c r="B1596" s="2" t="s">
        <v>1345</v>
      </c>
      <c r="C1596" s="17">
        <v>46002</v>
      </c>
      <c r="D1596" s="2" t="s">
        <v>1423</v>
      </c>
      <c r="E1596" s="18">
        <v>3674.61</v>
      </c>
      <c r="F1596" s="18">
        <v>125.45</v>
      </c>
      <c r="G1596" s="2" t="s">
        <v>1361</v>
      </c>
      <c r="H1596" s="2" t="s">
        <v>2964</v>
      </c>
    </row>
    <row r="1597" spans="1:8" ht="15" customHeight="1" x14ac:dyDescent="0.25">
      <c r="A1597" s="2" t="s">
        <v>2929</v>
      </c>
      <c r="B1597" s="2" t="s">
        <v>1345</v>
      </c>
      <c r="C1597" s="17">
        <v>46006</v>
      </c>
      <c r="D1597" s="2" t="s">
        <v>1423</v>
      </c>
      <c r="E1597" s="18">
        <v>3002.33</v>
      </c>
      <c r="F1597" s="18">
        <v>83.47</v>
      </c>
      <c r="G1597" s="2" t="s">
        <v>1361</v>
      </c>
      <c r="H1597" s="2" t="s">
        <v>2964</v>
      </c>
    </row>
    <row r="1598" spans="1:8" ht="15" customHeight="1" x14ac:dyDescent="0.25">
      <c r="A1598" s="2" t="s">
        <v>2930</v>
      </c>
      <c r="B1598" s="2" t="s">
        <v>1345</v>
      </c>
      <c r="C1598" s="17">
        <v>45997</v>
      </c>
      <c r="D1598" s="2" t="s">
        <v>1423</v>
      </c>
      <c r="E1598" s="18">
        <v>3090.04</v>
      </c>
      <c r="F1598" s="18">
        <v>109.25</v>
      </c>
      <c r="G1598" s="2" t="s">
        <v>1361</v>
      </c>
      <c r="H1598" s="2" t="s">
        <v>2964</v>
      </c>
    </row>
    <row r="1599" spans="1:8" ht="15" customHeight="1" x14ac:dyDescent="0.25">
      <c r="A1599" s="2" t="s">
        <v>2931</v>
      </c>
      <c r="B1599" s="2" t="s">
        <v>1347</v>
      </c>
      <c r="C1599" s="17">
        <v>45869</v>
      </c>
      <c r="D1599" s="2" t="s">
        <v>1373</v>
      </c>
      <c r="E1599" s="18">
        <v>2324.94</v>
      </c>
      <c r="F1599" s="18">
        <v>35.880000000000003</v>
      </c>
      <c r="G1599" s="2" t="s">
        <v>1361</v>
      </c>
      <c r="H1599" s="2" t="s">
        <v>19</v>
      </c>
    </row>
    <row r="1600" spans="1:8" ht="15" customHeight="1" x14ac:dyDescent="0.25">
      <c r="A1600" s="2" t="s">
        <v>2932</v>
      </c>
      <c r="B1600" s="2" t="s">
        <v>1347</v>
      </c>
      <c r="C1600" s="17">
        <v>45863</v>
      </c>
      <c r="D1600" s="2" t="s">
        <v>1373</v>
      </c>
      <c r="E1600" s="18">
        <v>3117.58</v>
      </c>
      <c r="F1600" s="18">
        <v>52.54</v>
      </c>
      <c r="G1600" s="2" t="s">
        <v>1361</v>
      </c>
      <c r="H1600" s="2" t="s">
        <v>19</v>
      </c>
    </row>
    <row r="1601" spans="1:8" ht="15" customHeight="1" x14ac:dyDescent="0.25">
      <c r="A1601" s="2" t="s">
        <v>138</v>
      </c>
      <c r="B1601" s="2" t="s">
        <v>1347</v>
      </c>
      <c r="C1601" s="17">
        <v>45876</v>
      </c>
      <c r="D1601" s="2" t="s">
        <v>1373</v>
      </c>
      <c r="E1601" s="18" t="s">
        <v>2981</v>
      </c>
      <c r="F1601" s="18">
        <v>66.040000000000006</v>
      </c>
      <c r="G1601" s="2" t="s">
        <v>1361</v>
      </c>
      <c r="H1601" s="2" t="s">
        <v>19</v>
      </c>
    </row>
    <row r="1602" spans="1:8" ht="15" customHeight="1" x14ac:dyDescent="0.25">
      <c r="A1602" s="2" t="s">
        <v>2933</v>
      </c>
      <c r="B1602" s="2" t="s">
        <v>1347</v>
      </c>
      <c r="C1602" s="17">
        <v>45885</v>
      </c>
      <c r="D1602" s="2" t="s">
        <v>1373</v>
      </c>
      <c r="E1602" s="18">
        <v>2455.2600000000002</v>
      </c>
      <c r="F1602" s="18">
        <v>49.26</v>
      </c>
      <c r="G1602" s="2" t="s">
        <v>1361</v>
      </c>
      <c r="H1602" s="2" t="s">
        <v>19</v>
      </c>
    </row>
    <row r="1603" spans="1:8" ht="15" customHeight="1" x14ac:dyDescent="0.25">
      <c r="A1603" s="2" t="s">
        <v>2934</v>
      </c>
      <c r="B1603" s="2" t="s">
        <v>1347</v>
      </c>
      <c r="C1603" s="17">
        <v>45871</v>
      </c>
      <c r="D1603" s="2" t="s">
        <v>1373</v>
      </c>
      <c r="E1603" s="18">
        <v>3806.25</v>
      </c>
      <c r="F1603" s="18">
        <v>63.41</v>
      </c>
      <c r="G1603" s="2" t="s">
        <v>1361</v>
      </c>
      <c r="H1603" s="2" t="s">
        <v>19</v>
      </c>
    </row>
    <row r="1604" spans="1:8" ht="15" customHeight="1" x14ac:dyDescent="0.25">
      <c r="A1604" s="2" t="s">
        <v>2935</v>
      </c>
      <c r="B1604" s="2" t="s">
        <v>1347</v>
      </c>
      <c r="C1604" s="17">
        <v>45908</v>
      </c>
      <c r="D1604" s="2" t="s">
        <v>1373</v>
      </c>
      <c r="E1604" s="18">
        <v>2272.65</v>
      </c>
      <c r="F1604" s="18">
        <v>39.799999999999997</v>
      </c>
      <c r="G1604" s="2" t="s">
        <v>1361</v>
      </c>
      <c r="H1604" s="2" t="s">
        <v>19</v>
      </c>
    </row>
    <row r="1605" spans="1:8" ht="15" customHeight="1" x14ac:dyDescent="0.25">
      <c r="A1605" s="2" t="s">
        <v>2936</v>
      </c>
      <c r="B1605" s="2" t="s">
        <v>1347</v>
      </c>
      <c r="C1605" s="17">
        <v>45905</v>
      </c>
      <c r="D1605" s="2" t="s">
        <v>1373</v>
      </c>
      <c r="E1605" s="18">
        <v>1756.56</v>
      </c>
      <c r="F1605" s="18">
        <v>27.13</v>
      </c>
      <c r="G1605" s="2" t="s">
        <v>1361</v>
      </c>
      <c r="H1605" s="2" t="s">
        <v>19</v>
      </c>
    </row>
    <row r="1606" spans="1:8" ht="15" customHeight="1" x14ac:dyDescent="0.25">
      <c r="A1606" s="2" t="s">
        <v>2937</v>
      </c>
      <c r="B1606" s="2" t="s">
        <v>1347</v>
      </c>
      <c r="C1606" s="17">
        <v>45904</v>
      </c>
      <c r="D1606" s="2" t="s">
        <v>1373</v>
      </c>
      <c r="E1606" s="18">
        <v>2344.98</v>
      </c>
      <c r="F1606" s="18">
        <v>42.89</v>
      </c>
      <c r="G1606" s="2" t="s">
        <v>1361</v>
      </c>
      <c r="H1606" s="2" t="s">
        <v>19</v>
      </c>
    </row>
    <row r="1607" spans="1:8" ht="15" customHeight="1" x14ac:dyDescent="0.25">
      <c r="A1607" s="2" t="s">
        <v>2938</v>
      </c>
      <c r="B1607" s="2" t="s">
        <v>1347</v>
      </c>
      <c r="C1607" s="17">
        <v>45955</v>
      </c>
      <c r="D1607" s="2" t="s">
        <v>1373</v>
      </c>
      <c r="E1607" s="18">
        <v>2605.85</v>
      </c>
      <c r="F1607" s="18">
        <v>41.95</v>
      </c>
      <c r="G1607" s="2" t="s">
        <v>1361</v>
      </c>
      <c r="H1607" s="2" t="s">
        <v>19</v>
      </c>
    </row>
    <row r="1608" spans="1:8" ht="15" customHeight="1" x14ac:dyDescent="0.25">
      <c r="A1608" s="2" t="s">
        <v>2939</v>
      </c>
      <c r="B1608" s="2" t="s">
        <v>1347</v>
      </c>
      <c r="C1608" s="17">
        <v>45931</v>
      </c>
      <c r="D1608" s="2" t="s">
        <v>1373</v>
      </c>
      <c r="E1608" s="18">
        <v>2940.94</v>
      </c>
      <c r="F1608" s="18">
        <v>48.32</v>
      </c>
      <c r="G1608" s="2" t="s">
        <v>1361</v>
      </c>
      <c r="H1608" s="2" t="s">
        <v>19</v>
      </c>
    </row>
    <row r="1609" spans="1:8" ht="15" customHeight="1" x14ac:dyDescent="0.25">
      <c r="A1609" s="2" t="s">
        <v>2940</v>
      </c>
      <c r="B1609" s="2" t="s">
        <v>1347</v>
      </c>
      <c r="C1609" s="17">
        <v>45966</v>
      </c>
      <c r="D1609" s="2" t="s">
        <v>1373</v>
      </c>
      <c r="E1609" s="18">
        <v>3465.44</v>
      </c>
      <c r="F1609" s="18">
        <v>56.9</v>
      </c>
      <c r="G1609" s="2" t="s">
        <v>1361</v>
      </c>
      <c r="H1609" s="2" t="s">
        <v>19</v>
      </c>
    </row>
    <row r="1610" spans="1:8" ht="15" customHeight="1" x14ac:dyDescent="0.25">
      <c r="A1610" s="2" t="s">
        <v>2941</v>
      </c>
      <c r="B1610" s="2" t="s">
        <v>1347</v>
      </c>
      <c r="C1610" s="17">
        <v>45977</v>
      </c>
      <c r="D1610" s="2" t="s">
        <v>1373</v>
      </c>
      <c r="E1610" s="18">
        <v>4485.51</v>
      </c>
      <c r="F1610" s="18">
        <v>68.930000000000007</v>
      </c>
      <c r="G1610" s="2" t="s">
        <v>1361</v>
      </c>
      <c r="H1610" s="2" t="s">
        <v>19</v>
      </c>
    </row>
    <row r="1611" spans="1:8" ht="15" customHeight="1" x14ac:dyDescent="0.25">
      <c r="A1611" s="2" t="s">
        <v>128</v>
      </c>
      <c r="B1611" s="2" t="s">
        <v>1347</v>
      </c>
      <c r="C1611" s="17">
        <v>45976</v>
      </c>
      <c r="D1611" s="2" t="s">
        <v>1373</v>
      </c>
      <c r="E1611" s="18">
        <v>1406.07</v>
      </c>
      <c r="F1611" s="18">
        <v>-23.05</v>
      </c>
      <c r="G1611" s="2" t="s">
        <v>1361</v>
      </c>
      <c r="H1611" s="2" t="s">
        <v>19</v>
      </c>
    </row>
    <row r="1612" spans="1:8" ht="15" customHeight="1" x14ac:dyDescent="0.25">
      <c r="A1612" s="2" t="s">
        <v>2942</v>
      </c>
      <c r="B1612" s="2" t="s">
        <v>1347</v>
      </c>
      <c r="C1612" s="17">
        <v>45996</v>
      </c>
      <c r="D1612" s="2" t="s">
        <v>1373</v>
      </c>
      <c r="E1612" s="18">
        <v>4148.46</v>
      </c>
      <c r="F1612" s="18">
        <v>85.59</v>
      </c>
      <c r="G1612" s="2" t="s">
        <v>1361</v>
      </c>
      <c r="H1612" s="2" t="s">
        <v>19</v>
      </c>
    </row>
    <row r="1613" spans="1:8" ht="15" customHeight="1" x14ac:dyDescent="0.25">
      <c r="A1613" s="2" t="s">
        <v>114</v>
      </c>
      <c r="B1613" s="2" t="s">
        <v>104</v>
      </c>
      <c r="C1613" s="17">
        <v>45955</v>
      </c>
      <c r="D1613" s="2" t="s">
        <v>1423</v>
      </c>
      <c r="E1613" s="18">
        <v>12601.23</v>
      </c>
      <c r="F1613" s="18">
        <v>333.07</v>
      </c>
      <c r="G1613" s="2" t="s">
        <v>1361</v>
      </c>
      <c r="H1613" s="2" t="s">
        <v>21</v>
      </c>
    </row>
    <row r="1614" spans="1:8" ht="15" customHeight="1" x14ac:dyDescent="0.25">
      <c r="A1614" s="2" t="s">
        <v>105</v>
      </c>
      <c r="B1614" s="2" t="s">
        <v>86</v>
      </c>
      <c r="C1614" s="17">
        <v>45836</v>
      </c>
      <c r="D1614" s="2" t="s">
        <v>1360</v>
      </c>
      <c r="E1614" s="18">
        <v>2238.19</v>
      </c>
      <c r="F1614" s="18">
        <v>61.75</v>
      </c>
      <c r="G1614" s="2" t="s">
        <v>1361</v>
      </c>
      <c r="H1614" s="2" t="s">
        <v>21</v>
      </c>
    </row>
    <row r="1615" spans="1:8" ht="15" customHeight="1" x14ac:dyDescent="0.25">
      <c r="A1615" s="2" t="s">
        <v>111</v>
      </c>
      <c r="B1615" s="2" t="s">
        <v>89</v>
      </c>
      <c r="C1615" s="17">
        <v>45836</v>
      </c>
      <c r="D1615" s="2" t="s">
        <v>1423</v>
      </c>
      <c r="E1615" s="18">
        <v>4735.51</v>
      </c>
      <c r="F1615" s="18">
        <v>155.63999999999999</v>
      </c>
      <c r="G1615" s="2" t="s">
        <v>1361</v>
      </c>
      <c r="H1615" s="2" t="s">
        <v>19</v>
      </c>
    </row>
    <row r="1616" spans="1:8" ht="15" customHeight="1" x14ac:dyDescent="0.25">
      <c r="A1616" s="2" t="s">
        <v>106</v>
      </c>
      <c r="B1616" s="2" t="s">
        <v>1203</v>
      </c>
      <c r="C1616" s="17">
        <v>45941</v>
      </c>
      <c r="D1616" s="2" t="s">
        <v>1423</v>
      </c>
      <c r="E1616" s="18">
        <v>15307.18</v>
      </c>
      <c r="F1616" s="18">
        <v>505.9</v>
      </c>
      <c r="G1616" s="2" t="s">
        <v>1361</v>
      </c>
      <c r="H1616" s="2" t="s">
        <v>18</v>
      </c>
    </row>
    <row r="1617" spans="1:8" ht="15" customHeight="1" x14ac:dyDescent="0.25">
      <c r="A1617" s="2" t="s">
        <v>112</v>
      </c>
      <c r="B1617" s="2" t="s">
        <v>1285</v>
      </c>
      <c r="C1617" s="17">
        <v>46005</v>
      </c>
      <c r="D1617" s="2" t="s">
        <v>1360</v>
      </c>
      <c r="E1617" s="18">
        <v>12500.06</v>
      </c>
      <c r="F1617" s="18">
        <v>347.35</v>
      </c>
      <c r="G1617" s="2" t="s">
        <v>1361</v>
      </c>
      <c r="H1617" s="2" t="s">
        <v>22</v>
      </c>
    </row>
    <row r="1618" spans="1:8" ht="15" customHeight="1" x14ac:dyDescent="0.25">
      <c r="A1618" s="2" t="s">
        <v>109</v>
      </c>
      <c r="B1618" s="2" t="s">
        <v>1228</v>
      </c>
      <c r="C1618" s="17">
        <v>45830</v>
      </c>
      <c r="D1618" s="2" t="s">
        <v>1373</v>
      </c>
      <c r="E1618" s="18">
        <v>27892.82</v>
      </c>
      <c r="F1618" s="18">
        <v>511.15</v>
      </c>
      <c r="G1618" s="2" t="s">
        <v>1361</v>
      </c>
      <c r="H1618" s="2" t="s">
        <v>19</v>
      </c>
    </row>
    <row r="1619" spans="1:8" ht="15" customHeight="1" x14ac:dyDescent="0.25">
      <c r="A1619" s="2" t="s">
        <v>108</v>
      </c>
      <c r="B1619" s="2" t="s">
        <v>1219</v>
      </c>
      <c r="C1619" s="17">
        <v>45938</v>
      </c>
      <c r="D1619" s="2" t="s">
        <v>1481</v>
      </c>
      <c r="E1619" s="18">
        <v>6620.41</v>
      </c>
      <c r="F1619" s="18">
        <v>182.16</v>
      </c>
      <c r="G1619" s="2" t="s">
        <v>1361</v>
      </c>
      <c r="H1619" s="2" t="s">
        <v>21</v>
      </c>
    </row>
    <row r="1620" spans="1:8" ht="15" customHeight="1" x14ac:dyDescent="0.25">
      <c r="A1620" s="2" t="s">
        <v>107</v>
      </c>
      <c r="B1620" s="2" t="s">
        <v>1208</v>
      </c>
      <c r="C1620" s="17">
        <v>45910</v>
      </c>
      <c r="D1620" s="2" t="s">
        <v>1373</v>
      </c>
      <c r="E1620" s="18">
        <v>1755.57</v>
      </c>
      <c r="F1620" s="18">
        <v>33.26</v>
      </c>
      <c r="G1620" s="2" t="s">
        <v>1361</v>
      </c>
      <c r="H1620" s="2" t="s">
        <v>20</v>
      </c>
    </row>
    <row r="1621" spans="1:8" ht="15" customHeight="1" x14ac:dyDescent="0.25">
      <c r="A1621" s="2" t="s">
        <v>110</v>
      </c>
      <c r="B1621" s="2" t="s">
        <v>83</v>
      </c>
      <c r="C1621" s="17">
        <v>45862</v>
      </c>
      <c r="D1621" s="2" t="s">
        <v>1373</v>
      </c>
      <c r="E1621" s="18">
        <v>6971.99</v>
      </c>
      <c r="F1621" s="18">
        <v>136.13</v>
      </c>
      <c r="G1621" s="2" t="s">
        <v>1361</v>
      </c>
      <c r="H1621" s="2" t="s">
        <v>22</v>
      </c>
    </row>
    <row r="1622" spans="1:8" ht="15" customHeight="1" x14ac:dyDescent="0.25">
      <c r="A1622" s="2" t="s">
        <v>113</v>
      </c>
      <c r="B1622" s="2" t="s">
        <v>1312</v>
      </c>
      <c r="C1622" s="17">
        <v>45846</v>
      </c>
      <c r="D1622" s="2" t="s">
        <v>1360</v>
      </c>
      <c r="E1622" s="18">
        <v>7850.1</v>
      </c>
      <c r="F1622" s="18">
        <v>211.13</v>
      </c>
      <c r="G1622" s="2" t="s">
        <v>1361</v>
      </c>
      <c r="H1622" s="2" t="s">
        <v>21</v>
      </c>
    </row>
  </sheetData>
  <mergeCells count="1">
    <mergeCell ref="A1:H1"/>
  </mergeCells>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F18"/>
  <sheetViews>
    <sheetView zoomScaleNormal="100" workbookViewId="0">
      <selection sqref="A1:F1"/>
    </sheetView>
  </sheetViews>
  <sheetFormatPr defaultColWidth="8.7109375" defaultRowHeight="15" x14ac:dyDescent="0.25"/>
  <cols>
    <col min="1" max="1" width="14" style="2" customWidth="1"/>
    <col min="2" max="5" width="16" style="2" customWidth="1"/>
    <col min="6" max="6" width="18" style="2" customWidth="1"/>
  </cols>
  <sheetData>
    <row r="1" spans="1:6" ht="27.75" customHeight="1" x14ac:dyDescent="0.2">
      <c r="A1" s="40" t="s">
        <v>2982</v>
      </c>
      <c r="B1" s="40"/>
      <c r="C1" s="40"/>
      <c r="D1" s="40"/>
      <c r="E1" s="40"/>
      <c r="F1" s="40"/>
    </row>
    <row r="3" spans="1:6" ht="30" customHeight="1" x14ac:dyDescent="0.2">
      <c r="A3" s="3" t="s">
        <v>2955</v>
      </c>
      <c r="B3" s="3" t="s">
        <v>2956</v>
      </c>
      <c r="C3" s="3" t="s">
        <v>17</v>
      </c>
      <c r="D3" s="3" t="s">
        <v>2983</v>
      </c>
      <c r="E3" s="3" t="s">
        <v>2957</v>
      </c>
      <c r="F3" s="3" t="s">
        <v>2984</v>
      </c>
    </row>
    <row r="4" spans="1:6" ht="15" customHeight="1" x14ac:dyDescent="0.25">
      <c r="A4" s="2" t="s">
        <v>167</v>
      </c>
      <c r="B4" s="2" t="s">
        <v>2985</v>
      </c>
      <c r="C4" s="2" t="s">
        <v>20</v>
      </c>
      <c r="D4" s="2" t="s">
        <v>2986</v>
      </c>
      <c r="E4" s="2" t="s">
        <v>150</v>
      </c>
      <c r="F4" s="18">
        <v>189000</v>
      </c>
    </row>
    <row r="5" spans="1:6" ht="15" customHeight="1" x14ac:dyDescent="0.25">
      <c r="A5" s="2" t="s">
        <v>189</v>
      </c>
      <c r="B5" s="2" t="s">
        <v>2987</v>
      </c>
      <c r="C5" s="2" t="s">
        <v>20</v>
      </c>
      <c r="D5" s="2" t="s">
        <v>2986</v>
      </c>
      <c r="E5" s="2" t="s">
        <v>161</v>
      </c>
      <c r="F5" s="18">
        <v>157500</v>
      </c>
    </row>
    <row r="6" spans="1:6" ht="15" customHeight="1" x14ac:dyDescent="0.25">
      <c r="A6" s="2" t="s">
        <v>192</v>
      </c>
      <c r="B6" s="2" t="s">
        <v>2988</v>
      </c>
      <c r="C6" s="2" t="s">
        <v>20</v>
      </c>
      <c r="D6" s="2" t="s">
        <v>2986</v>
      </c>
      <c r="E6" s="2" t="s">
        <v>156</v>
      </c>
      <c r="F6" s="18">
        <v>141750</v>
      </c>
    </row>
    <row r="7" spans="1:6" ht="15" customHeight="1" x14ac:dyDescent="0.25">
      <c r="A7" s="2" t="s">
        <v>151</v>
      </c>
      <c r="B7" s="2" t="s">
        <v>2989</v>
      </c>
      <c r="C7" s="2" t="s">
        <v>22</v>
      </c>
      <c r="D7" s="2" t="s">
        <v>2990</v>
      </c>
      <c r="E7" s="2" t="s">
        <v>150</v>
      </c>
      <c r="F7" s="18">
        <v>189000</v>
      </c>
    </row>
    <row r="8" spans="1:6" ht="15" customHeight="1" x14ac:dyDescent="0.25">
      <c r="A8" s="2" t="s">
        <v>170</v>
      </c>
      <c r="B8" s="2" t="s">
        <v>2991</v>
      </c>
      <c r="C8" s="2" t="s">
        <v>22</v>
      </c>
      <c r="D8" s="2" t="s">
        <v>2990</v>
      </c>
      <c r="E8" s="2" t="s">
        <v>161</v>
      </c>
      <c r="F8" s="18">
        <v>157500</v>
      </c>
    </row>
    <row r="9" spans="1:6" ht="15" customHeight="1" x14ac:dyDescent="0.25">
      <c r="A9" s="2" t="s">
        <v>165</v>
      </c>
      <c r="B9" s="2" t="s">
        <v>2992</v>
      </c>
      <c r="C9" s="2" t="s">
        <v>22</v>
      </c>
      <c r="D9" s="2" t="s">
        <v>2990</v>
      </c>
      <c r="E9" s="2" t="s">
        <v>156</v>
      </c>
      <c r="F9" s="18">
        <v>141750</v>
      </c>
    </row>
    <row r="10" spans="1:6" ht="15" customHeight="1" x14ac:dyDescent="0.25">
      <c r="A10" s="2" t="s">
        <v>183</v>
      </c>
      <c r="B10" s="2" t="s">
        <v>2993</v>
      </c>
      <c r="C10" s="2" t="s">
        <v>21</v>
      </c>
      <c r="D10" s="2" t="s">
        <v>2994</v>
      </c>
      <c r="E10" s="2" t="s">
        <v>150</v>
      </c>
      <c r="F10" s="18">
        <v>162000</v>
      </c>
    </row>
    <row r="11" spans="1:6" ht="15" customHeight="1" x14ac:dyDescent="0.25">
      <c r="A11" s="2" t="s">
        <v>162</v>
      </c>
      <c r="B11" s="2" t="s">
        <v>2995</v>
      </c>
      <c r="C11" s="2" t="s">
        <v>21</v>
      </c>
      <c r="D11" s="2" t="s">
        <v>2994</v>
      </c>
      <c r="E11" s="2" t="s">
        <v>161</v>
      </c>
      <c r="F11" s="18">
        <v>135000</v>
      </c>
    </row>
    <row r="12" spans="1:6" ht="15" customHeight="1" x14ac:dyDescent="0.25">
      <c r="A12" s="2" t="s">
        <v>176</v>
      </c>
      <c r="B12" s="2" t="s">
        <v>2996</v>
      </c>
      <c r="C12" s="2" t="s">
        <v>21</v>
      </c>
      <c r="D12" s="2" t="s">
        <v>2994</v>
      </c>
      <c r="E12" s="2" t="s">
        <v>156</v>
      </c>
      <c r="F12" s="18">
        <v>121500</v>
      </c>
    </row>
    <row r="13" spans="1:6" ht="15" customHeight="1" x14ac:dyDescent="0.25">
      <c r="A13" s="2" t="s">
        <v>251</v>
      </c>
      <c r="B13" s="2" t="s">
        <v>2997</v>
      </c>
      <c r="C13" s="2" t="s">
        <v>18</v>
      </c>
      <c r="D13" s="2" t="s">
        <v>2994</v>
      </c>
      <c r="E13" s="2" t="s">
        <v>150</v>
      </c>
      <c r="F13" s="18">
        <v>162000</v>
      </c>
    </row>
    <row r="14" spans="1:6" ht="15" customHeight="1" x14ac:dyDescent="0.25">
      <c r="A14" s="2" t="s">
        <v>201</v>
      </c>
      <c r="B14" s="2" t="s">
        <v>2998</v>
      </c>
      <c r="C14" s="2" t="s">
        <v>18</v>
      </c>
      <c r="D14" s="2" t="s">
        <v>2994</v>
      </c>
      <c r="E14" s="2" t="s">
        <v>161</v>
      </c>
      <c r="F14" s="18">
        <v>135000</v>
      </c>
    </row>
    <row r="15" spans="1:6" ht="15" customHeight="1" x14ac:dyDescent="0.25">
      <c r="A15" s="2" t="s">
        <v>157</v>
      </c>
      <c r="B15" s="2" t="s">
        <v>2999</v>
      </c>
      <c r="C15" s="2" t="s">
        <v>18</v>
      </c>
      <c r="D15" s="2" t="s">
        <v>2994</v>
      </c>
      <c r="E15" s="2" t="s">
        <v>156</v>
      </c>
      <c r="F15" s="18">
        <v>121500</v>
      </c>
    </row>
    <row r="16" spans="1:6" ht="15" customHeight="1" x14ac:dyDescent="0.25">
      <c r="A16" s="2" t="s">
        <v>207</v>
      </c>
      <c r="B16" s="2" t="s">
        <v>3000</v>
      </c>
      <c r="C16" s="2" t="s">
        <v>19</v>
      </c>
      <c r="D16" s="2" t="s">
        <v>2994</v>
      </c>
      <c r="E16" s="2" t="s">
        <v>150</v>
      </c>
      <c r="F16" s="18">
        <v>162000</v>
      </c>
    </row>
    <row r="17" spans="1:6" ht="15" customHeight="1" x14ac:dyDescent="0.25">
      <c r="A17" s="2" t="s">
        <v>210</v>
      </c>
      <c r="B17" s="2" t="s">
        <v>3001</v>
      </c>
      <c r="C17" s="2" t="s">
        <v>19</v>
      </c>
      <c r="D17" s="2" t="s">
        <v>2994</v>
      </c>
      <c r="E17" s="2" t="s">
        <v>161</v>
      </c>
      <c r="F17" s="18">
        <v>135000</v>
      </c>
    </row>
    <row r="18" spans="1:6" ht="15" customHeight="1" x14ac:dyDescent="0.25">
      <c r="A18" s="2" t="s">
        <v>179</v>
      </c>
      <c r="B18" s="2" t="s">
        <v>3002</v>
      </c>
      <c r="C18" s="2" t="s">
        <v>19</v>
      </c>
      <c r="D18" s="2" t="s">
        <v>2994</v>
      </c>
      <c r="E18" s="2" t="s">
        <v>156</v>
      </c>
      <c r="F18" s="18">
        <v>121500</v>
      </c>
    </row>
  </sheetData>
  <mergeCells count="1">
    <mergeCell ref="A1:F1"/>
  </mergeCells>
  <pageMargins left="0.7" right="0.7" top="0.75" bottom="0.75"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G62"/>
  <sheetViews>
    <sheetView zoomScaleNormal="100" workbookViewId="0">
      <selection activeCell="G8" sqref="G8"/>
    </sheetView>
  </sheetViews>
  <sheetFormatPr defaultColWidth="8.7109375" defaultRowHeight="15" x14ac:dyDescent="0.25"/>
  <cols>
    <col min="1" max="1" width="13" style="2" customWidth="1"/>
    <col min="2" max="2" width="16" style="2" customWidth="1"/>
    <col min="3" max="7" width="18" style="2" customWidth="1"/>
  </cols>
  <sheetData>
    <row r="1" spans="1:7" ht="27.75" customHeight="1" x14ac:dyDescent="0.2">
      <c r="A1" s="40" t="s">
        <v>36</v>
      </c>
      <c r="B1" s="40"/>
      <c r="C1" s="40"/>
      <c r="D1" s="40"/>
      <c r="E1" s="40"/>
      <c r="F1" s="40"/>
      <c r="G1" s="40"/>
    </row>
    <row r="2" spans="1:7" ht="30" customHeight="1" x14ac:dyDescent="0.2">
      <c r="A2" s="3" t="s">
        <v>16</v>
      </c>
      <c r="B2" s="3" t="s">
        <v>17</v>
      </c>
      <c r="C2" s="3" t="s">
        <v>3003</v>
      </c>
      <c r="D2" s="3" t="s">
        <v>3004</v>
      </c>
      <c r="E2" s="3" t="s">
        <v>3005</v>
      </c>
      <c r="F2" s="3" t="s">
        <v>37</v>
      </c>
      <c r="G2" s="3" t="s">
        <v>3006</v>
      </c>
    </row>
    <row r="3" spans="1:7" ht="15" customHeight="1" x14ac:dyDescent="0.25">
      <c r="A3" s="17">
        <v>45658</v>
      </c>
      <c r="B3" s="2" t="s">
        <v>20</v>
      </c>
      <c r="C3" s="2">
        <v>86</v>
      </c>
      <c r="D3" s="19">
        <v>0.24</v>
      </c>
      <c r="E3" s="19">
        <v>0.84</v>
      </c>
      <c r="F3" s="18">
        <v>288000</v>
      </c>
      <c r="G3" s="19">
        <v>0.1</v>
      </c>
    </row>
    <row r="4" spans="1:7" ht="15" customHeight="1" x14ac:dyDescent="0.25">
      <c r="A4" s="17">
        <v>45658</v>
      </c>
      <c r="B4" s="2" t="s">
        <v>22</v>
      </c>
      <c r="C4" s="2">
        <v>76</v>
      </c>
      <c r="D4" s="19">
        <v>0.22</v>
      </c>
      <c r="E4" s="19">
        <v>0.82</v>
      </c>
      <c r="F4" s="18">
        <v>270000</v>
      </c>
      <c r="G4" s="19">
        <v>0.11</v>
      </c>
    </row>
    <row r="5" spans="1:7" ht="15" customHeight="1" x14ac:dyDescent="0.25">
      <c r="A5" s="17">
        <v>45658</v>
      </c>
      <c r="B5" s="2" t="s">
        <v>21</v>
      </c>
      <c r="C5" s="2">
        <v>50</v>
      </c>
      <c r="D5" s="19">
        <v>0.28000000000000003</v>
      </c>
      <c r="E5" s="19">
        <v>0.88</v>
      </c>
      <c r="F5" s="18">
        <v>171000</v>
      </c>
      <c r="G5" s="19">
        <v>0.08</v>
      </c>
    </row>
    <row r="6" spans="1:7" ht="15" customHeight="1" x14ac:dyDescent="0.25">
      <c r="A6" s="17">
        <v>45658</v>
      </c>
      <c r="B6" s="2" t="s">
        <v>18</v>
      </c>
      <c r="C6" s="2">
        <v>40</v>
      </c>
      <c r="D6" s="19">
        <v>0.24</v>
      </c>
      <c r="E6" s="19">
        <v>0.82</v>
      </c>
      <c r="F6" s="18">
        <v>135000</v>
      </c>
      <c r="G6" s="19">
        <v>0.12</v>
      </c>
    </row>
    <row r="7" spans="1:7" ht="15" customHeight="1" x14ac:dyDescent="0.25">
      <c r="A7" s="17">
        <v>45658</v>
      </c>
      <c r="B7" s="2" t="s">
        <v>19</v>
      </c>
      <c r="C7" s="2">
        <v>58</v>
      </c>
      <c r="D7" s="19">
        <v>0.23</v>
      </c>
      <c r="E7" s="19">
        <v>0.83</v>
      </c>
      <c r="F7" s="18">
        <v>198000</v>
      </c>
      <c r="G7" s="19">
        <v>0.1</v>
      </c>
    </row>
    <row r="8" spans="1:7" ht="15" customHeight="1" x14ac:dyDescent="0.25">
      <c r="A8" s="17">
        <v>45689</v>
      </c>
      <c r="B8" s="2" t="s">
        <v>20</v>
      </c>
      <c r="C8" s="2">
        <v>86</v>
      </c>
      <c r="D8" s="19">
        <v>0.24</v>
      </c>
      <c r="E8" s="19">
        <v>0.84</v>
      </c>
      <c r="F8" s="18">
        <v>288000</v>
      </c>
      <c r="G8" s="19">
        <v>0.1</v>
      </c>
    </row>
    <row r="9" spans="1:7" ht="15" customHeight="1" x14ac:dyDescent="0.25">
      <c r="A9" s="17">
        <v>45689</v>
      </c>
      <c r="B9" s="2" t="s">
        <v>22</v>
      </c>
      <c r="C9" s="2">
        <v>76</v>
      </c>
      <c r="D9" s="19">
        <v>0.22</v>
      </c>
      <c r="E9" s="19">
        <v>0.82</v>
      </c>
      <c r="F9" s="18">
        <v>270000</v>
      </c>
      <c r="G9" s="19">
        <v>0.11</v>
      </c>
    </row>
    <row r="10" spans="1:7" ht="15" customHeight="1" x14ac:dyDescent="0.25">
      <c r="A10" s="17">
        <v>45689</v>
      </c>
      <c r="B10" s="2" t="s">
        <v>21</v>
      </c>
      <c r="C10" s="2">
        <v>50</v>
      </c>
      <c r="D10" s="19">
        <v>0.28000000000000003</v>
      </c>
      <c r="E10" s="19">
        <v>0.88</v>
      </c>
      <c r="F10" s="18">
        <v>171000</v>
      </c>
      <c r="G10" s="19">
        <v>0.08</v>
      </c>
    </row>
    <row r="11" spans="1:7" ht="15" customHeight="1" x14ac:dyDescent="0.25">
      <c r="A11" s="17">
        <v>45689</v>
      </c>
      <c r="B11" s="2" t="s">
        <v>18</v>
      </c>
      <c r="C11" s="2">
        <v>40</v>
      </c>
      <c r="D11" s="19">
        <v>0.24</v>
      </c>
      <c r="E11" s="19">
        <v>0.82</v>
      </c>
      <c r="F11" s="18">
        <v>135000</v>
      </c>
      <c r="G11" s="19">
        <v>0.12</v>
      </c>
    </row>
    <row r="12" spans="1:7" ht="15" customHeight="1" x14ac:dyDescent="0.25">
      <c r="A12" s="17">
        <v>45689</v>
      </c>
      <c r="B12" s="2" t="s">
        <v>19</v>
      </c>
      <c r="C12" s="2">
        <v>58</v>
      </c>
      <c r="D12" s="19">
        <v>0.23</v>
      </c>
      <c r="E12" s="19">
        <v>0.83</v>
      </c>
      <c r="F12" s="18">
        <v>198000</v>
      </c>
      <c r="G12" s="19">
        <v>0.1</v>
      </c>
    </row>
    <row r="13" spans="1:7" ht="15" customHeight="1" x14ac:dyDescent="0.25">
      <c r="A13" s="17">
        <v>45717</v>
      </c>
      <c r="B13" s="2" t="s">
        <v>20</v>
      </c>
      <c r="C13" s="2">
        <v>95</v>
      </c>
      <c r="D13" s="19">
        <v>0.24</v>
      </c>
      <c r="E13" s="19">
        <v>0.84</v>
      </c>
      <c r="F13" s="18">
        <v>320000</v>
      </c>
      <c r="G13" s="19">
        <v>0.1</v>
      </c>
    </row>
    <row r="14" spans="1:7" ht="15" customHeight="1" x14ac:dyDescent="0.25">
      <c r="A14" s="17">
        <v>45717</v>
      </c>
      <c r="B14" s="2" t="s">
        <v>22</v>
      </c>
      <c r="C14" s="2">
        <v>85</v>
      </c>
      <c r="D14" s="19">
        <v>0.22</v>
      </c>
      <c r="E14" s="19">
        <v>0.82</v>
      </c>
      <c r="F14" s="18">
        <v>300000</v>
      </c>
      <c r="G14" s="19">
        <v>0.11</v>
      </c>
    </row>
    <row r="15" spans="1:7" ht="15" customHeight="1" x14ac:dyDescent="0.25">
      <c r="A15" s="17">
        <v>45717</v>
      </c>
      <c r="B15" s="2" t="s">
        <v>21</v>
      </c>
      <c r="C15" s="2">
        <v>55</v>
      </c>
      <c r="D15" s="19">
        <v>0.28000000000000003</v>
      </c>
      <c r="E15" s="19">
        <v>0.88</v>
      </c>
      <c r="F15" s="18">
        <v>190000</v>
      </c>
      <c r="G15" s="19">
        <v>0.08</v>
      </c>
    </row>
    <row r="16" spans="1:7" ht="15" customHeight="1" x14ac:dyDescent="0.25">
      <c r="A16" s="17">
        <v>45717</v>
      </c>
      <c r="B16" s="2" t="s">
        <v>18</v>
      </c>
      <c r="C16" s="2">
        <v>45</v>
      </c>
      <c r="D16" s="19">
        <v>0.24</v>
      </c>
      <c r="E16" s="19">
        <v>0.82</v>
      </c>
      <c r="F16" s="18">
        <v>150000</v>
      </c>
      <c r="G16" s="19">
        <v>0.12</v>
      </c>
    </row>
    <row r="17" spans="1:7" ht="15" customHeight="1" x14ac:dyDescent="0.25">
      <c r="A17" s="17">
        <v>45717</v>
      </c>
      <c r="B17" s="2" t="s">
        <v>19</v>
      </c>
      <c r="C17" s="2">
        <v>65</v>
      </c>
      <c r="D17" s="19">
        <v>0.23</v>
      </c>
      <c r="E17" s="19">
        <v>0.83</v>
      </c>
      <c r="F17" s="18">
        <v>220000</v>
      </c>
      <c r="G17" s="19">
        <v>0.1</v>
      </c>
    </row>
    <row r="18" spans="1:7" ht="15" customHeight="1" x14ac:dyDescent="0.25">
      <c r="A18" s="17">
        <v>45748</v>
      </c>
      <c r="B18" s="2" t="s">
        <v>20</v>
      </c>
      <c r="C18" s="2">
        <v>95</v>
      </c>
      <c r="D18" s="19">
        <v>0.24</v>
      </c>
      <c r="E18" s="19">
        <v>0.84</v>
      </c>
      <c r="F18" s="18">
        <v>320000</v>
      </c>
      <c r="G18" s="19">
        <v>0.1</v>
      </c>
    </row>
    <row r="19" spans="1:7" ht="15" customHeight="1" x14ac:dyDescent="0.25">
      <c r="A19" s="17">
        <v>45748</v>
      </c>
      <c r="B19" s="2" t="s">
        <v>22</v>
      </c>
      <c r="C19" s="2">
        <v>85</v>
      </c>
      <c r="D19" s="19">
        <v>0.22</v>
      </c>
      <c r="E19" s="19">
        <v>0.82</v>
      </c>
      <c r="F19" s="18">
        <v>300000</v>
      </c>
      <c r="G19" s="19">
        <v>0.11</v>
      </c>
    </row>
    <row r="20" spans="1:7" ht="15" customHeight="1" x14ac:dyDescent="0.25">
      <c r="A20" s="17">
        <v>45748</v>
      </c>
      <c r="B20" s="2" t="s">
        <v>21</v>
      </c>
      <c r="C20" s="2">
        <v>55</v>
      </c>
      <c r="D20" s="19">
        <v>0.28000000000000003</v>
      </c>
      <c r="E20" s="19">
        <v>0.88</v>
      </c>
      <c r="F20" s="18">
        <v>190000</v>
      </c>
      <c r="G20" s="19">
        <v>0.08</v>
      </c>
    </row>
    <row r="21" spans="1:7" ht="15" customHeight="1" x14ac:dyDescent="0.25">
      <c r="A21" s="17">
        <v>45748</v>
      </c>
      <c r="B21" s="2" t="s">
        <v>18</v>
      </c>
      <c r="C21" s="2">
        <v>45</v>
      </c>
      <c r="D21" s="19">
        <v>0.24</v>
      </c>
      <c r="E21" s="19">
        <v>0.82</v>
      </c>
      <c r="F21" s="18">
        <v>150000</v>
      </c>
      <c r="G21" s="19">
        <v>0.12</v>
      </c>
    </row>
    <row r="22" spans="1:7" ht="15" customHeight="1" x14ac:dyDescent="0.25">
      <c r="A22" s="17">
        <v>45748</v>
      </c>
      <c r="B22" s="2" t="s">
        <v>19</v>
      </c>
      <c r="C22" s="2">
        <v>65</v>
      </c>
      <c r="D22" s="19">
        <v>0.23</v>
      </c>
      <c r="E22" s="19">
        <v>0.83</v>
      </c>
      <c r="F22" s="18">
        <v>220000</v>
      </c>
      <c r="G22" s="19">
        <v>0.1</v>
      </c>
    </row>
    <row r="23" spans="1:7" ht="15" customHeight="1" x14ac:dyDescent="0.25">
      <c r="A23" s="17">
        <v>45778</v>
      </c>
      <c r="B23" s="2" t="s">
        <v>20</v>
      </c>
      <c r="C23" s="2">
        <v>95</v>
      </c>
      <c r="D23" s="19">
        <v>0.24</v>
      </c>
      <c r="E23" s="19">
        <v>0.84</v>
      </c>
      <c r="F23" s="18">
        <v>320000</v>
      </c>
      <c r="G23" s="19">
        <v>0.1</v>
      </c>
    </row>
    <row r="24" spans="1:7" ht="15" customHeight="1" x14ac:dyDescent="0.25">
      <c r="A24" s="17">
        <v>45778</v>
      </c>
      <c r="B24" s="2" t="s">
        <v>22</v>
      </c>
      <c r="C24" s="2">
        <v>85</v>
      </c>
      <c r="D24" s="19">
        <v>0.22</v>
      </c>
      <c r="E24" s="19">
        <v>0.82</v>
      </c>
      <c r="F24" s="18">
        <v>300000</v>
      </c>
      <c r="G24" s="19">
        <v>0.11</v>
      </c>
    </row>
    <row r="25" spans="1:7" ht="15" customHeight="1" x14ac:dyDescent="0.25">
      <c r="A25" s="17">
        <v>45778</v>
      </c>
      <c r="B25" s="2" t="s">
        <v>21</v>
      </c>
      <c r="C25" s="2">
        <v>55</v>
      </c>
      <c r="D25" s="19">
        <v>0.28000000000000003</v>
      </c>
      <c r="E25" s="19">
        <v>0.88</v>
      </c>
      <c r="F25" s="18">
        <v>190000</v>
      </c>
      <c r="G25" s="19">
        <v>0.08</v>
      </c>
    </row>
    <row r="26" spans="1:7" ht="15" customHeight="1" x14ac:dyDescent="0.25">
      <c r="A26" s="17">
        <v>45778</v>
      </c>
      <c r="B26" s="2" t="s">
        <v>18</v>
      </c>
      <c r="C26" s="2">
        <v>45</v>
      </c>
      <c r="D26" s="19">
        <v>0.24</v>
      </c>
      <c r="E26" s="19">
        <v>0.82</v>
      </c>
      <c r="F26" s="18">
        <v>150000</v>
      </c>
      <c r="G26" s="19">
        <v>0.12</v>
      </c>
    </row>
    <row r="27" spans="1:7" ht="15" customHeight="1" x14ac:dyDescent="0.25">
      <c r="A27" s="17">
        <v>45778</v>
      </c>
      <c r="B27" s="2" t="s">
        <v>19</v>
      </c>
      <c r="C27" s="2">
        <v>65</v>
      </c>
      <c r="D27" s="19">
        <v>0.23</v>
      </c>
      <c r="E27" s="19">
        <v>0.83</v>
      </c>
      <c r="F27" s="18">
        <v>220000</v>
      </c>
      <c r="G27" s="19">
        <v>0.1</v>
      </c>
    </row>
    <row r="28" spans="1:7" ht="15" customHeight="1" x14ac:dyDescent="0.25">
      <c r="A28" s="17">
        <v>45809</v>
      </c>
      <c r="B28" s="2" t="s">
        <v>20</v>
      </c>
      <c r="C28" s="2">
        <v>95</v>
      </c>
      <c r="D28" s="19">
        <v>0.24</v>
      </c>
      <c r="E28" s="19">
        <v>0.84</v>
      </c>
      <c r="F28" s="18">
        <v>320000</v>
      </c>
      <c r="G28" s="19">
        <v>0.1</v>
      </c>
    </row>
    <row r="29" spans="1:7" ht="15" customHeight="1" x14ac:dyDescent="0.25">
      <c r="A29" s="17">
        <v>45809</v>
      </c>
      <c r="B29" s="2" t="s">
        <v>22</v>
      </c>
      <c r="C29" s="2">
        <v>85</v>
      </c>
      <c r="D29" s="19">
        <v>0.22</v>
      </c>
      <c r="E29" s="19">
        <v>0.82</v>
      </c>
      <c r="F29" s="18">
        <v>300000</v>
      </c>
      <c r="G29" s="19">
        <v>0.11</v>
      </c>
    </row>
    <row r="30" spans="1:7" ht="15" customHeight="1" x14ac:dyDescent="0.25">
      <c r="A30" s="17">
        <v>45809</v>
      </c>
      <c r="B30" s="2" t="s">
        <v>21</v>
      </c>
      <c r="C30" s="2">
        <v>55</v>
      </c>
      <c r="D30" s="19">
        <v>0.28000000000000003</v>
      </c>
      <c r="E30" s="19">
        <v>0.88</v>
      </c>
      <c r="F30" s="18">
        <v>190000</v>
      </c>
      <c r="G30" s="19">
        <v>0.08</v>
      </c>
    </row>
    <row r="31" spans="1:7" ht="15" customHeight="1" x14ac:dyDescent="0.25">
      <c r="A31" s="17">
        <v>45809</v>
      </c>
      <c r="B31" s="2" t="s">
        <v>18</v>
      </c>
      <c r="C31" s="2">
        <v>45</v>
      </c>
      <c r="D31" s="19">
        <v>0.24</v>
      </c>
      <c r="E31" s="19">
        <v>0.82</v>
      </c>
      <c r="F31" s="18">
        <v>150000</v>
      </c>
      <c r="G31" s="19">
        <v>0.12</v>
      </c>
    </row>
    <row r="32" spans="1:7" ht="15" customHeight="1" x14ac:dyDescent="0.25">
      <c r="A32" s="17">
        <v>45809</v>
      </c>
      <c r="B32" s="2" t="s">
        <v>19</v>
      </c>
      <c r="C32" s="2">
        <v>65</v>
      </c>
      <c r="D32" s="19">
        <v>0.23</v>
      </c>
      <c r="E32" s="19">
        <v>0.83</v>
      </c>
      <c r="F32" s="18">
        <v>220000</v>
      </c>
      <c r="G32" s="19">
        <v>0.1</v>
      </c>
    </row>
    <row r="33" spans="1:7" ht="15" customHeight="1" x14ac:dyDescent="0.25">
      <c r="A33" s="17">
        <v>45839</v>
      </c>
      <c r="B33" s="2" t="s">
        <v>20</v>
      </c>
      <c r="C33" s="2">
        <v>95</v>
      </c>
      <c r="D33" s="19">
        <v>0.24</v>
      </c>
      <c r="E33" s="19">
        <v>0.84</v>
      </c>
      <c r="F33" s="18">
        <v>320000</v>
      </c>
      <c r="G33" s="19">
        <v>0.1</v>
      </c>
    </row>
    <row r="34" spans="1:7" ht="15" customHeight="1" x14ac:dyDescent="0.25">
      <c r="A34" s="17">
        <v>45839</v>
      </c>
      <c r="B34" s="2" t="s">
        <v>22</v>
      </c>
      <c r="C34" s="2">
        <v>85</v>
      </c>
      <c r="D34" s="19">
        <v>0.22</v>
      </c>
      <c r="E34" s="19">
        <v>0.82</v>
      </c>
      <c r="F34" s="18">
        <v>300000</v>
      </c>
      <c r="G34" s="19">
        <v>0.11</v>
      </c>
    </row>
    <row r="35" spans="1:7" ht="15" customHeight="1" x14ac:dyDescent="0.25">
      <c r="A35" s="17">
        <v>45839</v>
      </c>
      <c r="B35" s="2" t="s">
        <v>21</v>
      </c>
      <c r="C35" s="2">
        <v>55</v>
      </c>
      <c r="D35" s="19">
        <v>0.28000000000000003</v>
      </c>
      <c r="E35" s="19">
        <v>0.88</v>
      </c>
      <c r="F35" s="18">
        <v>190000</v>
      </c>
      <c r="G35" s="19">
        <v>0.08</v>
      </c>
    </row>
    <row r="36" spans="1:7" ht="15" customHeight="1" x14ac:dyDescent="0.25">
      <c r="A36" s="17">
        <v>45839</v>
      </c>
      <c r="B36" s="2" t="s">
        <v>18</v>
      </c>
      <c r="C36" s="2">
        <v>45</v>
      </c>
      <c r="D36" s="19">
        <v>0.24</v>
      </c>
      <c r="E36" s="19">
        <v>0.82</v>
      </c>
      <c r="F36" s="18">
        <v>150000</v>
      </c>
      <c r="G36" s="19">
        <v>0.12</v>
      </c>
    </row>
    <row r="37" spans="1:7" ht="15" customHeight="1" x14ac:dyDescent="0.25">
      <c r="A37" s="17">
        <v>45839</v>
      </c>
      <c r="B37" s="2" t="s">
        <v>19</v>
      </c>
      <c r="C37" s="2">
        <v>65</v>
      </c>
      <c r="D37" s="19">
        <v>0.23</v>
      </c>
      <c r="E37" s="19">
        <v>0.83</v>
      </c>
      <c r="F37" s="18">
        <v>220000</v>
      </c>
      <c r="G37" s="19">
        <v>0.1</v>
      </c>
    </row>
    <row r="38" spans="1:7" ht="15" customHeight="1" x14ac:dyDescent="0.25">
      <c r="A38" s="17">
        <v>45870</v>
      </c>
      <c r="B38" s="2" t="s">
        <v>20</v>
      </c>
      <c r="C38" s="2">
        <v>95</v>
      </c>
      <c r="D38" s="19">
        <v>0.24</v>
      </c>
      <c r="E38" s="19">
        <v>0.84</v>
      </c>
      <c r="F38" s="18">
        <v>320000</v>
      </c>
      <c r="G38" s="19">
        <v>0.1</v>
      </c>
    </row>
    <row r="39" spans="1:7" ht="15" customHeight="1" x14ac:dyDescent="0.25">
      <c r="A39" s="17">
        <v>45870</v>
      </c>
      <c r="B39" s="2" t="s">
        <v>22</v>
      </c>
      <c r="C39" s="2">
        <v>85</v>
      </c>
      <c r="D39" s="19">
        <v>0.22</v>
      </c>
      <c r="E39" s="19">
        <v>0.82</v>
      </c>
      <c r="F39" s="18">
        <v>300000</v>
      </c>
      <c r="G39" s="19">
        <v>0.11</v>
      </c>
    </row>
    <row r="40" spans="1:7" ht="15" customHeight="1" x14ac:dyDescent="0.25">
      <c r="A40" s="17">
        <v>45870</v>
      </c>
      <c r="B40" s="2" t="s">
        <v>21</v>
      </c>
      <c r="C40" s="2">
        <v>55</v>
      </c>
      <c r="D40" s="19">
        <v>0.28000000000000003</v>
      </c>
      <c r="E40" s="19">
        <v>0.88</v>
      </c>
      <c r="F40" s="18">
        <v>190000</v>
      </c>
      <c r="G40" s="19">
        <v>0.08</v>
      </c>
    </row>
    <row r="41" spans="1:7" ht="15" customHeight="1" x14ac:dyDescent="0.25">
      <c r="A41" s="17">
        <v>45870</v>
      </c>
      <c r="B41" s="2" t="s">
        <v>18</v>
      </c>
      <c r="C41" s="2">
        <v>45</v>
      </c>
      <c r="D41" s="19">
        <v>0.24</v>
      </c>
      <c r="E41" s="19">
        <v>0.82</v>
      </c>
      <c r="F41" s="18">
        <v>150000</v>
      </c>
      <c r="G41" s="19">
        <v>0.12</v>
      </c>
    </row>
    <row r="42" spans="1:7" ht="15" customHeight="1" x14ac:dyDescent="0.25">
      <c r="A42" s="17">
        <v>45870</v>
      </c>
      <c r="B42" s="2" t="s">
        <v>19</v>
      </c>
      <c r="C42" s="2">
        <v>65</v>
      </c>
      <c r="D42" s="19">
        <v>0.23</v>
      </c>
      <c r="E42" s="19">
        <v>0.83</v>
      </c>
      <c r="F42" s="18">
        <v>220000</v>
      </c>
      <c r="G42" s="19">
        <v>0.1</v>
      </c>
    </row>
    <row r="43" spans="1:7" ht="15" customHeight="1" x14ac:dyDescent="0.25">
      <c r="A43" s="17">
        <v>45901</v>
      </c>
      <c r="B43" s="2" t="s">
        <v>20</v>
      </c>
      <c r="C43" s="2">
        <v>106</v>
      </c>
      <c r="D43" s="19">
        <v>0.24</v>
      </c>
      <c r="E43" s="19">
        <v>0.84</v>
      </c>
      <c r="F43" s="18">
        <v>358400</v>
      </c>
      <c r="G43" s="19">
        <v>0.1</v>
      </c>
    </row>
    <row r="44" spans="1:7" ht="15" customHeight="1" x14ac:dyDescent="0.25">
      <c r="A44" s="17">
        <v>45901</v>
      </c>
      <c r="B44" s="2" t="s">
        <v>22</v>
      </c>
      <c r="C44" s="2">
        <v>95</v>
      </c>
      <c r="D44" s="19">
        <v>0.22</v>
      </c>
      <c r="E44" s="19">
        <v>0.82</v>
      </c>
      <c r="F44" s="18">
        <v>336000</v>
      </c>
      <c r="G44" s="19">
        <v>0.11</v>
      </c>
    </row>
    <row r="45" spans="1:7" ht="15" customHeight="1" x14ac:dyDescent="0.25">
      <c r="A45" s="17">
        <v>45901</v>
      </c>
      <c r="B45" s="2" t="s">
        <v>21</v>
      </c>
      <c r="C45" s="2">
        <v>62</v>
      </c>
      <c r="D45" s="19">
        <v>0.28000000000000003</v>
      </c>
      <c r="E45" s="19">
        <v>0.88</v>
      </c>
      <c r="F45" s="18">
        <v>212800</v>
      </c>
      <c r="G45" s="19">
        <v>0.08</v>
      </c>
    </row>
    <row r="46" spans="1:7" ht="15" customHeight="1" x14ac:dyDescent="0.25">
      <c r="A46" s="17">
        <v>45901</v>
      </c>
      <c r="B46" s="2" t="s">
        <v>18</v>
      </c>
      <c r="C46" s="2">
        <v>50</v>
      </c>
      <c r="D46" s="19">
        <v>0.24</v>
      </c>
      <c r="E46" s="19">
        <v>0.82</v>
      </c>
      <c r="F46" s="18">
        <v>168000</v>
      </c>
      <c r="G46" s="19">
        <v>0.12</v>
      </c>
    </row>
    <row r="47" spans="1:7" ht="15" customHeight="1" x14ac:dyDescent="0.25">
      <c r="A47" s="17">
        <v>45901</v>
      </c>
      <c r="B47" s="2" t="s">
        <v>19</v>
      </c>
      <c r="C47" s="2">
        <v>73</v>
      </c>
      <c r="D47" s="19">
        <v>0.23</v>
      </c>
      <c r="E47" s="19">
        <v>0.83</v>
      </c>
      <c r="F47" s="18">
        <v>246400</v>
      </c>
      <c r="G47" s="19">
        <v>0.1</v>
      </c>
    </row>
    <row r="48" spans="1:7" ht="15" customHeight="1" x14ac:dyDescent="0.25">
      <c r="A48" s="17">
        <v>45931</v>
      </c>
      <c r="B48" s="2" t="s">
        <v>20</v>
      </c>
      <c r="C48" s="2">
        <v>106</v>
      </c>
      <c r="D48" s="19">
        <v>0.24</v>
      </c>
      <c r="E48" s="19">
        <v>0.84</v>
      </c>
      <c r="F48" s="18">
        <v>358400</v>
      </c>
      <c r="G48" s="19">
        <v>0.1</v>
      </c>
    </row>
    <row r="49" spans="1:7" ht="15" customHeight="1" x14ac:dyDescent="0.25">
      <c r="A49" s="17">
        <v>45931</v>
      </c>
      <c r="B49" s="2" t="s">
        <v>22</v>
      </c>
      <c r="C49" s="2">
        <v>95</v>
      </c>
      <c r="D49" s="19">
        <v>0.22</v>
      </c>
      <c r="E49" s="19">
        <v>0.82</v>
      </c>
      <c r="F49" s="18">
        <v>336000</v>
      </c>
      <c r="G49" s="19">
        <v>0.11</v>
      </c>
    </row>
    <row r="50" spans="1:7" ht="15" customHeight="1" x14ac:dyDescent="0.25">
      <c r="A50" s="17">
        <v>45931</v>
      </c>
      <c r="B50" s="2" t="s">
        <v>21</v>
      </c>
      <c r="C50" s="2">
        <v>62</v>
      </c>
      <c r="D50" s="19">
        <v>0.28000000000000003</v>
      </c>
      <c r="E50" s="19">
        <v>0.88</v>
      </c>
      <c r="F50" s="18">
        <v>212800</v>
      </c>
      <c r="G50" s="19">
        <v>0.08</v>
      </c>
    </row>
    <row r="51" spans="1:7" ht="15" customHeight="1" x14ac:dyDescent="0.25">
      <c r="A51" s="17">
        <v>45931</v>
      </c>
      <c r="B51" s="2" t="s">
        <v>18</v>
      </c>
      <c r="C51" s="2">
        <v>50</v>
      </c>
      <c r="D51" s="19">
        <v>0.24</v>
      </c>
      <c r="E51" s="19">
        <v>0.82</v>
      </c>
      <c r="F51" s="18">
        <v>168000</v>
      </c>
      <c r="G51" s="19">
        <v>0.12</v>
      </c>
    </row>
    <row r="52" spans="1:7" ht="15" customHeight="1" x14ac:dyDescent="0.25">
      <c r="A52" s="17">
        <v>45931</v>
      </c>
      <c r="B52" s="2" t="s">
        <v>19</v>
      </c>
      <c r="C52" s="2">
        <v>73</v>
      </c>
      <c r="D52" s="19">
        <v>0.23</v>
      </c>
      <c r="E52" s="19">
        <v>0.83</v>
      </c>
      <c r="F52" s="18">
        <v>246400</v>
      </c>
      <c r="G52" s="19">
        <v>0.1</v>
      </c>
    </row>
    <row r="53" spans="1:7" ht="15" customHeight="1" x14ac:dyDescent="0.25">
      <c r="A53" s="17">
        <v>45962</v>
      </c>
      <c r="B53" s="2" t="s">
        <v>20</v>
      </c>
      <c r="C53" s="2">
        <v>106</v>
      </c>
      <c r="D53" s="19">
        <v>0.24</v>
      </c>
      <c r="E53" s="19">
        <v>0.84</v>
      </c>
      <c r="F53" s="18">
        <v>358400</v>
      </c>
      <c r="G53" s="19">
        <v>0.1</v>
      </c>
    </row>
    <row r="54" spans="1:7" ht="15" customHeight="1" x14ac:dyDescent="0.25">
      <c r="A54" s="17">
        <v>45962</v>
      </c>
      <c r="B54" s="2" t="s">
        <v>22</v>
      </c>
      <c r="C54" s="2">
        <v>95</v>
      </c>
      <c r="D54" s="19">
        <v>0.22</v>
      </c>
      <c r="E54" s="19">
        <v>0.82</v>
      </c>
      <c r="F54" s="18">
        <v>336000</v>
      </c>
      <c r="G54" s="19">
        <v>0.11</v>
      </c>
    </row>
    <row r="55" spans="1:7" ht="15" customHeight="1" x14ac:dyDescent="0.25">
      <c r="A55" s="17">
        <v>45962</v>
      </c>
      <c r="B55" s="2" t="s">
        <v>21</v>
      </c>
      <c r="C55" s="2">
        <v>62</v>
      </c>
      <c r="D55" s="19">
        <v>0.28000000000000003</v>
      </c>
      <c r="E55" s="19">
        <v>0.88</v>
      </c>
      <c r="F55" s="18">
        <v>212800</v>
      </c>
      <c r="G55" s="19">
        <v>0.08</v>
      </c>
    </row>
    <row r="56" spans="1:7" ht="15" customHeight="1" x14ac:dyDescent="0.25">
      <c r="A56" s="17">
        <v>45962</v>
      </c>
      <c r="B56" s="2" t="s">
        <v>18</v>
      </c>
      <c r="C56" s="2">
        <v>50</v>
      </c>
      <c r="D56" s="19">
        <v>0.24</v>
      </c>
      <c r="E56" s="19">
        <v>0.82</v>
      </c>
      <c r="F56" s="18">
        <v>168000</v>
      </c>
      <c r="G56" s="19">
        <v>0.12</v>
      </c>
    </row>
    <row r="57" spans="1:7" ht="15" customHeight="1" x14ac:dyDescent="0.25">
      <c r="A57" s="17">
        <v>45962</v>
      </c>
      <c r="B57" s="2" t="s">
        <v>19</v>
      </c>
      <c r="C57" s="2">
        <v>73</v>
      </c>
      <c r="D57" s="19">
        <v>0.23</v>
      </c>
      <c r="E57" s="19">
        <v>0.83</v>
      </c>
      <c r="F57" s="18">
        <v>246400</v>
      </c>
      <c r="G57" s="19">
        <v>0.1</v>
      </c>
    </row>
    <row r="58" spans="1:7" ht="15" customHeight="1" x14ac:dyDescent="0.25">
      <c r="A58" s="17">
        <v>45992</v>
      </c>
      <c r="B58" s="2" t="s">
        <v>20</v>
      </c>
      <c r="C58" s="2">
        <v>95</v>
      </c>
      <c r="D58" s="19">
        <v>0.24</v>
      </c>
      <c r="E58" s="19">
        <v>0.84</v>
      </c>
      <c r="F58" s="18">
        <v>320000</v>
      </c>
      <c r="G58" s="19">
        <v>0.1</v>
      </c>
    </row>
    <row r="59" spans="1:7" ht="15" customHeight="1" x14ac:dyDescent="0.25">
      <c r="A59" s="17">
        <v>45992</v>
      </c>
      <c r="B59" s="2" t="s">
        <v>22</v>
      </c>
      <c r="C59" s="2">
        <v>85</v>
      </c>
      <c r="D59" s="19">
        <v>0.22</v>
      </c>
      <c r="E59" s="19">
        <v>0.82</v>
      </c>
      <c r="F59" s="18">
        <v>300000</v>
      </c>
      <c r="G59" s="19">
        <v>0.11</v>
      </c>
    </row>
    <row r="60" spans="1:7" ht="15" customHeight="1" x14ac:dyDescent="0.25">
      <c r="A60" s="17">
        <v>45992</v>
      </c>
      <c r="B60" s="2" t="s">
        <v>21</v>
      </c>
      <c r="C60" s="2">
        <v>55</v>
      </c>
      <c r="D60" s="19">
        <v>0.28000000000000003</v>
      </c>
      <c r="E60" s="19">
        <v>0.88</v>
      </c>
      <c r="F60" s="18">
        <v>190000</v>
      </c>
      <c r="G60" s="19">
        <v>0.08</v>
      </c>
    </row>
    <row r="61" spans="1:7" ht="15" customHeight="1" x14ac:dyDescent="0.25">
      <c r="A61" s="17">
        <v>45992</v>
      </c>
      <c r="B61" s="2" t="s">
        <v>18</v>
      </c>
      <c r="C61" s="2">
        <v>45</v>
      </c>
      <c r="D61" s="19">
        <v>0.24</v>
      </c>
      <c r="E61" s="19">
        <v>0.82</v>
      </c>
      <c r="F61" s="18">
        <v>150000</v>
      </c>
      <c r="G61" s="19">
        <v>0.12</v>
      </c>
    </row>
    <row r="62" spans="1:7" ht="15" customHeight="1" x14ac:dyDescent="0.25">
      <c r="A62" s="17">
        <v>45992</v>
      </c>
      <c r="B62" s="2" t="s">
        <v>19</v>
      </c>
      <c r="C62" s="2">
        <v>65</v>
      </c>
      <c r="D62" s="19">
        <v>0.23</v>
      </c>
      <c r="E62" s="19">
        <v>0.83</v>
      </c>
      <c r="F62" s="18">
        <v>220000</v>
      </c>
      <c r="G62" s="19">
        <v>0.1</v>
      </c>
    </row>
  </sheetData>
  <mergeCells count="1">
    <mergeCell ref="A1:G1"/>
  </mergeCells>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Clean_Leads</vt:lpstr>
      <vt:lpstr>Clean_Customers</vt:lpstr>
      <vt:lpstr>Clean_Transactions</vt:lpstr>
      <vt:lpstr>Pivot</vt:lpstr>
      <vt:lpstr>KPI_Summary</vt:lpstr>
      <vt:lpstr>Dashboard</vt:lpstr>
      <vt:lpstr>Raw_Leads</vt:lpstr>
      <vt:lpstr>Raw_Customers</vt:lpstr>
      <vt:lpstr>Raw_Transactions</vt:lpstr>
      <vt:lpstr>Sales_Reps</vt:lpstr>
      <vt:lpstr>Targets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BULUS UMORU</cp:lastModifiedBy>
  <cp:revision>4</cp:revision>
  <dcterms:created xsi:type="dcterms:W3CDTF">2026-08-06T13:44:58Z</dcterms:created>
  <dcterms:modified xsi:type="dcterms:W3CDTF">2026-08-17T11:13:37Z</dcterms:modified>
  <dc:language>en-US</dc:language>
</cp:coreProperties>
</file>